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_dataset" sheetId="1" r:id="rId5"/>
    <sheet state="visible" name="Medical Condition Analysis" sheetId="2" r:id="rId6"/>
    <sheet state="visible" name="Admission Type Analysis" sheetId="3" r:id="rId7"/>
    <sheet state="visible" name="Gender Distribution" sheetId="4" r:id="rId8"/>
    <sheet state="visible" name="Insurance Provider Analysis" sheetId="5" r:id="rId9"/>
    <sheet state="visible" name="Test Results Analysis" sheetId="6" r:id="rId10"/>
    <sheet state="visible" name="Treatment cost analysis " sheetId="7" r:id="rId11"/>
    <sheet state="visible" name="Dashboard" sheetId="8" r:id="rId12"/>
  </sheets>
  <definedNames>
    <definedName hidden="1" localSheetId="0" name="_xlnm._FilterDatabase">healthcare_dataset!$A$1:$O$1002</definedName>
  </definedNames>
  <calcPr/>
</workbook>
</file>

<file path=xl/sharedStrings.xml><?xml version="1.0" encoding="utf-8"?>
<sst xmlns="http://schemas.openxmlformats.org/spreadsheetml/2006/main" count="11077" uniqueCount="3034">
  <si>
    <t xml:space="preserve"> Healthcare Patient Records Analysis</t>
  </si>
  <si>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</si>
  <si>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</si>
  <si>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</si>
  <si>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</si>
  <si>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</si>
  <si>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</si>
  <si>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</si>
  <si>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</si>
  <si>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</si>
  <si>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</si>
  <si>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</si>
  <si>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</si>
  <si>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</si>
  <si>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</si>
  <si>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</si>
  <si>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</si>
  <si>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</si>
  <si>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</si>
  <si>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</si>
  <si>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</si>
  <si>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</si>
  <si>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</si>
  <si>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</si>
  <si>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</si>
  <si>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</si>
  <si>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Healthcare Patient Records Summary</t>
  </si>
  <si>
    <t>Leslie Terry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</si>
  <si>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</si>
  <si>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</si>
  <si>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</si>
  <si>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</si>
  <si>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</si>
  <si>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</si>
  <si>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</si>
  <si>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</si>
  <si>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Total no of Patient</t>
  </si>
  <si>
    <t>Danny Smith</t>
  </si>
  <si>
    <t>Female</t>
  </si>
  <si>
    <t>A-</t>
  </si>
  <si>
    <t>Tiffany Mitchell</t>
  </si>
  <si>
    <t>Cook PLC</t>
  </si>
  <si>
    <t>Aetna</t>
  </si>
  <si>
    <t>Aspirin</t>
  </si>
  <si>
    <t>Total no of  Hospitals</t>
  </si>
  <si>
    <t>Andrew Watts</t>
  </si>
  <si>
    <t>O+</t>
  </si>
  <si>
    <t>Diabetes</t>
  </si>
  <si>
    <t>Kevin Wells</t>
  </si>
  <si>
    <t>Hernandez Rogers and Vang,</t>
  </si>
  <si>
    <t>Elective</t>
  </si>
  <si>
    <t>Abnormal</t>
  </si>
  <si>
    <t>Total no of  Doctors</t>
  </si>
  <si>
    <t>Adrienne Bell</t>
  </si>
  <si>
    <t>AB+</t>
  </si>
  <si>
    <t>Kathleen Hanna</t>
  </si>
  <si>
    <t>White-White</t>
  </si>
  <si>
    <t>Penicillin</t>
  </si>
  <si>
    <t>Average Patient Age</t>
  </si>
  <si>
    <t>Emily Johnson</t>
  </si>
  <si>
    <t>Asthma</t>
  </si>
  <si>
    <t>Taylor Newton</t>
  </si>
  <si>
    <t>Nunez-Humphrey</t>
  </si>
  <si>
    <t>UnitedHealthcare</t>
  </si>
  <si>
    <t>Total Billing Amount</t>
  </si>
  <si>
    <t>Edward Edwards</t>
  </si>
  <si>
    <t>AB-</t>
  </si>
  <si>
    <t>Kelly Olson</t>
  </si>
  <si>
    <t>Group Middleton</t>
  </si>
  <si>
    <t>Average Billing Amount</t>
  </si>
  <si>
    <t>Christina Martinez</t>
  </si>
  <si>
    <t>Suzanne Thomas</t>
  </si>
  <si>
    <t>Powell Robinson and Valdez,</t>
  </si>
  <si>
    <t>Cigna</t>
  </si>
  <si>
    <t>Urgent Admissions</t>
  </si>
  <si>
    <t>Jasmine Aguilar</t>
  </si>
  <si>
    <t>Daniel Ferguson</t>
  </si>
  <si>
    <t>Sons Rich and</t>
  </si>
  <si>
    <t>Emergency Admissions</t>
  </si>
  <si>
    <t>Christopher Berg</t>
  </si>
  <si>
    <t>Heather Day</t>
  </si>
  <si>
    <t>Padilla-Walker</t>
  </si>
  <si>
    <t>Elective Admissions</t>
  </si>
  <si>
    <t>Michelle Daniels</t>
  </si>
  <si>
    <t>John Duncan</t>
  </si>
  <si>
    <t>Schaefer-Porter</t>
  </si>
  <si>
    <t>Total Medical Conditions</t>
  </si>
  <si>
    <t>Aaron Martinez</t>
  </si>
  <si>
    <t>Hypertension</t>
  </si>
  <si>
    <t>Douglas Mayo</t>
  </si>
  <si>
    <t>Lyons-Blair</t>
  </si>
  <si>
    <t>Lipitor</t>
  </si>
  <si>
    <t>Normal Test Results</t>
  </si>
  <si>
    <t>Connor Hansen</t>
  </si>
  <si>
    <t>Kenneth Fletcher</t>
  </si>
  <si>
    <t>Powers Miller, and Flores</t>
  </si>
  <si>
    <t>Abnormal Test Results</t>
  </si>
  <si>
    <t>Robert Bauer</t>
  </si>
  <si>
    <t>Theresa Freeman</t>
  </si>
  <si>
    <t>Rivera-Gutierrez</t>
  </si>
  <si>
    <t>Inconclusive Test Results</t>
  </si>
  <si>
    <t>Brooke Brady</t>
  </si>
  <si>
    <t>Roberta Stewart</t>
  </si>
  <si>
    <t>Morris-Arellano</t>
  </si>
  <si>
    <t>Total Insurance Providers</t>
  </si>
  <si>
    <t>Ms. Natalie Gamble</t>
  </si>
  <si>
    <t>Maria Dougherty</t>
  </si>
  <si>
    <t>Cline-Williams</t>
  </si>
  <si>
    <t>Haley Perkins</t>
  </si>
  <si>
    <t>Arthritis</t>
  </si>
  <si>
    <t>Erica Spencer</t>
  </si>
  <si>
    <t>Cervantes-Wells</t>
  </si>
  <si>
    <t>Mrs. Jamie Campbell</t>
  </si>
  <si>
    <t>Justin Kim</t>
  </si>
  <si>
    <t>Torres, and Harrison Jones</t>
  </si>
  <si>
    <t>Luke Burgess</t>
  </si>
  <si>
    <t>Justin Moore Jr.</t>
  </si>
  <si>
    <t>Houston PLC</t>
  </si>
  <si>
    <t>Daniel Schmidt</t>
  </si>
  <si>
    <t>B+</t>
  </si>
  <si>
    <t>Denise Galloway</t>
  </si>
  <si>
    <t>Hammond Ltd</t>
  </si>
  <si>
    <t>Timothy Burns</t>
  </si>
  <si>
    <t>Krista Smith</t>
  </si>
  <si>
    <t>Jones LLC</t>
  </si>
  <si>
    <t>Christopher Bright</t>
  </si>
  <si>
    <t>Gregory Smith</t>
  </si>
  <si>
    <t>Williams-Davis</t>
  </si>
  <si>
    <t>Kathryn Stewart</t>
  </si>
  <si>
    <t>Vanessa Newton</t>
  </si>
  <si>
    <t>Clark-Mayo</t>
  </si>
  <si>
    <t>Dr. Eileen Thompson</t>
  </si>
  <si>
    <t>Donna Martinez MD</t>
  </si>
  <si>
    <t>and Sons Smith</t>
  </si>
  <si>
    <t>Paul Henderson</t>
  </si>
  <si>
    <t>Stephanie Kramer</t>
  </si>
  <si>
    <t>Wilson Group</t>
  </si>
  <si>
    <t>Peter Fitzgerald</t>
  </si>
  <si>
    <t>Angela Contreras</t>
  </si>
  <si>
    <t>Garner-Bowman</t>
  </si>
  <si>
    <t>Cathy Small</t>
  </si>
  <si>
    <t>O-</t>
  </si>
  <si>
    <t>Wendy Glenn</t>
  </si>
  <si>
    <t>Brown, and Jones Weaver</t>
  </si>
  <si>
    <t>Mr. Kenneth Moore</t>
  </si>
  <si>
    <t>James Ellis</t>
  </si>
  <si>
    <t>Serrano-Dixon</t>
  </si>
  <si>
    <t>Mary Hunter</t>
  </si>
  <si>
    <t>Jared Bruce Jr.</t>
  </si>
  <si>
    <t>Gardner-Miller</t>
  </si>
  <si>
    <t>Joshua Oliver</t>
  </si>
  <si>
    <t>Brandy Mitchell</t>
  </si>
  <si>
    <t>Guerrero-Boone</t>
  </si>
  <si>
    <t>Thomas Martinez</t>
  </si>
  <si>
    <t>Jacob Huynh</t>
  </si>
  <si>
    <t>Hart Ltd</t>
  </si>
  <si>
    <t>James Patterson</t>
  </si>
  <si>
    <t>Kristina Frazier</t>
  </si>
  <si>
    <t>Cruz-Santiago</t>
  </si>
  <si>
    <t>William Cooper</t>
  </si>
  <si>
    <t>John Hartman</t>
  </si>
  <si>
    <t>Group Duncan</t>
  </si>
  <si>
    <t>Erin Ortega</t>
  </si>
  <si>
    <t>Heather Garcia</t>
  </si>
  <si>
    <t>Lopez-Phillips</t>
  </si>
  <si>
    <t>Nicole Rodriguez</t>
  </si>
  <si>
    <t>Lynn Young</t>
  </si>
  <si>
    <t>Poole Inc</t>
  </si>
  <si>
    <t>David Anderson</t>
  </si>
  <si>
    <t>Emma Allison</t>
  </si>
  <si>
    <t>Sons and Cox</t>
  </si>
  <si>
    <t>Denise Torres</t>
  </si>
  <si>
    <t>Laura Myers</t>
  </si>
  <si>
    <t>LLC Martin</t>
  </si>
  <si>
    <t>Cassandra Robinson</t>
  </si>
  <si>
    <t>Travis Parsons</t>
  </si>
  <si>
    <t>Espinoza-Stone</t>
  </si>
  <si>
    <t>Nicole Lucero</t>
  </si>
  <si>
    <t>Christine Johnson</t>
  </si>
  <si>
    <t>and Garcia Morris Cunningham,</t>
  </si>
  <si>
    <t>Pamela Fernandez</t>
  </si>
  <si>
    <t>Emily Taylor</t>
  </si>
  <si>
    <t>Walton-Meyer</t>
  </si>
  <si>
    <t>Christopher Lee</t>
  </si>
  <si>
    <t>William Reynolds</t>
  </si>
  <si>
    <t>PLC Young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</si>
  <si>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</si>
  <si>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</si>
  <si>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</si>
  <si>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</si>
  <si>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</si>
  <si>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</si>
  <si>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Katherine Smith</t>
  </si>
  <si>
    <t>Mary Logan</t>
  </si>
  <si>
    <t>and Mcclure White Boone,</t>
  </si>
  <si>
    <t>Paul Williams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</si>
  <si>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</si>
  <si>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</si>
  <si>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</si>
  <si>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</si>
  <si>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</si>
  <si>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</si>
  <si>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</si>
  <si>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</si>
  <si>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</si>
  <si>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</si>
  <si>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</si>
  <si>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Kyle Bennett</t>
  </si>
  <si>
    <t>John Smith</t>
  </si>
  <si>
    <t>Knight and Nguyen, Riggs</t>
  </si>
  <si>
    <t>Brandon Collins</t>
  </si>
  <si>
    <t>Cameron Young</t>
  </si>
  <si>
    <t>Lopez PLC</t>
  </si>
  <si>
    <t>Michael Liu</t>
  </si>
  <si>
    <t>Vicki Nguyen</t>
  </si>
  <si>
    <t>Fernandez and Phillips, Singh</t>
  </si>
  <si>
    <t>Stephanie Kent</t>
  </si>
  <si>
    <t>Mary Moss</t>
  </si>
  <si>
    <t>Beck-Galloway</t>
  </si>
  <si>
    <t>Jesse Banks</t>
  </si>
  <si>
    <t>Alexander Garcia</t>
  </si>
  <si>
    <t>Decker Glover, and Christensen</t>
  </si>
  <si>
    <t>Peggy Lee</t>
  </si>
  <si>
    <t>Patrick Burns</t>
  </si>
  <si>
    <t>Nelson Walker Myers, and</t>
  </si>
  <si>
    <t>Tamara Hernandez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</si>
  <si>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</si>
  <si>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</si>
  <si>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</si>
  <si>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</si>
  <si>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</si>
  <si>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</si>
  <si>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</si>
  <si>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</si>
  <si>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Michael Mills</t>
  </si>
  <si>
    <t>Mrs. Lori Hurst PhD</t>
  </si>
  <si>
    <t>Hall-Bentley</t>
  </si>
  <si>
    <t>Kyle Wiley</t>
  </si>
  <si>
    <t>Stephen Carr</t>
  </si>
  <si>
    <t>Taylor-Nguyen</t>
  </si>
  <si>
    <t>Jacqueline Jordan</t>
  </si>
  <si>
    <t>Jacob Daniel</t>
  </si>
  <si>
    <t>Hunter-Grant</t>
  </si>
  <si>
    <t>Ashley Gutierrez</t>
  </si>
  <si>
    <t>Tyler Braun</t>
  </si>
  <si>
    <t>Miller-Lawson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</si>
  <si>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</si>
  <si>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</si>
  <si>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</si>
  <si>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</si>
  <si>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</si>
  <si>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</si>
  <si>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</si>
  <si>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</si>
  <si>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</si>
  <si>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</si>
  <si>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</si>
  <si>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</si>
  <si>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</si>
  <si>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</si>
  <si>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</si>
  <si>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Christopher Gonzalez</t>
  </si>
  <si>
    <t>Patricia Dunn</t>
  </si>
  <si>
    <t>Rhodes-Carey</t>
  </si>
  <si>
    <t>Jack Jackson</t>
  </si>
  <si>
    <t>Bullock-Ramsey</t>
  </si>
  <si>
    <t>Michael Miller</t>
  </si>
  <si>
    <t>Jonathan Drake</t>
  </si>
  <si>
    <t>Clark Brown, and Myers</t>
  </si>
  <si>
    <t>Erica Myers</t>
  </si>
  <si>
    <t>Ian Benitez</t>
  </si>
  <si>
    <t>Jackson and Lane, Dillon</t>
  </si>
  <si>
    <t>Carol Patterson</t>
  </si>
  <si>
    <t>Jamie Baker</t>
  </si>
  <si>
    <t>Turner Cook, Banks and</t>
  </si>
  <si>
    <t>Jose Lopez</t>
  </si>
  <si>
    <t>Erika Jackson</t>
  </si>
  <si>
    <t>Miles, and Weaver Hudson</t>
  </si>
  <si>
    <t>Kevin Simmons Jr.</t>
  </si>
  <si>
    <t>Amanda Garcia</t>
  </si>
  <si>
    <t>Evans Ltd</t>
  </si>
  <si>
    <t>Duane Haney</t>
  </si>
  <si>
    <t>Raven Wong</t>
  </si>
  <si>
    <t>Sons and Schaefer</t>
  </si>
  <si>
    <t>Jonathan Yates</t>
  </si>
  <si>
    <t>Cynthia Scott</t>
  </si>
  <si>
    <t>Sons Hodges and</t>
  </si>
  <si>
    <t>John Thomas</t>
  </si>
  <si>
    <t>Mark Padilla</t>
  </si>
  <si>
    <t>Simpson-Mccall</t>
  </si>
  <si>
    <t>Adrian Buckley</t>
  </si>
  <si>
    <t>Julie Ramirez</t>
  </si>
  <si>
    <t>Lin Thompson Wells, and</t>
  </si>
  <si>
    <t>April Santiago</t>
  </si>
  <si>
    <t>Jacob Rich</t>
  </si>
  <si>
    <t>Jones-Scott</t>
  </si>
  <si>
    <t>Diane Schultz</t>
  </si>
  <si>
    <t>Mark Hartman Jr.</t>
  </si>
  <si>
    <t>Howe-Kelly</t>
  </si>
  <si>
    <t>Timothy Myers</t>
  </si>
  <si>
    <t>Timothy Baker</t>
  </si>
  <si>
    <t>and Sons Reyes</t>
  </si>
  <si>
    <t>Nicole Hughes</t>
  </si>
  <si>
    <t>Lori Sanchez</t>
  </si>
  <si>
    <t>Shaw-Young</t>
  </si>
  <si>
    <t>Chad Moreno</t>
  </si>
  <si>
    <t>Connie Boyd</t>
  </si>
  <si>
    <t>Inc Skinner</t>
  </si>
  <si>
    <t>Sean Jennings</t>
  </si>
  <si>
    <t>James Tucker</t>
  </si>
  <si>
    <t>Clark-Johnson</t>
  </si>
  <si>
    <t>Diane Branch</t>
  </si>
  <si>
    <t>Juan Acevedo</t>
  </si>
  <si>
    <t>Perez and Sons</t>
  </si>
  <si>
    <t>Cindy Orozco</t>
  </si>
  <si>
    <t>Julie Finley</t>
  </si>
  <si>
    <t>Kemp LLC</t>
  </si>
  <si>
    <t>Patricia Medina</t>
  </si>
  <si>
    <t>Miguel Parker</t>
  </si>
  <si>
    <t>LLC Dixon</t>
  </si>
  <si>
    <t>Kayla Padilla</t>
  </si>
  <si>
    <t>Jermaine Peters</t>
  </si>
  <si>
    <t>and Morales Jennings Cook,</t>
  </si>
  <si>
    <t>Juan Klein</t>
  </si>
  <si>
    <t>Lisa Edwards</t>
  </si>
  <si>
    <t>Group Hood</t>
  </si>
  <si>
    <t>William Hill</t>
  </si>
  <si>
    <t>Matthew Walker</t>
  </si>
  <si>
    <t>Lindsey Inc</t>
  </si>
  <si>
    <t>Carl Best</t>
  </si>
  <si>
    <t>Gregory Hansen</t>
  </si>
  <si>
    <t>Ltd Wang</t>
  </si>
  <si>
    <t>Tina Griffin</t>
  </si>
  <si>
    <t>Jessica Cruz</t>
  </si>
  <si>
    <t>Inc Ford</t>
  </si>
  <si>
    <t>Mr. Tyler Taylor Phd</t>
  </si>
  <si>
    <t>Robert Salazar</t>
  </si>
  <si>
    <t>Dean-Hawkins</t>
  </si>
  <si>
    <t>Taylor Howell Dds</t>
  </si>
  <si>
    <t>Kyle Patterson</t>
  </si>
  <si>
    <t>Walter PLC</t>
  </si>
  <si>
    <t>Michael Martin</t>
  </si>
  <si>
    <t>John Summers</t>
  </si>
  <si>
    <t>Sons Horn and</t>
  </si>
  <si>
    <t>Heather Miller</t>
  </si>
  <si>
    <t>Scott Grant</t>
  </si>
  <si>
    <t>Powell Ward, and Mercado</t>
  </si>
  <si>
    <t>Catherine Gardner</t>
  </si>
  <si>
    <t>David Ruiz</t>
  </si>
  <si>
    <t>James Ltd</t>
  </si>
  <si>
    <t>Anne Thompson</t>
  </si>
  <si>
    <t>Kyle Smith</t>
  </si>
  <si>
    <t>Kemp-Munoz</t>
  </si>
  <si>
    <t>Todd Cooper</t>
  </si>
  <si>
    <t>Jason Price</t>
  </si>
  <si>
    <t>Henderson-Taylor</t>
  </si>
  <si>
    <t>Phillip Lyons</t>
  </si>
  <si>
    <t>Stephanie Clements</t>
  </si>
  <si>
    <t>Parsons, Hartman Martinez and</t>
  </si>
  <si>
    <t>Mark Ford</t>
  </si>
  <si>
    <t>Steven James</t>
  </si>
  <si>
    <t>Luna Inc</t>
  </si>
  <si>
    <t>Marcus Zamora</t>
  </si>
  <si>
    <t>Jeremiah Wolf</t>
  </si>
  <si>
    <t>Hernandez, Ritter and Huffman</t>
  </si>
  <si>
    <t>Katie Henry</t>
  </si>
  <si>
    <t>Roberto Petersen</t>
  </si>
  <si>
    <t>Reed LLC</t>
  </si>
  <si>
    <t>William Morton</t>
  </si>
  <si>
    <t>Christina Hammond</t>
  </si>
  <si>
    <t>Thompson-Walker</t>
  </si>
  <si>
    <t>Katrina Martin</t>
  </si>
  <si>
    <t>Patricia Colon</t>
  </si>
  <si>
    <t>Group Nguyen</t>
  </si>
  <si>
    <t>Hunter Mckay</t>
  </si>
  <si>
    <t>Dominic Mitchell</t>
  </si>
  <si>
    <t>Newton-White</t>
  </si>
  <si>
    <t>Dwayne Davis</t>
  </si>
  <si>
    <t>Wendy Davis</t>
  </si>
  <si>
    <t>Ltd Thomas</t>
  </si>
  <si>
    <t>Sarah Caldwell</t>
  </si>
  <si>
    <t>Daniel Carson</t>
  </si>
  <si>
    <t>Pierce Ward, Torres and</t>
  </si>
  <si>
    <t>David Higgins</t>
  </si>
  <si>
    <t>Erin Henderson MD</t>
  </si>
  <si>
    <t>Evans and Hall Schneider,</t>
  </si>
  <si>
    <t>Bradley Combs</t>
  </si>
  <si>
    <t>Christopher Butler</t>
  </si>
  <si>
    <t>Stout-Brown</t>
  </si>
  <si>
    <t>Christina Schmitt</t>
  </si>
  <si>
    <t>Samuel Robles</t>
  </si>
  <si>
    <t>Cruz Ltd</t>
  </si>
  <si>
    <t>Colton Strong</t>
  </si>
  <si>
    <t>Benjamin Webb</t>
  </si>
  <si>
    <t>Stewart Sons and</t>
  </si>
  <si>
    <t>Mark Price</t>
  </si>
  <si>
    <t>Krystal Fox</t>
  </si>
  <si>
    <t>Hall Roberts and Duarte,</t>
  </si>
  <si>
    <t>Suzanne Schneider</t>
  </si>
  <si>
    <t>Bruce Garrett</t>
  </si>
  <si>
    <t>Ramirez-Robinson</t>
  </si>
  <si>
    <t>Michael Hurley</t>
  </si>
  <si>
    <t>Jonathan Watson</t>
  </si>
  <si>
    <t>Garcia, and Bishop Hernandez</t>
  </si>
  <si>
    <t>Lindsey Lambert</t>
  </si>
  <si>
    <t>Christopher Guerra</t>
  </si>
  <si>
    <t>and Brown Oneal, Shah</t>
  </si>
  <si>
    <t>Rebecca Parsons</t>
  </si>
  <si>
    <t>Steven Adams</t>
  </si>
  <si>
    <t>Group White</t>
  </si>
  <si>
    <t>Judy Johnson</t>
  </si>
  <si>
    <t>Victoria Patel</t>
  </si>
  <si>
    <t>Hughes and Erickson, Anderson</t>
  </si>
  <si>
    <t>Tonya Campbell</t>
  </si>
  <si>
    <t>Louis Bell</t>
  </si>
  <si>
    <t>Lane-Kelly</t>
  </si>
  <si>
    <t>James Ross</t>
  </si>
  <si>
    <t>Michael Baker</t>
  </si>
  <si>
    <t>Cox-Hester</t>
  </si>
  <si>
    <t>Sara Cook</t>
  </si>
  <si>
    <t>Douglas Fleming</t>
  </si>
  <si>
    <t>Jarvis Scott, Fleming and</t>
  </si>
  <si>
    <t>Anne Howell</t>
  </si>
  <si>
    <t>Patrick Carter</t>
  </si>
  <si>
    <t>Cline-Carpenter</t>
  </si>
  <si>
    <t>Renee Bailey</t>
  </si>
  <si>
    <t>Sarah Shaffer</t>
  </si>
  <si>
    <t>Johnson, and Ross Harris</t>
  </si>
  <si>
    <t>Jeffrey Turner</t>
  </si>
  <si>
    <t>Matthew Carter</t>
  </si>
  <si>
    <t>Kim Rosario, and Hammond</t>
  </si>
  <si>
    <t>Dr. Lauren Clark Dds</t>
  </si>
  <si>
    <t>Brian Wagner</t>
  </si>
  <si>
    <t>PLC Jimenez</t>
  </si>
  <si>
    <t>Terry Thomas</t>
  </si>
  <si>
    <t>Lucas Cole</t>
  </si>
  <si>
    <t>Cantu-Berry</t>
  </si>
  <si>
    <t>Jason Baker</t>
  </si>
  <si>
    <t>Julia Yoder</t>
  </si>
  <si>
    <t>Wright-Alexander</t>
  </si>
  <si>
    <t>Jessica Gutierrez</t>
  </si>
  <si>
    <t>Crystal Chavez</t>
  </si>
  <si>
    <t>Guzman-Carlson</t>
  </si>
  <si>
    <t>Courtney Hodges</t>
  </si>
  <si>
    <t>Brenda Lopez</t>
  </si>
  <si>
    <t>Meyer-Hill</t>
  </si>
  <si>
    <t>Anthony Reyes</t>
  </si>
  <si>
    <t>Michael Cole</t>
  </si>
  <si>
    <t>Dudley-Atkinson</t>
  </si>
  <si>
    <t>Leah Cross Dds</t>
  </si>
  <si>
    <t>Michael Larson</t>
  </si>
  <si>
    <t>Kelly-Allen</t>
  </si>
  <si>
    <t>Paul Martinez</t>
  </si>
  <si>
    <t>Tracey Spence</t>
  </si>
  <si>
    <t>Lewis Livingston, Lowe and</t>
  </si>
  <si>
    <t>Denise Rodriguez</t>
  </si>
  <si>
    <t>Susan Gibson</t>
  </si>
  <si>
    <t>Rodriguez Ltd</t>
  </si>
  <si>
    <t>Ashley Erickson</t>
  </si>
  <si>
    <t>Gerald Hooper</t>
  </si>
  <si>
    <t>and Johnson Moore, Branch</t>
  </si>
  <si>
    <t>Sean Cardenas</t>
  </si>
  <si>
    <t>Todd Sanchez</t>
  </si>
  <si>
    <t>Holmes and Hughes, Phillips</t>
  </si>
  <si>
    <t>Alan Alvarez</t>
  </si>
  <si>
    <t>Elizabeth Morales</t>
  </si>
  <si>
    <t>and Smith, Tucker Cross</t>
  </si>
  <si>
    <t>Jessica Phillips</t>
  </si>
  <si>
    <t>Kimberly Petersen</t>
  </si>
  <si>
    <t>Sons and Lozano</t>
  </si>
  <si>
    <t>Timothy Coleman</t>
  </si>
  <si>
    <t>Misty Garcia</t>
  </si>
  <si>
    <t>Russell Ltd</t>
  </si>
  <si>
    <t>Christina Woods</t>
  </si>
  <si>
    <t>Melissa Fernandez</t>
  </si>
  <si>
    <t>Jones Ltd</t>
  </si>
  <si>
    <t>Melissa Scott</t>
  </si>
  <si>
    <t>Kari Moore</t>
  </si>
  <si>
    <t>Gordon-Ward</t>
  </si>
  <si>
    <t>Gary Hopkins</t>
  </si>
  <si>
    <t>David Hubbard</t>
  </si>
  <si>
    <t>Barnes and Sons</t>
  </si>
  <si>
    <t>April Valencia</t>
  </si>
  <si>
    <t>Lonnie Morgan</t>
  </si>
  <si>
    <t>Levine-Miller</t>
  </si>
  <si>
    <t>Rita Archer</t>
  </si>
  <si>
    <t>Victoria Gonzales</t>
  </si>
  <si>
    <t>and Marquez Silva Smith,</t>
  </si>
  <si>
    <t>Kim Pena</t>
  </si>
  <si>
    <t>Cindy White</t>
  </si>
  <si>
    <t>Jackson-Copeland</t>
  </si>
  <si>
    <t>Jason Foley</t>
  </si>
  <si>
    <t>Douglas Li</t>
  </si>
  <si>
    <t>Perez and Ochoa White,</t>
  </si>
  <si>
    <t>Shaun Guzman</t>
  </si>
  <si>
    <t>Lori Mendoza</t>
  </si>
  <si>
    <t>Ltd Conrad</t>
  </si>
  <si>
    <t>Matthew White</t>
  </si>
  <si>
    <t>Ryan Ross</t>
  </si>
  <si>
    <t>Hampton-Thomas</t>
  </si>
  <si>
    <t>Alexis Wilson</t>
  </si>
  <si>
    <t>Brian Walton</t>
  </si>
  <si>
    <t>Thomas-Kelley</t>
  </si>
  <si>
    <t>Jacqueline Marshall</t>
  </si>
  <si>
    <t>Michael Berg</t>
  </si>
  <si>
    <t>Myers-Monroe</t>
  </si>
  <si>
    <t>Robert Higgins</t>
  </si>
  <si>
    <t>Scott Davis</t>
  </si>
  <si>
    <t>and Ford Lee, Rodriguez</t>
  </si>
  <si>
    <t>Sierra Morton</t>
  </si>
  <si>
    <t>Daniel Shelton</t>
  </si>
  <si>
    <t>Sons Garcia and</t>
  </si>
  <si>
    <t>Natalie Stanton</t>
  </si>
  <si>
    <t>Tara Moreno</t>
  </si>
  <si>
    <t>Perry Little, and Moore</t>
  </si>
  <si>
    <t>Jessica Acevedo</t>
  </si>
  <si>
    <t>Kristie Morgan</t>
  </si>
  <si>
    <t>Anderson Group</t>
  </si>
  <si>
    <t>Jennifer Mcmillan</t>
  </si>
  <si>
    <t>Joseph Jones</t>
  </si>
  <si>
    <t>Rodriguez and Sons</t>
  </si>
  <si>
    <t>Christopher Mcclain</t>
  </si>
  <si>
    <t>Maria Tran</t>
  </si>
  <si>
    <t>Thomas-Huber</t>
  </si>
  <si>
    <t>Kevin Hicks</t>
  </si>
  <si>
    <t>Kelly Murphy</t>
  </si>
  <si>
    <t>Robinson Inc</t>
  </si>
  <si>
    <t>Melinda Richards</t>
  </si>
  <si>
    <t>Katherine Brown</t>
  </si>
  <si>
    <t>Wood-Mathews</t>
  </si>
  <si>
    <t>Robyn Miranda</t>
  </si>
  <si>
    <t>Elizabeth Frank</t>
  </si>
  <si>
    <t>Walker and Gardner Fernandez,</t>
  </si>
  <si>
    <t>Scott Castillo</t>
  </si>
  <si>
    <t>Alyssa Edwards</t>
  </si>
  <si>
    <t>Smith and Johnston, Collins</t>
  </si>
  <si>
    <t>John Garcia</t>
  </si>
  <si>
    <t>Jesse Thomas</t>
  </si>
  <si>
    <t>Sons Miller and</t>
  </si>
  <si>
    <t>Michael Taylor</t>
  </si>
  <si>
    <t>Erica Mccormick</t>
  </si>
  <si>
    <t>Donaldson-Frey</t>
  </si>
  <si>
    <t>Jeffrey Wood</t>
  </si>
  <si>
    <t>Amber Holmes</t>
  </si>
  <si>
    <t>Brown-Yoder</t>
  </si>
  <si>
    <t>Michael Smith</t>
  </si>
  <si>
    <t>Austin Jackson</t>
  </si>
  <si>
    <t>Morgan Rios and Keller,</t>
  </si>
  <si>
    <t>William Griffith</t>
  </si>
  <si>
    <t>Shane Morris</t>
  </si>
  <si>
    <t>Gonzalez-King</t>
  </si>
  <si>
    <t>Christina Lawrence</t>
  </si>
  <si>
    <t>Brent Smith</t>
  </si>
  <si>
    <t>Wagner Ltd</t>
  </si>
  <si>
    <t>Jessica Holmes</t>
  </si>
  <si>
    <t>Kayla Davis</t>
  </si>
  <si>
    <t>and Brown White, Jones</t>
  </si>
  <si>
    <t>Tracey Greene</t>
  </si>
  <si>
    <t>Rose Zuniga</t>
  </si>
  <si>
    <t>James-Smith</t>
  </si>
  <si>
    <t>Amanda Lopez</t>
  </si>
  <si>
    <t>Ethan Wagner</t>
  </si>
  <si>
    <t>Hanson Group</t>
  </si>
  <si>
    <t>Laura Peters</t>
  </si>
  <si>
    <t>Phillip Williams</t>
  </si>
  <si>
    <t>Mcclain-Reed</t>
  </si>
  <si>
    <t>Lauren Anderson</t>
  </si>
  <si>
    <t>Maureen Hill</t>
  </si>
  <si>
    <t>Young-Smith</t>
  </si>
  <si>
    <t>William Campos</t>
  </si>
  <si>
    <t>Heidi Compton MD</t>
  </si>
  <si>
    <t>Hart-Brock</t>
  </si>
  <si>
    <t>Jessica Gonzales</t>
  </si>
  <si>
    <t>Kimberly Gonzalez</t>
  </si>
  <si>
    <t>Jones and Jones, Turner</t>
  </si>
  <si>
    <t>Bruce Gonzales</t>
  </si>
  <si>
    <t>Rebecca Morgan</t>
  </si>
  <si>
    <t>Spears-Shah</t>
  </si>
  <si>
    <t>Robert Walsh</t>
  </si>
  <si>
    <t>Sabrina Rogers</t>
  </si>
  <si>
    <t>and Anderson Smith Sanchez,</t>
  </si>
  <si>
    <t>Lisa Lewis</t>
  </si>
  <si>
    <t>Kevin Brown</t>
  </si>
  <si>
    <t>Tran, and Ferrell Garcia</t>
  </si>
  <si>
    <t>William Ruiz</t>
  </si>
  <si>
    <t>Sarah Cole</t>
  </si>
  <si>
    <t>Ltd Walton</t>
  </si>
  <si>
    <t>Steven Baldwin</t>
  </si>
  <si>
    <t>Jennifer Hall</t>
  </si>
  <si>
    <t>Group Rodriguez</t>
  </si>
  <si>
    <t>Megan Colon</t>
  </si>
  <si>
    <t>Emily Cruz</t>
  </si>
  <si>
    <t>Carr LLC</t>
  </si>
  <si>
    <t>Kimberly Brooks</t>
  </si>
  <si>
    <t>Michael Anderson</t>
  </si>
  <si>
    <t>Rodriguez-Guerra</t>
  </si>
  <si>
    <t>Edward Smith Jr.</t>
  </si>
  <si>
    <t>Natalie Sellers</t>
  </si>
  <si>
    <t>Sullivan Mullins, Macias and</t>
  </si>
  <si>
    <t>Allison Cordova</t>
  </si>
  <si>
    <t>Patrick Ochoa</t>
  </si>
  <si>
    <t>Ballard PLC</t>
  </si>
  <si>
    <t>Linda Thomas</t>
  </si>
  <si>
    <t>Daniel Rodgers</t>
  </si>
  <si>
    <t>Liu-Wilson</t>
  </si>
  <si>
    <t>Parker Moore</t>
  </si>
  <si>
    <t>Taylor Baldwin</t>
  </si>
  <si>
    <t>LLC Lewis</t>
  </si>
  <si>
    <t>Tanya Soto</t>
  </si>
  <si>
    <t>Adam Ross</t>
  </si>
  <si>
    <t>Stokes Chambers and Martin,</t>
  </si>
  <si>
    <t>Michael Jordan</t>
  </si>
  <si>
    <t>Amy Williams</t>
  </si>
  <si>
    <t>Hernandez-Green</t>
  </si>
  <si>
    <t>Christina Martin</t>
  </si>
  <si>
    <t>Martha Graham</t>
  </si>
  <si>
    <t>Inc Lee</t>
  </si>
  <si>
    <t>Tracy Burke</t>
  </si>
  <si>
    <t>Emily Thomas</t>
  </si>
  <si>
    <t>Wilkins Group</t>
  </si>
  <si>
    <t>David Spence</t>
  </si>
  <si>
    <t>Terrance Rosales</t>
  </si>
  <si>
    <t>Valentine Ltd</t>
  </si>
  <si>
    <t>Joseph Foster</t>
  </si>
  <si>
    <t>Daniel Smith</t>
  </si>
  <si>
    <t>Alvarado-Deleon</t>
  </si>
  <si>
    <t>Nicholas Hall</t>
  </si>
  <si>
    <t>Marissa Stevenson</t>
  </si>
  <si>
    <t>Alexander and Jensen Andrews,</t>
  </si>
  <si>
    <t>Christina Macias</t>
  </si>
  <si>
    <t>Katie Fitzpatrick</t>
  </si>
  <si>
    <t>and Black, Henson Rhodes</t>
  </si>
  <si>
    <t>Scott Jones</t>
  </si>
  <si>
    <t>Dennis Small</t>
  </si>
  <si>
    <t>Sons and Marshall</t>
  </si>
  <si>
    <t>James Anderson</t>
  </si>
  <si>
    <t>Chris Holt</t>
  </si>
  <si>
    <t>Rodriguez-Franco</t>
  </si>
  <si>
    <t>Shaun Long</t>
  </si>
  <si>
    <t>Jenny Griffith</t>
  </si>
  <si>
    <t>Fritz Henderson Stanton, and</t>
  </si>
  <si>
    <t>Kristina Mora</t>
  </si>
  <si>
    <t>Gregory Lambert</t>
  </si>
  <si>
    <t>West-Young</t>
  </si>
  <si>
    <t>Joshua Richmond</t>
  </si>
  <si>
    <t>Michael Armstrong</t>
  </si>
  <si>
    <t>Ltd Solis</t>
  </si>
  <si>
    <t>Mark Lawrence</t>
  </si>
  <si>
    <t>Melissa Terry</t>
  </si>
  <si>
    <t>Mcneil-Blake</t>
  </si>
  <si>
    <t>John Ellis</t>
  </si>
  <si>
    <t>Thomas Bruce</t>
  </si>
  <si>
    <t>Moore-Waters</t>
  </si>
  <si>
    <t>Mrs. Tiffany Dennis</t>
  </si>
  <si>
    <t>James James DVM</t>
  </si>
  <si>
    <t>Group Scott</t>
  </si>
  <si>
    <t>Cynthia Huang</t>
  </si>
  <si>
    <t>Sean Smith</t>
  </si>
  <si>
    <t>and Simmons Sons</t>
  </si>
  <si>
    <t>Melissa Lawrence</t>
  </si>
  <si>
    <t>John Hansen</t>
  </si>
  <si>
    <t>Humphrey and Browning Fitzgerald,</t>
  </si>
  <si>
    <t>Steven Goodwin</t>
  </si>
  <si>
    <t>Teresa Mccarthy</t>
  </si>
  <si>
    <t>Adams-Molina</t>
  </si>
  <si>
    <t>Mary Hunt</t>
  </si>
  <si>
    <t>Stephanie Barnett</t>
  </si>
  <si>
    <t>Guzman LLC</t>
  </si>
  <si>
    <t>Eric Rivera</t>
  </si>
  <si>
    <t>Mr. Luke Nunez Jr.</t>
  </si>
  <si>
    <t>Gonzalez-Pacheco</t>
  </si>
  <si>
    <t>Alan Taylor</t>
  </si>
  <si>
    <t>Stacy Stewart</t>
  </si>
  <si>
    <t>Hunt, Carlson and Cherry</t>
  </si>
  <si>
    <t>Michael Campbell</t>
  </si>
  <si>
    <t>Andrea Oneal</t>
  </si>
  <si>
    <t>Ltd Barnes</t>
  </si>
  <si>
    <t>Ashley Webb Dds</t>
  </si>
  <si>
    <t>Eric Coleman</t>
  </si>
  <si>
    <t>Gordon, Fox Lane and</t>
  </si>
  <si>
    <t>Shannon Brown</t>
  </si>
  <si>
    <t>Anthony Barnes</t>
  </si>
  <si>
    <t>Petersen Ltd</t>
  </si>
  <si>
    <t>Lawrence Shepherd</t>
  </si>
  <si>
    <t>Michael Hickman</t>
  </si>
  <si>
    <t>and Mcdonald Sons</t>
  </si>
  <si>
    <t>Scott Wade</t>
  </si>
  <si>
    <t>Dustin Wolf</t>
  </si>
  <si>
    <t>Smith, Elliott and Blackburn</t>
  </si>
  <si>
    <t>Heather Curtis</t>
  </si>
  <si>
    <t>Amanda Wells</t>
  </si>
  <si>
    <t>PLC Oliver</t>
  </si>
  <si>
    <t>Kevin Jefferson</t>
  </si>
  <si>
    <t>Jason Miller</t>
  </si>
  <si>
    <t>Griffin and Lyons Rivers,</t>
  </si>
  <si>
    <t>David Griffin</t>
  </si>
  <si>
    <t>Holly James</t>
  </si>
  <si>
    <t>Craig-Garcia</t>
  </si>
  <si>
    <t>Grant George</t>
  </si>
  <si>
    <t>April Cox</t>
  </si>
  <si>
    <t>Baker-Jones</t>
  </si>
  <si>
    <t>Eric Stewart</t>
  </si>
  <si>
    <t>Virginia Lynch</t>
  </si>
  <si>
    <t>Duffy-Kelly</t>
  </si>
  <si>
    <t>Robert Pittman</t>
  </si>
  <si>
    <t>Patricia Fuller</t>
  </si>
  <si>
    <t>Rodriguez-Becker</t>
  </si>
  <si>
    <t>Sydney Cross</t>
  </si>
  <si>
    <t>Michelle Ward</t>
  </si>
  <si>
    <t>Group Brown</t>
  </si>
  <si>
    <t>David Crawford</t>
  </si>
  <si>
    <t>Robin Adams</t>
  </si>
  <si>
    <t>Powers-Vincent</t>
  </si>
  <si>
    <t>Leah Drake</t>
  </si>
  <si>
    <t>Emily Morales</t>
  </si>
  <si>
    <t>and Ramos Brown Edwards,</t>
  </si>
  <si>
    <t>Diana Hall</t>
  </si>
  <si>
    <t>Adriana Morrow</t>
  </si>
  <si>
    <t>Johnson Group</t>
  </si>
  <si>
    <t>Justin Le</t>
  </si>
  <si>
    <t>Michael Mitchell</t>
  </si>
  <si>
    <t>Atkins Inc</t>
  </si>
  <si>
    <t>Karen Price Dds</t>
  </si>
  <si>
    <t>Caroline Choi</t>
  </si>
  <si>
    <t>Marshall LLC</t>
  </si>
  <si>
    <t>Carolyn Steele</t>
  </si>
  <si>
    <t>Michael Robinson</t>
  </si>
  <si>
    <t>Ltd Cruz</t>
  </si>
  <si>
    <t>Lauren Ramirez</t>
  </si>
  <si>
    <t>Harrison-Parker</t>
  </si>
  <si>
    <t>Jacob Newman</t>
  </si>
  <si>
    <t>Howard Obrien</t>
  </si>
  <si>
    <t>Lee-Clayton</t>
  </si>
  <si>
    <t>Katherine Barnett</t>
  </si>
  <si>
    <t>Faith Cook</t>
  </si>
  <si>
    <t>Mcdaniel and Sons</t>
  </si>
  <si>
    <t>Jodi Martinez</t>
  </si>
  <si>
    <t>Donna Colon</t>
  </si>
  <si>
    <t>Inc Lynch</t>
  </si>
  <si>
    <t>Andrea Allen</t>
  </si>
  <si>
    <t>David Lindsey</t>
  </si>
  <si>
    <t>and Mendoza Rich Morales,</t>
  </si>
  <si>
    <t>Noah Baxter</t>
  </si>
  <si>
    <t>Anthony Nixon</t>
  </si>
  <si>
    <t>Proctor-Jones</t>
  </si>
  <si>
    <t>Hector Maxwell</t>
  </si>
  <si>
    <t>Doris Hawkins</t>
  </si>
  <si>
    <t>and Ramirez Figueroa May,</t>
  </si>
  <si>
    <t>Holly Walters</t>
  </si>
  <si>
    <t>Caleb James</t>
  </si>
  <si>
    <t>Michael-Jenkins</t>
  </si>
  <si>
    <t>Joseph Smith</t>
  </si>
  <si>
    <t>Patricia Moore</t>
  </si>
  <si>
    <t>Hardy Inc</t>
  </si>
  <si>
    <t>Albert Thomas</t>
  </si>
  <si>
    <t>Matthew Gray</t>
  </si>
  <si>
    <t>Turner, and Williams Mercado</t>
  </si>
  <si>
    <t>Jeffery Williamson</t>
  </si>
  <si>
    <t>Justin Lowe</t>
  </si>
  <si>
    <t>PLC Williams</t>
  </si>
  <si>
    <t>Jonathan Meadows</t>
  </si>
  <si>
    <t>Danny Mcdonald</t>
  </si>
  <si>
    <t>Kristin Bennett</t>
  </si>
  <si>
    <t>Gina Weaver</t>
  </si>
  <si>
    <t>Merritt-Gray</t>
  </si>
  <si>
    <t>Eddie Jackson</t>
  </si>
  <si>
    <t>Huang Travis Thomas, and</t>
  </si>
  <si>
    <t>Joseph Carpenter</t>
  </si>
  <si>
    <t>Miss Valerie Saunders MD</t>
  </si>
  <si>
    <t>Rodriguez-Zimmerman</t>
  </si>
  <si>
    <t>Larry Mayer</t>
  </si>
  <si>
    <t>Richard Petty</t>
  </si>
  <si>
    <t>Miller PLC</t>
  </si>
  <si>
    <t>Clayton Peterson</t>
  </si>
  <si>
    <t>Patricia Bean</t>
  </si>
  <si>
    <t>May, Mullins and Martin</t>
  </si>
  <si>
    <t>Donald Alvarez</t>
  </si>
  <si>
    <t>Ronald Jones</t>
  </si>
  <si>
    <t>Moore-Robbins</t>
  </si>
  <si>
    <t>Sarah Lee</t>
  </si>
  <si>
    <t>Jack Wall</t>
  </si>
  <si>
    <t>Ltd Howard</t>
  </si>
  <si>
    <t>John Perez</t>
  </si>
  <si>
    <t>Felicia Morrison</t>
  </si>
  <si>
    <t>Group Crosby</t>
  </si>
  <si>
    <t>Timothy Jacobs</t>
  </si>
  <si>
    <t>Crystal Schultz</t>
  </si>
  <si>
    <t>Cook Ltd</t>
  </si>
  <si>
    <t>Nathan Small</t>
  </si>
  <si>
    <t>Bailey Gonzalez</t>
  </si>
  <si>
    <t>Rivas, Mcconnell Hill and</t>
  </si>
  <si>
    <t>Dustin Wright</t>
  </si>
  <si>
    <t>Michael Guzman</t>
  </si>
  <si>
    <t>Conner-Flores</t>
  </si>
  <si>
    <t>Jacob Williams</t>
  </si>
  <si>
    <t>Elizabeth Flowers</t>
  </si>
  <si>
    <t>Suarez-Nelson</t>
  </si>
  <si>
    <t>William Mccoy</t>
  </si>
  <si>
    <t>Whitney Vaughan</t>
  </si>
  <si>
    <t>and Walker Glenn, Long</t>
  </si>
  <si>
    <t>Dr. Matthew Wilkins</t>
  </si>
  <si>
    <t>Seth Nelson</t>
  </si>
  <si>
    <t>PLC Anderson</t>
  </si>
  <si>
    <t>Joseph Gonzalez</t>
  </si>
  <si>
    <t>Erin Wright</t>
  </si>
  <si>
    <t>Blackwell-Gamble</t>
  </si>
  <si>
    <t>Robert Fields</t>
  </si>
  <si>
    <t>Jennifer Flores</t>
  </si>
  <si>
    <t>Wagner PLC</t>
  </si>
  <si>
    <t>Lawrence Miranda</t>
  </si>
  <si>
    <t>Brandi Knight</t>
  </si>
  <si>
    <t>Goodman-Kelly</t>
  </si>
  <si>
    <t>Mitchell Carroll</t>
  </si>
  <si>
    <t>Chad Irwin</t>
  </si>
  <si>
    <t>and Boyd Powell, Sims</t>
  </si>
  <si>
    <t>Cody Nichols</t>
  </si>
  <si>
    <t>Victoria Williams</t>
  </si>
  <si>
    <t>and Conrad Boyd, Burnett</t>
  </si>
  <si>
    <t>Kelli Thompson</t>
  </si>
  <si>
    <t>Travis Walton</t>
  </si>
  <si>
    <t>Ayala-Armstrong</t>
  </si>
  <si>
    <t>Danielle Lopez</t>
  </si>
  <si>
    <t>Catherine Hernandez</t>
  </si>
  <si>
    <t>and Lambert White, Vargas</t>
  </si>
  <si>
    <t>Melinda Jones</t>
  </si>
  <si>
    <t>Kristen Johnson</t>
  </si>
  <si>
    <t>Group Doyle</t>
  </si>
  <si>
    <t>Kristin Smith</t>
  </si>
  <si>
    <t>Tammy Chavez</t>
  </si>
  <si>
    <t>Henderson-Johnson</t>
  </si>
  <si>
    <t>Stephanie Reynolds</t>
  </si>
  <si>
    <t>Savannah Colon</t>
  </si>
  <si>
    <t>Baker Conrad and Andrews,</t>
  </si>
  <si>
    <t>Anna Norman</t>
  </si>
  <si>
    <t>Jessica Parks MD</t>
  </si>
  <si>
    <t>Perkins, Salazar and Johnson</t>
  </si>
  <si>
    <t>Maria Hayes</t>
  </si>
  <si>
    <t>Joshua Singleton</t>
  </si>
  <si>
    <t>Johnson-Perez</t>
  </si>
  <si>
    <t>Tonya Riley Md</t>
  </si>
  <si>
    <t>Vincent Ramirez</t>
  </si>
  <si>
    <t>Powell-Werner</t>
  </si>
  <si>
    <t>Regina Dunn</t>
  </si>
  <si>
    <t>Natasha Smith</t>
  </si>
  <si>
    <t>Morales Group</t>
  </si>
  <si>
    <t>Michael Jacobs</t>
  </si>
  <si>
    <t>John Sparks</t>
  </si>
  <si>
    <t>and Fernandez, Wilson Morrison</t>
  </si>
  <si>
    <t>Jason Moore Md</t>
  </si>
  <si>
    <t>Michelle Gutierrez</t>
  </si>
  <si>
    <t>Mayo and Sons</t>
  </si>
  <si>
    <t>Eric Hall</t>
  </si>
  <si>
    <t>Rachel Williams</t>
  </si>
  <si>
    <t>Huffman Hall Orozco, and</t>
  </si>
  <si>
    <t>Malik Martinez</t>
  </si>
  <si>
    <t>Sergio Shelton</t>
  </si>
  <si>
    <t>White-Buchanan</t>
  </si>
  <si>
    <t>Lisa Kennedy</t>
  </si>
  <si>
    <t>Mr. Michael White MD</t>
  </si>
  <si>
    <t>and Dixon Taylor Hunter,</t>
  </si>
  <si>
    <t>Kristin Ochoa</t>
  </si>
  <si>
    <t>Mary Drake</t>
  </si>
  <si>
    <t>Anderson and Medina, Sullivan</t>
  </si>
  <si>
    <t>Joseph Zuniga</t>
  </si>
  <si>
    <t>Tonya Wade</t>
  </si>
  <si>
    <t>PLC Dixon</t>
  </si>
  <si>
    <t>Kyle Tyler</t>
  </si>
  <si>
    <t>Charles Torres</t>
  </si>
  <si>
    <t>Bowman-Keith</t>
  </si>
  <si>
    <t>Eric Duncan</t>
  </si>
  <si>
    <t>Jennifer Freeman</t>
  </si>
  <si>
    <t>Tyler PLC</t>
  </si>
  <si>
    <t>Rachel Romero</t>
  </si>
  <si>
    <t>Reginald Becker</t>
  </si>
  <si>
    <t>Velazquez-Patton</t>
  </si>
  <si>
    <t>Charles Webb</t>
  </si>
  <si>
    <t>Bass Inc</t>
  </si>
  <si>
    <t>Emily Clark</t>
  </si>
  <si>
    <t>Emily Perez</t>
  </si>
  <si>
    <t>Newton, Smith Ruiz and</t>
  </si>
  <si>
    <t>Daniel Mckinney</t>
  </si>
  <si>
    <t>Rachel Thomas</t>
  </si>
  <si>
    <t>Graham-Fisher</t>
  </si>
  <si>
    <t>Bonnie Williams</t>
  </si>
  <si>
    <t>Christopher Flores</t>
  </si>
  <si>
    <t>Scott Ltd</t>
  </si>
  <si>
    <t>Marcus Henry</t>
  </si>
  <si>
    <t>Jennifer Stevenson</t>
  </si>
  <si>
    <t>Rosales-Sweeney</t>
  </si>
  <si>
    <t>Katherine Hart</t>
  </si>
  <si>
    <t>Matthew Garcia</t>
  </si>
  <si>
    <t>Larson Andrews, and Lynch</t>
  </si>
  <si>
    <t>Michelle Pierce</t>
  </si>
  <si>
    <t>Brett Meyer</t>
  </si>
  <si>
    <t>PLC York</t>
  </si>
  <si>
    <t>Julie Mejia</t>
  </si>
  <si>
    <t>David Murphy</t>
  </si>
  <si>
    <t>Kelly-Watson</t>
  </si>
  <si>
    <t>Cameron Sanchez</t>
  </si>
  <si>
    <t>Erin Henson</t>
  </si>
  <si>
    <t>Smith Gonzalez Robinson, and</t>
  </si>
  <si>
    <t>David Vincent</t>
  </si>
  <si>
    <t>Katrina Fuentes</t>
  </si>
  <si>
    <t>Cook-Taylor</t>
  </si>
  <si>
    <t>Melissa Gomez</t>
  </si>
  <si>
    <t>Harold Jackson</t>
  </si>
  <si>
    <t>Robinson-Reyes</t>
  </si>
  <si>
    <t>Amanda Ponce</t>
  </si>
  <si>
    <t>Christopher Merritt</t>
  </si>
  <si>
    <t>Reid Inc</t>
  </si>
  <si>
    <t>Carol Gomez</t>
  </si>
  <si>
    <t>Haley Kim</t>
  </si>
  <si>
    <t>Kemp and Taylor, Jones</t>
  </si>
  <si>
    <t>Christopher Palmer</t>
  </si>
  <si>
    <t>Dr. Steven Johnson</t>
  </si>
  <si>
    <t>Richards-Mack</t>
  </si>
  <si>
    <t>Paul Hahn</t>
  </si>
  <si>
    <t>Erin Cole</t>
  </si>
  <si>
    <t>and Smith Harmon, Marshall</t>
  </si>
  <si>
    <t>Ashley Moore</t>
  </si>
  <si>
    <t>Breanna Nielsen</t>
  </si>
  <si>
    <t>Velasquez and Walker Russo,</t>
  </si>
  <si>
    <t>Linda Hamilton</t>
  </si>
  <si>
    <t>Harrington, and Owens Preston</t>
  </si>
  <si>
    <t>Robin Cox</t>
  </si>
  <si>
    <t>Frank Gonzalez</t>
  </si>
  <si>
    <t>Downs PLC</t>
  </si>
  <si>
    <t>Anthony Hall</t>
  </si>
  <si>
    <t>Matthew Williams</t>
  </si>
  <si>
    <t>Zhang Long Eaton, and</t>
  </si>
  <si>
    <t>Robert Smith</t>
  </si>
  <si>
    <t>Jonathan Gray</t>
  </si>
  <si>
    <t>PLC Mills</t>
  </si>
  <si>
    <t>Derek Carter</t>
  </si>
  <si>
    <t>Timothy Rodriguez</t>
  </si>
  <si>
    <t>Hoffman Cox Mcdonald, and</t>
  </si>
  <si>
    <t>Heather May</t>
  </si>
  <si>
    <t>Victor Welch</t>
  </si>
  <si>
    <t>Carpenter and Sons</t>
  </si>
  <si>
    <t>Peter Gonzalez</t>
  </si>
  <si>
    <t>Robert Adams MD</t>
  </si>
  <si>
    <t>Collins and Moore Chan,</t>
  </si>
  <si>
    <t>Chris Fletcher</t>
  </si>
  <si>
    <t>Andrew Jefferson</t>
  </si>
  <si>
    <t>and Wood Lewis, Monroe</t>
  </si>
  <si>
    <t>Shirley Wilkinson</t>
  </si>
  <si>
    <t>Sharon Hensley</t>
  </si>
  <si>
    <t>and Keller, Ortega Miller</t>
  </si>
  <si>
    <t>Courtney Farrell</t>
  </si>
  <si>
    <t>Eugene Branch</t>
  </si>
  <si>
    <t>Austin, and Reynolds Duran</t>
  </si>
  <si>
    <t>Andrea Willis</t>
  </si>
  <si>
    <t>Anthony Greer</t>
  </si>
  <si>
    <t>Lopez LLC</t>
  </si>
  <si>
    <t>Chad Huff</t>
  </si>
  <si>
    <t>Bob Moyer</t>
  </si>
  <si>
    <t>Clark-Tran</t>
  </si>
  <si>
    <t>Devin Gilbert</t>
  </si>
  <si>
    <t>Heather Shea</t>
  </si>
  <si>
    <t>Villanueva and Carter Hughes,</t>
  </si>
  <si>
    <t>Donald Davis</t>
  </si>
  <si>
    <t>Nicholas Stevenson</t>
  </si>
  <si>
    <t>Ltd Osborn</t>
  </si>
  <si>
    <t>Kurt Murphy</t>
  </si>
  <si>
    <t>Laura Guerra</t>
  </si>
  <si>
    <t>LLC Hodge</t>
  </si>
  <si>
    <t>Sylvia West</t>
  </si>
  <si>
    <t>Michele Bradford</t>
  </si>
  <si>
    <t>Lopez and Shepard Smith,</t>
  </si>
  <si>
    <t>Donald Vazquez</t>
  </si>
  <si>
    <t>Mr. Jesse Cook</t>
  </si>
  <si>
    <t>Moss and Meadows Jones,</t>
  </si>
  <si>
    <t>Rebecca Rush</t>
  </si>
  <si>
    <t>Heather Simon</t>
  </si>
  <si>
    <t>Young-Williams</t>
  </si>
  <si>
    <t>Christopher Curry</t>
  </si>
  <si>
    <t>Larry Mendez</t>
  </si>
  <si>
    <t>Bailey Morgan Frey, and</t>
  </si>
  <si>
    <t>Michael Edwards</t>
  </si>
  <si>
    <t>Taylor Smith</t>
  </si>
  <si>
    <t>Neal Price and Smith,</t>
  </si>
  <si>
    <t>Christopher Arnold</t>
  </si>
  <si>
    <t>Ian Singleton</t>
  </si>
  <si>
    <t>and Johnson Hobbs Owens,</t>
  </si>
  <si>
    <t>Rachel Hickman</t>
  </si>
  <si>
    <t>Angela Burton</t>
  </si>
  <si>
    <t>Melton Inc</t>
  </si>
  <si>
    <t>Ashley Gray</t>
  </si>
  <si>
    <t>Lisa Payne</t>
  </si>
  <si>
    <t>and Weber Sons</t>
  </si>
  <si>
    <t>Elizabeth Perez</t>
  </si>
  <si>
    <t>Sara Perry</t>
  </si>
  <si>
    <t>Chung Rodriguez Bradley, and</t>
  </si>
  <si>
    <t>Angel Randolph Dds</t>
  </si>
  <si>
    <t>Ann Brown</t>
  </si>
  <si>
    <t>White Wilson and Farmer,</t>
  </si>
  <si>
    <t>Mark Saunders</t>
  </si>
  <si>
    <t>David Marshall</t>
  </si>
  <si>
    <t>Group Thompson</t>
  </si>
  <si>
    <t>Christian Lang</t>
  </si>
  <si>
    <t>Shirley Dawson</t>
  </si>
  <si>
    <t>and Sons Rangel</t>
  </si>
  <si>
    <t>Pam Perkins</t>
  </si>
  <si>
    <t>Susan Hernandez</t>
  </si>
  <si>
    <t>Travis, and Richardson Hampton</t>
  </si>
  <si>
    <t>Kayla Greene</t>
  </si>
  <si>
    <t>Gina Edwards</t>
  </si>
  <si>
    <t>and Wilson Matthews, Faulkner</t>
  </si>
  <si>
    <t>Michael David</t>
  </si>
  <si>
    <t>Laura Howell</t>
  </si>
  <si>
    <t>Group Bailey</t>
  </si>
  <si>
    <t>Alexis Mccall</t>
  </si>
  <si>
    <t>Scott Beltran</t>
  </si>
  <si>
    <t>Rosales-Johnson</t>
  </si>
  <si>
    <t>Mr. Brandon Perez Md</t>
  </si>
  <si>
    <t>William Campbell</t>
  </si>
  <si>
    <t>Bush-Brown</t>
  </si>
  <si>
    <t>Dr. Jeffrey Cole</t>
  </si>
  <si>
    <t>Ethan Brock</t>
  </si>
  <si>
    <t>Saunders-Smith</t>
  </si>
  <si>
    <t>Matthew Brown</t>
  </si>
  <si>
    <t>Nicholas Gomez</t>
  </si>
  <si>
    <t>and Mckay, Morrow Myers</t>
  </si>
  <si>
    <t>Robert Sexton</t>
  </si>
  <si>
    <t>Richard Buchanan</t>
  </si>
  <si>
    <t>Sherman-Martinez</t>
  </si>
  <si>
    <t>Ashley Vasquez</t>
  </si>
  <si>
    <t>David Gonzalez</t>
  </si>
  <si>
    <t>Baker, Weber Patton and</t>
  </si>
  <si>
    <t>Michelle Flynn</t>
  </si>
  <si>
    <t>Kristin Schmitt</t>
  </si>
  <si>
    <t>and Fitzgerald Shaw, Edwards</t>
  </si>
  <si>
    <t>Steven Tran</t>
  </si>
  <si>
    <t>Kelly King</t>
  </si>
  <si>
    <t>Kim-Higgins</t>
  </si>
  <si>
    <t>James Miller</t>
  </si>
  <si>
    <t>Jeffery Morgan</t>
  </si>
  <si>
    <t>Morgan, Kramer Munoz and</t>
  </si>
  <si>
    <t>Bonnie Hill</t>
  </si>
  <si>
    <t>Patricia Fowler</t>
  </si>
  <si>
    <t>Harvey Group</t>
  </si>
  <si>
    <t>Anthony Davis</t>
  </si>
  <si>
    <t>David Patterson</t>
  </si>
  <si>
    <t>Mercer-Rogers</t>
  </si>
  <si>
    <t>David Sheppard</t>
  </si>
  <si>
    <t>Daisy Eaton</t>
  </si>
  <si>
    <t>Duran Sons and</t>
  </si>
  <si>
    <t>Jodi Lang</t>
  </si>
  <si>
    <t>Benjamin Bryant</t>
  </si>
  <si>
    <t>Vaughan Parker and Wagner,</t>
  </si>
  <si>
    <t>Vanessa Taylor</t>
  </si>
  <si>
    <t>Cynthia Velazquez</t>
  </si>
  <si>
    <t>Lee-Jacobson</t>
  </si>
  <si>
    <t>Wayne Lynch</t>
  </si>
  <si>
    <t>William Brock</t>
  </si>
  <si>
    <t>Hayes Robbins and Gallagher,</t>
  </si>
  <si>
    <t>Yesenia Mcfarland</t>
  </si>
  <si>
    <t>Douglas Lambert</t>
  </si>
  <si>
    <t>Evans and Byrd, Smith</t>
  </si>
  <si>
    <t>Kenneth Wilson</t>
  </si>
  <si>
    <t>Alex Mcknight</t>
  </si>
  <si>
    <t>and Howell Sons</t>
  </si>
  <si>
    <t>Jillian Marks</t>
  </si>
  <si>
    <t>Gregory Fox</t>
  </si>
  <si>
    <t>Clements and Scott, Peters</t>
  </si>
  <si>
    <t>Michelle Cruz Dds</t>
  </si>
  <si>
    <t>Carrie Navarro</t>
  </si>
  <si>
    <t>Gomez-Olson</t>
  </si>
  <si>
    <t>Clarence Ford Jr.</t>
  </si>
  <si>
    <t>Laura Murillo</t>
  </si>
  <si>
    <t>and Medina Morgan, Whitehead</t>
  </si>
  <si>
    <t>Donald Kane</t>
  </si>
  <si>
    <t>Alyssa Walsh</t>
  </si>
  <si>
    <t>Miller LLC</t>
  </si>
  <si>
    <t>Zachary Larsen</t>
  </si>
  <si>
    <t>Jeff Barton</t>
  </si>
  <si>
    <t>Jones-Aguirre</t>
  </si>
  <si>
    <t>Sheryl Martinez</t>
  </si>
  <si>
    <t>Ricky Anderson</t>
  </si>
  <si>
    <t>PLC Gonzalez</t>
  </si>
  <si>
    <t>Mr. Nathan Avila</t>
  </si>
  <si>
    <t>John Hurst</t>
  </si>
  <si>
    <t>and Davies Sons</t>
  </si>
  <si>
    <t>Anne Anthony</t>
  </si>
  <si>
    <t>Cristina Wyatt</t>
  </si>
  <si>
    <t>Soto-Richmond</t>
  </si>
  <si>
    <t>Holly Lambert</t>
  </si>
  <si>
    <t>Christina Fowler</t>
  </si>
  <si>
    <t>and Morrison Ho Woods,</t>
  </si>
  <si>
    <t>James Rasmussen</t>
  </si>
  <si>
    <t>Gary Barr</t>
  </si>
  <si>
    <t>Lewis and Sons</t>
  </si>
  <si>
    <t>Sarah Cannon</t>
  </si>
  <si>
    <t>Frederick Whitney</t>
  </si>
  <si>
    <t>Wood-Sandoval</t>
  </si>
  <si>
    <t>Melinda Tanner</t>
  </si>
  <si>
    <t>Mary Miller</t>
  </si>
  <si>
    <t>Ball LLC</t>
  </si>
  <si>
    <t>Laurie Joseph</t>
  </si>
  <si>
    <t>Evan Lewis</t>
  </si>
  <si>
    <t>Scott LLC</t>
  </si>
  <si>
    <t>Stephanie Hunter</t>
  </si>
  <si>
    <t>Adrienne Howard</t>
  </si>
  <si>
    <t>and Wright, Long Schroeder</t>
  </si>
  <si>
    <t>Gina Davis</t>
  </si>
  <si>
    <t>Daniel Jones</t>
  </si>
  <si>
    <t>Ltd Crawford</t>
  </si>
  <si>
    <t>Christopher Shea Jr.</t>
  </si>
  <si>
    <t>Craig Wolfe</t>
  </si>
  <si>
    <t>Group Moore</t>
  </si>
  <si>
    <t>Mrs. Sabrina Ball</t>
  </si>
  <si>
    <t>Burch-Marks</t>
  </si>
  <si>
    <t>Joyce Mccormick</t>
  </si>
  <si>
    <t>Koch-Alvarado</t>
  </si>
  <si>
    <t>Devin Bell</t>
  </si>
  <si>
    <t>Trevor Evans</t>
  </si>
  <si>
    <t>Garcia Edwards and Daniel,</t>
  </si>
  <si>
    <t>Allison Ramirez</t>
  </si>
  <si>
    <t>Mark Johnson</t>
  </si>
  <si>
    <t>Carter-Camacho</t>
  </si>
  <si>
    <t>Laura Romero</t>
  </si>
  <si>
    <t>James Hays</t>
  </si>
  <si>
    <t>Malone LLC</t>
  </si>
  <si>
    <t>Toni Faulkner</t>
  </si>
  <si>
    <t>Nicholas Ferguson</t>
  </si>
  <si>
    <t>Zamora PLC</t>
  </si>
  <si>
    <t>Patricia Turner</t>
  </si>
  <si>
    <t>Mr. Jeffrey Powell</t>
  </si>
  <si>
    <t>Ltd Hernandez</t>
  </si>
  <si>
    <t>Nathan Ray</t>
  </si>
  <si>
    <t>Timothy Carter</t>
  </si>
  <si>
    <t>Gomez Ray, and Jones</t>
  </si>
  <si>
    <t>Ryan Sanchez</t>
  </si>
  <si>
    <t>Jennifer Gonzales</t>
  </si>
  <si>
    <t>Davis, Ray and Thompson</t>
  </si>
  <si>
    <t>Thomas Dennis</t>
  </si>
  <si>
    <t>Leonard Chen</t>
  </si>
  <si>
    <t>Mckinney-Edwards</t>
  </si>
  <si>
    <t>Mr. Timothy Flores</t>
  </si>
  <si>
    <t>Margaret Ramos</t>
  </si>
  <si>
    <t>Parker-Shannon</t>
  </si>
  <si>
    <t>Wendy Levine</t>
  </si>
  <si>
    <t>Joy Davis</t>
  </si>
  <si>
    <t>Lawrence LLC</t>
  </si>
  <si>
    <t>Nicole Gonzalez</t>
  </si>
  <si>
    <t>Mary Mckee</t>
  </si>
  <si>
    <t>and Thompson Burke, Harrington</t>
  </si>
  <si>
    <t>Michael Ellison</t>
  </si>
  <si>
    <t>John Evans</t>
  </si>
  <si>
    <t>Johnson Goodman Clark, and</t>
  </si>
  <si>
    <t>Brandon Davis</t>
  </si>
  <si>
    <t>Benjamin Payne</t>
  </si>
  <si>
    <t>Doyle Hess, and Dudley</t>
  </si>
  <si>
    <t>Vanessa Garcia</t>
  </si>
  <si>
    <t>Jeanne Allen</t>
  </si>
  <si>
    <t>Bass PLC</t>
  </si>
  <si>
    <t>Autumn Peck</t>
  </si>
  <si>
    <t>Kelly Jackson</t>
  </si>
  <si>
    <t>Willis and Hunt Pope,</t>
  </si>
  <si>
    <t>Nathaniel Reynolds</t>
  </si>
  <si>
    <t>Michael Barber</t>
  </si>
  <si>
    <t>Gray, Hensley and Hanson</t>
  </si>
  <si>
    <t>Joyce Moody</t>
  </si>
  <si>
    <t>Steven Clark</t>
  </si>
  <si>
    <t>Moore-Woods</t>
  </si>
  <si>
    <t>Mark Fuentes</t>
  </si>
  <si>
    <t>Amy Bailey</t>
  </si>
  <si>
    <t>Moore-Franco</t>
  </si>
  <si>
    <t>Brett Ferguson</t>
  </si>
  <si>
    <t>Cody Houston</t>
  </si>
  <si>
    <t>Hamilton and Sons</t>
  </si>
  <si>
    <t>Travis Simmons</t>
  </si>
  <si>
    <t>Gregory Nichols</t>
  </si>
  <si>
    <t>Burke Group</t>
  </si>
  <si>
    <t>Jeremy Frye</t>
  </si>
  <si>
    <t>Christopher Odom</t>
  </si>
  <si>
    <t>Anderson LLC</t>
  </si>
  <si>
    <t>Cameron Miller</t>
  </si>
  <si>
    <t>Raymond Bell</t>
  </si>
  <si>
    <t>Sims-Jimenez</t>
  </si>
  <si>
    <t>William Williams Dds</t>
  </si>
  <si>
    <t>Autumn Fitzgerald</t>
  </si>
  <si>
    <t>Holloway PLC</t>
  </si>
  <si>
    <t>Tracie Wright</t>
  </si>
  <si>
    <t>James Armstrong</t>
  </si>
  <si>
    <t>Cain-Stone</t>
  </si>
  <si>
    <t>David Reyes</t>
  </si>
  <si>
    <t>Darius Schaefer</t>
  </si>
  <si>
    <t>Garner Group</t>
  </si>
  <si>
    <t>Paige King</t>
  </si>
  <si>
    <t>Katherine Dunn</t>
  </si>
  <si>
    <t>Ltd Logan</t>
  </si>
  <si>
    <t>James Garcia</t>
  </si>
  <si>
    <t>Katherine Flynn</t>
  </si>
  <si>
    <t>Bishop PLC</t>
  </si>
  <si>
    <t>Lori Harvey</t>
  </si>
  <si>
    <t>Julian Perkins</t>
  </si>
  <si>
    <t>Lewis-Mitchell</t>
  </si>
  <si>
    <t>Amy Wang</t>
  </si>
  <si>
    <t>Holly Taylor</t>
  </si>
  <si>
    <t>and Campbell Sons</t>
  </si>
  <si>
    <t>Jordan Vargas</t>
  </si>
  <si>
    <t>Mark King</t>
  </si>
  <si>
    <t>James PLC</t>
  </si>
  <si>
    <t>Gordon Kelly</t>
  </si>
  <si>
    <t>Shelby Johnson</t>
  </si>
  <si>
    <t>Colon-Meyer</t>
  </si>
  <si>
    <t>Nathan Scott</t>
  </si>
  <si>
    <t>Angela Logan MD</t>
  </si>
  <si>
    <t>and Woods Liu, Berry</t>
  </si>
  <si>
    <t>Lisa Green</t>
  </si>
  <si>
    <t>Gloria Schultz</t>
  </si>
  <si>
    <t>LLC Clayton</t>
  </si>
  <si>
    <t>Amy Combs</t>
  </si>
  <si>
    <t>Victor Morales</t>
  </si>
  <si>
    <t>Le-Hawkins</t>
  </si>
  <si>
    <t>Kelly Sanford</t>
  </si>
  <si>
    <t>Nancy Vaughn</t>
  </si>
  <si>
    <t>Martinez Taylor Lopez, and</t>
  </si>
  <si>
    <t>Mrs. Jessica Black Md</t>
  </si>
  <si>
    <t>Christopher Rivera</t>
  </si>
  <si>
    <t>Williams Group</t>
  </si>
  <si>
    <t>Robert Gould</t>
  </si>
  <si>
    <t>Brittany Rocha</t>
  </si>
  <si>
    <t>Schmidt-Douglas</t>
  </si>
  <si>
    <t>Christine Vargas</t>
  </si>
  <si>
    <t>Patricia Hall</t>
  </si>
  <si>
    <t>Ltd Fleming</t>
  </si>
  <si>
    <t>Barbara Diaz</t>
  </si>
  <si>
    <t>Christopher Hudson</t>
  </si>
  <si>
    <t>Smith Brown Wallace, and</t>
  </si>
  <si>
    <t>John Washington</t>
  </si>
  <si>
    <t>Walter Perez</t>
  </si>
  <si>
    <t>Boyer Inc</t>
  </si>
  <si>
    <t>Devin Stewart</t>
  </si>
  <si>
    <t>Jonathan Chang</t>
  </si>
  <si>
    <t>Miranda-Collins</t>
  </si>
  <si>
    <t>James Roberts</t>
  </si>
  <si>
    <t>Maria Ritter</t>
  </si>
  <si>
    <t>Hoffman and Sons</t>
  </si>
  <si>
    <t>James Yates</t>
  </si>
  <si>
    <t>Elizabeth Snyder</t>
  </si>
  <si>
    <t>Group Ortega</t>
  </si>
  <si>
    <t>Peter Nichols</t>
  </si>
  <si>
    <t>Dennis Harris</t>
  </si>
  <si>
    <t>Mitchell, Vasquez and Chaney</t>
  </si>
  <si>
    <t>Karen Price</t>
  </si>
  <si>
    <t>Caroline Fields</t>
  </si>
  <si>
    <t>Villa-Simpson</t>
  </si>
  <si>
    <t>Christopher Jones</t>
  </si>
  <si>
    <t>Joseph Rivera</t>
  </si>
  <si>
    <t>LLC Haynes</t>
  </si>
  <si>
    <t>Larry Leonard</t>
  </si>
  <si>
    <t>Charles Reynolds</t>
  </si>
  <si>
    <t>Inc Cummings</t>
  </si>
  <si>
    <t>Michelle Zhang</t>
  </si>
  <si>
    <t>Patricia Valentine</t>
  </si>
  <si>
    <t>Downs-Stephens</t>
  </si>
  <si>
    <t>Kristen Flores</t>
  </si>
  <si>
    <t>Angela Reed</t>
  </si>
  <si>
    <t>Carson and Nielsen, Buchanan</t>
  </si>
  <si>
    <t>Matthew Bell</t>
  </si>
  <si>
    <t>Doris Johnson</t>
  </si>
  <si>
    <t>Hicks-Perez</t>
  </si>
  <si>
    <t>Bradley Miranda</t>
  </si>
  <si>
    <t>Devin Pratt</t>
  </si>
  <si>
    <t>Wilson and Brown, Ortiz</t>
  </si>
  <si>
    <t>Christopher Moore</t>
  </si>
  <si>
    <t>Angela Allison</t>
  </si>
  <si>
    <t>Berg-Mcconnell</t>
  </si>
  <si>
    <t>Dan Pineda</t>
  </si>
  <si>
    <t>Phyllis Nguyen</t>
  </si>
  <si>
    <t>Gilbert Ltd</t>
  </si>
  <si>
    <t>Mariah Smith</t>
  </si>
  <si>
    <t>Melissa Mendoza</t>
  </si>
  <si>
    <t>Gutierrez-Webster</t>
  </si>
  <si>
    <t>Sabrina Cook</t>
  </si>
  <si>
    <t>Christopher Bates</t>
  </si>
  <si>
    <t>Melissa Hoffman</t>
  </si>
  <si>
    <t>April Cummings</t>
  </si>
  <si>
    <t>Cooley-Reid</t>
  </si>
  <si>
    <t>Joseph Martin</t>
  </si>
  <si>
    <t>Andrew Hill</t>
  </si>
  <si>
    <t>and Davenport Davis Hobbs,</t>
  </si>
  <si>
    <t>Melissa Sims</t>
  </si>
  <si>
    <t>Susan Sampson</t>
  </si>
  <si>
    <t>Thompson-Becker</t>
  </si>
  <si>
    <t>Sarah Evans</t>
  </si>
  <si>
    <t>Darren Becker</t>
  </si>
  <si>
    <t>Mitchell Inc</t>
  </si>
  <si>
    <t>Maria Anderson</t>
  </si>
  <si>
    <t>Lee Santiago</t>
  </si>
  <si>
    <t>Mack, Wilson and Fowler</t>
  </si>
  <si>
    <t>Maria Johnston</t>
  </si>
  <si>
    <t>Holly Walton</t>
  </si>
  <si>
    <t>Johnson Garcia, and Anthony</t>
  </si>
  <si>
    <t>James Cole</t>
  </si>
  <si>
    <t>Craig Howard</t>
  </si>
  <si>
    <t>and Young Powell Mitchell,</t>
  </si>
  <si>
    <t>Isaiah Holt</t>
  </si>
  <si>
    <t>Diane Riley</t>
  </si>
  <si>
    <t>Bishop Inc</t>
  </si>
  <si>
    <t>Joseph Gonzales</t>
  </si>
  <si>
    <t>John Schroeder</t>
  </si>
  <si>
    <t>Coleman-Dawson</t>
  </si>
  <si>
    <t>Jennifer Camacho</t>
  </si>
  <si>
    <t>Mark Watson</t>
  </si>
  <si>
    <t>Cunningham-King</t>
  </si>
  <si>
    <t>Hector Jones</t>
  </si>
  <si>
    <t>Diane Griffin</t>
  </si>
  <si>
    <t>Anderson PLC</t>
  </si>
  <si>
    <t>Jessica Jones Dds</t>
  </si>
  <si>
    <t>Kenneth Mcintosh</t>
  </si>
  <si>
    <t>Freeman King Hodges, and</t>
  </si>
  <si>
    <t>Isabella Martin</t>
  </si>
  <si>
    <t>Victoria Hernandez</t>
  </si>
  <si>
    <t>Sons Wilson and</t>
  </si>
  <si>
    <t>Daniel Palmer</t>
  </si>
  <si>
    <t>David Zavala</t>
  </si>
  <si>
    <t>Woodward Ltd</t>
  </si>
  <si>
    <t>Stephanie Benson</t>
  </si>
  <si>
    <t>Frederick Fields</t>
  </si>
  <si>
    <t>Powell Branch Osborn, and</t>
  </si>
  <si>
    <t>Ashley Williams</t>
  </si>
  <si>
    <t>Michael Nguyen</t>
  </si>
  <si>
    <t>Brown Brown, and Sanders</t>
  </si>
  <si>
    <t>Gregory Nguyen</t>
  </si>
  <si>
    <t>Casey Fowler</t>
  </si>
  <si>
    <t>Harris-Oconnor</t>
  </si>
  <si>
    <t>Joe Smith</t>
  </si>
  <si>
    <t>Paul Richardson Haynes, and</t>
  </si>
  <si>
    <t>Lisa Watts</t>
  </si>
  <si>
    <t>Kaylee Hampton</t>
  </si>
  <si>
    <t>Patterson-Lee</t>
  </si>
  <si>
    <t>Amber Gordon</t>
  </si>
  <si>
    <t>and Yang Fox Scott,</t>
  </si>
  <si>
    <t>Elizabeth Perkins</t>
  </si>
  <si>
    <t>Colleen Meyers</t>
  </si>
  <si>
    <t>Burch, and Sexton Sandoval</t>
  </si>
  <si>
    <t>Laura Wells</t>
  </si>
  <si>
    <t>Eileen Hernandez</t>
  </si>
  <si>
    <t>Johnson and Delgado, Bennett</t>
  </si>
  <si>
    <t>Robert Mccormick</t>
  </si>
  <si>
    <t>Carrie Wright</t>
  </si>
  <si>
    <t>Garza Group</t>
  </si>
  <si>
    <t>Michael Yu</t>
  </si>
  <si>
    <t>Jeffrey Schmidt</t>
  </si>
  <si>
    <t>Olson, Andrade and Dixon</t>
  </si>
  <si>
    <t>Jacob Graham</t>
  </si>
  <si>
    <t>Jaime Bell</t>
  </si>
  <si>
    <t>Fisher Inc</t>
  </si>
  <si>
    <t>Andrea Kennedy</t>
  </si>
  <si>
    <t>Brian Cooper</t>
  </si>
  <si>
    <t>Farrell-Lyons</t>
  </si>
  <si>
    <t>Stacey Anderson</t>
  </si>
  <si>
    <t>Anthony Graves</t>
  </si>
  <si>
    <t>Greer Cain and Taylor,</t>
  </si>
  <si>
    <t>Jason Marsh</t>
  </si>
  <si>
    <t>Traci White MD</t>
  </si>
  <si>
    <t>Turner Ltd</t>
  </si>
  <si>
    <t>Tiffany Ferguson</t>
  </si>
  <si>
    <t>Eric Lutz</t>
  </si>
  <si>
    <t>Mark Hernandez</t>
  </si>
  <si>
    <t>Brenda Hill</t>
  </si>
  <si>
    <t>Sherman Inc</t>
  </si>
  <si>
    <t>Keith Henry</t>
  </si>
  <si>
    <t>Peter Brown</t>
  </si>
  <si>
    <t>and Garcia Wade Richardson,</t>
  </si>
  <si>
    <t>Michelle Wright</t>
  </si>
  <si>
    <t>Benjamin Banks</t>
  </si>
  <si>
    <t>White-Graham</t>
  </si>
  <si>
    <t>Troy Davis</t>
  </si>
  <si>
    <t>Natalie Perez</t>
  </si>
  <si>
    <t>and Miller Sons</t>
  </si>
  <si>
    <t>Misty Burton</t>
  </si>
  <si>
    <t>Erica Williams</t>
  </si>
  <si>
    <t>Taylor, and Mullins Lara</t>
  </si>
  <si>
    <t>Robert Robinson</t>
  </si>
  <si>
    <t>Jasmine Webb</t>
  </si>
  <si>
    <t>and King, Vega Jones</t>
  </si>
  <si>
    <t>Christina Calderon</t>
  </si>
  <si>
    <t>David Cabrera</t>
  </si>
  <si>
    <t>Alvarez-Cruz</t>
  </si>
  <si>
    <t>John Graham</t>
  </si>
  <si>
    <t>Julie Gonzales</t>
  </si>
  <si>
    <t>Walker Cisneros and Adams,</t>
  </si>
  <si>
    <t>Michael Parker</t>
  </si>
  <si>
    <t>Julia Campbell</t>
  </si>
  <si>
    <t>Ltd Lewis</t>
  </si>
  <si>
    <t>William Evans</t>
  </si>
  <si>
    <t>Zachary Robinson</t>
  </si>
  <si>
    <t>Esparza-Martinez</t>
  </si>
  <si>
    <t>Valerie Hodges</t>
  </si>
  <si>
    <t>Christine Smith</t>
  </si>
  <si>
    <t>Baker Hernandez and Scott,</t>
  </si>
  <si>
    <t>Brenda Beck</t>
  </si>
  <si>
    <t>Barbara Burgess</t>
  </si>
  <si>
    <t>Group Lopez</t>
  </si>
  <si>
    <t>Christine Davis</t>
  </si>
  <si>
    <t>Malik Goodwin</t>
  </si>
  <si>
    <t>and Le Martin Young,</t>
  </si>
  <si>
    <t>Kevin Daniel</t>
  </si>
  <si>
    <t>Diana Shaw</t>
  </si>
  <si>
    <t>PLC Cook</t>
  </si>
  <si>
    <t>Brittney Wagner</t>
  </si>
  <si>
    <t>Michael Mason</t>
  </si>
  <si>
    <t>Baker, Davis Hill and</t>
  </si>
  <si>
    <t>Cristian Buchanan</t>
  </si>
  <si>
    <t>Alexis Bradford</t>
  </si>
  <si>
    <t>Johnson-Gray</t>
  </si>
  <si>
    <t>Michael Brady</t>
  </si>
  <si>
    <t>Jasmine Parker</t>
  </si>
  <si>
    <t>Mitchell, and Garcia Saunders</t>
  </si>
  <si>
    <t>Jordan Leon</t>
  </si>
  <si>
    <t>Christina Lopez</t>
  </si>
  <si>
    <t>Dennis-Roth</t>
  </si>
  <si>
    <t>Katelyn Cunningham</t>
  </si>
  <si>
    <t>Richard Franco</t>
  </si>
  <si>
    <t>Mcgee Patton Aguirre, and</t>
  </si>
  <si>
    <t>Krystal Mendoza</t>
  </si>
  <si>
    <t>Marc Reid</t>
  </si>
  <si>
    <t>Foster-Thomas</t>
  </si>
  <si>
    <t>Alex Rodriguez</t>
  </si>
  <si>
    <t>Ryan Simmons</t>
  </si>
  <si>
    <t>Group Mann</t>
  </si>
  <si>
    <t>Geoffrey Barker</t>
  </si>
  <si>
    <t>Clinton Sanchez</t>
  </si>
  <si>
    <t>Martinez-Strickland</t>
  </si>
  <si>
    <t>Alec Mitchell</t>
  </si>
  <si>
    <t>Cindy Gonzalez</t>
  </si>
  <si>
    <t>Shaw Tapia and Barnes,</t>
  </si>
  <si>
    <t>Jason Jordan</t>
  </si>
  <si>
    <t>Christy Ochoa</t>
  </si>
  <si>
    <t>Morris-Campbell</t>
  </si>
  <si>
    <t>Philip Reyes</t>
  </si>
  <si>
    <t>Gabriel Livingston</t>
  </si>
  <si>
    <t>Anderson Morton and Vang,</t>
  </si>
  <si>
    <t>Aaron Bradshaw</t>
  </si>
  <si>
    <t>Mackenzie Phillips</t>
  </si>
  <si>
    <t>Olson LLC</t>
  </si>
  <si>
    <t>Erica Ford</t>
  </si>
  <si>
    <t>Gabriel Lane</t>
  </si>
  <si>
    <t>Juarez and Sons</t>
  </si>
  <si>
    <t>Dr. Katie Barrett Dvm</t>
  </si>
  <si>
    <t>Whitney Chavez</t>
  </si>
  <si>
    <t>Ramos Hansen Clark, and</t>
  </si>
  <si>
    <t>Jacob Young</t>
  </si>
  <si>
    <t>Tara Tucker</t>
  </si>
  <si>
    <t>PLC Aguirre</t>
  </si>
  <si>
    <t>Amy Ramos</t>
  </si>
  <si>
    <t>Dustin Alvarez</t>
  </si>
  <si>
    <t>Nelson Baldwin, Boyd and</t>
  </si>
  <si>
    <t>Patrick Morales</t>
  </si>
  <si>
    <t>Jessica Conway</t>
  </si>
  <si>
    <t>Martinez, and Moore White</t>
  </si>
  <si>
    <t>Sophia Conway</t>
  </si>
  <si>
    <t>Heidi Wood</t>
  </si>
  <si>
    <t>Barker, Costa Hahn and</t>
  </si>
  <si>
    <t>James Moore</t>
  </si>
  <si>
    <t>David Gordon</t>
  </si>
  <si>
    <t>Anderson and Higgins Galvan,</t>
  </si>
  <si>
    <t>Christopher Cochran</t>
  </si>
  <si>
    <t>Jonathan Thomas</t>
  </si>
  <si>
    <t>Flores-Roman</t>
  </si>
  <si>
    <t>Robert Carter</t>
  </si>
  <si>
    <t>Lori Diaz</t>
  </si>
  <si>
    <t>Miller, Moon Boyd and</t>
  </si>
  <si>
    <t>Morgan Nguyen</t>
  </si>
  <si>
    <t>Martin Dominguez</t>
  </si>
  <si>
    <t>Inc Harmon</t>
  </si>
  <si>
    <t>Nathan Montoya</t>
  </si>
  <si>
    <t>Adam Roberts</t>
  </si>
  <si>
    <t>Elliott Jones Hinton, and</t>
  </si>
  <si>
    <t>Joe Berry Phd</t>
  </si>
  <si>
    <t>Nancy Beck</t>
  </si>
  <si>
    <t>Sons Mckinney and</t>
  </si>
  <si>
    <t>Daniel Ortiz</t>
  </si>
  <si>
    <t>Christy Hughes</t>
  </si>
  <si>
    <t>Carroll-Howard</t>
  </si>
  <si>
    <t>Matthew Clark</t>
  </si>
  <si>
    <t>Charles Hernandez</t>
  </si>
  <si>
    <t>and Park, Garcia Lam</t>
  </si>
  <si>
    <t>Jacqueline Hardy</t>
  </si>
  <si>
    <t>Hannah Clay</t>
  </si>
  <si>
    <t>Chavez Valenzuela, and Gutierrez</t>
  </si>
  <si>
    <t>Emily Joseph</t>
  </si>
  <si>
    <t>Steven Dixon</t>
  </si>
  <si>
    <t>Hill-Hernandez</t>
  </si>
  <si>
    <t>Sarah Hicks</t>
  </si>
  <si>
    <t>Monica Thomas</t>
  </si>
  <si>
    <t>Skinner LLC</t>
  </si>
  <si>
    <t>Briana Ross</t>
  </si>
  <si>
    <t>Alexander Moore</t>
  </si>
  <si>
    <t>Inc Cox</t>
  </si>
  <si>
    <t>Mary Mccullough</t>
  </si>
  <si>
    <t>Curtis Mckinney</t>
  </si>
  <si>
    <t>Perez Sons and</t>
  </si>
  <si>
    <t>Brian Osborne</t>
  </si>
  <si>
    <t>Stephanie Shepard</t>
  </si>
  <si>
    <t>Parker Turner, Houston and</t>
  </si>
  <si>
    <t>Susan Walters</t>
  </si>
  <si>
    <t>Russell Soto</t>
  </si>
  <si>
    <t>Wilson-Chen</t>
  </si>
  <si>
    <t>Catherine Harvey</t>
  </si>
  <si>
    <t>Charles Cardenas</t>
  </si>
  <si>
    <t>Boone-Duffy</t>
  </si>
  <si>
    <t>Cory Pierce</t>
  </si>
  <si>
    <t>Brandon Montoya</t>
  </si>
  <si>
    <t>Reid-Simmons</t>
  </si>
  <si>
    <t>Jesus Jordan</t>
  </si>
  <si>
    <t>Andrew Bishop</t>
  </si>
  <si>
    <t>Dunn-Bentley</t>
  </si>
  <si>
    <t>Ann Duncan</t>
  </si>
  <si>
    <t>Daniel Sanders</t>
  </si>
  <si>
    <t>Inc Cherry</t>
  </si>
  <si>
    <t>Sarah Porter</t>
  </si>
  <si>
    <t>Jeremiah Nunez</t>
  </si>
  <si>
    <t>Zavala-Fernandez</t>
  </si>
  <si>
    <t>Jacqueline Dean</t>
  </si>
  <si>
    <t>Carolyn Peters</t>
  </si>
  <si>
    <t>Jones-Fleming</t>
  </si>
  <si>
    <t>Anne Lam</t>
  </si>
  <si>
    <t>Paul Ruiz</t>
  </si>
  <si>
    <t>Christian-Hall</t>
  </si>
  <si>
    <t>Jennifer Gomez</t>
  </si>
  <si>
    <t>Robert Palmer</t>
  </si>
  <si>
    <t>LLC Cabrera</t>
  </si>
  <si>
    <t>David Curtis</t>
  </si>
  <si>
    <t>Lisa Grimes</t>
  </si>
  <si>
    <t>Hernandez and Delacruz, Kramer</t>
  </si>
  <si>
    <t>Joshua Johnson</t>
  </si>
  <si>
    <t>Ronald Russell</t>
  </si>
  <si>
    <t>Cervantes-Herrera</t>
  </si>
  <si>
    <t>Jeremy Bowen</t>
  </si>
  <si>
    <t>Tracey Smith</t>
  </si>
  <si>
    <t>Garrison-Mcfarland</t>
  </si>
  <si>
    <t>Dennis Clarke</t>
  </si>
  <si>
    <t>Mark Baker</t>
  </si>
  <si>
    <t>Warren-Brown</t>
  </si>
  <si>
    <t>Jennifer Spence</t>
  </si>
  <si>
    <t>Austin Perry</t>
  </si>
  <si>
    <t>Ruiz Group</t>
  </si>
  <si>
    <t>Billy Fitzgerald</t>
  </si>
  <si>
    <t>Dr. Mackenzie Bell</t>
  </si>
  <si>
    <t>Anderson-Brown</t>
  </si>
  <si>
    <t>Kristen James</t>
  </si>
  <si>
    <t>Kimberly Calhoun</t>
  </si>
  <si>
    <t>Hull Sons and</t>
  </si>
  <si>
    <t>Caitlin Bender</t>
  </si>
  <si>
    <t>Timothy Aguilar</t>
  </si>
  <si>
    <t>Oliver Mcdonald, and Johnson</t>
  </si>
  <si>
    <t>Brenda Fuller</t>
  </si>
  <si>
    <t>Cynthia Stanton MD</t>
  </si>
  <si>
    <t>Lara-Allen</t>
  </si>
  <si>
    <t>Cassandra Rice</t>
  </si>
  <si>
    <t>Craig Delgado</t>
  </si>
  <si>
    <t>Group Summers</t>
  </si>
  <si>
    <t>Sergio Sanchez</t>
  </si>
  <si>
    <t>Courtney Parsons</t>
  </si>
  <si>
    <t>Phillips Medina, Rivera and</t>
  </si>
  <si>
    <t>Kevin Stein</t>
  </si>
  <si>
    <t>Sandra Barker</t>
  </si>
  <si>
    <t>LLC Flores</t>
  </si>
  <si>
    <t>Maureen Grant Md</t>
  </si>
  <si>
    <t>Michael Hogan</t>
  </si>
  <si>
    <t>Inc Pace</t>
  </si>
  <si>
    <t>Samantha Gutierrez</t>
  </si>
  <si>
    <t>Toni Perry MD</t>
  </si>
  <si>
    <t>Garcia-Robinson</t>
  </si>
  <si>
    <t>George Woodward</t>
  </si>
  <si>
    <t>William Bailey</t>
  </si>
  <si>
    <t>Snow-Day</t>
  </si>
  <si>
    <t>Shane Tate</t>
  </si>
  <si>
    <t>Tiffany Ortega</t>
  </si>
  <si>
    <t>Inc Rangel</t>
  </si>
  <si>
    <t>Kerry Hawkins</t>
  </si>
  <si>
    <t>Willie Lowery</t>
  </si>
  <si>
    <t>Irwin-Kaufman</t>
  </si>
  <si>
    <t>Marissa Mora</t>
  </si>
  <si>
    <t>Jaime Allen</t>
  </si>
  <si>
    <t>Brown and Colon, Anderson</t>
  </si>
  <si>
    <t>Ricky Meyer</t>
  </si>
  <si>
    <t>Becky Jones</t>
  </si>
  <si>
    <t>and Peterson, Rodriguez Murphy</t>
  </si>
  <si>
    <t>Edward Jones Jr.</t>
  </si>
  <si>
    <t>Tiffany Frank</t>
  </si>
  <si>
    <t>and Frederick, Jones Garcia</t>
  </si>
  <si>
    <t>Heather Melendez</t>
  </si>
  <si>
    <t>Joe Mora</t>
  </si>
  <si>
    <t>and Fuentes Rogers Gill,</t>
  </si>
  <si>
    <t>Jessica Macias</t>
  </si>
  <si>
    <t>Teresa Tucker</t>
  </si>
  <si>
    <t>Group Schneider</t>
  </si>
  <si>
    <t>Jamie Leach</t>
  </si>
  <si>
    <t>Ruben Cross</t>
  </si>
  <si>
    <t>Sandoval-Bennett</t>
  </si>
  <si>
    <t>Matthew Simmons</t>
  </si>
  <si>
    <t>Timothy Choi</t>
  </si>
  <si>
    <t>Young Ltd</t>
  </si>
  <si>
    <t>Sheila Baxter</t>
  </si>
  <si>
    <t>Robert Lester</t>
  </si>
  <si>
    <t>Lopez-Brooks</t>
  </si>
  <si>
    <t>Dave Parrish</t>
  </si>
  <si>
    <t>Sandra Bender</t>
  </si>
  <si>
    <t>Leblanc Conway, Holt and</t>
  </si>
  <si>
    <t>Bryan Stewart</t>
  </si>
  <si>
    <t>Martin Smith</t>
  </si>
  <si>
    <t>Ltd Roberts</t>
  </si>
  <si>
    <t>James Bell</t>
  </si>
  <si>
    <t>Martha Johnson</t>
  </si>
  <si>
    <t>and Carter Sons</t>
  </si>
  <si>
    <t>Joshua Love</t>
  </si>
  <si>
    <t>Mercedes Harris</t>
  </si>
  <si>
    <t>Moore and Rhodes Lang,</t>
  </si>
  <si>
    <t>Robert Clark</t>
  </si>
  <si>
    <t>Gregory Chung</t>
  </si>
  <si>
    <t>Poole LLC</t>
  </si>
  <si>
    <t>Marisa Golden</t>
  </si>
  <si>
    <t>James Young</t>
  </si>
  <si>
    <t>Hansen-Torres</t>
  </si>
  <si>
    <t>Nancy Hamilton</t>
  </si>
  <si>
    <t>Carla Combs</t>
  </si>
  <si>
    <t>Park-Douglas</t>
  </si>
  <si>
    <t>Bryan Bowers</t>
  </si>
  <si>
    <t>Peter Martinez</t>
  </si>
  <si>
    <t>Ruiz, Scott Mitchell and</t>
  </si>
  <si>
    <t>Nicole Martin</t>
  </si>
  <si>
    <t>Christopher Spears</t>
  </si>
  <si>
    <t>and Rodriguez Gallegos Henry,</t>
  </si>
  <si>
    <t>William Harmon</t>
  </si>
  <si>
    <t>Carrie Howell</t>
  </si>
  <si>
    <t>Ltd Miller</t>
  </si>
  <si>
    <t>Tom Brown</t>
  </si>
  <si>
    <t>Tina Ray</t>
  </si>
  <si>
    <t>Turner Bradford and Allison,</t>
  </si>
  <si>
    <t>Cynthia Nelson</t>
  </si>
  <si>
    <t>Debbie Jones</t>
  </si>
  <si>
    <t>Goodwin Ltd</t>
  </si>
  <si>
    <t>Todd Gross</t>
  </si>
  <si>
    <t>Anthony Ortiz</t>
  </si>
  <si>
    <t>Carrillo-Price</t>
  </si>
  <si>
    <t>Stephanie Chung</t>
  </si>
  <si>
    <t>Jason Stewart</t>
  </si>
  <si>
    <t>and Sons Lee</t>
  </si>
  <si>
    <t>Kayla Perez</t>
  </si>
  <si>
    <t>Derek Dorsey</t>
  </si>
  <si>
    <t>Rogers-Robles</t>
  </si>
  <si>
    <t>William Carter</t>
  </si>
  <si>
    <t>Massey Inc</t>
  </si>
  <si>
    <t>Joshua Nelson</t>
  </si>
  <si>
    <t>Angel Jones</t>
  </si>
  <si>
    <t>Arias-Galvan</t>
  </si>
  <si>
    <t>Jake Copeland</t>
  </si>
  <si>
    <t>Christopher Fowler</t>
  </si>
  <si>
    <t>Scott-Moore</t>
  </si>
  <si>
    <t>Maria Gardner</t>
  </si>
  <si>
    <t>Stephanie Herrera</t>
  </si>
  <si>
    <t>Jarvis-Roberts</t>
  </si>
  <si>
    <t>Janet Roberts Dds</t>
  </si>
  <si>
    <t>Scott Herring</t>
  </si>
  <si>
    <t>Clay LLC</t>
  </si>
  <si>
    <t>Peter Ramsey</t>
  </si>
  <si>
    <t>Angela Cook</t>
  </si>
  <si>
    <t>Quinn, Bentley and Allen</t>
  </si>
  <si>
    <t>Ashley Farmer</t>
  </si>
  <si>
    <t>Michael Davis</t>
  </si>
  <si>
    <t>Williams PLC</t>
  </si>
  <si>
    <t>Katherine Hale</t>
  </si>
  <si>
    <t>Thomas Hunt</t>
  </si>
  <si>
    <t>Griffith Mccullough Mendoza, and</t>
  </si>
  <si>
    <t>Gary Bowen</t>
  </si>
  <si>
    <t>Dylan Hale</t>
  </si>
  <si>
    <t>Meyers-Moore</t>
  </si>
  <si>
    <t>Laura Ryan</t>
  </si>
  <si>
    <t>Bradley Holt</t>
  </si>
  <si>
    <t>Blair-Bell</t>
  </si>
  <si>
    <t>Timothy Lopez</t>
  </si>
  <si>
    <t>Sandra Powers</t>
  </si>
  <si>
    <t>Lester-Fletcher</t>
  </si>
  <si>
    <t>Anthony Guzman</t>
  </si>
  <si>
    <t>Evan Campbell</t>
  </si>
  <si>
    <t>Rodriguez LLC</t>
  </si>
  <si>
    <t>Michael Sharp</t>
  </si>
  <si>
    <t>Sylvia Villarreal</t>
  </si>
  <si>
    <t>LLC Baldwin</t>
  </si>
  <si>
    <t>David Carroll</t>
  </si>
  <si>
    <t>Matthew Hopkins</t>
  </si>
  <si>
    <t>Riley PLC</t>
  </si>
  <si>
    <t>Connor Barton</t>
  </si>
  <si>
    <t>Joseph Miller</t>
  </si>
  <si>
    <t>Snyder-Perry</t>
  </si>
  <si>
    <t>Angela Scott</t>
  </si>
  <si>
    <t>Charles Palmer</t>
  </si>
  <si>
    <t>Perez-Carlson</t>
  </si>
  <si>
    <t>David Ortiz</t>
  </si>
  <si>
    <t>Michael Walters</t>
  </si>
  <si>
    <t>Richardson Mccormick, Cruz and</t>
  </si>
  <si>
    <t>Patrick Pierce</t>
  </si>
  <si>
    <t>Scott Smith</t>
  </si>
  <si>
    <t>Underwood-Mcguire</t>
  </si>
  <si>
    <t>Keith Johnson</t>
  </si>
  <si>
    <t>Nicole Jensen</t>
  </si>
  <si>
    <t>Galvan, Lopez Salazar and</t>
  </si>
  <si>
    <t>Antonio Smith</t>
  </si>
  <si>
    <t>Brent Dickerson</t>
  </si>
  <si>
    <t>Fisher-Perez</t>
  </si>
  <si>
    <t>John Taylor</t>
  </si>
  <si>
    <t>Nicole Young</t>
  </si>
  <si>
    <t>Maldonado Anderson and Adkins,</t>
  </si>
  <si>
    <t>Barbara Stewart</t>
  </si>
  <si>
    <t>Jared Kemp</t>
  </si>
  <si>
    <t>Ruiz PLC</t>
  </si>
  <si>
    <t>Larry Tanner</t>
  </si>
  <si>
    <t>Dennis Gilbert</t>
  </si>
  <si>
    <t>Ltd Watts</t>
  </si>
  <si>
    <t>Mallory Diaz</t>
  </si>
  <si>
    <t>William Mcguire</t>
  </si>
  <si>
    <t>and Martinez Sons</t>
  </si>
  <si>
    <t>John Williams</t>
  </si>
  <si>
    <t>Jesus Wagner</t>
  </si>
  <si>
    <t>Harrington-Marshall</t>
  </si>
  <si>
    <t>Peter Miller</t>
  </si>
  <si>
    <t>Jose Cooley</t>
  </si>
  <si>
    <t>Robbins Inc</t>
  </si>
  <si>
    <t>Ryan Butler</t>
  </si>
  <si>
    <t>Andrew Clark</t>
  </si>
  <si>
    <t>and Conway George, Huff</t>
  </si>
  <si>
    <t>Samantha Lowery</t>
  </si>
  <si>
    <t>Evelyn Patterson</t>
  </si>
  <si>
    <t>Tiffany Lee</t>
  </si>
  <si>
    <t>Maria Estes</t>
  </si>
  <si>
    <t>Rodriguez-Arnold</t>
  </si>
  <si>
    <t>Samantha Willis</t>
  </si>
  <si>
    <t>Mrs. Linda Miles</t>
  </si>
  <si>
    <t>and Sullivan, Mcclure Shields</t>
  </si>
  <si>
    <t>Pamela Brown</t>
  </si>
  <si>
    <t>Catherine Wiley</t>
  </si>
  <si>
    <t>Charles LLC</t>
  </si>
  <si>
    <t>Carla Walker</t>
  </si>
  <si>
    <t>Olivia Nichols</t>
  </si>
  <si>
    <t>Morgan-Young</t>
  </si>
  <si>
    <t>Mary Gonzales</t>
  </si>
  <si>
    <t>Christie Vargas</t>
  </si>
  <si>
    <t>Garcia and Nguyen, Leonard</t>
  </si>
  <si>
    <t>Shelley Fleming</t>
  </si>
  <si>
    <t>Nathaniel Jacobson</t>
  </si>
  <si>
    <t>PLC Fox</t>
  </si>
  <si>
    <t>Mark Blake</t>
  </si>
  <si>
    <t>Kayla Clark</t>
  </si>
  <si>
    <t>Bell Preston Washington, and</t>
  </si>
  <si>
    <t>Scott King</t>
  </si>
  <si>
    <t>Jessica Jackson</t>
  </si>
  <si>
    <t>LLC Hernandez</t>
  </si>
  <si>
    <t>Jessica Davis</t>
  </si>
  <si>
    <t>Lynn Benson</t>
  </si>
  <si>
    <t>Steele PLC</t>
  </si>
  <si>
    <t>Anthony Odom</t>
  </si>
  <si>
    <t>Michael Dodson MD</t>
  </si>
  <si>
    <t>and Sims, Gonzalez Huff</t>
  </si>
  <si>
    <t>Charles Brown</t>
  </si>
  <si>
    <t>David Nunez</t>
  </si>
  <si>
    <t>Allen-Perez</t>
  </si>
  <si>
    <t>Rachel Davis</t>
  </si>
  <si>
    <t>Lindsay Pierce</t>
  </si>
  <si>
    <t>and Alexander Crawford Graham,</t>
  </si>
  <si>
    <t>Sandra Mccall</t>
  </si>
  <si>
    <t>Dr. Jeffrey Barnes Jr.</t>
  </si>
  <si>
    <t>Moyer-Lamb</t>
  </si>
  <si>
    <t>Nicole Francis</t>
  </si>
  <si>
    <t>Kristie Roberts</t>
  </si>
  <si>
    <t>Taylor-Wilson</t>
  </si>
  <si>
    <t>Steven Smith</t>
  </si>
  <si>
    <t>Allison Harper</t>
  </si>
  <si>
    <t>PLC Sutton</t>
  </si>
  <si>
    <t>Karen Johnson</t>
  </si>
  <si>
    <t>Heather Howard</t>
  </si>
  <si>
    <t>and Sons Sanders</t>
  </si>
  <si>
    <t>Anna Rogers</t>
  </si>
  <si>
    <t>Vickie King</t>
  </si>
  <si>
    <t>Gentry and Sons</t>
  </si>
  <si>
    <t>Priscilla Decker</t>
  </si>
  <si>
    <t>Christopher Yoder</t>
  </si>
  <si>
    <t>Haynes-Silva</t>
  </si>
  <si>
    <t>Trevor Wright</t>
  </si>
  <si>
    <t>Matthew Nelson</t>
  </si>
  <si>
    <t>Marshall, and Koch Harper</t>
  </si>
  <si>
    <t>William Tucker</t>
  </si>
  <si>
    <t>Martin Lynch</t>
  </si>
  <si>
    <t>Duffy-Jackson</t>
  </si>
  <si>
    <t>Jessica Keller</t>
  </si>
  <si>
    <t>David Hall</t>
  </si>
  <si>
    <t>Brown-Diaz</t>
  </si>
  <si>
    <t>William Henry</t>
  </si>
  <si>
    <t>Benjamin Tyler</t>
  </si>
  <si>
    <t>Mcdaniel-Castaneda</t>
  </si>
  <si>
    <t>Robin Clarke</t>
  </si>
  <si>
    <t>Tyler Adams DDS</t>
  </si>
  <si>
    <t>Lyons LLC</t>
  </si>
  <si>
    <t>Jessica Garza</t>
  </si>
  <si>
    <t>William White</t>
  </si>
  <si>
    <t>PLC French</t>
  </si>
  <si>
    <t>Jamie Salazar</t>
  </si>
  <si>
    <t>Amanda Webb</t>
  </si>
  <si>
    <t>LLC Coleman</t>
  </si>
  <si>
    <t>Steven Vaughan</t>
  </si>
  <si>
    <t>Travis Holmes</t>
  </si>
  <si>
    <t>Tucker-Warren</t>
  </si>
  <si>
    <t>Michael Contreras</t>
  </si>
  <si>
    <t>Amy Small</t>
  </si>
  <si>
    <t>Wang-Hill</t>
  </si>
  <si>
    <t>Allen Roberts</t>
  </si>
  <si>
    <t>Katherine Gutierrez</t>
  </si>
  <si>
    <t>Amy Powell</t>
  </si>
  <si>
    <t>Susan Hess</t>
  </si>
  <si>
    <t>White West Herman, and</t>
  </si>
  <si>
    <t>Kenneth Smith</t>
  </si>
  <si>
    <t>Kristen Thornton</t>
  </si>
  <si>
    <t>Inc Newton</t>
  </si>
  <si>
    <t>Matthew West</t>
  </si>
  <si>
    <t>Jerry Fisher</t>
  </si>
  <si>
    <t>Huerta-Sanchez</t>
  </si>
  <si>
    <t>Erik Montoya</t>
  </si>
  <si>
    <t>Elizabeth Miller</t>
  </si>
  <si>
    <t>Snyder-Parrish</t>
  </si>
  <si>
    <t>Austin Lewis</t>
  </si>
  <si>
    <t>Reginald Grimes</t>
  </si>
  <si>
    <t>Inc Bryant</t>
  </si>
  <si>
    <t>Kenneth Thompson</t>
  </si>
  <si>
    <t>Williams Inc</t>
  </si>
  <si>
    <t>Amanda Durham</t>
  </si>
  <si>
    <t>Katelyn Davis</t>
  </si>
  <si>
    <t>Smith White, and Ryan</t>
  </si>
  <si>
    <t>Stephen Hudson</t>
  </si>
  <si>
    <t>Matthew Jones</t>
  </si>
  <si>
    <t>Williams Dillon White, and</t>
  </si>
  <si>
    <t>Cassandra Velazquez</t>
  </si>
  <si>
    <t>Diana Tran</t>
  </si>
  <si>
    <t>Vargas-Cohen</t>
  </si>
  <si>
    <t>Susan Pena</t>
  </si>
  <si>
    <t>Kevin Kelley</t>
  </si>
  <si>
    <t>Gardner Group</t>
  </si>
  <si>
    <t>Anthony Perkins</t>
  </si>
  <si>
    <t>Anthony Green</t>
  </si>
  <si>
    <t>Garcia-Blake</t>
  </si>
  <si>
    <t>Katrina Lopez</t>
  </si>
  <si>
    <t>Jordan Porter</t>
  </si>
  <si>
    <t>Castaneda-Tran</t>
  </si>
  <si>
    <t>Brian Foster</t>
  </si>
  <si>
    <t>James Thompson</t>
  </si>
  <si>
    <t>Kim-Ibarra</t>
  </si>
  <si>
    <t>Jason Thompson</t>
  </si>
  <si>
    <t>Andrea King</t>
  </si>
  <si>
    <t>Boyer-Burgess</t>
  </si>
  <si>
    <t>David Ayala</t>
  </si>
  <si>
    <t>Lucas Torres</t>
  </si>
  <si>
    <t>Cross Ltd</t>
  </si>
  <si>
    <t>Jared Yoder</t>
  </si>
  <si>
    <t>Sarah Garcia</t>
  </si>
  <si>
    <t>Patel Payne, and Young</t>
  </si>
  <si>
    <t>Gregory Cannon</t>
  </si>
  <si>
    <t>Amanda Alvarado</t>
  </si>
  <si>
    <t>Group Santana</t>
  </si>
  <si>
    <t>Lisa Anderson</t>
  </si>
  <si>
    <t>Samantha Preston</t>
  </si>
  <si>
    <t>Sons and Cook</t>
  </si>
  <si>
    <t>Elizabeth Shields</t>
  </si>
  <si>
    <t>David Maxwell</t>
  </si>
  <si>
    <t>Martin-Rice</t>
  </si>
  <si>
    <t>Patricia Kim</t>
  </si>
  <si>
    <t>Kevin Butler</t>
  </si>
  <si>
    <t>Ortiz, and Rios Price</t>
  </si>
  <si>
    <t>Jessica Soto</t>
  </si>
  <si>
    <t>Shannon Sanchez</t>
  </si>
  <si>
    <t>Barnes-Williams</t>
  </si>
  <si>
    <t>Jenny Reynolds</t>
  </si>
  <si>
    <t>Shelly Bright</t>
  </si>
  <si>
    <t>Hardy-Gutierrez</t>
  </si>
  <si>
    <t>Shannon Barrett</t>
  </si>
  <si>
    <t>Stephanie Wilcox</t>
  </si>
  <si>
    <t>Cole LLC</t>
  </si>
  <si>
    <t>Terri Perry</t>
  </si>
  <si>
    <t>Amy Diaz</t>
  </si>
  <si>
    <t>White-Rowe</t>
  </si>
  <si>
    <t>Joseph Madden</t>
  </si>
  <si>
    <t>Stacey Nguyen</t>
  </si>
  <si>
    <t>Rodriguez Harris, Willis and</t>
  </si>
  <si>
    <t>Rebecca Hogan</t>
  </si>
  <si>
    <t>Peter Wright</t>
  </si>
  <si>
    <t>Santana Garcia, Alexander and</t>
  </si>
  <si>
    <t>Kelly Walker</t>
  </si>
  <si>
    <t>Eric Shaw</t>
  </si>
  <si>
    <t>Collins-Lozano</t>
  </si>
  <si>
    <t>Julia Mueller</t>
  </si>
  <si>
    <t>Susan Gaines</t>
  </si>
  <si>
    <t>Brown-Clark</t>
  </si>
  <si>
    <t>Kayla Moore</t>
  </si>
  <si>
    <t>Collin Green</t>
  </si>
  <si>
    <t>Mcmahon and Kim, Holmes</t>
  </si>
  <si>
    <t>Kaitlyn Smith</t>
  </si>
  <si>
    <t>Richard Harris</t>
  </si>
  <si>
    <t>Gomez-Smith</t>
  </si>
  <si>
    <t>Daniel Kemp</t>
  </si>
  <si>
    <t>Charles Fernandez</t>
  </si>
  <si>
    <t>Hall Lee Bailey, and</t>
  </si>
  <si>
    <t>Kyle Williams MD</t>
  </si>
  <si>
    <t>Brennan Bentley, and Hunter</t>
  </si>
  <si>
    <t>Carol Reed</t>
  </si>
  <si>
    <t>Susan Rios DDS</t>
  </si>
  <si>
    <t>Mullins, Gray and Reed</t>
  </si>
  <si>
    <t>Jessica Carter</t>
  </si>
  <si>
    <t>Sarah Ibarra</t>
  </si>
  <si>
    <t>Vanessa Schaefer</t>
  </si>
  <si>
    <t>Jonathan Burns MD</t>
  </si>
  <si>
    <t>Walsh, Howell and Jennings</t>
  </si>
  <si>
    <t>Miguel Gomez</t>
  </si>
  <si>
    <t>Jennifer Miller</t>
  </si>
  <si>
    <t>Haney-Marshall</t>
  </si>
  <si>
    <t>Linda Cardenas</t>
  </si>
  <si>
    <t>Zachary Scott</t>
  </si>
  <si>
    <t>Rich and Roach, King</t>
  </si>
  <si>
    <t>Annette James</t>
  </si>
  <si>
    <t>Dennis Robbins</t>
  </si>
  <si>
    <t>Johnson, and Petty Rubio</t>
  </si>
  <si>
    <t>Susan Hurley</t>
  </si>
  <si>
    <t>Sean Rodgers</t>
  </si>
  <si>
    <t>Morse, Hudson Williams and</t>
  </si>
  <si>
    <t>Carolyn Wade</t>
  </si>
  <si>
    <t>Nathan Payne</t>
  </si>
  <si>
    <t>Kane, and Dickson Schwartz</t>
  </si>
  <si>
    <t>Angela Deleon</t>
  </si>
  <si>
    <t>Kristina Gray</t>
  </si>
  <si>
    <t>Inc Mccullough</t>
  </si>
  <si>
    <t>Carolyn Cooper</t>
  </si>
  <si>
    <t>Regina Bryant</t>
  </si>
  <si>
    <t>Taylor-Wong</t>
  </si>
  <si>
    <t>Rebecca Harris</t>
  </si>
  <si>
    <t>Karen Donovan</t>
  </si>
  <si>
    <t>Avery-Roy</t>
  </si>
  <si>
    <t>Gary Curtis</t>
  </si>
  <si>
    <t>Amber Lopez</t>
  </si>
  <si>
    <t>LLC Anderson</t>
  </si>
  <si>
    <t>Ryan Liu</t>
  </si>
  <si>
    <t>Vernon Diaz</t>
  </si>
  <si>
    <t>Castaneda-Young</t>
  </si>
  <si>
    <t>Dennis Morrow</t>
  </si>
  <si>
    <t>Luke Nunez</t>
  </si>
  <si>
    <t>and Thomas Strong, Cook</t>
  </si>
  <si>
    <t>Jennifer Cooper</t>
  </si>
  <si>
    <t>Mary Williams</t>
  </si>
  <si>
    <t>Wells-Price</t>
  </si>
  <si>
    <t>Jacob Lopez</t>
  </si>
  <si>
    <t>Gina Richards</t>
  </si>
  <si>
    <t>Rios Ltd</t>
  </si>
  <si>
    <t>Carol Mcclain</t>
  </si>
  <si>
    <t>Julie West</t>
  </si>
  <si>
    <t>Vincent-Hill</t>
  </si>
  <si>
    <t>Michael Richardson</t>
  </si>
  <si>
    <t>Greg Scott</t>
  </si>
  <si>
    <t>Brooks LLC</t>
  </si>
  <si>
    <t>Mark Nguyen</t>
  </si>
  <si>
    <t>Tracy Serrano</t>
  </si>
  <si>
    <t>Group Carpenter</t>
  </si>
  <si>
    <t>Eric Cook</t>
  </si>
  <si>
    <t>Rhonda Gilbert</t>
  </si>
  <si>
    <t>Henderson Carpenter and Barrett,</t>
  </si>
  <si>
    <t>Kristen Stephens</t>
  </si>
  <si>
    <t>Penny Bryant</t>
  </si>
  <si>
    <t>Mcdaniel-Walsh</t>
  </si>
  <si>
    <t>Dana Walton</t>
  </si>
  <si>
    <t>Edward Webster</t>
  </si>
  <si>
    <t>Ross-Jones</t>
  </si>
  <si>
    <t>Scott Arnold</t>
  </si>
  <si>
    <t>Brandon Flores</t>
  </si>
  <si>
    <t>Mathews, Smith and Moss</t>
  </si>
  <si>
    <t>Megan Wheeler</t>
  </si>
  <si>
    <t>Courtney Crane</t>
  </si>
  <si>
    <t>and Lawrence, Williams Thomas</t>
  </si>
  <si>
    <t>Aaron Cox</t>
  </si>
  <si>
    <t>Eric Wallace</t>
  </si>
  <si>
    <t>Wilkerson Group</t>
  </si>
  <si>
    <t>Cassandra Martinez</t>
  </si>
  <si>
    <t>Nicole Norton</t>
  </si>
  <si>
    <t>Villanueva-Garcia</t>
  </si>
  <si>
    <t>Shawn Brown</t>
  </si>
  <si>
    <t>Angela Cunningham</t>
  </si>
  <si>
    <t>Duffy-Bowman</t>
  </si>
  <si>
    <t>Sandra Williamson</t>
  </si>
  <si>
    <t>Jessica Morgan</t>
  </si>
  <si>
    <t>Tyler-Velasquez</t>
  </si>
  <si>
    <t>Jennifer Stephens</t>
  </si>
  <si>
    <t>Shari Foster</t>
  </si>
  <si>
    <t>James Inc</t>
  </si>
  <si>
    <t>Stephanie Rodriguez</t>
  </si>
  <si>
    <t>Danielle Collins</t>
  </si>
  <si>
    <t>Montgomery-Jones</t>
  </si>
  <si>
    <t>Caroline Mcintyre</t>
  </si>
  <si>
    <t>Beth Mckenzie</t>
  </si>
  <si>
    <t>Montgomery-Anthony</t>
  </si>
  <si>
    <t>Mr. Cameron Robinson</t>
  </si>
  <si>
    <t>Evan Johnson</t>
  </si>
  <si>
    <t>Davis-Padilla</t>
  </si>
  <si>
    <t>Tammy Pineda</t>
  </si>
  <si>
    <t>Wendy Rivera</t>
  </si>
  <si>
    <t>Ellison-Hayden</t>
  </si>
  <si>
    <t>Natalie Anderson</t>
  </si>
  <si>
    <t>Cindy Maxwell</t>
  </si>
  <si>
    <t>Long-Lee</t>
  </si>
  <si>
    <t>Jasmine Rodriguez</t>
  </si>
  <si>
    <t>Crystal Hays</t>
  </si>
  <si>
    <t>Graves LLC</t>
  </si>
  <si>
    <t>Debra Mckee</t>
  </si>
  <si>
    <t>Jay Barr</t>
  </si>
  <si>
    <t>and Sons Dixon</t>
  </si>
  <si>
    <t>Sandra Greene</t>
  </si>
  <si>
    <t>Lisa Long</t>
  </si>
  <si>
    <t>Clark, Garza Tate and</t>
  </si>
  <si>
    <t>Crystal Morris</t>
  </si>
  <si>
    <t>Brianna Kelly</t>
  </si>
  <si>
    <t>Bates Inc</t>
  </si>
  <si>
    <t>Jason Parker</t>
  </si>
  <si>
    <t>David Hanson</t>
  </si>
  <si>
    <t>LLC Sanford</t>
  </si>
  <si>
    <t>Roy Jones</t>
  </si>
  <si>
    <t>David Stevens</t>
  </si>
  <si>
    <t>and Harper Sons</t>
  </si>
  <si>
    <t>Richard Anderson</t>
  </si>
  <si>
    <t>Richard Ayala</t>
  </si>
  <si>
    <t>Young Mcclain, Newman and</t>
  </si>
  <si>
    <t>Jennifer Foster</t>
  </si>
  <si>
    <t>Nathan Adams</t>
  </si>
  <si>
    <t>Ray, Cain and Miller</t>
  </si>
  <si>
    <t>Debbie Wilson</t>
  </si>
  <si>
    <t>Jennifer Munoz</t>
  </si>
  <si>
    <t>Zamora-Rivers</t>
  </si>
  <si>
    <t>Travis Flores</t>
  </si>
  <si>
    <t>Beth Brown</t>
  </si>
  <si>
    <t>and Perez Smith, Kim</t>
  </si>
  <si>
    <t>Emily Young</t>
  </si>
  <si>
    <t>Karen Jones</t>
  </si>
  <si>
    <t>Johnson-Wilson</t>
  </si>
  <si>
    <t>Sandy Hall</t>
  </si>
  <si>
    <t>Seth Burnett</t>
  </si>
  <si>
    <t>Delacruz-Chavez</t>
  </si>
  <si>
    <t>Madison Wright</t>
  </si>
  <si>
    <t>Kevin Johnson</t>
  </si>
  <si>
    <t>and Gonzalez, Warren Moore</t>
  </si>
  <si>
    <t>Amy Mann</t>
  </si>
  <si>
    <t>Julie Garza</t>
  </si>
  <si>
    <t>Ramirez-Humphrey</t>
  </si>
  <si>
    <t>Jason Steele</t>
  </si>
  <si>
    <t>Brian Mack</t>
  </si>
  <si>
    <t>and Sons Ford</t>
  </si>
  <si>
    <t>Pamela Middleton</t>
  </si>
  <si>
    <t>Jennifer Johnson</t>
  </si>
  <si>
    <t>and Wells, Thomas Kline</t>
  </si>
  <si>
    <t>Lisa Jackson</t>
  </si>
  <si>
    <t>Joseph Barnes</t>
  </si>
  <si>
    <t>Wood-Herring</t>
  </si>
  <si>
    <t>Samantha Patel</t>
  </si>
  <si>
    <t>Daryl Cross</t>
  </si>
  <si>
    <t>Wilkerson LLC</t>
  </si>
  <si>
    <t>Herbert Rodriguez</t>
  </si>
  <si>
    <t>Jonathan Edwards</t>
  </si>
  <si>
    <t>Brown-Henry</t>
  </si>
  <si>
    <t>Olivia Powell</t>
  </si>
  <si>
    <t>Adam Hardy</t>
  </si>
  <si>
    <t>Sheppard-Livingston</t>
  </si>
  <si>
    <t>Samantha Perkins</t>
  </si>
  <si>
    <t>Robert Ashley</t>
  </si>
  <si>
    <t>Golden PLC</t>
  </si>
  <si>
    <t>Michael Potts</t>
  </si>
  <si>
    <t>Mary Vaughn</t>
  </si>
  <si>
    <t>and Perez, Bennett Townsend</t>
  </si>
  <si>
    <t>Kerry Hernandez</t>
  </si>
  <si>
    <t>Steven Simmons</t>
  </si>
  <si>
    <t>Johnson, and Benson Harris</t>
  </si>
  <si>
    <t>Joshua Reyes</t>
  </si>
  <si>
    <t>Mrs. Jessica Martinez</t>
  </si>
  <si>
    <t>and Clay, Morton Cunningham</t>
  </si>
  <si>
    <t>Jennifer Ortega</t>
  </si>
  <si>
    <t>Erin Arias</t>
  </si>
  <si>
    <t>Anderson-Estrada</t>
  </si>
  <si>
    <t>Brittany Braun</t>
  </si>
  <si>
    <t>Daniel Golden</t>
  </si>
  <si>
    <t>and Sons Carlson</t>
  </si>
  <si>
    <t>Daniel Chen</t>
  </si>
  <si>
    <t>Anthony Malone</t>
  </si>
  <si>
    <t>Gonzalez Inc</t>
  </si>
  <si>
    <t>Erica Hart</t>
  </si>
  <si>
    <t>Charlotte Reyes MD</t>
  </si>
  <si>
    <t>Schaefer-Hoffman</t>
  </si>
  <si>
    <t>Alicia Scott</t>
  </si>
  <si>
    <t>Miguel Green</t>
  </si>
  <si>
    <t>Amanda Aguirre</t>
  </si>
  <si>
    <t>Frederick White</t>
  </si>
  <si>
    <t>and Vargas Reynolds Evans,</t>
  </si>
  <si>
    <t>Mark Hicks</t>
  </si>
  <si>
    <t>Lisa Ruiz</t>
  </si>
  <si>
    <t>Cantu and Tanner Rojas,</t>
  </si>
  <si>
    <t>Timothy Davis</t>
  </si>
  <si>
    <t>Cody Rice</t>
  </si>
  <si>
    <t>Thornton, Adams Mccarty and</t>
  </si>
  <si>
    <t>Lonnie Dominguez</t>
  </si>
  <si>
    <t>April Foster</t>
  </si>
  <si>
    <t>Cantrell-Griffith</t>
  </si>
  <si>
    <t>Kimberly Hale</t>
  </si>
  <si>
    <t>Justin Russell</t>
  </si>
  <si>
    <t>Martin Group</t>
  </si>
  <si>
    <t>Dana Williamson</t>
  </si>
  <si>
    <t>Daniel Thomas</t>
  </si>
  <si>
    <t>and Sons Nelson</t>
  </si>
  <si>
    <t>Mr. George Brown Jr.</t>
  </si>
  <si>
    <t>Emily Williamson</t>
  </si>
  <si>
    <t>Ramirez-Hill</t>
  </si>
  <si>
    <t>Allen Camacho</t>
  </si>
  <si>
    <t>Veronica Christian</t>
  </si>
  <si>
    <t>Jackson-Butler</t>
  </si>
  <si>
    <t>Nathan Woods</t>
  </si>
  <si>
    <t>Monica Odonnell</t>
  </si>
  <si>
    <t>Miller-Avila</t>
  </si>
  <si>
    <t>Catherine Smith</t>
  </si>
  <si>
    <t>Cody Berger</t>
  </si>
  <si>
    <t>Reyes-Crawford</t>
  </si>
  <si>
    <t>Jerry Lee</t>
  </si>
  <si>
    <t>Jeffrey White</t>
  </si>
  <si>
    <t>Marshall-Smith</t>
  </si>
  <si>
    <t>Alexander Coleman</t>
  </si>
  <si>
    <t>Stacey Burgess</t>
  </si>
  <si>
    <t>and Peterson Matthews Robinson,</t>
  </si>
  <si>
    <t>David Jensen</t>
  </si>
  <si>
    <t>Ethan Spencer</t>
  </si>
  <si>
    <t>Nelson PLC</t>
  </si>
  <si>
    <t>Deborah Evans</t>
  </si>
  <si>
    <t>Jonathan Baker</t>
  </si>
  <si>
    <t>Perez-Mitchell</t>
  </si>
  <si>
    <t>Alexandria Colon</t>
  </si>
  <si>
    <t>Tonya Burton</t>
  </si>
  <si>
    <t>Gross, Thompson Smith and</t>
  </si>
  <si>
    <t>Samuel Hanson</t>
  </si>
  <si>
    <t>Phillip Campos</t>
  </si>
  <si>
    <t>Burch, Moore and Thompson</t>
  </si>
  <si>
    <t>Bryan Phillips</t>
  </si>
  <si>
    <t>Billy Rodgers</t>
  </si>
  <si>
    <t>Hamilton Group</t>
  </si>
  <si>
    <t>Nathan Wiley</t>
  </si>
  <si>
    <t>Sherri Campbell</t>
  </si>
  <si>
    <t>Shaw LLC</t>
  </si>
  <si>
    <t>Alisha Murphy</t>
  </si>
  <si>
    <t>Alex Neal</t>
  </si>
  <si>
    <t>and Day, Lewis Coleman</t>
  </si>
  <si>
    <t>Amanda Lucero</t>
  </si>
  <si>
    <t>Mark Martin</t>
  </si>
  <si>
    <t>Stone-Perez</t>
  </si>
  <si>
    <t>Sheila Sellers</t>
  </si>
  <si>
    <t>James Smith</t>
  </si>
  <si>
    <t>Ltd Foley</t>
  </si>
  <si>
    <t>Susan Chan</t>
  </si>
  <si>
    <t>Amber Walker</t>
  </si>
  <si>
    <t>Ward-Mayer</t>
  </si>
  <si>
    <t>Angel Mitchell</t>
  </si>
  <si>
    <t>Laura Pena</t>
  </si>
  <si>
    <t>Darlene Cohen</t>
  </si>
  <si>
    <t>Tracy Wilson</t>
  </si>
  <si>
    <t>Group Anderson</t>
  </si>
  <si>
    <t>Kristy Oneill</t>
  </si>
  <si>
    <t>Michelle Cox</t>
  </si>
  <si>
    <t>Garcia, and Marshall Maxwell</t>
  </si>
  <si>
    <t>Sherri Garcia</t>
  </si>
  <si>
    <t>Marie Reed</t>
  </si>
  <si>
    <t>Inc Martinez</t>
  </si>
  <si>
    <t>Michael Weber</t>
  </si>
  <si>
    <t>Philip Vaughn</t>
  </si>
  <si>
    <t>Mcmahon Ortiz, Owens and</t>
  </si>
  <si>
    <t>Beth Schwartz</t>
  </si>
  <si>
    <t>Kyle Montes</t>
  </si>
  <si>
    <t>Williams-Saunders</t>
  </si>
  <si>
    <t>Cynthia Clarke</t>
  </si>
  <si>
    <t>Mr. Ronald Hoover</t>
  </si>
  <si>
    <t>Spencer Ltd</t>
  </si>
  <si>
    <t>Mark Giles</t>
  </si>
  <si>
    <t>Daniel Hurley</t>
  </si>
  <si>
    <t>Mathis-Schwartz</t>
  </si>
  <si>
    <t>Tamara Beltran</t>
  </si>
  <si>
    <t>Romero-Ramsey</t>
  </si>
  <si>
    <t>Joseph Gutierrez</t>
  </si>
  <si>
    <t>Christopher Mills</t>
  </si>
  <si>
    <t>Avery and Sons</t>
  </si>
  <si>
    <t>Jamie Jimenez</t>
  </si>
  <si>
    <t>Richard Webster</t>
  </si>
  <si>
    <t>Ltd Richardson</t>
  </si>
  <si>
    <t>Charles Murphy</t>
  </si>
  <si>
    <t>David Soto</t>
  </si>
  <si>
    <t>and Sons Williams</t>
  </si>
  <si>
    <t>Carlos Lopez</t>
  </si>
  <si>
    <t>Michael Paul</t>
  </si>
  <si>
    <t>Carter-Reyes</t>
  </si>
  <si>
    <t>Johnny Irwin</t>
  </si>
  <si>
    <t>Robert Gregory</t>
  </si>
  <si>
    <t>LLC Gray</t>
  </si>
  <si>
    <t>Scott Werner</t>
  </si>
  <si>
    <t>Ashley Lane</t>
  </si>
  <si>
    <t>Gonzalez Anderson Jacobson, and</t>
  </si>
  <si>
    <t>Terri Stewart</t>
  </si>
  <si>
    <t>Jennifer Brown</t>
  </si>
  <si>
    <t>Miller Massey Lopez, and</t>
  </si>
  <si>
    <t>David Davis</t>
  </si>
  <si>
    <t>Kristen Aguirre</t>
  </si>
  <si>
    <t>Taylor Walsh Hawkins, and</t>
  </si>
  <si>
    <t>Stephen Harris</t>
  </si>
  <si>
    <t>Kathryn Trevino</t>
  </si>
  <si>
    <t>LLC Brown</t>
  </si>
  <si>
    <t>Bridget Adams</t>
  </si>
  <si>
    <t>Amanda Ramos</t>
  </si>
  <si>
    <t>Nelson-Wong</t>
  </si>
  <si>
    <t>Michael Morton</t>
  </si>
  <si>
    <t>Mr. William Decker</t>
  </si>
  <si>
    <t>LLC Berry</t>
  </si>
  <si>
    <t>Michelle Liu</t>
  </si>
  <si>
    <t>Michael Grant</t>
  </si>
  <si>
    <t>Anderson-Jenkins</t>
  </si>
  <si>
    <t>Regina Bright</t>
  </si>
  <si>
    <t>Megan Jones</t>
  </si>
  <si>
    <t>Wells and Sons</t>
  </si>
  <si>
    <t>Samuel Decker</t>
  </si>
  <si>
    <t>Mr. Andrew Hall Jr.</t>
  </si>
  <si>
    <t>Allen, Williams and Phillips</t>
  </si>
  <si>
    <t>Paul Wright</t>
  </si>
  <si>
    <t>Joseph Hernandez</t>
  </si>
  <si>
    <t>Gonzalez-Cummings</t>
  </si>
  <si>
    <t>Brian Olson</t>
  </si>
  <si>
    <t>Bryan Brock</t>
  </si>
  <si>
    <t>and Richardson Webster Smith,</t>
  </si>
  <si>
    <t>Tracey Harrison</t>
  </si>
  <si>
    <t>Austin Henderson</t>
  </si>
  <si>
    <t>Hudson-Flores</t>
  </si>
  <si>
    <t>Erika Johnson</t>
  </si>
  <si>
    <t>Jessica Bruce MD</t>
  </si>
  <si>
    <t>Inc Rios</t>
  </si>
  <si>
    <t>Peter Cunningham</t>
  </si>
  <si>
    <t>Kenneth Green</t>
  </si>
  <si>
    <t>PLC Thompson</t>
  </si>
  <si>
    <t>Sierra White</t>
  </si>
  <si>
    <t>Shelley Garcia</t>
  </si>
  <si>
    <t>Rosario Wells, Roberts and</t>
  </si>
  <si>
    <t>Eddie Russo Dvm</t>
  </si>
  <si>
    <t>Justin Douglas</t>
  </si>
  <si>
    <t>Ramirez-Taylor</t>
  </si>
  <si>
    <t>Yvette Turner</t>
  </si>
  <si>
    <t>William Faulkner</t>
  </si>
  <si>
    <t>Murphy-Mason</t>
  </si>
  <si>
    <t>James Charles</t>
  </si>
  <si>
    <t>Stephanie Davis</t>
  </si>
  <si>
    <t>Edwards Johnson, and Burgess</t>
  </si>
  <si>
    <t>Alexis Allen</t>
  </si>
  <si>
    <t>Ronald Parker</t>
  </si>
  <si>
    <t>LLC Spears</t>
  </si>
  <si>
    <t>Stephanie Martin</t>
  </si>
  <si>
    <t>Kevin Tucker</t>
  </si>
  <si>
    <t>Perez-Smith</t>
  </si>
  <si>
    <t>Shelby Anderson</t>
  </si>
  <si>
    <t>Katrina Allen</t>
  </si>
  <si>
    <t>and Sons Mcbride</t>
  </si>
  <si>
    <t>Abigail Farmer</t>
  </si>
  <si>
    <t>Alicia Lopez</t>
  </si>
  <si>
    <t>Sons and Chapman</t>
  </si>
  <si>
    <t>Christina Miller</t>
  </si>
  <si>
    <t>Stephen Lopez</t>
  </si>
  <si>
    <t>Cole-Davila</t>
  </si>
  <si>
    <t>Matthew Wyatt</t>
  </si>
  <si>
    <t>Alexandra Sims</t>
  </si>
  <si>
    <t>Pearson, and Lynch Oconnor</t>
  </si>
  <si>
    <t>David Montoya</t>
  </si>
  <si>
    <t>Andrea Lee</t>
  </si>
  <si>
    <t>Rivera-Peck</t>
  </si>
  <si>
    <t>Eric Park</t>
  </si>
  <si>
    <t>Olivia Anderson</t>
  </si>
  <si>
    <t>Hess-White</t>
  </si>
  <si>
    <t>Lori Trevino</t>
  </si>
  <si>
    <t>Michelle Barnett</t>
  </si>
  <si>
    <t>Fox and Moreno Williams,</t>
  </si>
  <si>
    <t>Dwayne Castillo</t>
  </si>
  <si>
    <t>Johnathan Mcmahon</t>
  </si>
  <si>
    <t>Johnson-Estrada</t>
  </si>
  <si>
    <t>Kristine Mccall</t>
  </si>
  <si>
    <t>Deborah Lawson</t>
  </si>
  <si>
    <t>Rivera-Mosley</t>
  </si>
  <si>
    <t>Joseph Sellers</t>
  </si>
  <si>
    <t>Diana Boyd</t>
  </si>
  <si>
    <t>Diaz Smith Johnson, and</t>
  </si>
  <si>
    <t>Dr. Donald Anderson</t>
  </si>
  <si>
    <t>Crystal Ritter</t>
  </si>
  <si>
    <t>Harris-Ingram</t>
  </si>
  <si>
    <t>Carla Mcneil</t>
  </si>
  <si>
    <t>and Esparza Sons</t>
  </si>
  <si>
    <t>Anna Jones</t>
  </si>
  <si>
    <t>Peggy Nunez</t>
  </si>
  <si>
    <t>Hunt Sons and</t>
  </si>
  <si>
    <t>Mr. Robert Davis</t>
  </si>
  <si>
    <t>Kenneth White</t>
  </si>
  <si>
    <t>Jeffrey Hall</t>
  </si>
  <si>
    <t>Leonard Alvarez</t>
  </si>
  <si>
    <t>Terry Graves</t>
  </si>
  <si>
    <t>Henry Rogers</t>
  </si>
  <si>
    <t>Foster Lamb, Graham and</t>
  </si>
  <si>
    <t>Jerome Morales</t>
  </si>
  <si>
    <t>George Smith</t>
  </si>
  <si>
    <t>Sanchez LLC</t>
  </si>
  <si>
    <t>Keith Rodriguez</t>
  </si>
  <si>
    <t>Anthony Anderson</t>
  </si>
  <si>
    <t>Fox-Anthony</t>
  </si>
  <si>
    <t>Tamara Davenport</t>
  </si>
  <si>
    <t>Meghan Bailey</t>
  </si>
  <si>
    <t>Fuentes Knight, Sandoval and</t>
  </si>
  <si>
    <t>Jonathan Simon</t>
  </si>
  <si>
    <t>Jason Phillips</t>
  </si>
  <si>
    <t>Hudson-Williams</t>
  </si>
  <si>
    <t>Holly Armstrong</t>
  </si>
  <si>
    <t>Bailey Ibarra</t>
  </si>
  <si>
    <t>Lowery, Dunn Anderson and</t>
  </si>
  <si>
    <t>Ronald Banks</t>
  </si>
  <si>
    <t>Kelsey Simpson</t>
  </si>
  <si>
    <t>Mullen-Hernandez</t>
  </si>
  <si>
    <t>Ryan Bradford Dds</t>
  </si>
  <si>
    <t>Sarah Guerra</t>
  </si>
  <si>
    <t>Herman, Liu and Hill</t>
  </si>
  <si>
    <t>Janice Hall</t>
  </si>
  <si>
    <t>Tony Matthews</t>
  </si>
  <si>
    <t>Davis White, Flores and</t>
  </si>
  <si>
    <t>Jacob Mcdonald</t>
  </si>
  <si>
    <t>Williams-Jones</t>
  </si>
  <si>
    <t>Glenn Massey</t>
  </si>
  <si>
    <t>Michael Villanueva</t>
  </si>
  <si>
    <t>Inc Holloway</t>
  </si>
  <si>
    <t>Sandra Murray</t>
  </si>
  <si>
    <t>Alan Cain</t>
  </si>
  <si>
    <t>Phillips Jones and Wu,</t>
  </si>
  <si>
    <t>Mark Williams</t>
  </si>
  <si>
    <t>Melissa Turner</t>
  </si>
  <si>
    <t>Wilson and Lopez, Molina</t>
  </si>
  <si>
    <t>Stephanie Reid Dvm</t>
  </si>
  <si>
    <t>Alexander Robles</t>
  </si>
  <si>
    <t>Jones-Garrett</t>
  </si>
  <si>
    <t>Seth Bartlett Ii</t>
  </si>
  <si>
    <t>Joseph Carr</t>
  </si>
  <si>
    <t>and Brown, James Green</t>
  </si>
  <si>
    <t>Jeremy Rich</t>
  </si>
  <si>
    <t>David Poole</t>
  </si>
  <si>
    <t>Meadows and Nelson, Owen</t>
  </si>
  <si>
    <t>Cynthia Thomas</t>
  </si>
  <si>
    <t>Sons and Gallegos</t>
  </si>
  <si>
    <t>Erin Martin</t>
  </si>
  <si>
    <t>Rebecca Reed</t>
  </si>
  <si>
    <t>Davis Group</t>
  </si>
  <si>
    <t>Frank Hess</t>
  </si>
  <si>
    <t>Steven Boyle</t>
  </si>
  <si>
    <t>Herrera Group</t>
  </si>
  <si>
    <t>Paul Rogers</t>
  </si>
  <si>
    <t>Bryan Wu</t>
  </si>
  <si>
    <t>Juarez-Weiss</t>
  </si>
  <si>
    <t>Jennifer Edwards</t>
  </si>
  <si>
    <t>James Quinn</t>
  </si>
  <si>
    <t>Dawson-Jones</t>
  </si>
  <si>
    <t>Brian Hall</t>
  </si>
  <si>
    <t>Ryan Rich</t>
  </si>
  <si>
    <t>Hickman Group</t>
  </si>
  <si>
    <t>Kimberly Williams</t>
  </si>
  <si>
    <t>James Robinson</t>
  </si>
  <si>
    <t>Herman-Ewing</t>
  </si>
  <si>
    <t>Isaac Mendez</t>
  </si>
  <si>
    <t>Edwin Sparks</t>
  </si>
  <si>
    <t>Gutierrez Inc</t>
  </si>
  <si>
    <t>Sarah Smith</t>
  </si>
  <si>
    <t>Tyler Parsons</t>
  </si>
  <si>
    <t>Hurley-Gill</t>
  </si>
  <si>
    <t>Daniel Wolf</t>
  </si>
  <si>
    <t>Kirk Rich II</t>
  </si>
  <si>
    <t>Dillon PLC</t>
  </si>
  <si>
    <t>Robert Ross</t>
  </si>
  <si>
    <t>Andrew Neal</t>
  </si>
  <si>
    <t>Murphy, and Garcia Jones</t>
  </si>
  <si>
    <t>Douglas Foster</t>
  </si>
  <si>
    <t>Susan Silva</t>
  </si>
  <si>
    <t>Ramsey-Thomas</t>
  </si>
  <si>
    <t>Louis Lowery</t>
  </si>
  <si>
    <t>Lynn York</t>
  </si>
  <si>
    <t>Miller and Sons</t>
  </si>
  <si>
    <t>Jessica Tyler</t>
  </si>
  <si>
    <t>Ellen Bush</t>
  </si>
  <si>
    <t>Chung Herrera, and Pollard</t>
  </si>
  <si>
    <t>William Davies</t>
  </si>
  <si>
    <t>Anthony Smith</t>
  </si>
  <si>
    <t>and Hernandez Waters, Cruz</t>
  </si>
  <si>
    <t>Jessica Reyes</t>
  </si>
  <si>
    <t>Mary Schwartz</t>
  </si>
  <si>
    <t>Schmidt Sons and</t>
  </si>
  <si>
    <t>Victoria Osborne</t>
  </si>
  <si>
    <t>and Carroll Orr Kelly,</t>
  </si>
  <si>
    <t>Paula Morales</t>
  </si>
  <si>
    <t>Regina Glass</t>
  </si>
  <si>
    <t>Smith and Rose Rivera,</t>
  </si>
  <si>
    <t>David Spears</t>
  </si>
  <si>
    <t>Craig Ray</t>
  </si>
  <si>
    <t>Odonnell-Watts</t>
  </si>
  <si>
    <t>Scott Berry</t>
  </si>
  <si>
    <t>Carlos Steele</t>
  </si>
  <si>
    <t>Inc Roberts</t>
  </si>
  <si>
    <t>Dalton Nguyen</t>
  </si>
  <si>
    <t>Michael Pugh</t>
  </si>
  <si>
    <t>LLC Chaney</t>
  </si>
  <si>
    <t>Scott Clark</t>
  </si>
  <si>
    <t>Mark Mccarthy</t>
  </si>
  <si>
    <t>Hutchinson, Wilson Daniel and</t>
  </si>
  <si>
    <t>Shane Green</t>
  </si>
  <si>
    <t>Davis-Martin</t>
  </si>
  <si>
    <t>Courtney Patrick</t>
  </si>
  <si>
    <t>Hayley Payne</t>
  </si>
  <si>
    <t>and Thompson Cook Wiggins,</t>
  </si>
  <si>
    <t>William Ware</t>
  </si>
  <si>
    <t>Christopher Sharp</t>
  </si>
  <si>
    <t>Baldwin PLC</t>
  </si>
  <si>
    <t>Amber Anderson</t>
  </si>
  <si>
    <t>Joseph Chandler</t>
  </si>
  <si>
    <t>Heath-Brown</t>
  </si>
  <si>
    <t>Casey Johnson</t>
  </si>
  <si>
    <t>Brandi Elliott</t>
  </si>
  <si>
    <t>Mendez, and Smith Munoz</t>
  </si>
  <si>
    <t>Zachary Collins</t>
  </si>
  <si>
    <t>Brian Fox</t>
  </si>
  <si>
    <t>Inc Daugherty</t>
  </si>
  <si>
    <t>Zachary Reed</t>
  </si>
  <si>
    <t>Paul Coleman</t>
  </si>
  <si>
    <t>Gonzalez LLC</t>
  </si>
  <si>
    <t>Christopher Weiss</t>
  </si>
  <si>
    <t>Kelly Thompson</t>
  </si>
  <si>
    <t>Hunter-Hughes</t>
  </si>
  <si>
    <t>Charles Strong</t>
  </si>
  <si>
    <t>Corey Perez</t>
  </si>
  <si>
    <t>and Woods, Rodriguez Williams</t>
  </si>
  <si>
    <t>Katherine Kelly</t>
  </si>
  <si>
    <t>Blake Phillips</t>
  </si>
  <si>
    <t>Lowery-Howard</t>
  </si>
  <si>
    <t>Christopher Henderson</t>
  </si>
  <si>
    <t>Nicole Phelps</t>
  </si>
  <si>
    <t>Colon-Leon</t>
  </si>
  <si>
    <t>Joseph Brown</t>
  </si>
  <si>
    <t>Lorraine Powers</t>
  </si>
  <si>
    <t>Boyle-Woods</t>
  </si>
  <si>
    <t>Joseph Sanchez</t>
  </si>
  <si>
    <t>Michael Colon</t>
  </si>
  <si>
    <t>and Graham Morris, Gonzales</t>
  </si>
  <si>
    <t>Kyle Perez</t>
  </si>
  <si>
    <t>Taylor Sullivan</t>
  </si>
  <si>
    <t>Tucker-Moyer</t>
  </si>
  <si>
    <t>Eduardo Houston</t>
  </si>
  <si>
    <t>Natalie Howell</t>
  </si>
  <si>
    <t>Sons and Stephenson</t>
  </si>
  <si>
    <t>Lori Roach</t>
  </si>
  <si>
    <t>Lonnie Duncan</t>
  </si>
  <si>
    <t>Hernandez PLC</t>
  </si>
  <si>
    <t>Eric Butler</t>
  </si>
  <si>
    <t>Bruce Rivera</t>
  </si>
  <si>
    <t>Dougherty Group</t>
  </si>
  <si>
    <t>Jeffrey Brown</t>
  </si>
  <si>
    <t>Jordan Shannon</t>
  </si>
  <si>
    <t>Morgan Zimmerman, Matthews and</t>
  </si>
  <si>
    <t>Thomas Haas</t>
  </si>
  <si>
    <t>Cindy Jones</t>
  </si>
  <si>
    <t>Jimenez-Huff</t>
  </si>
  <si>
    <t>Kelly Turner</t>
  </si>
  <si>
    <t>Reginald Mckinney</t>
  </si>
  <si>
    <t>Stevenson-Chen</t>
  </si>
  <si>
    <t>Lance Simpson</t>
  </si>
  <si>
    <t>Tiffany Hunt</t>
  </si>
  <si>
    <t>Parker-White</t>
  </si>
  <si>
    <t>Jeffrey Green</t>
  </si>
  <si>
    <t>Frank Pierce</t>
  </si>
  <si>
    <t>Vang Schneider and Torres,</t>
  </si>
  <si>
    <t>Eric Collins</t>
  </si>
  <si>
    <t>Olivia White</t>
  </si>
  <si>
    <t>Booth-Williams</t>
  </si>
  <si>
    <t>Brianna Williams</t>
  </si>
  <si>
    <t>Laura Hill</t>
  </si>
  <si>
    <t>Gray-Black</t>
  </si>
  <si>
    <t>Robert Graves</t>
  </si>
  <si>
    <t>Angela Rogers</t>
  </si>
  <si>
    <t>Johnson-Garcia</t>
  </si>
  <si>
    <t>Cindy Williams</t>
  </si>
  <si>
    <t>Salinas Terrell Villanueva, and</t>
  </si>
  <si>
    <t>Victor Sullivan</t>
  </si>
  <si>
    <t>Phelps Group</t>
  </si>
  <si>
    <t>Frank Scott</t>
  </si>
  <si>
    <t>Jonathan Jimenez</t>
  </si>
  <si>
    <t>Harrison and Erickson, Barnett</t>
  </si>
  <si>
    <t>Mark Bradshaw</t>
  </si>
  <si>
    <t>Ashley Bishop</t>
  </si>
  <si>
    <t>Fischer Ltd</t>
  </si>
  <si>
    <t>Jessica Dunn</t>
  </si>
  <si>
    <t>Charles Harris</t>
  </si>
  <si>
    <t>Rhodes-Kelly</t>
  </si>
  <si>
    <t>Kelsey Fox</t>
  </si>
  <si>
    <t>Brandon Richardson</t>
  </si>
  <si>
    <t>Tate Pierce and Jackson,</t>
  </si>
  <si>
    <t>Mary Rice</t>
  </si>
  <si>
    <t>Shane Wong</t>
  </si>
  <si>
    <t>Inc Daniel</t>
  </si>
  <si>
    <t>Rachel Jackson</t>
  </si>
  <si>
    <t>Michael Oliver</t>
  </si>
  <si>
    <t>and Roberson Lee Young,</t>
  </si>
  <si>
    <t>Leah Frederick</t>
  </si>
  <si>
    <t>John Cooper</t>
  </si>
  <si>
    <t>Giles-Miller</t>
  </si>
  <si>
    <t>Connor Odonnell</t>
  </si>
  <si>
    <t>Daniel Freeman</t>
  </si>
  <si>
    <t>Martinez, and Snyder Hill</t>
  </si>
  <si>
    <t>Claudia Downs</t>
  </si>
  <si>
    <t>Adriana Gould</t>
  </si>
  <si>
    <t>Barber-Page</t>
  </si>
  <si>
    <t>William Lang</t>
  </si>
  <si>
    <t>Amanda Hall</t>
  </si>
  <si>
    <t>and Hess Delgado Foster,</t>
  </si>
  <si>
    <t>Lisa Moran</t>
  </si>
  <si>
    <t>Michael Mcbride</t>
  </si>
  <si>
    <t>Johnson-Holland</t>
  </si>
  <si>
    <t>Ruben Burton</t>
  </si>
  <si>
    <t>Deborah Wise</t>
  </si>
  <si>
    <t>and Gonzales Dunn, Camacho</t>
  </si>
  <si>
    <t>Brandon Smith</t>
  </si>
  <si>
    <t>Ronald Edwards</t>
  </si>
  <si>
    <t>Rodriguez Diaz Daugherty, and</t>
  </si>
  <si>
    <t>Jessica Murphy</t>
  </si>
  <si>
    <t>Raymond Bowen</t>
  </si>
  <si>
    <t>Rowland-Abbott</t>
  </si>
  <si>
    <t>Misty Williams</t>
  </si>
  <si>
    <t>Jill Bailey</t>
  </si>
  <si>
    <t>Murphy, Reid Knox and</t>
  </si>
  <si>
    <t>Brandy George</t>
  </si>
  <si>
    <t>Jennifer Pope</t>
  </si>
  <si>
    <t>Ryan-Mcneil</t>
  </si>
  <si>
    <t>Andrea Buck</t>
  </si>
  <si>
    <t>Taylor Craig</t>
  </si>
  <si>
    <t>Ramos Miller and Moore,</t>
  </si>
  <si>
    <t>Stephanie Burke</t>
  </si>
  <si>
    <t>Kristy Waters</t>
  </si>
  <si>
    <t>Sons Cherry and</t>
  </si>
  <si>
    <t>Stephanie Moon</t>
  </si>
  <si>
    <t>Elizabeth Blevins</t>
  </si>
  <si>
    <t>Cook LLC</t>
  </si>
  <si>
    <t>Sharon Johnson</t>
  </si>
  <si>
    <t>Janice Jones</t>
  </si>
  <si>
    <t>Phillips Ltd</t>
  </si>
  <si>
    <t>Matthew Haley</t>
  </si>
  <si>
    <t>Joann Anderson</t>
  </si>
  <si>
    <t>Oliver Griffin Johnson, and</t>
  </si>
  <si>
    <t>Sabrina May</t>
  </si>
  <si>
    <t>Christine Mejia</t>
  </si>
  <si>
    <t>Gregory Group</t>
  </si>
  <si>
    <t>Melinda Austin</t>
  </si>
  <si>
    <t>Pamela Reed</t>
  </si>
  <si>
    <t>and Camacho Thomas Malone,</t>
  </si>
  <si>
    <t>Angela Montgomery</t>
  </si>
  <si>
    <t>William Holmes</t>
  </si>
  <si>
    <t>LLC Smith</t>
  </si>
  <si>
    <t>Vanessa Martin</t>
  </si>
  <si>
    <t>Heather Bowman</t>
  </si>
  <si>
    <t>Cunningham Andrade and Butler,</t>
  </si>
  <si>
    <t>Gabriel Stevens</t>
  </si>
  <si>
    <t>Brittany Burns</t>
  </si>
  <si>
    <t>Curtis-Lin</t>
  </si>
  <si>
    <t>Michael Wolfe</t>
  </si>
  <si>
    <t>Amber Carpenter</t>
  </si>
  <si>
    <t>Ltd Smith</t>
  </si>
  <si>
    <t>Brooke Torres</t>
  </si>
  <si>
    <t>Kimberly Castaneda</t>
  </si>
  <si>
    <t>Inc Sanchez</t>
  </si>
  <si>
    <t>Victor Duke</t>
  </si>
  <si>
    <t>Jessica Vasquez</t>
  </si>
  <si>
    <t>Rice, Cooper Rivera and</t>
  </si>
  <si>
    <t>Joseph Garrett</t>
  </si>
  <si>
    <t>Joseph Robinson</t>
  </si>
  <si>
    <t>Garcia LLC</t>
  </si>
  <si>
    <t>Kara Li</t>
  </si>
  <si>
    <t>Travis Morales</t>
  </si>
  <si>
    <t>Bell Ltd</t>
  </si>
  <si>
    <t>Juan Kelley</t>
  </si>
  <si>
    <t>Carrie Montes</t>
  </si>
  <si>
    <t>Hogan, Young Holmes and</t>
  </si>
  <si>
    <t>Shawna Russell</t>
  </si>
  <si>
    <t>Alexander Walters</t>
  </si>
  <si>
    <t>Vazquez-Sanchez</t>
  </si>
  <si>
    <t>Lori Lawrence</t>
  </si>
  <si>
    <t>Justin Paul</t>
  </si>
  <si>
    <t>Mcintyre Ltd</t>
  </si>
  <si>
    <t>Whitney Jones</t>
  </si>
  <si>
    <t>Curtis Fox</t>
  </si>
  <si>
    <t>White Roberts and Lee,</t>
  </si>
  <si>
    <t>Joe Davila</t>
  </si>
  <si>
    <t>Theresa Harrison</t>
  </si>
  <si>
    <t>Simpson Espinoza, and Thompson</t>
  </si>
  <si>
    <t>Lisa Keller</t>
  </si>
  <si>
    <t>Mark Maynard</t>
  </si>
  <si>
    <t>and Moore Sons</t>
  </si>
  <si>
    <t>Jordan Bush</t>
  </si>
  <si>
    <t>Randy Graham</t>
  </si>
  <si>
    <t>and Mclaughlin Powers Stevens,</t>
  </si>
  <si>
    <t>Brenda Yu</t>
  </si>
  <si>
    <t>Michael Jenkins</t>
  </si>
  <si>
    <t>and Anderson, Porter Becker</t>
  </si>
  <si>
    <t>Jasmine Short</t>
  </si>
  <si>
    <t>Amy Johnson</t>
  </si>
  <si>
    <t>Bailey-Hunt</t>
  </si>
  <si>
    <t>Tamara Leonard</t>
  </si>
  <si>
    <t>Timothy Wagner</t>
  </si>
  <si>
    <t>King and Bryant Olsen,</t>
  </si>
  <si>
    <t>Kevin Wong</t>
  </si>
  <si>
    <t>Kara Stevens</t>
  </si>
  <si>
    <t>Watson Johnson Joseph, and</t>
  </si>
  <si>
    <t>Lisa Lopez</t>
  </si>
  <si>
    <t>David Keller</t>
  </si>
  <si>
    <t>Group Evans</t>
  </si>
  <si>
    <t>Justin Vargas</t>
  </si>
  <si>
    <t>Emily Sanders</t>
  </si>
  <si>
    <t>Collins Porter and Rodgers,</t>
  </si>
  <si>
    <t>Jody Lopez</t>
  </si>
  <si>
    <t>Chris Green</t>
  </si>
  <si>
    <t>and Goodwin, Hernandez Andrade</t>
  </si>
  <si>
    <t>Jonathan Woods</t>
  </si>
  <si>
    <t>Kurt Hamilton</t>
  </si>
  <si>
    <t>Solomon PLC</t>
  </si>
  <si>
    <t>Emma Ray</t>
  </si>
  <si>
    <t>Richard Jones</t>
  </si>
  <si>
    <t>Flores Sons and</t>
  </si>
  <si>
    <t>Andrea Johnson</t>
  </si>
  <si>
    <t>Brian Herrera</t>
  </si>
  <si>
    <t>Lowe LLC</t>
  </si>
  <si>
    <t>Wayne Sharp</t>
  </si>
  <si>
    <t>Robert Perkins</t>
  </si>
  <si>
    <t>Lopez Keller, Williams and</t>
  </si>
  <si>
    <t>Shelby Black</t>
  </si>
  <si>
    <t>Peter Nunez</t>
  </si>
  <si>
    <t>Brown-Wood</t>
  </si>
  <si>
    <t>Martha Martin</t>
  </si>
  <si>
    <t>Diane Richardson</t>
  </si>
  <si>
    <t>Martinez-Davis</t>
  </si>
  <si>
    <t>Amanda Wilson</t>
  </si>
  <si>
    <t>Julia Monroe</t>
  </si>
  <si>
    <t>Alexander-Oconnor</t>
  </si>
  <si>
    <t>Jeremy Nguyen</t>
  </si>
  <si>
    <t>Michael Palmer</t>
  </si>
  <si>
    <t>Carlson-Stone</t>
  </si>
  <si>
    <t>Eileen Harris</t>
  </si>
  <si>
    <t>Hector King</t>
  </si>
  <si>
    <t>George Ward, and Clark</t>
  </si>
  <si>
    <t>John Becker</t>
  </si>
  <si>
    <t>Michael Webster</t>
  </si>
  <si>
    <t>Nicholson-Johnson</t>
  </si>
  <si>
    <t>Felicia Wiley</t>
  </si>
  <si>
    <t>Christy Maxwell</t>
  </si>
  <si>
    <t>PLC Carr</t>
  </si>
  <si>
    <t>Jesse Jones</t>
  </si>
  <si>
    <t>Jorge Armstrong</t>
  </si>
  <si>
    <t>Alexander-Middleton</t>
  </si>
  <si>
    <t>Steven Glenn</t>
  </si>
  <si>
    <t>Alexander Patterson</t>
  </si>
  <si>
    <t>Horton-Martinez</t>
  </si>
  <si>
    <t>Caroline Swanson</t>
  </si>
  <si>
    <t>Richard Rodgers</t>
  </si>
  <si>
    <t>Terry Nicholson</t>
  </si>
  <si>
    <t>Jasmine King</t>
  </si>
  <si>
    <t>PLC Obrien</t>
  </si>
  <si>
    <t>Kelly Thomas</t>
  </si>
  <si>
    <t>Nancy Sutton</t>
  </si>
  <si>
    <t>Ramos-Holt</t>
  </si>
  <si>
    <t>Steven Mcgee</t>
  </si>
  <si>
    <t>Brittany Anderson</t>
  </si>
  <si>
    <t>Patterson and Peterson, Velazquez</t>
  </si>
  <si>
    <t>Shelley Ware</t>
  </si>
  <si>
    <t>Heather Long</t>
  </si>
  <si>
    <t>Jensen and Jackson, Greene</t>
  </si>
  <si>
    <t>Melissa Brady</t>
  </si>
  <si>
    <t>Amy Hawkins</t>
  </si>
  <si>
    <t>Mathews-Lawrence</t>
  </si>
  <si>
    <t>Maria Hall</t>
  </si>
  <si>
    <t>Victor Fowler</t>
  </si>
  <si>
    <t>Morales, Johnson and Carlson</t>
  </si>
  <si>
    <t>Andre Smith</t>
  </si>
  <si>
    <t>Sharon Hall</t>
  </si>
  <si>
    <t>Wilson, Ward Taylor and</t>
  </si>
  <si>
    <t>Karen Gonzalez</t>
  </si>
  <si>
    <t>Jeffrey Arellano</t>
  </si>
  <si>
    <t>Torres-Johnson</t>
  </si>
  <si>
    <t>Vincent Sellers</t>
  </si>
  <si>
    <t>Mary Johnson</t>
  </si>
  <si>
    <t>Inc Mcbride</t>
  </si>
  <si>
    <t>Brandon Burke</t>
  </si>
  <si>
    <t>Kimberly Key</t>
  </si>
  <si>
    <t>and Dunlap, Wright Mays</t>
  </si>
  <si>
    <t>Mr. Mark Hancock</t>
  </si>
  <si>
    <t>Tara Lopez</t>
  </si>
  <si>
    <t>Sullivan-Crosby</t>
  </si>
  <si>
    <t>Kenneth Perez</t>
  </si>
  <si>
    <t>Angela Lara</t>
  </si>
  <si>
    <t>and Shaw, Davis Pollard</t>
  </si>
  <si>
    <t>Martin Hansen</t>
  </si>
  <si>
    <t>Laurie Brewer</t>
  </si>
  <si>
    <t>Williams LLC</t>
  </si>
  <si>
    <t>Susan Brown</t>
  </si>
  <si>
    <t>Margaret Hensley DVM</t>
  </si>
  <si>
    <t>Franklin Ltd</t>
  </si>
  <si>
    <t>Nicole Alvarado</t>
  </si>
  <si>
    <t>Adam Bowers</t>
  </si>
  <si>
    <t>Galloway-Barnett</t>
  </si>
  <si>
    <t>Jessica Rodriguez</t>
  </si>
  <si>
    <t>Renee Odom</t>
  </si>
  <si>
    <t>Miller Olson, and Collins</t>
  </si>
  <si>
    <t>Tina Price</t>
  </si>
  <si>
    <t>Amanda Morris</t>
  </si>
  <si>
    <t>Wheeler and Miller Burch,</t>
  </si>
  <si>
    <t>Mr. Jack Willis</t>
  </si>
  <si>
    <t>Gregory Oneill</t>
  </si>
  <si>
    <t>Mercer-Booker</t>
  </si>
  <si>
    <t>Gregory Adams</t>
  </si>
  <si>
    <t>Erika Smith</t>
  </si>
  <si>
    <t>and Burke Skinner Myers,</t>
  </si>
  <si>
    <t>David Roberts</t>
  </si>
  <si>
    <t>Michelle Harmon</t>
  </si>
  <si>
    <t>and Parker, Stout Chase</t>
  </si>
  <si>
    <t>Cory Perry</t>
  </si>
  <si>
    <t>Shane Russell</t>
  </si>
  <si>
    <t>Fernandez Harris, and Wilson</t>
  </si>
  <si>
    <t>Jessica Barry</t>
  </si>
  <si>
    <t>Rhonda Miller</t>
  </si>
  <si>
    <t>Young-Myers</t>
  </si>
  <si>
    <t>Aaron Turner</t>
  </si>
  <si>
    <t>Johnson PLC</t>
  </si>
  <si>
    <t>Shannon Johnson</t>
  </si>
  <si>
    <t>Angela Anderson</t>
  </si>
  <si>
    <t>Barber Waters Castillo, and</t>
  </si>
  <si>
    <t>Justin White</t>
  </si>
  <si>
    <t>Caitlin Jackson</t>
  </si>
  <si>
    <t>Jarvis-Craig</t>
  </si>
  <si>
    <t>Regina Stewart</t>
  </si>
  <si>
    <t>Jeremy Stout</t>
  </si>
  <si>
    <t>Schneider-Patton</t>
  </si>
  <si>
    <t>Chelsea Finley</t>
  </si>
  <si>
    <t>Michele Warren</t>
  </si>
  <si>
    <t>Kane Porter and Robinson,</t>
  </si>
  <si>
    <t>Emma Bennett</t>
  </si>
  <si>
    <t>Eric English</t>
  </si>
  <si>
    <t>Archer Inc</t>
  </si>
  <si>
    <t>Alan Lee</t>
  </si>
  <si>
    <t>Shirley Armstrong</t>
  </si>
  <si>
    <t>Castaneda-Powell</t>
  </si>
  <si>
    <t>Katelyn Miller</t>
  </si>
  <si>
    <t>King, Williams and Terry</t>
  </si>
  <si>
    <t>Steve Anderson</t>
  </si>
  <si>
    <t>Henry PLC</t>
  </si>
  <si>
    <t>David Pratt</t>
  </si>
  <si>
    <t>Candice Harris</t>
  </si>
  <si>
    <t>and Carpenter, Hernandez Chang</t>
  </si>
  <si>
    <t>Matthew Cunningham</t>
  </si>
  <si>
    <t>Rhonda Lucas</t>
  </si>
  <si>
    <t>Santiago-Bush</t>
  </si>
  <si>
    <t>Bobby Carson</t>
  </si>
  <si>
    <t>Cody Mcintyre</t>
  </si>
  <si>
    <t>Williams Hale and Summers,</t>
  </si>
  <si>
    <t>Melinda Wilson</t>
  </si>
  <si>
    <t>Scott Adams DDS</t>
  </si>
  <si>
    <t>Ltd Carroll</t>
  </si>
  <si>
    <t>Nancy Hansen</t>
  </si>
  <si>
    <t>Jason Dixon</t>
  </si>
  <si>
    <t>Stevenson, Harding and Woods</t>
  </si>
  <si>
    <t>Gregory Walls</t>
  </si>
  <si>
    <t>Larry Williams</t>
  </si>
  <si>
    <t>Munoz Ltd</t>
  </si>
  <si>
    <t>Amber Nixon</t>
  </si>
  <si>
    <t>Candice Gray</t>
  </si>
  <si>
    <t>Kristin Franco</t>
  </si>
  <si>
    <t>Kidd Romero, and Douglas</t>
  </si>
  <si>
    <t>Jeremiah Vazquez</t>
  </si>
  <si>
    <t>Megan Allen</t>
  </si>
  <si>
    <t>and Cordova Sons</t>
  </si>
  <si>
    <t>Jonathan Crawford</t>
  </si>
  <si>
    <t>Garcia-Clark</t>
  </si>
  <si>
    <t>Victoria Brady</t>
  </si>
  <si>
    <t>Benjamin Cruz</t>
  </si>
  <si>
    <t>Robinson Group</t>
  </si>
  <si>
    <t>Erin Clark</t>
  </si>
  <si>
    <t>Tracy Marks</t>
  </si>
  <si>
    <t>Hayes Ryan, and Martinez</t>
  </si>
  <si>
    <t>Heather Boyle</t>
  </si>
  <si>
    <t>Nathan Benjamin</t>
  </si>
  <si>
    <t>Glover and Oneill Miller,</t>
  </si>
  <si>
    <t>Elizabeth Sheppard</t>
  </si>
  <si>
    <t>Sara Cole</t>
  </si>
  <si>
    <t>Diaz Inc</t>
  </si>
  <si>
    <t>Robert Boone</t>
  </si>
  <si>
    <t>Sara Warner</t>
  </si>
  <si>
    <t>Martin-Nguyen</t>
  </si>
  <si>
    <t>Geoffrey Daniels</t>
  </si>
  <si>
    <t>Stanley Moreno</t>
  </si>
  <si>
    <t>Roberts Inc</t>
  </si>
  <si>
    <t>John Khan</t>
  </si>
  <si>
    <t>Nina Smith</t>
  </si>
  <si>
    <t>Riley, Grimes Ruiz and</t>
  </si>
  <si>
    <t>Christopher Armstrong</t>
  </si>
  <si>
    <t>Justin Nguyen</t>
  </si>
  <si>
    <t>Ltd Rogers</t>
  </si>
  <si>
    <t>Jennifer Lopez</t>
  </si>
  <si>
    <t>Michele Ramos</t>
  </si>
  <si>
    <t>Gomez Inc</t>
  </si>
  <si>
    <t>Melissa Robertson</t>
  </si>
  <si>
    <t>James Harris</t>
  </si>
  <si>
    <t>PLC Mack</t>
  </si>
  <si>
    <t>Carla Burgess</t>
  </si>
  <si>
    <t>Castro-Gomez</t>
  </si>
  <si>
    <t>Lisa Franklin</t>
  </si>
  <si>
    <t>Luke York</t>
  </si>
  <si>
    <t>Chan, Goodman and Gould</t>
  </si>
  <si>
    <t>Kristin Burton</t>
  </si>
  <si>
    <t>Whitney Phillips</t>
  </si>
  <si>
    <t>Russell and Randolph, Lawrence</t>
  </si>
  <si>
    <t>Caitlin Adams</t>
  </si>
  <si>
    <t>Daniel Johnson</t>
  </si>
  <si>
    <t>Evans-Gonzalez</t>
  </si>
  <si>
    <t>Evan Hernandez</t>
  </si>
  <si>
    <t>Audrey Lewis</t>
  </si>
  <si>
    <t>Miller Sons and</t>
  </si>
  <si>
    <t>Jennifer Knight</t>
  </si>
  <si>
    <t>Donald Wagner</t>
  </si>
  <si>
    <t>Watts-Schneider</t>
  </si>
  <si>
    <t>Bonnie Wilson</t>
  </si>
  <si>
    <t>Lisa Fisher</t>
  </si>
  <si>
    <t>Harrell Inc</t>
  </si>
  <si>
    <t>Kenneth Ramirez</t>
  </si>
  <si>
    <t>Amber Williams</t>
  </si>
  <si>
    <t>Reed Valdez and Pratt,</t>
  </si>
  <si>
    <t>Ellen Mccullough</t>
  </si>
  <si>
    <t>Patrick Medina</t>
  </si>
  <si>
    <t>Ali Group</t>
  </si>
  <si>
    <t>Thomas Stone</t>
  </si>
  <si>
    <t>Sheri Castro</t>
  </si>
  <si>
    <t>Conner-Nelson</t>
  </si>
  <si>
    <t>Kathleen Armstrong</t>
  </si>
  <si>
    <t>Crystal Thornton</t>
  </si>
  <si>
    <t>and Miller Prince Rodriguez,</t>
  </si>
  <si>
    <t>Terry Bennett</t>
  </si>
  <si>
    <t>Kimberly Carter</t>
  </si>
  <si>
    <t>Parker Davis Clark, and</t>
  </si>
  <si>
    <t>Kristin Nguyen</t>
  </si>
  <si>
    <t>Frederick Arnold</t>
  </si>
  <si>
    <t>Mills-Petersen</t>
  </si>
  <si>
    <t>Angela Randolph</t>
  </si>
  <si>
    <t>Anna Atkinson</t>
  </si>
  <si>
    <t>Smith Anderson and Hunt,</t>
  </si>
  <si>
    <t>Christopher Tate</t>
  </si>
  <si>
    <t>Mary Coleman</t>
  </si>
  <si>
    <t>Kennedy-Smith</t>
  </si>
  <si>
    <t>Christopher Walton</t>
  </si>
  <si>
    <t>Jeremy Parker</t>
  </si>
  <si>
    <t>and Moore, Ballard Johnson</t>
  </si>
  <si>
    <t>Meagan Miranda</t>
  </si>
  <si>
    <t>Dorothy Garcia</t>
  </si>
  <si>
    <t>Williams Reynolds and Rangel,</t>
  </si>
  <si>
    <t>David Brown</t>
  </si>
  <si>
    <t>John Sanders</t>
  </si>
  <si>
    <t>Shelton Johnson, and Green</t>
  </si>
  <si>
    <t>Eric Miller</t>
  </si>
  <si>
    <t>Ashlee Cooper</t>
  </si>
  <si>
    <t>Lopez, and Howard Morrison</t>
  </si>
  <si>
    <t>Joel Bartlett</t>
  </si>
  <si>
    <t>Nicole Vance</t>
  </si>
  <si>
    <t>Sons and Cortez</t>
  </si>
  <si>
    <t>Stacy Gillespie</t>
  </si>
  <si>
    <t>Karen Lynn</t>
  </si>
  <si>
    <t>Roberts Ltd</t>
  </si>
  <si>
    <t>Cindy Shaw</t>
  </si>
  <si>
    <t>Rachel Lopez</t>
  </si>
  <si>
    <t>Sellers-Shepard</t>
  </si>
  <si>
    <t>Andrew Erickson</t>
  </si>
  <si>
    <t>Samuel Williams</t>
  </si>
  <si>
    <t>Lloyd Scott, and Reese</t>
  </si>
  <si>
    <t>Ashley Rodriguez</t>
  </si>
  <si>
    <t>Steven Rogers</t>
  </si>
  <si>
    <t>Gibson-Osborne</t>
  </si>
  <si>
    <t>Darryl Cruz</t>
  </si>
  <si>
    <t>Melanie Lloyd</t>
  </si>
  <si>
    <t>Matthews-Morgan</t>
  </si>
  <si>
    <t>Sheila Church</t>
  </si>
  <si>
    <t>Bobby Mayo</t>
  </si>
  <si>
    <t>Scott and Sons</t>
  </si>
  <si>
    <t>Nancy Munoz</t>
  </si>
  <si>
    <t>Fernando Hodge</t>
  </si>
  <si>
    <t>Diaz-Richards</t>
  </si>
  <si>
    <t>Rebecca Martinez</t>
  </si>
  <si>
    <t>Valerie Simmons</t>
  </si>
  <si>
    <t>LLC Johnson</t>
  </si>
  <si>
    <t>John Simmons</t>
  </si>
  <si>
    <t>Cheryl Herrera</t>
  </si>
  <si>
    <t>Murphy Group</t>
  </si>
  <si>
    <t>Lance Torres</t>
  </si>
  <si>
    <t>John Rodriguez MD</t>
  </si>
  <si>
    <t>Barajas and Byrd, Wolf</t>
  </si>
  <si>
    <t>Timothy Terry</t>
  </si>
  <si>
    <t>Ashley Jackson</t>
  </si>
  <si>
    <t>Salazar Newman White, and</t>
  </si>
  <si>
    <t>John Moore</t>
  </si>
  <si>
    <t>Samuel Hebert</t>
  </si>
  <si>
    <t>Hancock-Lewis</t>
  </si>
  <si>
    <t>Bradley Ramos</t>
  </si>
  <si>
    <t>Ryan Garcia</t>
  </si>
  <si>
    <t>Barrett-Wright</t>
  </si>
  <si>
    <t>Jill Taylor</t>
  </si>
  <si>
    <t>Kelli Gutierrez</t>
  </si>
  <si>
    <t>Bowers Blankenship Jackson, and</t>
  </si>
  <si>
    <t>Kelly Brown</t>
  </si>
  <si>
    <t>Kenneth Watson</t>
  </si>
  <si>
    <t>Hahn-Wilson</t>
  </si>
  <si>
    <t>Jonathan Chavez</t>
  </si>
  <si>
    <t>Jo Donaldson</t>
  </si>
  <si>
    <t>Ramirez and Nelson, Collins</t>
  </si>
  <si>
    <t>Denise Wall</t>
  </si>
  <si>
    <t>Ronald Patrick</t>
  </si>
  <si>
    <t>Sosa-Jackson</t>
  </si>
  <si>
    <t>Todd Martinez</t>
  </si>
  <si>
    <t>Lonnie Patton</t>
  </si>
  <si>
    <t>Dillon-Richard</t>
  </si>
  <si>
    <t>Jennifer Ford</t>
  </si>
  <si>
    <t>Gabrielle Hendrix</t>
  </si>
  <si>
    <t>Stokes and Sons</t>
  </si>
  <si>
    <t>Raymond Park Jr.</t>
  </si>
  <si>
    <t>Brandy Parsons</t>
  </si>
  <si>
    <t>Inc Nguyen</t>
  </si>
  <si>
    <t>Julia Reynolds</t>
  </si>
  <si>
    <t>Anthony Norris</t>
  </si>
  <si>
    <t>Gallagher-Hernandez</t>
  </si>
  <si>
    <t>John Mclean</t>
  </si>
  <si>
    <t>Kristina Mendez MD</t>
  </si>
  <si>
    <t>Johnson David Carpenter, and</t>
  </si>
  <si>
    <t>Katie Howard</t>
  </si>
  <si>
    <t>Justin Clark</t>
  </si>
  <si>
    <t>and Montes Marshall Valdez,</t>
  </si>
  <si>
    <t>Amanda Lawson</t>
  </si>
  <si>
    <t>Charles Schmidt</t>
  </si>
  <si>
    <t>PLC Kelly</t>
  </si>
  <si>
    <t>Paul Murray</t>
  </si>
  <si>
    <t>Johnny Alvarado</t>
  </si>
  <si>
    <t>Wilson-Sherman</t>
  </si>
  <si>
    <t>James Morris</t>
  </si>
  <si>
    <t>Patricia Kidd</t>
  </si>
  <si>
    <t>Peterson Group</t>
  </si>
  <si>
    <t>Matthew Collins</t>
  </si>
  <si>
    <t>Christopher Fleming</t>
  </si>
  <si>
    <t>Hall-Taylor</t>
  </si>
  <si>
    <t>Sharon Carpenter</t>
  </si>
  <si>
    <t>Rios PLC</t>
  </si>
  <si>
    <t>Marcus Brown</t>
  </si>
  <si>
    <t>Adrian Powell</t>
  </si>
  <si>
    <t>Lutz, Lester and Kelly</t>
  </si>
  <si>
    <t>Mitchell Decker</t>
  </si>
  <si>
    <t>Alexander Rivera</t>
  </si>
  <si>
    <t>Scott, Moore and Brewer</t>
  </si>
  <si>
    <t>Donald Murphy</t>
  </si>
  <si>
    <t>Pam Johnson</t>
  </si>
  <si>
    <t>Sullivan Henderson Lloyd, and</t>
  </si>
  <si>
    <t>Joseph Farley</t>
  </si>
  <si>
    <t>Tracy Howard</t>
  </si>
  <si>
    <t>and Rhodes Trujillo, Booth</t>
  </si>
  <si>
    <t>Brendan Parker</t>
  </si>
  <si>
    <t>Matthew Taylor</t>
  </si>
  <si>
    <t>Bailey-White</t>
  </si>
  <si>
    <t>Samuel Davis</t>
  </si>
  <si>
    <t>Sharon Harding</t>
  </si>
  <si>
    <t>Bridges Inc</t>
  </si>
  <si>
    <t>Kelsey Porter</t>
  </si>
  <si>
    <t>Kristine Browning</t>
  </si>
  <si>
    <t>Jackson Carr, Garcia and</t>
  </si>
  <si>
    <t>Mark Bryant</t>
  </si>
  <si>
    <t>Timothy Kim</t>
  </si>
  <si>
    <t>Richardson-Griffin</t>
  </si>
  <si>
    <t>Margaret Zamora</t>
  </si>
  <si>
    <t>Joshua Ross</t>
  </si>
  <si>
    <t>Allen-Campbell</t>
  </si>
  <si>
    <t>David Payne</t>
  </si>
  <si>
    <t>Linda Adams</t>
  </si>
  <si>
    <t>Ferguson-Liu</t>
  </si>
  <si>
    <t>Tony Salas Phd</t>
  </si>
  <si>
    <t>Richard Andrews</t>
  </si>
  <si>
    <t>Lee Ltd</t>
  </si>
  <si>
    <t>Adrian Bowman</t>
  </si>
  <si>
    <t>Julie Warren</t>
  </si>
  <si>
    <t>Baldwin-Marshall</t>
  </si>
  <si>
    <t>Mrs. Lauren Morgan</t>
  </si>
  <si>
    <t>Angela Mathis</t>
  </si>
  <si>
    <t>Norman PLC</t>
  </si>
  <si>
    <t>Joshua Murray</t>
  </si>
  <si>
    <t>Beth Williams</t>
  </si>
  <si>
    <t>Boyd-Fisher</t>
  </si>
  <si>
    <t>Jason Weber</t>
  </si>
  <si>
    <t>Alejandra Williams</t>
  </si>
  <si>
    <t>Inc Davis</t>
  </si>
  <si>
    <t>Rebecca Lewis</t>
  </si>
  <si>
    <t>Jennifer Mitchell</t>
  </si>
  <si>
    <t>Perry Inc</t>
  </si>
  <si>
    <t>Joan Archer</t>
  </si>
  <si>
    <t>Bradley Hunter</t>
  </si>
  <si>
    <t>and Brown Larson Moyer,</t>
  </si>
  <si>
    <t>Brittany Edwards</t>
  </si>
  <si>
    <t>Todd Houston</t>
  </si>
  <si>
    <t>Soto-Boyle</t>
  </si>
  <si>
    <t>Timothy Diaz</t>
  </si>
  <si>
    <t>Jones-Ellis</t>
  </si>
  <si>
    <t>Daniel Blankenship</t>
  </si>
  <si>
    <t>Debra Carpenter</t>
  </si>
  <si>
    <t>Jenkins, Mathews and Ho</t>
  </si>
  <si>
    <t>Mary Stephens</t>
  </si>
  <si>
    <t>Amanda Johnson</t>
  </si>
  <si>
    <t>Villa Inc</t>
  </si>
  <si>
    <t>Brian Figueroa</t>
  </si>
  <si>
    <t>Joseph Flores</t>
  </si>
  <si>
    <t>Castro PLC</t>
  </si>
  <si>
    <t>Stephanie Anderson</t>
  </si>
  <si>
    <t>Kyle Gray</t>
  </si>
  <si>
    <t>Ortiz-Martin</t>
  </si>
  <si>
    <t>Medical Condition Analysis</t>
  </si>
  <si>
    <t xml:space="preserve">Medical Condition </t>
  </si>
  <si>
    <t>Patient Count</t>
  </si>
  <si>
    <t>Admission Type Analysis</t>
  </si>
  <si>
    <t>Count</t>
  </si>
  <si>
    <t>Gender Distribution</t>
  </si>
  <si>
    <t>Insurance Provider Analysis</t>
  </si>
  <si>
    <t>Patients</t>
  </si>
  <si>
    <t>Test Results Analysis</t>
  </si>
  <si>
    <t xml:space="preserve">Treatment cost analysis </t>
  </si>
  <si>
    <t>Healthcare Patient Records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</si>
</sst>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Roboto"/>
      <scheme val="minor"/>
    </font>
    <font>
      <b/>
      <sz val="16.0"/>
      <color rgb="FFFFFFFF"/>
      <name val="Roboto"/>
    </font>
    <font/>
    <font>
      <sz val="14.0"/>
      <color rgb="FFFFFFFF"/>
      <name val="Arial"/>
    </font>
    <font>
      <color theme="1"/>
      <name val="Roboto"/>
      <scheme val="minor"/>
    </font>
    <font>
      <b/>
      <sz val="14.0"/>
      <color rgb="FFFFFFFF"/>
      <name val="Arial"/>
    </font>
    <font>
      <b/>
      <sz val="12.0"/>
      <color rgb="FFFFFFFF"/>
      <name val="Roboto"/>
      <scheme val="minor"/>
    </font>
    <font>
      <color rgb="FFFFFFFF"/>
      <name val="Roboto"/>
      <scheme val="minor"/>
    </font>
    <font>
      <b/>
      <sz val="11.0"/>
      <color rgb="FFFFFFFF"/>
      <name val="Roboto"/>
      <scheme val="minor"/>
    </font>
    <font>
      <b/>
      <color rgb="FFFFFFFF"/>
      <name val="Roboto"/>
      <scheme val="minor"/>
    </font>
    <font>
      <sz val="12.0"/>
      <color rgb="FFFFFFFF"/>
      <name val="Roboto"/>
      <scheme val="minor"/>
    </font>
    <font>
      <b/>
      <sz val="19.0"/>
      <color rgb="FFFFFFFF"/>
      <name val="Roboto"/>
      <scheme val="minor"/>
    </font>
    <font>
      <b/>
      <sz val="20.0"/>
      <color rgb="FFFFFFFF"/>
      <name val="Roboto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990000"/>
        <bgColor rgb="FF990000"/>
      </patternFill>
    </fill>
    <fill>
      <patternFill patternType="solid">
        <fgColor rgb="FFE06666"/>
        <bgColor rgb="FFE06666"/>
      </patternFill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1C4587"/>
        <bgColor rgb="FF1C4587"/>
      </patternFill>
    </fill>
    <fill>
      <patternFill patternType="solid">
        <fgColor rgb="FF3D85C6"/>
        <bgColor rgb="FF3D85C6"/>
      </patternFill>
    </fill>
  </fills>
  <borders count="1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5" fillId="0" fontId="4" numFmtId="0" xfId="0" applyBorder="1" applyFont="1"/>
    <xf borderId="5" fillId="0" fontId="4" numFmtId="0" xfId="0" applyAlignment="1" applyBorder="1" applyFont="1">
      <alignment readingOrder="0"/>
    </xf>
    <xf borderId="5" fillId="0" fontId="4" numFmtId="164" xfId="0" applyAlignment="1" applyBorder="1" applyFont="1" applyNumberFormat="1">
      <alignment readingOrder="0"/>
    </xf>
    <xf borderId="6" fillId="3" fontId="5" numFmtId="0" xfId="0" applyAlignment="1" applyBorder="1" applyFont="1">
      <alignment horizontal="center" readingOrder="0"/>
    </xf>
    <xf borderId="7" fillId="0" fontId="2" numFmtId="0" xfId="0" applyBorder="1" applyFont="1"/>
    <xf borderId="8" fillId="0" fontId="4" numFmtId="0" xfId="0" applyBorder="1" applyFont="1"/>
    <xf borderId="8" fillId="0" fontId="4" numFmtId="0" xfId="0" applyAlignment="1" applyBorder="1" applyFont="1">
      <alignment readingOrder="0"/>
    </xf>
    <xf borderId="8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9" fillId="4" fontId="6" numFmtId="0" xfId="0" applyAlignment="1" applyBorder="1" applyFill="1" applyFont="1">
      <alignment horizontal="center" readingOrder="0"/>
    </xf>
    <xf borderId="10" fillId="0" fontId="2" numFmtId="0" xfId="0" applyBorder="1" applyFont="1"/>
    <xf borderId="0" fillId="0" fontId="4" numFmtId="0" xfId="0" applyAlignment="1" applyFont="1">
      <alignment horizontal="center" readingOrder="0"/>
    </xf>
    <xf borderId="8" fillId="5" fontId="7" numFmtId="0" xfId="0" applyAlignment="1" applyBorder="1" applyFill="1" applyFont="1">
      <alignment horizontal="center" readingOrder="0"/>
    </xf>
    <xf borderId="9" fillId="6" fontId="8" numFmtId="0" xfId="0" applyAlignment="1" applyBorder="1" applyFill="1" applyFont="1">
      <alignment horizontal="center" readingOrder="0"/>
    </xf>
    <xf borderId="8" fillId="7" fontId="9" numFmtId="0" xfId="0" applyAlignment="1" applyBorder="1" applyFill="1" applyFont="1">
      <alignment horizontal="center" readingOrder="0"/>
    </xf>
    <xf borderId="9" fillId="8" fontId="8" numFmtId="0" xfId="0" applyAlignment="1" applyBorder="1" applyFill="1" applyFont="1">
      <alignment horizontal="center" readingOrder="0"/>
    </xf>
    <xf borderId="8" fillId="9" fontId="9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9" fillId="10" fontId="10" numFmtId="0" xfId="0" applyAlignment="1" applyBorder="1" applyFill="1" applyFont="1">
      <alignment horizontal="center" readingOrder="0"/>
    </xf>
    <xf borderId="8" fillId="11" fontId="7" numFmtId="0" xfId="0" applyAlignment="1" applyBorder="1" applyFill="1" applyFont="1">
      <alignment horizontal="center" readingOrder="0"/>
    </xf>
    <xf borderId="9" fillId="12" fontId="8" numFmtId="0" xfId="0" applyAlignment="1" applyBorder="1" applyFill="1" applyFont="1">
      <alignment horizontal="center" readingOrder="0"/>
    </xf>
    <xf borderId="8" fillId="13" fontId="9" numFmtId="0" xfId="0" applyAlignment="1" applyBorder="1" applyFill="1" applyFont="1">
      <alignment horizontal="center" readingOrder="0"/>
    </xf>
    <xf borderId="0" fillId="14" fontId="11" numFmtId="0" xfId="0" applyAlignment="1" applyFill="1" applyFont="1">
      <alignment horizontal="center" readingOrder="0"/>
    </xf>
    <xf borderId="4" fillId="15" fontId="3" numFmtId="0" xfId="0" applyAlignment="1" applyBorder="1" applyFill="1" applyFont="1">
      <alignment horizontal="center" readingOrder="0"/>
    </xf>
    <xf borderId="11" fillId="16" fontId="12" numFmtId="0" xfId="0" applyAlignment="1" applyBorder="1" applyFill="1" applyFont="1">
      <alignment horizontal="center" readingOrder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1" fillId="17" fontId="4" numFmtId="0" xfId="0" applyBorder="1" applyFill="1" applyFont="1"/>
    <xf borderId="17" fillId="0" fontId="2" numFmtId="0" xfId="0" applyBorder="1" applyFont="1"/>
    <xf borderId="1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Medical Condition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'Medical Condition Analysis'!$B$1:$B$2</c:f>
            </c:strRef>
          </c:tx>
          <c:spPr>
            <a:solidFill>
              <a:srgbClr val="674EA7"/>
            </a:solidFill>
            <a:ln cmpd="sng">
              <a:noFill/>
            </a:ln>
          </c:spPr>
          <c:dPt>
            <c:idx val="2"/>
            <c:spPr>
              <a:solidFill>
                <a:srgbClr val="674EA7"/>
              </a:solidFill>
              <a:ln cmpd="sng">
                <a:noFill/>
              </a:ln>
            </c:spPr>
          </c:dPt>
          <c:cat>
            <c:strRef>
              <c:f>'Medical Condition Analysis'!$A$3:$A$7</c:f>
            </c:strRef>
          </c:cat>
          <c:val>
            <c:numRef>
              <c:f>'Medical Condition Analysis'!$B$3:$B$7</c:f>
              <c:numCache/>
            </c:numRef>
          </c:val>
        </c:ser>
        <c:axId val="287286235"/>
        <c:axId val="1891372396"/>
      </c:barChart>
      <c:catAx>
        <c:axId val="287286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Medical Condition </a:t>
                </a:r>
              </a:p>
            </c:rich>
          </c:tx>
          <c:layout>
            <c:manualLayout>
              <c:xMode val="edge"/>
              <c:yMode val="edge"/>
              <c:x val="0.12700716145833332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1891372396"/>
      </c:catAx>
      <c:valAx>
        <c:axId val="189137239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Patient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287286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Admission Type Analysis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'Admission Type Analysis'!$B$1:$B$2</c:f>
            </c:strRef>
          </c:tx>
          <c:dPt>
            <c:idx val="0"/>
            <c:spPr>
              <a:solidFill>
                <a:srgbClr val="741B47"/>
              </a:solidFill>
            </c:spPr>
          </c:dPt>
          <c:dPt>
            <c:idx val="1"/>
            <c:spPr>
              <a:solidFill>
                <a:srgbClr val="A64D79"/>
              </a:solidFill>
            </c:spPr>
          </c:dPt>
          <c:dPt>
            <c:idx val="2"/>
            <c:spPr>
              <a:solidFill>
                <a:srgbClr val="C27BA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'Admission Type Analysis'!$A$3:$A$5</c:f>
            </c:strRef>
          </c:cat>
          <c:val>
            <c:numRef>
              <c:f>'Admission Type Analysis'!$B$3:$B$5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Gender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'Gender Distribution'!$B$1:$B$2</c:f>
            </c:strRef>
          </c:tx>
          <c:spPr>
            <a:solidFill>
              <a:srgbClr val="660000">
                <a:alpha val="90196"/>
              </a:srgbClr>
            </a:solidFill>
            <a:ln cmpd="sng">
              <a:noFill/>
            </a:ln>
          </c:spPr>
          <c:cat>
            <c:strRef>
              <c:f>'Gender Distribution'!$A$3:$A$4</c:f>
            </c:strRef>
          </c:cat>
          <c:val>
            <c:numRef>
              <c:f>'Gender Distribution'!$B$3:$B$4</c:f>
              <c:numCache/>
            </c:numRef>
          </c:val>
        </c:ser>
        <c:axId val="773848930"/>
        <c:axId val="316962398"/>
      </c:barChart>
      <c:catAx>
        <c:axId val="7738489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1A1A1A"/>
                </a:solidFill>
                <a:latin typeface="+mn-lt"/>
              </a:defRPr>
            </a:pPr>
          </a:p>
        </c:txPr>
        <c:crossAx val="316962398"/>
      </c:catAx>
      <c:valAx>
        <c:axId val="31696239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 sz="1600">
                <a:solidFill>
                  <a:srgbClr val="1A1A1A"/>
                </a:solidFill>
                <a:latin typeface="+mn-lt"/>
              </a:defRPr>
            </a:pPr>
          </a:p>
        </c:txPr>
        <c:crossAx val="773848930"/>
        <c:crosses val="max"/>
      </c:valAx>
    </c:plotArea>
    <c:legend>
      <c:legendPos val="tr"/>
      <c:overlay val="1"/>
      <c:txPr>
        <a:bodyPr/>
        <a:lstStyle/>
        <a:p>
          <a:pPr lvl="0">
            <a:defRPr b="1" sz="160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Test Results Analysis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'Test Results Analysis'!$B$1:$B$2</c:f>
            </c:strRef>
          </c:tx>
          <c:dPt>
            <c:idx val="0"/>
            <c:explosion val="0"/>
            <c:spPr>
              <a:solidFill>
                <a:srgbClr val="B45F06"/>
              </a:solidFill>
            </c:spPr>
          </c:dPt>
          <c:dPt>
            <c:idx val="1"/>
            <c:spPr>
              <a:solidFill>
                <a:srgbClr val="783F04"/>
              </a:solidFill>
            </c:spPr>
          </c:dPt>
          <c:dPt>
            <c:idx val="2"/>
            <c:spPr>
              <a:solidFill>
                <a:srgbClr val="E6913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Results Analysis'!$A$3:$A$5</c:f>
            </c:strRef>
          </c:cat>
          <c:val>
            <c:numRef>
              <c:f>'Test Results Analysis'!$B$3:$B$5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Patient Count vs. Medical Condition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'Treatment cost analysis '!$F$3:$F$4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'Treatment cost analysis '!$E$5:$E$9</c:f>
            </c:strRef>
          </c:cat>
          <c:val>
            <c:numRef>
              <c:f>'Treatment cost analysis '!$F$5:$F$9</c:f>
              <c:numCache/>
            </c:numRef>
          </c:val>
        </c:ser>
        <c:axId val="1386285697"/>
        <c:axId val="323566042"/>
      </c:barChart>
      <c:catAx>
        <c:axId val="1386285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Medical Condition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23566042"/>
      </c:catAx>
      <c:valAx>
        <c:axId val="323566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Patient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386285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Medical Condition Analysis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'Medical Condition Analysis'!$B$1:$B$2</c:f>
            </c:strRef>
          </c:tx>
          <c:spPr>
            <a:solidFill>
              <a:srgbClr val="674EA7"/>
            </a:solidFill>
            <a:ln cmpd="sng">
              <a:noFill/>
            </a:ln>
          </c:spPr>
          <c:dPt>
            <c:idx val="0"/>
            <c:spPr>
              <a:solidFill>
                <a:srgbClr val="674EA7"/>
              </a:solidFill>
              <a:ln cmpd="sng">
                <a:noFill/>
              </a:ln>
            </c:spPr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'Medical Condition Analysis'!$A$3:$A$7</c:f>
            </c:strRef>
          </c:cat>
          <c:val>
            <c:numRef>
              <c:f>'Medical Condition Analysis'!$B$3:$B$7</c:f>
              <c:numCache/>
            </c:numRef>
          </c:val>
        </c:ser>
        <c:overlap val="100"/>
        <c:axId val="35241993"/>
        <c:axId val="520651530"/>
      </c:barChart>
      <c:catAx>
        <c:axId val="35241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Medical Condition </a:t>
                </a:r>
              </a:p>
            </c:rich>
          </c:tx>
          <c:layout>
            <c:manualLayout>
              <c:xMode val="edge"/>
              <c:yMode val="edge"/>
              <c:x val="0.12700716145833332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520651530"/>
      </c:catAx>
      <c:valAx>
        <c:axId val="52065153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Patient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35241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Admission Type Analysis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'Admission Type Analysis'!$B$1:$B$2</c:f>
            </c:strRef>
          </c:tx>
          <c:dPt>
            <c:idx val="0"/>
            <c:spPr>
              <a:solidFill>
                <a:srgbClr val="741B47"/>
              </a:solidFill>
            </c:spPr>
          </c:dPt>
          <c:dPt>
            <c:idx val="1"/>
            <c:spPr>
              <a:solidFill>
                <a:srgbClr val="A64D79"/>
              </a:solidFill>
            </c:spPr>
          </c:dPt>
          <c:dPt>
            <c:idx val="2"/>
            <c:spPr>
              <a:solidFill>
                <a:srgbClr val="C27BA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'Admission Type Analysis'!$A$3:$A$5</c:f>
            </c:strRef>
          </c:cat>
          <c:val>
            <c:numRef>
              <c:f>'Admission Type Analysis'!$B$3:$B$5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Gender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'Gender Distribution'!$B$1:$B$2</c:f>
            </c:strRef>
          </c:tx>
          <c:spPr>
            <a:solidFill>
              <a:srgbClr val="660000">
                <a:alpha val="90196"/>
              </a:srgbClr>
            </a:solidFill>
            <a:ln cmpd="sng">
              <a:noFill/>
              <a:prstDash val="solid"/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'Gender Distribution'!$A$3:$A$4</c:f>
            </c:strRef>
          </c:cat>
          <c:val>
            <c:numRef>
              <c:f>'Gender Distribution'!$B$3:$B$4</c:f>
              <c:numCache/>
            </c:numRef>
          </c:val>
        </c:ser>
        <c:axId val="638386867"/>
        <c:axId val="1486122854"/>
      </c:barChart>
      <c:catAx>
        <c:axId val="6383868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1A1A1A"/>
                    </a:solidFill>
                    <a:latin typeface="+mn-lt"/>
                  </a:defRPr>
                </a:pPr>
                <a:r>
                  <a:rPr b="1" sz="1400">
                    <a:solidFill>
                      <a:srgbClr val="1A1A1A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1A1A1A"/>
                </a:solidFill>
                <a:latin typeface="+mn-lt"/>
              </a:defRPr>
            </a:pPr>
          </a:p>
        </c:txPr>
        <c:crossAx val="1486122854"/>
      </c:catAx>
      <c:valAx>
        <c:axId val="148612285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 sz="1600">
                <a:solidFill>
                  <a:srgbClr val="1A1A1A"/>
                </a:solidFill>
                <a:latin typeface="+mn-lt"/>
              </a:defRPr>
            </a:pPr>
          </a:p>
        </c:txPr>
        <c:crossAx val="638386867"/>
        <c:crosses val="max"/>
      </c:valAx>
    </c:plotArea>
    <c:legend>
      <c:legendPos val="tr"/>
      <c:overlay val="1"/>
      <c:txPr>
        <a:bodyPr/>
        <a:lstStyle/>
        <a:p>
          <a:pPr lvl="0">
            <a:defRPr b="1" sz="160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'Insurance Provider Analysis'!$B$1</c:f>
            </c:strRef>
          </c:tx>
          <c:spPr>
            <a:solidFill>
              <a:srgbClr val="134F5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'Insurance Provider Analysis'!$A$2:$A$8</c:f>
            </c:strRef>
          </c:cat>
          <c:val>
            <c:numRef>
              <c:f>'Insurance Provider Analysis'!$B$2:$B$8</c:f>
              <c:numCache/>
            </c:numRef>
          </c:val>
        </c:ser>
        <c:axId val="839635406"/>
        <c:axId val="1442813037"/>
      </c:barChart>
      <c:catAx>
        <c:axId val="839635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Insurance Provider Analysis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1442813037"/>
      </c:catAx>
      <c:valAx>
        <c:axId val="144281303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39635406"/>
      </c:valAx>
    </c:plotArea>
    <c:legend>
      <c:legendPos val="tr"/>
      <c:overlay val="1"/>
      <c:txPr>
        <a:bodyPr/>
        <a:lstStyle/>
        <a:p>
          <a:pPr lvl="0">
            <a:defRPr b="1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Test Results Analysis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'Test Results Analysis'!$B$1:$B$2</c:f>
            </c:strRef>
          </c:tx>
          <c:dPt>
            <c:idx val="0"/>
            <c:explosion val="0"/>
            <c:spPr>
              <a:solidFill>
                <a:srgbClr val="B45F06"/>
              </a:solidFill>
            </c:spPr>
          </c:dPt>
          <c:dPt>
            <c:idx val="1"/>
            <c:spPr>
              <a:solidFill>
                <a:srgbClr val="783F04"/>
              </a:solidFill>
            </c:spPr>
          </c:dPt>
          <c:dPt>
            <c:idx val="2"/>
            <c:spPr>
              <a:solidFill>
                <a:srgbClr val="E69138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'Test Results Analysis'!$A$3:$A$5</c:f>
            </c:strRef>
          </c:cat>
          <c:val>
            <c:numRef>
              <c:f>'Test Results Analysis'!$B$3:$B$5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Treatment cost analysis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'Treatment cost analysis '!$F$3:$F$4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'Treatment cost analysis '!$E$5:$E$9</c:f>
            </c:strRef>
          </c:cat>
          <c:val>
            <c:numRef>
              <c:f>'Treatment cost analysis '!$F$5:$F$9</c:f>
              <c:numCache/>
            </c:numRef>
          </c:val>
        </c:ser>
        <c:axId val="1035422965"/>
        <c:axId val="1878914584"/>
      </c:barChart>
      <c:catAx>
        <c:axId val="1035422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1A1A1A"/>
                    </a:solidFill>
                    <a:latin typeface="+mn-lt"/>
                  </a:defRPr>
                </a:pPr>
                <a:r>
                  <a:rPr b="1" sz="1600">
                    <a:solidFill>
                      <a:srgbClr val="1A1A1A"/>
                    </a:solidFill>
                    <a:latin typeface="+mn-lt"/>
                  </a:rPr>
                  <a:t>Medical Condition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1878914584"/>
      </c:catAx>
      <c:valAx>
        <c:axId val="1878914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1A1A1A"/>
                    </a:solidFill>
                    <a:latin typeface="+mn-lt"/>
                  </a:defRPr>
                </a:pPr>
                <a:r>
                  <a:rPr b="1" sz="1600">
                    <a:solidFill>
                      <a:srgbClr val="1A1A1A"/>
                    </a:solidFill>
                    <a:latin typeface="+mn-lt"/>
                  </a:rPr>
                  <a:t>Patient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10354229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638175</xdr:colOff>
      <xdr:row>5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7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4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5</xdr:row>
      <xdr:rowOff>161925</xdr:rowOff>
    </xdr:from>
    <xdr:ext cx="5838825" cy="3533775"/>
    <xdr:pic>
      <xdr:nvPicPr>
        <xdr:cNvPr id="83403133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10</xdr:row>
      <xdr:rowOff>0</xdr:rowOff>
    </xdr:from>
    <xdr:ext cx="4333875" cy="26765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1152525</xdr:colOff>
      <xdr:row>12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3</xdr:row>
      <xdr:rowOff>66675</xdr:rowOff>
    </xdr:from>
    <xdr:ext cx="5600700" cy="34671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19050</xdr:colOff>
      <xdr:row>3</xdr:row>
      <xdr:rowOff>66675</xdr:rowOff>
    </xdr:from>
    <xdr:ext cx="5600700" cy="34671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857250</xdr:colOff>
      <xdr:row>3</xdr:row>
      <xdr:rowOff>85725</xdr:rowOff>
    </xdr:from>
    <xdr:ext cx="5572125" cy="34671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152400</xdr:colOff>
      <xdr:row>20</xdr:row>
      <xdr:rowOff>161925</xdr:rowOff>
    </xdr:from>
    <xdr:ext cx="5600700" cy="34290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28575</xdr:colOff>
      <xdr:row>20</xdr:row>
      <xdr:rowOff>161925</xdr:rowOff>
    </xdr:from>
    <xdr:ext cx="5600700" cy="34671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866775</xdr:colOff>
      <xdr:row>20</xdr:row>
      <xdr:rowOff>161925</xdr:rowOff>
    </xdr:from>
    <xdr:ext cx="5572125" cy="34671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2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FFFFFF"/>
      </a:lt1>
      <a:dk2>
        <a:srgbClr val="1A1A1A"/>
      </a:dk2>
      <a:lt2>
        <a:srgbClr val="FFFFFF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5.38"/>
    <col customWidth="1" min="3" max="3" width="9.13"/>
    <col customWidth="1" min="4" max="4" width="13.5"/>
    <col customWidth="1" min="5" max="5" width="21.13"/>
    <col customWidth="1" min="6" max="6" width="21.5"/>
    <col customWidth="1" min="7" max="7" width="20.63"/>
    <col customWidth="1" min="8" max="8" width="27.63"/>
    <col customWidth="1" min="9" max="9" width="22.13"/>
    <col customWidth="1" min="10" max="10" width="17.63"/>
    <col customWidth="1" min="11" max="11" width="17.13"/>
    <col customWidth="1" min="12" max="12" width="18.88"/>
    <col customWidth="1" min="13" max="13" width="18.0"/>
    <col customWidth="1" min="14" max="14" width="13.13"/>
    <col customWidth="1" min="15" max="15" width="14.75"/>
    <col customWidth="1" min="17" max="17" width="30.63"/>
    <col customWidth="1" min="18" max="18" width="18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>
      <c r="A3" s="5" t="s">
        <v>16</v>
      </c>
      <c r="B3" s="6">
        <v>30.0</v>
      </c>
      <c r="C3" s="6" t="s">
        <v>17</v>
      </c>
      <c r="D3" s="6" t="s">
        <v>18</v>
      </c>
      <c r="E3" s="6" t="s">
        <v>19</v>
      </c>
      <c r="F3" s="7">
        <v>45322.0</v>
      </c>
      <c r="G3" s="6" t="s">
        <v>20</v>
      </c>
      <c r="H3" s="6" t="s">
        <v>21</v>
      </c>
      <c r="I3" s="6" t="s">
        <v>22</v>
      </c>
      <c r="J3" s="6">
        <v>18856.2813059781</v>
      </c>
      <c r="K3" s="6">
        <v>328.0</v>
      </c>
      <c r="L3" s="6" t="s">
        <v>23</v>
      </c>
      <c r="M3" s="7">
        <v>45324.0</v>
      </c>
      <c r="N3" s="6" t="s">
        <v>24</v>
      </c>
      <c r="O3" s="6" t="s">
        <v>25</v>
      </c>
      <c r="Q3" s="8" t="s">
        <v>26</v>
      </c>
      <c r="R3" s="9"/>
    </row>
    <row r="4">
      <c r="A4" s="10" t="s">
        <v>27</v>
      </c>
      <c r="B4" s="11">
        <v>62.0</v>
      </c>
      <c r="C4" s="11" t="s">
        <v>17</v>
      </c>
      <c r="D4" s="11" t="s">
        <v>28</v>
      </c>
      <c r="E4" s="11" t="s">
        <v>29</v>
      </c>
      <c r="F4" s="12">
        <v>43697.0</v>
      </c>
      <c r="G4" s="11" t="s">
        <v>30</v>
      </c>
      <c r="H4" s="11" t="s">
        <v>31</v>
      </c>
      <c r="I4" s="11" t="s">
        <v>32</v>
      </c>
      <c r="J4" s="11">
        <v>33643.3272865778</v>
      </c>
      <c r="K4" s="11">
        <v>265.0</v>
      </c>
      <c r="L4" s="11" t="s">
        <v>33</v>
      </c>
      <c r="M4" s="12">
        <v>43703.0</v>
      </c>
      <c r="N4" s="11" t="s">
        <v>34</v>
      </c>
      <c r="O4" s="11" t="s">
        <v>35</v>
      </c>
      <c r="Q4" s="6" t="s">
        <v>36</v>
      </c>
      <c r="R4" s="6">
        <f>COUNTA($A3:$A1002)</f>
        <v>1000</v>
      </c>
    </row>
    <row r="5">
      <c r="A5" s="10" t="s">
        <v>37</v>
      </c>
      <c r="B5" s="11">
        <v>76.0</v>
      </c>
      <c r="C5" s="11" t="s">
        <v>38</v>
      </c>
      <c r="D5" s="11" t="s">
        <v>39</v>
      </c>
      <c r="E5" s="11" t="s">
        <v>29</v>
      </c>
      <c r="F5" s="12">
        <v>44826.0</v>
      </c>
      <c r="G5" s="11" t="s">
        <v>40</v>
      </c>
      <c r="H5" s="11" t="s">
        <v>41</v>
      </c>
      <c r="I5" s="11" t="s">
        <v>42</v>
      </c>
      <c r="J5" s="11">
        <v>27955.0960788424</v>
      </c>
      <c r="K5" s="11">
        <v>205.0</v>
      </c>
      <c r="L5" s="11" t="s">
        <v>33</v>
      </c>
      <c r="M5" s="12">
        <v>44841.0</v>
      </c>
      <c r="N5" s="11" t="s">
        <v>43</v>
      </c>
      <c r="O5" s="11" t="s">
        <v>25</v>
      </c>
      <c r="Q5" s="11" t="s">
        <v>44</v>
      </c>
      <c r="R5" s="10">
        <f>COUNTA($H3:$H1002)</f>
        <v>1000</v>
      </c>
    </row>
    <row r="6">
      <c r="A6" s="10" t="s">
        <v>45</v>
      </c>
      <c r="B6" s="11">
        <v>28.0</v>
      </c>
      <c r="C6" s="11" t="s">
        <v>38</v>
      </c>
      <c r="D6" s="11" t="s">
        <v>46</v>
      </c>
      <c r="E6" s="11" t="s">
        <v>47</v>
      </c>
      <c r="F6" s="12">
        <v>44153.0</v>
      </c>
      <c r="G6" s="11" t="s">
        <v>48</v>
      </c>
      <c r="H6" s="11" t="s">
        <v>49</v>
      </c>
      <c r="I6" s="11" t="s">
        <v>32</v>
      </c>
      <c r="J6" s="11">
        <v>37909.7824098752</v>
      </c>
      <c r="K6" s="11">
        <v>450.0</v>
      </c>
      <c r="L6" s="11" t="s">
        <v>50</v>
      </c>
      <c r="M6" s="12">
        <v>44183.0</v>
      </c>
      <c r="N6" s="11" t="s">
        <v>34</v>
      </c>
      <c r="O6" s="11" t="s">
        <v>51</v>
      </c>
      <c r="Q6" s="11" t="s">
        <v>52</v>
      </c>
      <c r="R6" s="10">
        <f>COUNTA($G3:$G1002)</f>
        <v>1000</v>
      </c>
    </row>
    <row r="7">
      <c r="A7" s="10" t="s">
        <v>53</v>
      </c>
      <c r="B7" s="11">
        <v>43.0</v>
      </c>
      <c r="C7" s="11" t="s">
        <v>38</v>
      </c>
      <c r="D7" s="11" t="s">
        <v>54</v>
      </c>
      <c r="E7" s="11" t="s">
        <v>19</v>
      </c>
      <c r="F7" s="12">
        <v>44823.0</v>
      </c>
      <c r="G7" s="11" t="s">
        <v>55</v>
      </c>
      <c r="H7" s="11" t="s">
        <v>56</v>
      </c>
      <c r="I7" s="11" t="s">
        <v>42</v>
      </c>
      <c r="J7" s="11">
        <v>14238.3178139376</v>
      </c>
      <c r="K7" s="11">
        <v>458.0</v>
      </c>
      <c r="L7" s="11" t="s">
        <v>23</v>
      </c>
      <c r="M7" s="12">
        <v>44843.0</v>
      </c>
      <c r="N7" s="11" t="s">
        <v>57</v>
      </c>
      <c r="O7" s="11" t="s">
        <v>51</v>
      </c>
      <c r="Q7" s="11" t="s">
        <v>58</v>
      </c>
      <c r="R7" s="10">
        <f>AVERAGE($B3:$B1002)</f>
        <v>50.977</v>
      </c>
    </row>
    <row r="8">
      <c r="A8" s="10" t="s">
        <v>59</v>
      </c>
      <c r="B8" s="11">
        <v>36.0</v>
      </c>
      <c r="C8" s="11" t="s">
        <v>17</v>
      </c>
      <c r="D8" s="11" t="s">
        <v>28</v>
      </c>
      <c r="E8" s="11" t="s">
        <v>60</v>
      </c>
      <c r="F8" s="12">
        <v>45280.0</v>
      </c>
      <c r="G8" s="11" t="s">
        <v>61</v>
      </c>
      <c r="H8" s="11" t="s">
        <v>62</v>
      </c>
      <c r="I8" s="11" t="s">
        <v>63</v>
      </c>
      <c r="J8" s="11">
        <v>48145.1109510418</v>
      </c>
      <c r="K8" s="11">
        <v>389.0</v>
      </c>
      <c r="L8" s="11" t="s">
        <v>23</v>
      </c>
      <c r="M8" s="12">
        <v>45284.0</v>
      </c>
      <c r="N8" s="11" t="s">
        <v>34</v>
      </c>
      <c r="O8" s="11" t="s">
        <v>25</v>
      </c>
      <c r="Q8" s="11" t="s">
        <v>64</v>
      </c>
      <c r="R8" s="10">
        <f>SUM($J3:$J1002)</f>
        <v>25117631.94</v>
      </c>
    </row>
    <row r="9">
      <c r="A9" s="10" t="s">
        <v>65</v>
      </c>
      <c r="B9" s="11">
        <v>21.0</v>
      </c>
      <c r="C9" s="11" t="s">
        <v>38</v>
      </c>
      <c r="D9" s="11" t="s">
        <v>66</v>
      </c>
      <c r="E9" s="11" t="s">
        <v>47</v>
      </c>
      <c r="F9" s="12">
        <v>44138.0</v>
      </c>
      <c r="G9" s="11" t="s">
        <v>67</v>
      </c>
      <c r="H9" s="11" t="s">
        <v>68</v>
      </c>
      <c r="I9" s="11" t="s">
        <v>32</v>
      </c>
      <c r="J9" s="11">
        <v>19580.8723448609</v>
      </c>
      <c r="K9" s="11">
        <v>389.0</v>
      </c>
      <c r="L9" s="11" t="s">
        <v>33</v>
      </c>
      <c r="M9" s="12">
        <v>44150.0</v>
      </c>
      <c r="N9" s="11" t="s">
        <v>24</v>
      </c>
      <c r="O9" s="11" t="s">
        <v>35</v>
      </c>
      <c r="Q9" s="11" t="s">
        <v>69</v>
      </c>
      <c r="R9" s="10">
        <f>AVERAGE($J3:$J1002)</f>
        <v>25117.63194</v>
      </c>
    </row>
    <row r="10">
      <c r="A10" s="10" t="s">
        <v>70</v>
      </c>
      <c r="B10" s="11">
        <v>20.0</v>
      </c>
      <c r="C10" s="11" t="s">
        <v>38</v>
      </c>
      <c r="D10" s="11" t="s">
        <v>28</v>
      </c>
      <c r="E10" s="11" t="s">
        <v>19</v>
      </c>
      <c r="F10" s="12">
        <v>44558.0</v>
      </c>
      <c r="G10" s="11" t="s">
        <v>71</v>
      </c>
      <c r="H10" s="11" t="s">
        <v>72</v>
      </c>
      <c r="I10" s="11" t="s">
        <v>73</v>
      </c>
      <c r="J10" s="11">
        <v>45820.4627215945</v>
      </c>
      <c r="K10" s="11">
        <v>277.0</v>
      </c>
      <c r="L10" s="11" t="s">
        <v>33</v>
      </c>
      <c r="M10" s="12">
        <v>44568.0</v>
      </c>
      <c r="N10" s="11" t="s">
        <v>24</v>
      </c>
      <c r="O10" s="11" t="s">
        <v>35</v>
      </c>
      <c r="Q10" s="11" t="s">
        <v>74</v>
      </c>
      <c r="R10" s="10">
        <f>COUNTIF($L3:$L1002,"Urgent")</f>
        <v>317</v>
      </c>
    </row>
    <row r="11">
      <c r="A11" s="10" t="s">
        <v>75</v>
      </c>
      <c r="B11" s="11">
        <v>82.0</v>
      </c>
      <c r="C11" s="11" t="s">
        <v>17</v>
      </c>
      <c r="D11" s="11" t="s">
        <v>54</v>
      </c>
      <c r="E11" s="11" t="s">
        <v>60</v>
      </c>
      <c r="F11" s="12">
        <v>44013.0</v>
      </c>
      <c r="G11" s="11" t="s">
        <v>76</v>
      </c>
      <c r="H11" s="11" t="s">
        <v>77</v>
      </c>
      <c r="I11" s="11" t="s">
        <v>73</v>
      </c>
      <c r="J11" s="11">
        <v>50119.2227915485</v>
      </c>
      <c r="K11" s="11">
        <v>316.0</v>
      </c>
      <c r="L11" s="11" t="s">
        <v>50</v>
      </c>
      <c r="M11" s="12">
        <v>44026.0</v>
      </c>
      <c r="N11" s="11" t="s">
        <v>43</v>
      </c>
      <c r="O11" s="11" t="s">
        <v>51</v>
      </c>
      <c r="Q11" s="11" t="s">
        <v>78</v>
      </c>
      <c r="R11" s="10">
        <f>COUNTIF($L3:$L1002,"Emergency")</f>
        <v>315</v>
      </c>
    </row>
    <row r="12">
      <c r="A12" s="10" t="s">
        <v>79</v>
      </c>
      <c r="B12" s="11">
        <v>58.0</v>
      </c>
      <c r="C12" s="11" t="s">
        <v>38</v>
      </c>
      <c r="D12" s="11" t="s">
        <v>66</v>
      </c>
      <c r="E12" s="11" t="s">
        <v>19</v>
      </c>
      <c r="F12" s="12">
        <v>44339.0</v>
      </c>
      <c r="G12" s="11" t="s">
        <v>80</v>
      </c>
      <c r="H12" s="11" t="s">
        <v>81</v>
      </c>
      <c r="I12" s="11" t="s">
        <v>63</v>
      </c>
      <c r="J12" s="11">
        <v>19784.6310622107</v>
      </c>
      <c r="K12" s="11">
        <v>249.0</v>
      </c>
      <c r="L12" s="11" t="s">
        <v>50</v>
      </c>
      <c r="M12" s="12">
        <v>44369.0</v>
      </c>
      <c r="N12" s="11" t="s">
        <v>24</v>
      </c>
      <c r="O12" s="11" t="s">
        <v>35</v>
      </c>
      <c r="Q12" s="11" t="s">
        <v>82</v>
      </c>
      <c r="R12" s="10">
        <f>COUNTIF($L3:$L1002,"Elective")</f>
        <v>368</v>
      </c>
    </row>
    <row r="13">
      <c r="A13" s="10" t="s">
        <v>83</v>
      </c>
      <c r="B13" s="11">
        <v>72.0</v>
      </c>
      <c r="C13" s="11" t="s">
        <v>17</v>
      </c>
      <c r="D13" s="11" t="s">
        <v>46</v>
      </c>
      <c r="E13" s="11" t="s">
        <v>19</v>
      </c>
      <c r="F13" s="12">
        <v>43940.0</v>
      </c>
      <c r="G13" s="11" t="s">
        <v>84</v>
      </c>
      <c r="H13" s="11" t="s">
        <v>85</v>
      </c>
      <c r="I13" s="11" t="s">
        <v>32</v>
      </c>
      <c r="J13" s="11">
        <v>12576.7956090502</v>
      </c>
      <c r="K13" s="11">
        <v>394.0</v>
      </c>
      <c r="L13" s="11" t="s">
        <v>23</v>
      </c>
      <c r="M13" s="12">
        <v>43943.0</v>
      </c>
      <c r="N13" s="11" t="s">
        <v>24</v>
      </c>
      <c r="O13" s="11" t="s">
        <v>25</v>
      </c>
      <c r="Q13" s="11" t="s">
        <v>86</v>
      </c>
      <c r="R13" s="6">
        <f>COUNTA($E3:$E1002)</f>
        <v>1000</v>
      </c>
    </row>
    <row r="14">
      <c r="A14" s="10" t="s">
        <v>87</v>
      </c>
      <c r="B14" s="11">
        <v>38.0</v>
      </c>
      <c r="C14" s="11" t="s">
        <v>38</v>
      </c>
      <c r="D14" s="11" t="s">
        <v>39</v>
      </c>
      <c r="E14" s="11" t="s">
        <v>88</v>
      </c>
      <c r="F14" s="12">
        <v>45151.0</v>
      </c>
      <c r="G14" s="11" t="s">
        <v>89</v>
      </c>
      <c r="H14" s="11" t="s">
        <v>90</v>
      </c>
      <c r="I14" s="11" t="s">
        <v>32</v>
      </c>
      <c r="J14" s="11">
        <v>7999.58687960418</v>
      </c>
      <c r="K14" s="11">
        <v>288.0</v>
      </c>
      <c r="L14" s="11" t="s">
        <v>23</v>
      </c>
      <c r="M14" s="12">
        <v>45174.0</v>
      </c>
      <c r="N14" s="11" t="s">
        <v>91</v>
      </c>
      <c r="O14" s="11" t="s">
        <v>35</v>
      </c>
      <c r="Q14" s="11" t="s">
        <v>92</v>
      </c>
      <c r="R14" s="10">
        <f>COUNTIF($O3:$O1002,"Normal")</f>
        <v>326</v>
      </c>
    </row>
    <row r="15">
      <c r="A15" s="10" t="s">
        <v>93</v>
      </c>
      <c r="B15" s="11">
        <v>75.0</v>
      </c>
      <c r="C15" s="11" t="s">
        <v>38</v>
      </c>
      <c r="D15" s="11" t="s">
        <v>28</v>
      </c>
      <c r="E15" s="11" t="s">
        <v>47</v>
      </c>
      <c r="F15" s="12">
        <v>43811.0</v>
      </c>
      <c r="G15" s="11" t="s">
        <v>94</v>
      </c>
      <c r="H15" s="11" t="s">
        <v>95</v>
      </c>
      <c r="I15" s="11" t="s">
        <v>73</v>
      </c>
      <c r="J15" s="11">
        <v>43282.2833577043</v>
      </c>
      <c r="K15" s="11">
        <v>134.0</v>
      </c>
      <c r="L15" s="11" t="s">
        <v>33</v>
      </c>
      <c r="M15" s="12">
        <v>43827.0</v>
      </c>
      <c r="N15" s="11" t="s">
        <v>57</v>
      </c>
      <c r="O15" s="11" t="s">
        <v>51</v>
      </c>
      <c r="Q15" s="11" t="s">
        <v>96</v>
      </c>
      <c r="R15" s="10">
        <f>COUNTIF($O3:$O1002,"Abnormal")</f>
        <v>350</v>
      </c>
    </row>
    <row r="16">
      <c r="A16" s="10" t="s">
        <v>97</v>
      </c>
      <c r="B16" s="11">
        <v>68.0</v>
      </c>
      <c r="C16" s="11" t="s">
        <v>38</v>
      </c>
      <c r="D16" s="11" t="s">
        <v>54</v>
      </c>
      <c r="E16" s="11" t="s">
        <v>60</v>
      </c>
      <c r="F16" s="12">
        <v>43973.0</v>
      </c>
      <c r="G16" s="11" t="s">
        <v>98</v>
      </c>
      <c r="H16" s="11" t="s">
        <v>99</v>
      </c>
      <c r="I16" s="11" t="s">
        <v>63</v>
      </c>
      <c r="J16" s="11">
        <v>33207.7066337296</v>
      </c>
      <c r="K16" s="11">
        <v>309.0</v>
      </c>
      <c r="L16" s="11" t="s">
        <v>23</v>
      </c>
      <c r="M16" s="12">
        <v>44001.0</v>
      </c>
      <c r="N16" s="11" t="s">
        <v>91</v>
      </c>
      <c r="O16" s="11" t="s">
        <v>25</v>
      </c>
      <c r="Q16" s="11" t="s">
        <v>100</v>
      </c>
      <c r="R16" s="10">
        <f>COUNTIF($O3:$O1002,"Inconclusive")</f>
        <v>324</v>
      </c>
    </row>
    <row r="17">
      <c r="A17" s="10" t="s">
        <v>101</v>
      </c>
      <c r="B17" s="11">
        <v>44.0</v>
      </c>
      <c r="C17" s="11" t="s">
        <v>38</v>
      </c>
      <c r="D17" s="11" t="s">
        <v>54</v>
      </c>
      <c r="E17" s="11" t="s">
        <v>19</v>
      </c>
      <c r="F17" s="12">
        <v>44477.0</v>
      </c>
      <c r="G17" s="11" t="s">
        <v>102</v>
      </c>
      <c r="H17" s="11" t="s">
        <v>103</v>
      </c>
      <c r="I17" s="11" t="s">
        <v>63</v>
      </c>
      <c r="J17" s="11">
        <v>40701.5992273087</v>
      </c>
      <c r="K17" s="11">
        <v>182.0</v>
      </c>
      <c r="L17" s="11" t="s">
        <v>23</v>
      </c>
      <c r="M17" s="12">
        <v>44482.0</v>
      </c>
      <c r="N17" s="11" t="s">
        <v>24</v>
      </c>
      <c r="O17" s="11" t="s">
        <v>25</v>
      </c>
      <c r="Q17" s="11" t="s">
        <v>104</v>
      </c>
      <c r="R17" s="11">
        <v>6.0</v>
      </c>
    </row>
    <row r="18">
      <c r="A18" s="10" t="s">
        <v>105</v>
      </c>
      <c r="B18" s="11">
        <v>46.0</v>
      </c>
      <c r="C18" s="11" t="s">
        <v>38</v>
      </c>
      <c r="D18" s="11" t="s">
        <v>66</v>
      </c>
      <c r="E18" s="11" t="s">
        <v>29</v>
      </c>
      <c r="F18" s="12">
        <v>44927.0</v>
      </c>
      <c r="G18" s="11" t="s">
        <v>106</v>
      </c>
      <c r="H18" s="11" t="s">
        <v>107</v>
      </c>
      <c r="I18" s="11" t="s">
        <v>22</v>
      </c>
      <c r="J18" s="11">
        <v>12263.3574250213</v>
      </c>
      <c r="K18" s="11">
        <v>465.0</v>
      </c>
      <c r="L18" s="11" t="s">
        <v>50</v>
      </c>
      <c r="M18" s="12">
        <v>44937.0</v>
      </c>
      <c r="N18" s="11" t="s">
        <v>43</v>
      </c>
      <c r="O18" s="11" t="s">
        <v>35</v>
      </c>
    </row>
    <row r="19">
      <c r="A19" s="10" t="s">
        <v>108</v>
      </c>
      <c r="B19" s="11">
        <v>63.0</v>
      </c>
      <c r="C19" s="11" t="s">
        <v>38</v>
      </c>
      <c r="D19" s="11" t="s">
        <v>28</v>
      </c>
      <c r="E19" s="11" t="s">
        <v>109</v>
      </c>
      <c r="F19" s="12">
        <v>44005.0</v>
      </c>
      <c r="G19" s="11" t="s">
        <v>110</v>
      </c>
      <c r="H19" s="11" t="s">
        <v>111</v>
      </c>
      <c r="I19" s="11" t="s">
        <v>63</v>
      </c>
      <c r="J19" s="11">
        <v>24499.8479037365</v>
      </c>
      <c r="K19" s="11">
        <v>114.0</v>
      </c>
      <c r="L19" s="11" t="s">
        <v>50</v>
      </c>
      <c r="M19" s="12">
        <v>44026.0</v>
      </c>
      <c r="N19" s="11" t="s">
        <v>24</v>
      </c>
      <c r="O19" s="11" t="s">
        <v>25</v>
      </c>
    </row>
    <row r="20">
      <c r="A20" s="10" t="s">
        <v>112</v>
      </c>
      <c r="B20" s="11">
        <v>38.0</v>
      </c>
      <c r="C20" s="11" t="s">
        <v>17</v>
      </c>
      <c r="D20" s="11" t="s">
        <v>66</v>
      </c>
      <c r="E20" s="11" t="s">
        <v>29</v>
      </c>
      <c r="F20" s="12">
        <v>43898.0</v>
      </c>
      <c r="G20" s="11" t="s">
        <v>113</v>
      </c>
      <c r="H20" s="11" t="s">
        <v>114</v>
      </c>
      <c r="I20" s="11" t="s">
        <v>73</v>
      </c>
      <c r="J20" s="11">
        <v>17440.4654441246</v>
      </c>
      <c r="K20" s="11">
        <v>449.0</v>
      </c>
      <c r="L20" s="11" t="s">
        <v>23</v>
      </c>
      <c r="M20" s="12">
        <v>43923.0</v>
      </c>
      <c r="N20" s="11" t="s">
        <v>24</v>
      </c>
      <c r="O20" s="11" t="s">
        <v>51</v>
      </c>
    </row>
    <row r="21">
      <c r="A21" s="10" t="s">
        <v>115</v>
      </c>
      <c r="B21" s="11">
        <v>34.0</v>
      </c>
      <c r="C21" s="11" t="s">
        <v>38</v>
      </c>
      <c r="D21" s="11" t="s">
        <v>39</v>
      </c>
      <c r="E21" s="11" t="s">
        <v>88</v>
      </c>
      <c r="F21" s="12">
        <v>44259.0</v>
      </c>
      <c r="G21" s="11" t="s">
        <v>116</v>
      </c>
      <c r="H21" s="11" t="s">
        <v>117</v>
      </c>
      <c r="I21" s="11" t="s">
        <v>22</v>
      </c>
      <c r="J21" s="11">
        <v>18843.0230178341</v>
      </c>
      <c r="K21" s="11">
        <v>260.0</v>
      </c>
      <c r="L21" s="11" t="s">
        <v>50</v>
      </c>
      <c r="M21" s="12">
        <v>44269.0</v>
      </c>
      <c r="N21" s="11" t="s">
        <v>43</v>
      </c>
      <c r="O21" s="11" t="s">
        <v>51</v>
      </c>
    </row>
    <row r="22">
      <c r="A22" s="10" t="s">
        <v>118</v>
      </c>
      <c r="B22" s="11">
        <v>63.0</v>
      </c>
      <c r="C22" s="11" t="s">
        <v>17</v>
      </c>
      <c r="D22" s="11" t="s">
        <v>119</v>
      </c>
      <c r="E22" s="11" t="s">
        <v>60</v>
      </c>
      <c r="F22" s="12">
        <v>44880.0</v>
      </c>
      <c r="G22" s="11" t="s">
        <v>120</v>
      </c>
      <c r="H22" s="11" t="s">
        <v>121</v>
      </c>
      <c r="I22" s="11" t="s">
        <v>73</v>
      </c>
      <c r="J22" s="11">
        <v>23762.2035790595</v>
      </c>
      <c r="K22" s="11">
        <v>465.0</v>
      </c>
      <c r="L22" s="11" t="s">
        <v>50</v>
      </c>
      <c r="M22" s="12">
        <v>44887.0</v>
      </c>
      <c r="N22" s="11" t="s">
        <v>57</v>
      </c>
      <c r="O22" s="11" t="s">
        <v>25</v>
      </c>
    </row>
    <row r="23">
      <c r="A23" s="10" t="s">
        <v>122</v>
      </c>
      <c r="B23" s="11">
        <v>67.0</v>
      </c>
      <c r="C23" s="11" t="s">
        <v>38</v>
      </c>
      <c r="D23" s="11" t="s">
        <v>39</v>
      </c>
      <c r="E23" s="11" t="s">
        <v>60</v>
      </c>
      <c r="F23" s="12">
        <v>45105.0</v>
      </c>
      <c r="G23" s="11" t="s">
        <v>123</v>
      </c>
      <c r="H23" s="11" t="s">
        <v>124</v>
      </c>
      <c r="I23" s="11" t="s">
        <v>22</v>
      </c>
      <c r="J23" s="11">
        <v>42.5145885533243</v>
      </c>
      <c r="K23" s="11">
        <v>115.0</v>
      </c>
      <c r="L23" s="11" t="s">
        <v>50</v>
      </c>
      <c r="M23" s="12">
        <v>45109.0</v>
      </c>
      <c r="N23" s="11" t="s">
        <v>43</v>
      </c>
      <c r="O23" s="11" t="s">
        <v>25</v>
      </c>
    </row>
    <row r="24">
      <c r="A24" s="10" t="s">
        <v>125</v>
      </c>
      <c r="B24" s="11">
        <v>48.0</v>
      </c>
      <c r="C24" s="11" t="s">
        <v>17</v>
      </c>
      <c r="D24" s="11" t="s">
        <v>119</v>
      </c>
      <c r="E24" s="11" t="s">
        <v>60</v>
      </c>
      <c r="F24" s="12">
        <v>43851.0</v>
      </c>
      <c r="G24" s="11" t="s">
        <v>126</v>
      </c>
      <c r="H24" s="11" t="s">
        <v>127</v>
      </c>
      <c r="I24" s="11" t="s">
        <v>42</v>
      </c>
      <c r="J24" s="11">
        <v>17695.9116223438</v>
      </c>
      <c r="K24" s="11">
        <v>295.0</v>
      </c>
      <c r="L24" s="11" t="s">
        <v>23</v>
      </c>
      <c r="M24" s="12">
        <v>43870.0</v>
      </c>
      <c r="N24" s="11" t="s">
        <v>91</v>
      </c>
      <c r="O24" s="11" t="s">
        <v>25</v>
      </c>
    </row>
    <row r="25">
      <c r="A25" s="10" t="s">
        <v>128</v>
      </c>
      <c r="B25" s="11">
        <v>58.0</v>
      </c>
      <c r="C25" s="11" t="s">
        <v>38</v>
      </c>
      <c r="D25" s="11" t="s">
        <v>46</v>
      </c>
      <c r="E25" s="11" t="s">
        <v>109</v>
      </c>
      <c r="F25" s="12">
        <v>44693.0</v>
      </c>
      <c r="G25" s="11" t="s">
        <v>129</v>
      </c>
      <c r="H25" s="11" t="s">
        <v>130</v>
      </c>
      <c r="I25" s="11" t="s">
        <v>42</v>
      </c>
      <c r="J25" s="11">
        <v>5998.10290819591</v>
      </c>
      <c r="K25" s="11">
        <v>327.0</v>
      </c>
      <c r="L25" s="11" t="s">
        <v>23</v>
      </c>
      <c r="M25" s="12">
        <v>44722.0</v>
      </c>
      <c r="N25" s="11" t="s">
        <v>91</v>
      </c>
      <c r="O25" s="11" t="s">
        <v>35</v>
      </c>
    </row>
    <row r="26">
      <c r="A26" s="10" t="s">
        <v>131</v>
      </c>
      <c r="B26" s="11">
        <v>59.0</v>
      </c>
      <c r="C26" s="11" t="s">
        <v>17</v>
      </c>
      <c r="D26" s="11" t="s">
        <v>28</v>
      </c>
      <c r="E26" s="11" t="s">
        <v>60</v>
      </c>
      <c r="F26" s="12">
        <v>44410.0</v>
      </c>
      <c r="G26" s="11" t="s">
        <v>132</v>
      </c>
      <c r="H26" s="11" t="s">
        <v>133</v>
      </c>
      <c r="I26" s="11" t="s">
        <v>42</v>
      </c>
      <c r="J26" s="11">
        <v>25250.0524282161</v>
      </c>
      <c r="K26" s="11">
        <v>119.0</v>
      </c>
      <c r="L26" s="11" t="s">
        <v>23</v>
      </c>
      <c r="M26" s="12">
        <v>44420.0</v>
      </c>
      <c r="N26" s="11" t="s">
        <v>91</v>
      </c>
      <c r="O26" s="11" t="s">
        <v>35</v>
      </c>
    </row>
    <row r="27">
      <c r="A27" s="10" t="s">
        <v>134</v>
      </c>
      <c r="B27" s="11">
        <v>72.0</v>
      </c>
      <c r="C27" s="11" t="s">
        <v>38</v>
      </c>
      <c r="D27" s="11" t="s">
        <v>54</v>
      </c>
      <c r="E27" s="11" t="s">
        <v>88</v>
      </c>
      <c r="F27" s="12">
        <v>43966.0</v>
      </c>
      <c r="G27" s="11" t="s">
        <v>135</v>
      </c>
      <c r="H27" s="11" t="s">
        <v>136</v>
      </c>
      <c r="I27" s="11" t="s">
        <v>32</v>
      </c>
      <c r="J27" s="11">
        <v>33211.295419012</v>
      </c>
      <c r="K27" s="11">
        <v>109.0</v>
      </c>
      <c r="L27" s="11" t="s">
        <v>33</v>
      </c>
      <c r="M27" s="12">
        <v>43990.0</v>
      </c>
      <c r="N27" s="11" t="s">
        <v>24</v>
      </c>
      <c r="O27" s="11" t="s">
        <v>35</v>
      </c>
    </row>
    <row r="28">
      <c r="A28" s="10" t="s">
        <v>137</v>
      </c>
      <c r="B28" s="11">
        <v>73.0</v>
      </c>
      <c r="C28" s="11" t="s">
        <v>17</v>
      </c>
      <c r="D28" s="11" t="s">
        <v>54</v>
      </c>
      <c r="E28" s="11" t="s">
        <v>29</v>
      </c>
      <c r="F28" s="12">
        <v>43966.0</v>
      </c>
      <c r="G28" s="11" t="s">
        <v>138</v>
      </c>
      <c r="H28" s="11" t="s">
        <v>139</v>
      </c>
      <c r="I28" s="11" t="s">
        <v>32</v>
      </c>
      <c r="J28" s="11">
        <v>19746.8320076043</v>
      </c>
      <c r="K28" s="11">
        <v>162.0</v>
      </c>
      <c r="L28" s="11" t="s">
        <v>23</v>
      </c>
      <c r="M28" s="12">
        <v>43971.0</v>
      </c>
      <c r="N28" s="11" t="s">
        <v>43</v>
      </c>
      <c r="O28" s="11" t="s">
        <v>51</v>
      </c>
    </row>
    <row r="29">
      <c r="A29" s="10" t="s">
        <v>140</v>
      </c>
      <c r="B29" s="11">
        <v>51.0</v>
      </c>
      <c r="C29" s="11" t="s">
        <v>38</v>
      </c>
      <c r="D29" s="11" t="s">
        <v>141</v>
      </c>
      <c r="E29" s="11" t="s">
        <v>60</v>
      </c>
      <c r="F29" s="12">
        <v>45283.0</v>
      </c>
      <c r="G29" s="11" t="s">
        <v>142</v>
      </c>
      <c r="H29" s="11" t="s">
        <v>143</v>
      </c>
      <c r="I29" s="11" t="s">
        <v>22</v>
      </c>
      <c r="J29" s="11">
        <v>26786.5295553112</v>
      </c>
      <c r="K29" s="11">
        <v>401.0</v>
      </c>
      <c r="L29" s="11" t="s">
        <v>50</v>
      </c>
      <c r="M29" s="12">
        <v>45310.0</v>
      </c>
      <c r="N29" s="11" t="s">
        <v>34</v>
      </c>
      <c r="O29" s="11" t="s">
        <v>25</v>
      </c>
    </row>
    <row r="30">
      <c r="A30" s="10" t="s">
        <v>144</v>
      </c>
      <c r="B30" s="11">
        <v>34.0</v>
      </c>
      <c r="C30" s="11" t="s">
        <v>38</v>
      </c>
      <c r="D30" s="11" t="s">
        <v>28</v>
      </c>
      <c r="E30" s="11" t="s">
        <v>47</v>
      </c>
      <c r="F30" s="12">
        <v>44733.0</v>
      </c>
      <c r="G30" s="11" t="s">
        <v>145</v>
      </c>
      <c r="H30" s="11" t="s">
        <v>146</v>
      </c>
      <c r="I30" s="11" t="s">
        <v>63</v>
      </c>
      <c r="J30" s="11">
        <v>18834.8013411783</v>
      </c>
      <c r="K30" s="11">
        <v>157.0</v>
      </c>
      <c r="L30" s="11" t="s">
        <v>33</v>
      </c>
      <c r="M30" s="12">
        <v>44742.0</v>
      </c>
      <c r="N30" s="11" t="s">
        <v>91</v>
      </c>
      <c r="O30" s="11" t="s">
        <v>51</v>
      </c>
    </row>
    <row r="31">
      <c r="A31" s="10" t="s">
        <v>147</v>
      </c>
      <c r="B31" s="11">
        <v>38.0</v>
      </c>
      <c r="C31" s="11" t="s">
        <v>38</v>
      </c>
      <c r="D31" s="11" t="s">
        <v>141</v>
      </c>
      <c r="E31" s="11" t="s">
        <v>88</v>
      </c>
      <c r="F31" s="12">
        <v>44199.0</v>
      </c>
      <c r="G31" s="11" t="s">
        <v>148</v>
      </c>
      <c r="H31" s="11" t="s">
        <v>149</v>
      </c>
      <c r="I31" s="11" t="s">
        <v>73</v>
      </c>
      <c r="J31" s="11">
        <v>32643.2993532771</v>
      </c>
      <c r="K31" s="11">
        <v>223.0</v>
      </c>
      <c r="L31" s="11" t="s">
        <v>33</v>
      </c>
      <c r="M31" s="12">
        <v>44212.0</v>
      </c>
      <c r="N31" s="11" t="s">
        <v>57</v>
      </c>
      <c r="O31" s="11" t="s">
        <v>25</v>
      </c>
    </row>
    <row r="32">
      <c r="A32" s="10" t="s">
        <v>150</v>
      </c>
      <c r="B32" s="11">
        <v>63.0</v>
      </c>
      <c r="C32" s="11" t="s">
        <v>38</v>
      </c>
      <c r="D32" s="11" t="s">
        <v>119</v>
      </c>
      <c r="E32" s="11" t="s">
        <v>88</v>
      </c>
      <c r="F32" s="12">
        <v>45202.0</v>
      </c>
      <c r="G32" s="11" t="s">
        <v>151</v>
      </c>
      <c r="H32" s="11" t="s">
        <v>152</v>
      </c>
      <c r="I32" s="11" t="s">
        <v>42</v>
      </c>
      <c r="J32" s="11">
        <v>5767.01105381601</v>
      </c>
      <c r="K32" s="11">
        <v>293.0</v>
      </c>
      <c r="L32" s="11" t="s">
        <v>50</v>
      </c>
      <c r="M32" s="12">
        <v>45211.0</v>
      </c>
      <c r="N32" s="11" t="s">
        <v>24</v>
      </c>
      <c r="O32" s="11" t="s">
        <v>51</v>
      </c>
    </row>
    <row r="33">
      <c r="A33" s="10" t="s">
        <v>153</v>
      </c>
      <c r="B33" s="11">
        <v>34.0</v>
      </c>
      <c r="C33" s="11" t="s">
        <v>17</v>
      </c>
      <c r="D33" s="11" t="s">
        <v>18</v>
      </c>
      <c r="E33" s="11" t="s">
        <v>60</v>
      </c>
      <c r="F33" s="12">
        <v>43695.0</v>
      </c>
      <c r="G33" s="11" t="s">
        <v>154</v>
      </c>
      <c r="H33" s="11" t="s">
        <v>155</v>
      </c>
      <c r="I33" s="11" t="s">
        <v>73</v>
      </c>
      <c r="J33" s="11">
        <v>47909.1288098749</v>
      </c>
      <c r="K33" s="11">
        <v>371.0</v>
      </c>
      <c r="L33" s="11" t="s">
        <v>23</v>
      </c>
      <c r="M33" s="12">
        <v>43709.0</v>
      </c>
      <c r="N33" s="11" t="s">
        <v>34</v>
      </c>
      <c r="O33" s="11" t="s">
        <v>35</v>
      </c>
    </row>
    <row r="34">
      <c r="A34" s="10" t="s">
        <v>156</v>
      </c>
      <c r="B34" s="11">
        <v>23.0</v>
      </c>
      <c r="C34" s="11" t="s">
        <v>38</v>
      </c>
      <c r="D34" s="11" t="s">
        <v>28</v>
      </c>
      <c r="E34" s="11" t="s">
        <v>109</v>
      </c>
      <c r="F34" s="12">
        <v>43772.0</v>
      </c>
      <c r="G34" s="11" t="s">
        <v>157</v>
      </c>
      <c r="H34" s="11" t="s">
        <v>158</v>
      </c>
      <c r="I34" s="11" t="s">
        <v>63</v>
      </c>
      <c r="J34" s="11">
        <v>25835.3235946882</v>
      </c>
      <c r="K34" s="11">
        <v>108.0</v>
      </c>
      <c r="L34" s="11" t="s">
        <v>23</v>
      </c>
      <c r="M34" s="12">
        <v>43798.0</v>
      </c>
      <c r="N34" s="11" t="s">
        <v>57</v>
      </c>
      <c r="O34" s="11" t="s">
        <v>51</v>
      </c>
    </row>
    <row r="35">
      <c r="A35" s="10" t="s">
        <v>159</v>
      </c>
      <c r="B35" s="11">
        <v>78.0</v>
      </c>
      <c r="C35" s="11" t="s">
        <v>17</v>
      </c>
      <c r="D35" s="11" t="s">
        <v>66</v>
      </c>
      <c r="E35" s="11" t="s">
        <v>109</v>
      </c>
      <c r="F35" s="12">
        <v>45064.0</v>
      </c>
      <c r="G35" s="11" t="s">
        <v>160</v>
      </c>
      <c r="H35" s="11" t="s">
        <v>161</v>
      </c>
      <c r="I35" s="11" t="s">
        <v>32</v>
      </c>
      <c r="J35" s="11">
        <v>17993.2262000155</v>
      </c>
      <c r="K35" s="11">
        <v>245.0</v>
      </c>
      <c r="L35" s="11" t="s">
        <v>50</v>
      </c>
      <c r="M35" s="12">
        <v>45092.0</v>
      </c>
      <c r="N35" s="11" t="s">
        <v>57</v>
      </c>
      <c r="O35" s="11" t="s">
        <v>25</v>
      </c>
    </row>
    <row r="36">
      <c r="A36" s="10" t="s">
        <v>162</v>
      </c>
      <c r="B36" s="11">
        <v>43.0</v>
      </c>
      <c r="C36" s="11" t="s">
        <v>17</v>
      </c>
      <c r="D36" s="11" t="s">
        <v>66</v>
      </c>
      <c r="E36" s="11" t="s">
        <v>19</v>
      </c>
      <c r="F36" s="12">
        <v>45070.0</v>
      </c>
      <c r="G36" s="11" t="s">
        <v>163</v>
      </c>
      <c r="H36" s="11" t="s">
        <v>164</v>
      </c>
      <c r="I36" s="11" t="s">
        <v>32</v>
      </c>
      <c r="J36" s="11">
        <v>21185.9535303942</v>
      </c>
      <c r="K36" s="11">
        <v>494.0</v>
      </c>
      <c r="L36" s="11" t="s">
        <v>50</v>
      </c>
      <c r="M36" s="12">
        <v>45080.0</v>
      </c>
      <c r="N36" s="11" t="s">
        <v>34</v>
      </c>
      <c r="O36" s="11" t="s">
        <v>25</v>
      </c>
    </row>
    <row r="37">
      <c r="A37" s="10" t="s">
        <v>165</v>
      </c>
      <c r="B37" s="11">
        <v>30.0</v>
      </c>
      <c r="C37" s="11" t="s">
        <v>38</v>
      </c>
      <c r="D37" s="11" t="s">
        <v>54</v>
      </c>
      <c r="E37" s="11" t="s">
        <v>47</v>
      </c>
      <c r="F37" s="12">
        <v>43847.0</v>
      </c>
      <c r="G37" s="11" t="s">
        <v>166</v>
      </c>
      <c r="H37" s="11" t="s">
        <v>167</v>
      </c>
      <c r="I37" s="11" t="s">
        <v>22</v>
      </c>
      <c r="J37" s="11">
        <v>8408.94935429195</v>
      </c>
      <c r="K37" s="11">
        <v>285.0</v>
      </c>
      <c r="L37" s="11" t="s">
        <v>33</v>
      </c>
      <c r="M37" s="12">
        <v>43871.0</v>
      </c>
      <c r="N37" s="11" t="s">
        <v>91</v>
      </c>
      <c r="O37" s="11" t="s">
        <v>25</v>
      </c>
    </row>
    <row r="38">
      <c r="A38" s="10" t="s">
        <v>168</v>
      </c>
      <c r="B38" s="11">
        <v>25.0</v>
      </c>
      <c r="C38" s="11" t="s">
        <v>38</v>
      </c>
      <c r="D38" s="11" t="s">
        <v>54</v>
      </c>
      <c r="E38" s="11" t="s">
        <v>60</v>
      </c>
      <c r="F38" s="12">
        <v>44203.0</v>
      </c>
      <c r="G38" s="11" t="s">
        <v>169</v>
      </c>
      <c r="H38" s="11" t="s">
        <v>170</v>
      </c>
      <c r="I38" s="11" t="s">
        <v>32</v>
      </c>
      <c r="J38" s="11">
        <v>45453.4185456651</v>
      </c>
      <c r="K38" s="11">
        <v>228.0</v>
      </c>
      <c r="L38" s="11" t="s">
        <v>50</v>
      </c>
      <c r="M38" s="12">
        <v>44222.0</v>
      </c>
      <c r="N38" s="11" t="s">
        <v>91</v>
      </c>
      <c r="O38" s="11" t="s">
        <v>51</v>
      </c>
    </row>
    <row r="39">
      <c r="A39" s="10" t="s">
        <v>171</v>
      </c>
      <c r="B39" s="11">
        <v>33.0</v>
      </c>
      <c r="C39" s="11" t="s">
        <v>17</v>
      </c>
      <c r="D39" s="11" t="s">
        <v>54</v>
      </c>
      <c r="E39" s="11" t="s">
        <v>47</v>
      </c>
      <c r="F39" s="12">
        <v>43752.0</v>
      </c>
      <c r="G39" s="11" t="s">
        <v>172</v>
      </c>
      <c r="H39" s="11" t="s">
        <v>173</v>
      </c>
      <c r="I39" s="11" t="s">
        <v>42</v>
      </c>
      <c r="J39" s="11">
        <v>4397.77699541333</v>
      </c>
      <c r="K39" s="11">
        <v>481.0</v>
      </c>
      <c r="L39" s="11" t="s">
        <v>23</v>
      </c>
      <c r="M39" s="12">
        <v>43757.0</v>
      </c>
      <c r="N39" s="11" t="s">
        <v>24</v>
      </c>
      <c r="O39" s="11" t="s">
        <v>35</v>
      </c>
    </row>
    <row r="40">
      <c r="A40" s="10" t="s">
        <v>174</v>
      </c>
      <c r="B40" s="11">
        <v>26.0</v>
      </c>
      <c r="C40" s="11" t="s">
        <v>38</v>
      </c>
      <c r="D40" s="11" t="s">
        <v>18</v>
      </c>
      <c r="E40" s="11" t="s">
        <v>88</v>
      </c>
      <c r="F40" s="12">
        <v>44549.0</v>
      </c>
      <c r="G40" s="11" t="s">
        <v>175</v>
      </c>
      <c r="H40" s="11" t="s">
        <v>176</v>
      </c>
      <c r="I40" s="11" t="s">
        <v>42</v>
      </c>
      <c r="J40" s="11">
        <v>9380.32596752843</v>
      </c>
      <c r="K40" s="11">
        <v>212.0</v>
      </c>
      <c r="L40" s="11" t="s">
        <v>23</v>
      </c>
      <c r="M40" s="12">
        <v>44577.0</v>
      </c>
      <c r="N40" s="11" t="s">
        <v>34</v>
      </c>
      <c r="O40" s="11" t="s">
        <v>25</v>
      </c>
    </row>
    <row r="41">
      <c r="A41" s="10" t="s">
        <v>177</v>
      </c>
      <c r="B41" s="11">
        <v>70.0</v>
      </c>
      <c r="C41" s="11" t="s">
        <v>38</v>
      </c>
      <c r="D41" s="11" t="s">
        <v>141</v>
      </c>
      <c r="E41" s="11" t="s">
        <v>47</v>
      </c>
      <c r="F41" s="12">
        <v>44632.0</v>
      </c>
      <c r="G41" s="11" t="s">
        <v>178</v>
      </c>
      <c r="H41" s="11" t="s">
        <v>179</v>
      </c>
      <c r="I41" s="11" t="s">
        <v>73</v>
      </c>
      <c r="J41" s="11">
        <v>48290.6934073641</v>
      </c>
      <c r="K41" s="11">
        <v>113.0</v>
      </c>
      <c r="L41" s="11" t="s">
        <v>33</v>
      </c>
      <c r="M41" s="12">
        <v>44649.0</v>
      </c>
      <c r="N41" s="11" t="s">
        <v>91</v>
      </c>
      <c r="O41" s="11" t="s">
        <v>51</v>
      </c>
    </row>
    <row r="42">
      <c r="A42" s="10" t="s">
        <v>180</v>
      </c>
      <c r="B42" s="11">
        <v>57.0</v>
      </c>
      <c r="C42" s="11" t="s">
        <v>38</v>
      </c>
      <c r="D42" s="11" t="s">
        <v>18</v>
      </c>
      <c r="E42" s="11" t="s">
        <v>29</v>
      </c>
      <c r="F42" s="12">
        <v>44213.0</v>
      </c>
      <c r="G42" s="11" t="s">
        <v>181</v>
      </c>
      <c r="H42" s="11" t="s">
        <v>182</v>
      </c>
      <c r="I42" s="11" t="s">
        <v>32</v>
      </c>
      <c r="J42" s="11">
        <v>32973.9408329662</v>
      </c>
      <c r="K42" s="11">
        <v>272.0</v>
      </c>
      <c r="L42" s="11" t="s">
        <v>23</v>
      </c>
      <c r="M42" s="12">
        <v>44225.0</v>
      </c>
      <c r="N42" s="11" t="s">
        <v>57</v>
      </c>
      <c r="O42" s="11" t="s">
        <v>51</v>
      </c>
    </row>
    <row r="43">
      <c r="A43" s="10" t="s">
        <v>183</v>
      </c>
      <c r="B43" s="11">
        <v>74.0</v>
      </c>
      <c r="C43" s="11" t="s">
        <v>38</v>
      </c>
      <c r="D43" s="11" t="s">
        <v>18</v>
      </c>
      <c r="E43" s="11" t="s">
        <v>88</v>
      </c>
      <c r="F43" s="12">
        <v>44454.0</v>
      </c>
      <c r="G43" s="11" t="s">
        <v>184</v>
      </c>
      <c r="H43" s="11" t="s">
        <v>185</v>
      </c>
      <c r="I43" s="11" t="s">
        <v>73</v>
      </c>
      <c r="J43" s="11">
        <v>49943.2784987872</v>
      </c>
      <c r="K43" s="11">
        <v>478.0</v>
      </c>
      <c r="L43" s="11" t="s">
        <v>33</v>
      </c>
      <c r="M43" s="12">
        <v>44474.0</v>
      </c>
      <c r="N43" s="11" t="s">
        <v>91</v>
      </c>
      <c r="O43" s="11" t="s">
        <v>25</v>
      </c>
    </row>
    <row r="44">
      <c r="A44" s="10" t="s">
        <v>186</v>
      </c>
      <c r="B44" s="11">
        <v>81.0</v>
      </c>
      <c r="C44" s="11" t="s">
        <v>17</v>
      </c>
      <c r="D44" s="11" t="s">
        <v>28</v>
      </c>
      <c r="E44" s="11" t="s">
        <v>88</v>
      </c>
      <c r="F44" s="12">
        <v>43857.0</v>
      </c>
      <c r="G44" s="11" t="s">
        <v>187</v>
      </c>
      <c r="H44" s="11" t="s">
        <v>188</v>
      </c>
      <c r="I44" s="11" t="s">
        <v>73</v>
      </c>
      <c r="J44" s="11">
        <v>35633.9554543878</v>
      </c>
      <c r="K44" s="11">
        <v>196.0</v>
      </c>
      <c r="L44" s="11" t="s">
        <v>23</v>
      </c>
      <c r="M44" s="12">
        <v>43870.0</v>
      </c>
      <c r="N44" s="11" t="s">
        <v>43</v>
      </c>
      <c r="O44" s="11" t="s">
        <v>25</v>
      </c>
    </row>
    <row r="45">
      <c r="A45" s="10" t="s">
        <v>189</v>
      </c>
      <c r="B45" s="11">
        <v>49.0</v>
      </c>
      <c r="C45" s="11" t="s">
        <v>38</v>
      </c>
      <c r="D45" s="11" t="s">
        <v>39</v>
      </c>
      <c r="E45" s="11" t="s">
        <v>60</v>
      </c>
      <c r="F45" s="12">
        <v>44736.0</v>
      </c>
      <c r="G45" s="11" t="s">
        <v>190</v>
      </c>
      <c r="H45" s="11" t="s">
        <v>191</v>
      </c>
      <c r="I45" s="11" t="s">
        <v>73</v>
      </c>
      <c r="J45" s="11">
        <v>25966.3286102209</v>
      </c>
      <c r="K45" s="11">
        <v>418.0</v>
      </c>
      <c r="L45" s="11" t="s">
        <v>50</v>
      </c>
      <c r="M45" s="12">
        <v>44760.0</v>
      </c>
      <c r="N45" s="11" t="s">
        <v>24</v>
      </c>
      <c r="O45" s="11" t="s">
        <v>25</v>
      </c>
    </row>
    <row r="46">
      <c r="A46" s="10" t="s">
        <v>192</v>
      </c>
      <c r="B46" s="11">
        <v>26.0</v>
      </c>
      <c r="C46" s="11" t="s">
        <v>38</v>
      </c>
      <c r="D46" s="11" t="s">
        <v>54</v>
      </c>
      <c r="E46" s="11" t="s">
        <v>29</v>
      </c>
      <c r="F46" s="12">
        <v>44356.0</v>
      </c>
      <c r="G46" s="11" t="s">
        <v>193</v>
      </c>
      <c r="H46" s="11" t="s">
        <v>194</v>
      </c>
      <c r="I46" s="11" t="s">
        <v>63</v>
      </c>
      <c r="J46" s="11">
        <v>21784.4450707236</v>
      </c>
      <c r="K46" s="11">
        <v>410.0</v>
      </c>
      <c r="L46" s="11" t="s">
        <v>23</v>
      </c>
      <c r="M46" s="12">
        <v>44378.0</v>
      </c>
      <c r="N46" s="11" t="s">
        <v>24</v>
      </c>
      <c r="O46" s="11" t="s">
        <v>25</v>
      </c>
    </row>
    <row r="47">
      <c r="A47" s="10" t="s">
        <v>195</v>
      </c>
      <c r="B47" s="11">
        <v>81.0</v>
      </c>
      <c r="C47" s="11" t="s">
        <v>38</v>
      </c>
      <c r="D47" s="11" t="s">
        <v>66</v>
      </c>
      <c r="E47" s="11" t="s">
        <v>19</v>
      </c>
      <c r="F47" s="12">
        <v>44066.0</v>
      </c>
      <c r="G47" s="11" t="s">
        <v>196</v>
      </c>
      <c r="H47" s="11" t="s">
        <v>197</v>
      </c>
      <c r="I47" s="11" t="s">
        <v>32</v>
      </c>
      <c r="J47" s="11">
        <v>42684.5588845502</v>
      </c>
      <c r="K47" s="11">
        <v>328.0</v>
      </c>
      <c r="L47" s="11" t="s">
        <v>23</v>
      </c>
      <c r="M47" s="12">
        <v>44082.0</v>
      </c>
      <c r="N47" s="11" t="s">
        <v>57</v>
      </c>
      <c r="O47" s="11" t="s">
        <v>51</v>
      </c>
    </row>
    <row r="48">
      <c r="A48" s="10" t="s">
        <v>198</v>
      </c>
      <c r="B48" s="11">
        <v>65.0</v>
      </c>
      <c r="C48" s="11" t="s">
        <v>17</v>
      </c>
      <c r="D48" s="11" t="s">
        <v>46</v>
      </c>
      <c r="E48" s="11" t="s">
        <v>19</v>
      </c>
      <c r="F48" s="12">
        <v>44846.0</v>
      </c>
      <c r="G48" s="11" t="s">
        <v>199</v>
      </c>
      <c r="H48" s="11" t="s">
        <v>200</v>
      </c>
      <c r="I48" s="11" t="s">
        <v>32</v>
      </c>
      <c r="J48" s="11">
        <v>45585.8865599394</v>
      </c>
      <c r="K48" s="11">
        <v>300.0</v>
      </c>
      <c r="L48" s="11" t="s">
        <v>33</v>
      </c>
      <c r="M48" s="12">
        <v>44867.0</v>
      </c>
      <c r="N48" s="11" t="s">
        <v>57</v>
      </c>
      <c r="O48" s="11" t="s">
        <v>25</v>
      </c>
    </row>
    <row r="49">
      <c r="A49" s="10" t="s">
        <v>201</v>
      </c>
      <c r="B49" s="11">
        <v>31.0</v>
      </c>
      <c r="C49" s="11" t="s">
        <v>38</v>
      </c>
      <c r="D49" s="11" t="s">
        <v>46</v>
      </c>
      <c r="E49" s="11" t="s">
        <v>88</v>
      </c>
      <c r="F49" s="12">
        <v>44531.0</v>
      </c>
      <c r="G49" s="11" t="s">
        <v>202</v>
      </c>
      <c r="H49" s="11" t="s">
        <v>203</v>
      </c>
      <c r="I49" s="11" t="s">
        <v>73</v>
      </c>
      <c r="J49" s="11">
        <v>29615.4418636461</v>
      </c>
      <c r="K49" s="11">
        <v>211.0</v>
      </c>
      <c r="L49" s="11" t="s">
        <v>50</v>
      </c>
      <c r="M49" s="12">
        <v>44539.0</v>
      </c>
      <c r="N49" s="11" t="s">
        <v>24</v>
      </c>
      <c r="O49" s="11" t="s">
        <v>25</v>
      </c>
    </row>
    <row r="50">
      <c r="A50" s="10" t="s">
        <v>204</v>
      </c>
      <c r="B50" s="11">
        <v>58.0</v>
      </c>
      <c r="C50" s="11" t="s">
        <v>17</v>
      </c>
      <c r="D50" s="11" t="s">
        <v>39</v>
      </c>
      <c r="E50" s="11" t="s">
        <v>47</v>
      </c>
      <c r="F50" s="12">
        <v>43955.0</v>
      </c>
      <c r="G50" s="11" t="s">
        <v>205</v>
      </c>
      <c r="H50" s="11" t="s">
        <v>206</v>
      </c>
      <c r="I50" s="11" t="s">
        <v>73</v>
      </c>
      <c r="J50" s="11">
        <v>36992.2736882838</v>
      </c>
      <c r="K50" s="11">
        <v>413.0</v>
      </c>
      <c r="L50" s="11" t="s">
        <v>23</v>
      </c>
      <c r="M50" s="12">
        <v>43964.0</v>
      </c>
      <c r="N50" s="11" t="s">
        <v>43</v>
      </c>
      <c r="O50" s="11" t="s">
        <v>25</v>
      </c>
    </row>
    <row r="51">
      <c r="A51" s="10" t="s">
        <v>207</v>
      </c>
      <c r="B51" s="11">
        <v>22.0</v>
      </c>
      <c r="C51" s="11" t="s">
        <v>17</v>
      </c>
      <c r="D51" s="11" t="s">
        <v>46</v>
      </c>
      <c r="E51" s="11" t="s">
        <v>88</v>
      </c>
      <c r="F51" s="12">
        <v>45178.0</v>
      </c>
      <c r="G51" s="11" t="s">
        <v>208</v>
      </c>
      <c r="H51" s="11" t="s">
        <v>209</v>
      </c>
      <c r="I51" s="11" t="s">
        <v>63</v>
      </c>
      <c r="J51" s="11">
        <v>28051.4994839463</v>
      </c>
      <c r="K51" s="11">
        <v>157.0</v>
      </c>
      <c r="L51" s="11" t="s">
        <v>23</v>
      </c>
      <c r="M51" s="12">
        <v>45192.0</v>
      </c>
      <c r="N51" s="11" t="s">
        <v>34</v>
      </c>
      <c r="O51" s="11" t="s">
        <v>51</v>
      </c>
    </row>
    <row r="52">
      <c r="A52" s="10" t="s">
        <v>210</v>
      </c>
      <c r="B52" s="11">
        <v>77.0</v>
      </c>
      <c r="C52" s="11" t="s">
        <v>38</v>
      </c>
      <c r="D52" s="11" t="s">
        <v>46</v>
      </c>
      <c r="E52" s="11" t="s">
        <v>60</v>
      </c>
      <c r="F52" s="12">
        <v>43665.0</v>
      </c>
      <c r="G52" s="11" t="s">
        <v>211</v>
      </c>
      <c r="H52" s="11" t="s">
        <v>212</v>
      </c>
      <c r="I52" s="11" t="s">
        <v>73</v>
      </c>
      <c r="J52" s="11">
        <v>16320.2324472718</v>
      </c>
      <c r="K52" s="11">
        <v>138.0</v>
      </c>
      <c r="L52" s="11" t="s">
        <v>23</v>
      </c>
      <c r="M52" s="12">
        <v>43675.0</v>
      </c>
      <c r="N52" s="11" t="s">
        <v>34</v>
      </c>
      <c r="O52" s="11" t="s">
        <v>51</v>
      </c>
    </row>
    <row r="53">
      <c r="A53" s="10" t="s">
        <v>213</v>
      </c>
      <c r="B53" s="11">
        <v>30.0</v>
      </c>
      <c r="C53" s="11" t="s">
        <v>17</v>
      </c>
      <c r="D53" s="11" t="s">
        <v>66</v>
      </c>
      <c r="E53" s="11" t="s">
        <v>88</v>
      </c>
      <c r="F53" s="12">
        <v>45387.0</v>
      </c>
      <c r="G53" s="11" t="s">
        <v>214</v>
      </c>
      <c r="H53" s="11" t="s">
        <v>215</v>
      </c>
      <c r="I53" s="11" t="s">
        <v>32</v>
      </c>
      <c r="J53" s="11">
        <v>30590.5418063406</v>
      </c>
      <c r="K53" s="11">
        <v>456.0</v>
      </c>
      <c r="L53" s="11" t="s">
        <v>33</v>
      </c>
      <c r="M53" s="12">
        <v>45404.0</v>
      </c>
      <c r="N53" s="11" t="s">
        <v>24</v>
      </c>
      <c r="O53" s="11" t="s">
        <v>35</v>
      </c>
    </row>
    <row r="54">
      <c r="A54" s="10" t="s">
        <v>216</v>
      </c>
      <c r="B54" s="11">
        <v>42.0</v>
      </c>
      <c r="C54" s="11" t="s">
        <v>38</v>
      </c>
      <c r="D54" s="11" t="s">
        <v>39</v>
      </c>
      <c r="E54" s="11" t="s">
        <v>19</v>
      </c>
      <c r="F54" s="12">
        <v>43631.0</v>
      </c>
      <c r="G54" s="11" t="s">
        <v>217</v>
      </c>
      <c r="H54" s="11" t="s">
        <v>218</v>
      </c>
      <c r="I54" s="11" t="s">
        <v>42</v>
      </c>
      <c r="J54" s="11">
        <v>14681.0163601259</v>
      </c>
      <c r="K54" s="11">
        <v>234.0</v>
      </c>
      <c r="L54" s="11" t="s">
        <v>33</v>
      </c>
      <c r="M54" s="12">
        <v>43651.0</v>
      </c>
      <c r="N54" s="11" t="s">
        <v>34</v>
      </c>
      <c r="O54" s="11" t="s">
        <v>51</v>
      </c>
    </row>
    <row r="55">
      <c r="A55" s="10" t="s">
        <v>219</v>
      </c>
      <c r="B55" s="11">
        <v>67.0</v>
      </c>
      <c r="C55" s="11" t="s">
        <v>38</v>
      </c>
      <c r="D55" s="11" t="s">
        <v>54</v>
      </c>
      <c r="E55" s="11" t="s">
        <v>19</v>
      </c>
      <c r="F55" s="12">
        <v>44863.0</v>
      </c>
      <c r="G55" s="11" t="s">
        <v>220</v>
      </c>
      <c r="H55" s="11" t="s">
        <v>221</v>
      </c>
      <c r="I55" s="11" t="s">
        <v>42</v>
      </c>
      <c r="J55" s="11">
        <v>21879.5319110635</v>
      </c>
      <c r="K55" s="11">
        <v>492.0</v>
      </c>
      <c r="L55" s="11" t="s">
        <v>23</v>
      </c>
      <c r="M55" s="12">
        <v>44885.0</v>
      </c>
      <c r="N55" s="11" t="s">
        <v>57</v>
      </c>
      <c r="O55" s="11" t="s">
        <v>35</v>
      </c>
    </row>
    <row r="56">
      <c r="A56" s="10" t="s">
        <v>222</v>
      </c>
      <c r="B56" s="11">
        <v>24.0</v>
      </c>
      <c r="C56" s="11" t="s">
        <v>38</v>
      </c>
      <c r="D56" s="11" t="s">
        <v>39</v>
      </c>
      <c r="E56" s="11" t="s">
        <v>29</v>
      </c>
      <c r="F56" s="12">
        <v>44659.0</v>
      </c>
      <c r="G56" s="11" t="s">
        <v>223</v>
      </c>
      <c r="H56" s="11" t="s">
        <v>224</v>
      </c>
      <c r="I56" s="11" t="s">
        <v>63</v>
      </c>
      <c r="J56" s="11">
        <v>6767.63439654494</v>
      </c>
      <c r="K56" s="11">
        <v>180.0</v>
      </c>
      <c r="L56" s="11" t="s">
        <v>50</v>
      </c>
      <c r="M56" s="12">
        <v>44664.0</v>
      </c>
      <c r="N56" s="11" t="s">
        <v>91</v>
      </c>
      <c r="O56" s="11" t="s">
        <v>51</v>
      </c>
    </row>
    <row r="57">
      <c r="A57" s="10" t="s">
        <v>225</v>
      </c>
      <c r="B57" s="11">
        <v>84.0</v>
      </c>
      <c r="C57" s="11" t="s">
        <v>38</v>
      </c>
      <c r="D57" s="11" t="s">
        <v>18</v>
      </c>
      <c r="E57" s="11" t="s">
        <v>60</v>
      </c>
      <c r="F57" s="12">
        <v>45155.0</v>
      </c>
      <c r="G57" s="11" t="s">
        <v>226</v>
      </c>
      <c r="H57" s="11" t="s">
        <v>227</v>
      </c>
      <c r="I57" s="11" t="s">
        <v>73</v>
      </c>
      <c r="J57" s="11">
        <v>19973.4629261595</v>
      </c>
      <c r="K57" s="11">
        <v>250.0</v>
      </c>
      <c r="L57" s="11" t="s">
        <v>50</v>
      </c>
      <c r="M57" s="12">
        <v>45180.0</v>
      </c>
      <c r="N57" s="11" t="s">
        <v>34</v>
      </c>
      <c r="O57" s="11" t="s">
        <v>35</v>
      </c>
    </row>
    <row r="58">
      <c r="A58" s="10" t="s">
        <v>228</v>
      </c>
      <c r="B58" s="11">
        <v>73.0</v>
      </c>
      <c r="C58" s="11" t="s">
        <v>38</v>
      </c>
      <c r="D58" s="11" t="s">
        <v>39</v>
      </c>
      <c r="E58" s="11" t="s">
        <v>88</v>
      </c>
      <c r="F58" s="12">
        <v>45235.0</v>
      </c>
      <c r="G58" s="11" t="s">
        <v>229</v>
      </c>
      <c r="H58" s="11" t="s">
        <v>230</v>
      </c>
      <c r="I58" s="11" t="s">
        <v>63</v>
      </c>
      <c r="J58" s="11">
        <v>14362.3144875023</v>
      </c>
      <c r="K58" s="11">
        <v>296.0</v>
      </c>
      <c r="L58" s="11" t="s">
        <v>33</v>
      </c>
      <c r="M58" s="12">
        <v>45237.0</v>
      </c>
      <c r="N58" s="11" t="s">
        <v>24</v>
      </c>
      <c r="O58" s="11" t="s">
        <v>35</v>
      </c>
    </row>
    <row r="59">
      <c r="A59" s="10" t="s">
        <v>231</v>
      </c>
      <c r="B59" s="11">
        <v>55.0</v>
      </c>
      <c r="C59" s="11" t="s">
        <v>38</v>
      </c>
      <c r="D59" s="11" t="s">
        <v>28</v>
      </c>
      <c r="E59" s="11" t="s">
        <v>19</v>
      </c>
      <c r="F59" s="12">
        <v>45025.0</v>
      </c>
      <c r="G59" s="11" t="s">
        <v>232</v>
      </c>
      <c r="H59" s="11" t="s">
        <v>233</v>
      </c>
      <c r="I59" s="11" t="s">
        <v>73</v>
      </c>
      <c r="J59" s="11">
        <v>10300.6573113759</v>
      </c>
      <c r="K59" s="11">
        <v>330.0</v>
      </c>
      <c r="L59" s="11" t="s">
        <v>33</v>
      </c>
      <c r="M59" s="12">
        <v>45037.0</v>
      </c>
      <c r="N59" s="11" t="s">
        <v>24</v>
      </c>
      <c r="O59" s="11" t="s">
        <v>25</v>
      </c>
    </row>
    <row r="60">
      <c r="A60" s="10" t="s">
        <v>234</v>
      </c>
      <c r="B60" s="11">
        <v>23.0</v>
      </c>
      <c r="C60" s="11" t="s">
        <v>17</v>
      </c>
      <c r="D60" s="11" t="s">
        <v>141</v>
      </c>
      <c r="E60" s="11" t="s">
        <v>88</v>
      </c>
      <c r="F60" s="12">
        <v>44825.0</v>
      </c>
      <c r="G60" s="11" t="s">
        <v>235</v>
      </c>
      <c r="H60" s="11" t="s">
        <v>236</v>
      </c>
      <c r="I60" s="11" t="s">
        <v>42</v>
      </c>
      <c r="J60" s="11">
        <v>37951.6649098497</v>
      </c>
      <c r="K60" s="11">
        <v>405.0</v>
      </c>
      <c r="L60" s="11" t="s">
        <v>33</v>
      </c>
      <c r="M60" s="12">
        <v>44829.0</v>
      </c>
      <c r="N60" s="11" t="s">
        <v>34</v>
      </c>
      <c r="O60" s="11" t="s">
        <v>35</v>
      </c>
    </row>
    <row r="61">
      <c r="A61" s="10" t="s">
        <v>237</v>
      </c>
      <c r="B61" s="11">
        <v>40.0</v>
      </c>
      <c r="C61" s="11" t="s">
        <v>38</v>
      </c>
      <c r="D61" s="11" t="s">
        <v>66</v>
      </c>
      <c r="E61" s="11" t="s">
        <v>19</v>
      </c>
      <c r="F61" s="12">
        <v>44217.0</v>
      </c>
      <c r="G61" s="11" t="s">
        <v>238</v>
      </c>
      <c r="H61" s="11" t="s">
        <v>239</v>
      </c>
      <c r="I61" s="11" t="s">
        <v>42</v>
      </c>
      <c r="J61" s="11">
        <v>6733.99094706883</v>
      </c>
      <c r="K61" s="11">
        <v>300.0</v>
      </c>
      <c r="L61" s="11" t="s">
        <v>23</v>
      </c>
      <c r="M61" s="12">
        <v>44233.0</v>
      </c>
      <c r="N61" s="11" t="s">
        <v>34</v>
      </c>
      <c r="O61" s="11" t="s">
        <v>25</v>
      </c>
    </row>
    <row r="62">
      <c r="A62" s="10" t="s">
        <v>240</v>
      </c>
      <c r="B62" s="11">
        <v>51.0</v>
      </c>
      <c r="C62" s="11" t="s">
        <v>17</v>
      </c>
      <c r="D62" s="11" t="s">
        <v>46</v>
      </c>
      <c r="E62" s="11" t="s">
        <v>88</v>
      </c>
      <c r="F62" s="12">
        <v>44022.0</v>
      </c>
      <c r="G62" s="11" t="s">
        <v>241</v>
      </c>
      <c r="H62" s="11" t="s">
        <v>242</v>
      </c>
      <c r="I62" s="11" t="s">
        <v>42</v>
      </c>
      <c r="J62" s="11">
        <v>17839.7456516471</v>
      </c>
      <c r="K62" s="11">
        <v>306.0</v>
      </c>
      <c r="L62" s="11" t="s">
        <v>50</v>
      </c>
      <c r="M62" s="12">
        <v>44032.0</v>
      </c>
      <c r="N62" s="11" t="s">
        <v>24</v>
      </c>
      <c r="O62" s="11" t="s">
        <v>51</v>
      </c>
    </row>
    <row r="63">
      <c r="A63" s="10" t="s">
        <v>243</v>
      </c>
      <c r="B63" s="11">
        <v>83.0</v>
      </c>
      <c r="C63" s="11" t="s">
        <v>17</v>
      </c>
      <c r="D63" s="11" t="s">
        <v>54</v>
      </c>
      <c r="E63" s="11" t="s">
        <v>29</v>
      </c>
      <c r="F63" s="12">
        <v>43775.0</v>
      </c>
      <c r="G63" s="11" t="s">
        <v>244</v>
      </c>
      <c r="H63" s="11" t="s">
        <v>245</v>
      </c>
      <c r="I63" s="11" t="s">
        <v>42</v>
      </c>
      <c r="J63" s="11">
        <v>24637.0900640332</v>
      </c>
      <c r="K63" s="11">
        <v>333.0</v>
      </c>
      <c r="L63" s="11" t="s">
        <v>50</v>
      </c>
      <c r="M63" s="12">
        <v>43791.0</v>
      </c>
      <c r="N63" s="11" t="s">
        <v>24</v>
      </c>
      <c r="O63" s="11" t="s">
        <v>35</v>
      </c>
    </row>
    <row r="64">
      <c r="A64" s="10" t="s">
        <v>246</v>
      </c>
      <c r="B64" s="11">
        <v>63.0</v>
      </c>
      <c r="C64" s="11" t="s">
        <v>17</v>
      </c>
      <c r="D64" s="11" t="s">
        <v>39</v>
      </c>
      <c r="E64" s="11" t="s">
        <v>60</v>
      </c>
      <c r="F64" s="12">
        <v>45389.0</v>
      </c>
      <c r="G64" s="11" t="s">
        <v>247</v>
      </c>
      <c r="H64" s="11" t="s">
        <v>248</v>
      </c>
      <c r="I64" s="11" t="s">
        <v>63</v>
      </c>
      <c r="J64" s="11">
        <v>39723.1660514278</v>
      </c>
      <c r="K64" s="11">
        <v>244.0</v>
      </c>
      <c r="L64" s="11" t="s">
        <v>33</v>
      </c>
      <c r="M64" s="12">
        <v>45416.0</v>
      </c>
      <c r="N64" s="11" t="s">
        <v>34</v>
      </c>
      <c r="O64" s="11" t="s">
        <v>35</v>
      </c>
    </row>
    <row r="65">
      <c r="A65" s="10" t="s">
        <v>249</v>
      </c>
      <c r="B65" s="11">
        <v>18.0</v>
      </c>
      <c r="C65" s="11" t="s">
        <v>17</v>
      </c>
      <c r="D65" s="11" t="s">
        <v>28</v>
      </c>
      <c r="E65" s="11" t="s">
        <v>19</v>
      </c>
      <c r="F65" s="12">
        <v>44748.0</v>
      </c>
      <c r="G65" s="11" t="s">
        <v>250</v>
      </c>
      <c r="H65" s="11" t="s">
        <v>251</v>
      </c>
      <c r="I65" s="11" t="s">
        <v>63</v>
      </c>
      <c r="J65" s="11">
        <v>48407.3862911005</v>
      </c>
      <c r="K65" s="11">
        <v>325.0</v>
      </c>
      <c r="L65" s="11" t="s">
        <v>33</v>
      </c>
      <c r="M65" s="12">
        <v>44760.0</v>
      </c>
      <c r="N65" s="11" t="s">
        <v>43</v>
      </c>
      <c r="O65" s="11" t="s">
        <v>25</v>
      </c>
    </row>
    <row r="66">
      <c r="A66" s="10" t="s">
        <v>252</v>
      </c>
      <c r="B66" s="11">
        <v>23.0</v>
      </c>
      <c r="C66" s="11" t="s">
        <v>38</v>
      </c>
      <c r="D66" s="11" t="s">
        <v>18</v>
      </c>
      <c r="E66" s="11" t="s">
        <v>88</v>
      </c>
      <c r="F66" s="12">
        <v>44776.0</v>
      </c>
      <c r="G66" s="11" t="s">
        <v>253</v>
      </c>
      <c r="H66" s="11" t="s">
        <v>254</v>
      </c>
      <c r="I66" s="11" t="s">
        <v>73</v>
      </c>
      <c r="J66" s="11">
        <v>5517.39364222399</v>
      </c>
      <c r="K66" s="11">
        <v>113.0</v>
      </c>
      <c r="L66" s="11" t="s">
        <v>50</v>
      </c>
      <c r="M66" s="12">
        <v>44783.0</v>
      </c>
      <c r="N66" s="11" t="s">
        <v>43</v>
      </c>
      <c r="O66" s="11" t="s">
        <v>35</v>
      </c>
    </row>
    <row r="67">
      <c r="A67" s="10" t="s">
        <v>255</v>
      </c>
      <c r="B67" s="11">
        <v>58.0</v>
      </c>
      <c r="C67" s="11" t="s">
        <v>17</v>
      </c>
      <c r="D67" s="11" t="s">
        <v>39</v>
      </c>
      <c r="E67" s="11" t="s">
        <v>88</v>
      </c>
      <c r="F67" s="12">
        <v>43959.0</v>
      </c>
      <c r="G67" s="11" t="s">
        <v>256</v>
      </c>
      <c r="H67" s="11" t="s">
        <v>257</v>
      </c>
      <c r="I67" s="11" t="s">
        <v>32</v>
      </c>
      <c r="J67" s="11">
        <v>19183.1688853955</v>
      </c>
      <c r="K67" s="11">
        <v>378.0</v>
      </c>
      <c r="L67" s="11" t="s">
        <v>33</v>
      </c>
      <c r="M67" s="12">
        <v>43983.0</v>
      </c>
      <c r="N67" s="11" t="s">
        <v>43</v>
      </c>
      <c r="O67" s="11" t="s">
        <v>51</v>
      </c>
    </row>
    <row r="68">
      <c r="A68" s="10" t="s">
        <v>258</v>
      </c>
      <c r="B68" s="11">
        <v>27.0</v>
      </c>
      <c r="C68" s="11" t="s">
        <v>17</v>
      </c>
      <c r="D68" s="11" t="s">
        <v>66</v>
      </c>
      <c r="E68" s="11" t="s">
        <v>19</v>
      </c>
      <c r="F68" s="12">
        <v>43808.0</v>
      </c>
      <c r="G68" s="11" t="s">
        <v>259</v>
      </c>
      <c r="H68" s="11" t="s">
        <v>260</v>
      </c>
      <c r="I68" s="11" t="s">
        <v>32</v>
      </c>
      <c r="J68" s="11">
        <v>8320.66080328743</v>
      </c>
      <c r="K68" s="11">
        <v>468.0</v>
      </c>
      <c r="L68" s="11" t="s">
        <v>23</v>
      </c>
      <c r="M68" s="12">
        <v>43820.0</v>
      </c>
      <c r="N68" s="11" t="s">
        <v>91</v>
      </c>
      <c r="O68" s="11" t="s">
        <v>51</v>
      </c>
    </row>
    <row r="69">
      <c r="A69" s="10" t="s">
        <v>261</v>
      </c>
      <c r="B69" s="11">
        <v>59.0</v>
      </c>
      <c r="C69" s="11" t="s">
        <v>17</v>
      </c>
      <c r="D69" s="11" t="s">
        <v>119</v>
      </c>
      <c r="E69" s="11" t="s">
        <v>47</v>
      </c>
      <c r="F69" s="12">
        <v>43790.0</v>
      </c>
      <c r="G69" s="11" t="s">
        <v>262</v>
      </c>
      <c r="H69" s="11" t="s">
        <v>263</v>
      </c>
      <c r="I69" s="11" t="s">
        <v>32</v>
      </c>
      <c r="J69" s="11">
        <v>10107.1876510572</v>
      </c>
      <c r="K69" s="11">
        <v>368.0</v>
      </c>
      <c r="L69" s="11" t="s">
        <v>33</v>
      </c>
      <c r="M69" s="12">
        <v>43807.0</v>
      </c>
      <c r="N69" s="11" t="s">
        <v>57</v>
      </c>
      <c r="O69" s="11" t="s">
        <v>51</v>
      </c>
    </row>
    <row r="70">
      <c r="A70" s="10" t="s">
        <v>160</v>
      </c>
      <c r="B70" s="11">
        <v>27.0</v>
      </c>
      <c r="C70" s="11" t="s">
        <v>17</v>
      </c>
      <c r="D70" s="11" t="s">
        <v>18</v>
      </c>
      <c r="E70" s="11" t="s">
        <v>88</v>
      </c>
      <c r="F70" s="12">
        <v>44933.0</v>
      </c>
      <c r="G70" s="11" t="s">
        <v>264</v>
      </c>
      <c r="H70" s="11" t="s">
        <v>265</v>
      </c>
      <c r="I70" s="11" t="s">
        <v>73</v>
      </c>
      <c r="J70" s="11">
        <v>49402.2983725271</v>
      </c>
      <c r="K70" s="11">
        <v>263.0</v>
      </c>
      <c r="L70" s="11" t="s">
        <v>50</v>
      </c>
      <c r="M70" s="12">
        <v>44953.0</v>
      </c>
      <c r="N70" s="11" t="s">
        <v>91</v>
      </c>
      <c r="O70" s="11" t="s">
        <v>35</v>
      </c>
    </row>
    <row r="71">
      <c r="A71" s="10" t="s">
        <v>266</v>
      </c>
      <c r="B71" s="11">
        <v>31.0</v>
      </c>
      <c r="C71" s="11" t="s">
        <v>17</v>
      </c>
      <c r="D71" s="11" t="s">
        <v>119</v>
      </c>
      <c r="E71" s="11" t="s">
        <v>47</v>
      </c>
      <c r="F71" s="12">
        <v>45328.0</v>
      </c>
      <c r="G71" s="11" t="s">
        <v>267</v>
      </c>
      <c r="H71" s="11" t="s">
        <v>268</v>
      </c>
      <c r="I71" s="11" t="s">
        <v>63</v>
      </c>
      <c r="J71" s="11">
        <v>35776.8151114537</v>
      </c>
      <c r="K71" s="11">
        <v>489.0</v>
      </c>
      <c r="L71" s="11" t="s">
        <v>33</v>
      </c>
      <c r="M71" s="12">
        <v>45332.0</v>
      </c>
      <c r="N71" s="11" t="s">
        <v>57</v>
      </c>
      <c r="O71" s="11" t="s">
        <v>25</v>
      </c>
    </row>
    <row r="72">
      <c r="A72" s="10" t="s">
        <v>269</v>
      </c>
      <c r="B72" s="11">
        <v>19.0</v>
      </c>
      <c r="C72" s="11" t="s">
        <v>38</v>
      </c>
      <c r="D72" s="11" t="s">
        <v>28</v>
      </c>
      <c r="E72" s="11" t="s">
        <v>109</v>
      </c>
      <c r="F72" s="12">
        <v>43860.0</v>
      </c>
      <c r="G72" s="11" t="s">
        <v>270</v>
      </c>
      <c r="H72" s="11" t="s">
        <v>271</v>
      </c>
      <c r="I72" s="11" t="s">
        <v>32</v>
      </c>
      <c r="J72" s="11">
        <v>20227.8637267447</v>
      </c>
      <c r="K72" s="11">
        <v>241.0</v>
      </c>
      <c r="L72" s="11" t="s">
        <v>50</v>
      </c>
      <c r="M72" s="12">
        <v>43873.0</v>
      </c>
      <c r="N72" s="11" t="s">
        <v>57</v>
      </c>
      <c r="O72" s="11" t="s">
        <v>25</v>
      </c>
    </row>
    <row r="73">
      <c r="A73" s="10" t="s">
        <v>272</v>
      </c>
      <c r="B73" s="11">
        <v>29.0</v>
      </c>
      <c r="C73" s="11" t="s">
        <v>38</v>
      </c>
      <c r="D73" s="11" t="s">
        <v>46</v>
      </c>
      <c r="E73" s="11" t="s">
        <v>19</v>
      </c>
      <c r="F73" s="12">
        <v>44858.0</v>
      </c>
      <c r="G73" s="11" t="s">
        <v>273</v>
      </c>
      <c r="H73" s="11" t="s">
        <v>274</v>
      </c>
      <c r="I73" s="11" t="s">
        <v>22</v>
      </c>
      <c r="J73" s="11">
        <v>19328.1185790799</v>
      </c>
      <c r="K73" s="11">
        <v>231.0</v>
      </c>
      <c r="L73" s="11" t="s">
        <v>23</v>
      </c>
      <c r="M73" s="12">
        <v>44872.0</v>
      </c>
      <c r="N73" s="11" t="s">
        <v>34</v>
      </c>
      <c r="O73" s="11" t="s">
        <v>25</v>
      </c>
    </row>
    <row r="74">
      <c r="A74" s="10" t="s">
        <v>275</v>
      </c>
      <c r="B74" s="11">
        <v>18.0</v>
      </c>
      <c r="C74" s="11" t="s">
        <v>17</v>
      </c>
      <c r="D74" s="11" t="s">
        <v>39</v>
      </c>
      <c r="E74" s="11" t="s">
        <v>29</v>
      </c>
      <c r="F74" s="12">
        <v>44570.0</v>
      </c>
      <c r="G74" s="11" t="s">
        <v>276</v>
      </c>
      <c r="H74" s="11" t="s">
        <v>277</v>
      </c>
      <c r="I74" s="11" t="s">
        <v>42</v>
      </c>
      <c r="J74" s="11">
        <v>46956.5457306324</v>
      </c>
      <c r="K74" s="11">
        <v>377.0</v>
      </c>
      <c r="L74" s="11" t="s">
        <v>33</v>
      </c>
      <c r="M74" s="12">
        <v>44576.0</v>
      </c>
      <c r="N74" s="11" t="s">
        <v>43</v>
      </c>
      <c r="O74" s="11" t="s">
        <v>35</v>
      </c>
    </row>
    <row r="75">
      <c r="A75" s="10" t="s">
        <v>278</v>
      </c>
      <c r="B75" s="11">
        <v>24.0</v>
      </c>
      <c r="C75" s="11" t="s">
        <v>17</v>
      </c>
      <c r="D75" s="11" t="s">
        <v>66</v>
      </c>
      <c r="E75" s="11" t="s">
        <v>19</v>
      </c>
      <c r="F75" s="12">
        <v>45288.0</v>
      </c>
      <c r="G75" s="11" t="s">
        <v>279</v>
      </c>
      <c r="H75" s="11" t="s">
        <v>280</v>
      </c>
      <c r="I75" s="11" t="s">
        <v>73</v>
      </c>
      <c r="J75" s="11">
        <v>10709.6903889001</v>
      </c>
      <c r="K75" s="11">
        <v>407.0</v>
      </c>
      <c r="L75" s="11" t="s">
        <v>33</v>
      </c>
      <c r="M75" s="12">
        <v>45293.0</v>
      </c>
      <c r="N75" s="11" t="s">
        <v>24</v>
      </c>
      <c r="O75" s="11" t="s">
        <v>51</v>
      </c>
    </row>
    <row r="76">
      <c r="A76" s="10" t="s">
        <v>281</v>
      </c>
      <c r="B76" s="11">
        <v>27.0</v>
      </c>
      <c r="C76" s="11" t="s">
        <v>17</v>
      </c>
      <c r="D76" s="11" t="s">
        <v>66</v>
      </c>
      <c r="E76" s="11" t="s">
        <v>47</v>
      </c>
      <c r="F76" s="12">
        <v>44455.0</v>
      </c>
      <c r="G76" s="11" t="s">
        <v>282</v>
      </c>
      <c r="H76" s="11" t="s">
        <v>283</v>
      </c>
      <c r="I76" s="11" t="s">
        <v>42</v>
      </c>
      <c r="J76" s="11">
        <v>45353.9907773854</v>
      </c>
      <c r="K76" s="11">
        <v>263.0</v>
      </c>
      <c r="L76" s="11" t="s">
        <v>23</v>
      </c>
      <c r="M76" s="12">
        <v>44483.0</v>
      </c>
      <c r="N76" s="11" t="s">
        <v>57</v>
      </c>
      <c r="O76" s="11" t="s">
        <v>51</v>
      </c>
    </row>
    <row r="77">
      <c r="A77" s="10" t="s">
        <v>284</v>
      </c>
      <c r="B77" s="11">
        <v>57.0</v>
      </c>
      <c r="C77" s="11" t="s">
        <v>38</v>
      </c>
      <c r="D77" s="11" t="s">
        <v>66</v>
      </c>
      <c r="E77" s="11" t="s">
        <v>109</v>
      </c>
      <c r="F77" s="12">
        <v>45131.0</v>
      </c>
      <c r="G77" s="11" t="s">
        <v>285</v>
      </c>
      <c r="H77" s="11" t="s">
        <v>286</v>
      </c>
      <c r="I77" s="11" t="s">
        <v>42</v>
      </c>
      <c r="J77" s="11">
        <v>8451.00175847895</v>
      </c>
      <c r="K77" s="11">
        <v>135.0</v>
      </c>
      <c r="L77" s="11" t="s">
        <v>50</v>
      </c>
      <c r="M77" s="12">
        <v>45149.0</v>
      </c>
      <c r="N77" s="11" t="s">
        <v>24</v>
      </c>
      <c r="O77" s="11" t="s">
        <v>51</v>
      </c>
    </row>
    <row r="78">
      <c r="A78" s="10" t="s">
        <v>287</v>
      </c>
      <c r="B78" s="11">
        <v>74.0</v>
      </c>
      <c r="C78" s="11" t="s">
        <v>38</v>
      </c>
      <c r="D78" s="11" t="s">
        <v>28</v>
      </c>
      <c r="E78" s="11" t="s">
        <v>109</v>
      </c>
      <c r="F78" s="12">
        <v>44513.0</v>
      </c>
      <c r="G78" s="11" t="s">
        <v>288</v>
      </c>
      <c r="H78" s="11" t="s">
        <v>289</v>
      </c>
      <c r="I78" s="11" t="s">
        <v>63</v>
      </c>
      <c r="J78" s="11">
        <v>29850.8797281837</v>
      </c>
      <c r="K78" s="11">
        <v>131.0</v>
      </c>
      <c r="L78" s="11" t="s">
        <v>33</v>
      </c>
      <c r="M78" s="12">
        <v>44537.0</v>
      </c>
      <c r="N78" s="11" t="s">
        <v>24</v>
      </c>
      <c r="O78" s="11" t="s">
        <v>35</v>
      </c>
    </row>
    <row r="79">
      <c r="A79" s="10" t="s">
        <v>290</v>
      </c>
      <c r="B79" s="11">
        <v>22.0</v>
      </c>
      <c r="C79" s="11" t="s">
        <v>38</v>
      </c>
      <c r="D79" s="11" t="s">
        <v>39</v>
      </c>
      <c r="E79" s="11" t="s">
        <v>109</v>
      </c>
      <c r="F79" s="12">
        <v>45210.0</v>
      </c>
      <c r="G79" s="11" t="s">
        <v>291</v>
      </c>
      <c r="H79" s="11" t="s">
        <v>292</v>
      </c>
      <c r="I79" s="11" t="s">
        <v>22</v>
      </c>
      <c r="J79" s="11">
        <v>42696.5211638991</v>
      </c>
      <c r="K79" s="11">
        <v>102.0</v>
      </c>
      <c r="L79" s="11" t="s">
        <v>23</v>
      </c>
      <c r="M79" s="12">
        <v>45226.0</v>
      </c>
      <c r="N79" s="11" t="s">
        <v>57</v>
      </c>
      <c r="O79" s="11" t="s">
        <v>25</v>
      </c>
    </row>
    <row r="80">
      <c r="A80" s="10" t="s">
        <v>293</v>
      </c>
      <c r="B80" s="11">
        <v>33.0</v>
      </c>
      <c r="C80" s="11" t="s">
        <v>38</v>
      </c>
      <c r="D80" s="11" t="s">
        <v>18</v>
      </c>
      <c r="E80" s="11" t="s">
        <v>47</v>
      </c>
      <c r="F80" s="12">
        <v>44226.0</v>
      </c>
      <c r="G80" s="11" t="s">
        <v>294</v>
      </c>
      <c r="H80" s="11" t="s">
        <v>295</v>
      </c>
      <c r="I80" s="11" t="s">
        <v>73</v>
      </c>
      <c r="J80" s="11">
        <v>2305.13913953849</v>
      </c>
      <c r="K80" s="11">
        <v>249.0</v>
      </c>
      <c r="L80" s="11" t="s">
        <v>33</v>
      </c>
      <c r="M80" s="12">
        <v>44231.0</v>
      </c>
      <c r="N80" s="11" t="s">
        <v>57</v>
      </c>
      <c r="O80" s="11" t="s">
        <v>35</v>
      </c>
    </row>
    <row r="81">
      <c r="A81" s="10" t="s">
        <v>296</v>
      </c>
      <c r="B81" s="11">
        <v>57.0</v>
      </c>
      <c r="C81" s="11" t="s">
        <v>17</v>
      </c>
      <c r="D81" s="11" t="s">
        <v>119</v>
      </c>
      <c r="E81" s="11" t="s">
        <v>109</v>
      </c>
      <c r="F81" s="12">
        <v>44521.0</v>
      </c>
      <c r="G81" s="11" t="s">
        <v>297</v>
      </c>
      <c r="H81" s="11" t="s">
        <v>298</v>
      </c>
      <c r="I81" s="11" t="s">
        <v>63</v>
      </c>
      <c r="J81" s="11">
        <v>44437.4706733572</v>
      </c>
      <c r="K81" s="11">
        <v>255.0</v>
      </c>
      <c r="L81" s="11" t="s">
        <v>33</v>
      </c>
      <c r="M81" s="12">
        <v>44535.0</v>
      </c>
      <c r="N81" s="11" t="s">
        <v>57</v>
      </c>
      <c r="O81" s="11" t="s">
        <v>35</v>
      </c>
    </row>
    <row r="82">
      <c r="A82" s="10" t="s">
        <v>299</v>
      </c>
      <c r="B82" s="11">
        <v>61.0</v>
      </c>
      <c r="C82" s="11" t="s">
        <v>17</v>
      </c>
      <c r="D82" s="11" t="s">
        <v>119</v>
      </c>
      <c r="E82" s="11" t="s">
        <v>19</v>
      </c>
      <c r="F82" s="12">
        <v>45353.0</v>
      </c>
      <c r="G82" s="11" t="s">
        <v>300</v>
      </c>
      <c r="H82" s="11" t="s">
        <v>301</v>
      </c>
      <c r="I82" s="11" t="s">
        <v>63</v>
      </c>
      <c r="J82" s="11">
        <v>29504.3874422114</v>
      </c>
      <c r="K82" s="11">
        <v>422.0</v>
      </c>
      <c r="L82" s="11" t="s">
        <v>23</v>
      </c>
      <c r="M82" s="12">
        <v>45377.0</v>
      </c>
      <c r="N82" s="11" t="s">
        <v>34</v>
      </c>
      <c r="O82" s="11" t="s">
        <v>35</v>
      </c>
    </row>
    <row r="83">
      <c r="A83" s="10" t="s">
        <v>302</v>
      </c>
      <c r="B83" s="11">
        <v>20.0</v>
      </c>
      <c r="C83" s="11" t="s">
        <v>17</v>
      </c>
      <c r="D83" s="11" t="s">
        <v>46</v>
      </c>
      <c r="E83" s="11" t="s">
        <v>109</v>
      </c>
      <c r="F83" s="12">
        <v>44169.0</v>
      </c>
      <c r="G83" s="11" t="s">
        <v>303</v>
      </c>
      <c r="H83" s="11" t="s">
        <v>304</v>
      </c>
      <c r="I83" s="11" t="s">
        <v>22</v>
      </c>
      <c r="J83" s="11">
        <v>34617.7883449372</v>
      </c>
      <c r="K83" s="11">
        <v>320.0</v>
      </c>
      <c r="L83" s="11" t="s">
        <v>33</v>
      </c>
      <c r="M83" s="12">
        <v>44173.0</v>
      </c>
      <c r="N83" s="11" t="s">
        <v>34</v>
      </c>
      <c r="O83" s="11" t="s">
        <v>51</v>
      </c>
    </row>
    <row r="84">
      <c r="A84" s="10" t="s">
        <v>305</v>
      </c>
      <c r="B84" s="11">
        <v>67.0</v>
      </c>
      <c r="C84" s="11" t="s">
        <v>17</v>
      </c>
      <c r="D84" s="11" t="s">
        <v>54</v>
      </c>
      <c r="E84" s="11" t="s">
        <v>88</v>
      </c>
      <c r="F84" s="12">
        <v>44069.0</v>
      </c>
      <c r="G84" s="11" t="s">
        <v>306</v>
      </c>
      <c r="H84" s="11" t="s">
        <v>307</v>
      </c>
      <c r="I84" s="11" t="s">
        <v>42</v>
      </c>
      <c r="J84" s="11">
        <v>46814.0111951116</v>
      </c>
      <c r="K84" s="11">
        <v>134.0</v>
      </c>
      <c r="L84" s="11" t="s">
        <v>23</v>
      </c>
      <c r="M84" s="12">
        <v>44070.0</v>
      </c>
      <c r="N84" s="11" t="s">
        <v>57</v>
      </c>
      <c r="O84" s="11" t="s">
        <v>51</v>
      </c>
    </row>
    <row r="85">
      <c r="A85" s="10" t="s">
        <v>308</v>
      </c>
      <c r="B85" s="11">
        <v>80.0</v>
      </c>
      <c r="C85" s="11" t="s">
        <v>38</v>
      </c>
      <c r="D85" s="11" t="s">
        <v>66</v>
      </c>
      <c r="E85" s="11" t="s">
        <v>47</v>
      </c>
      <c r="F85" s="12">
        <v>45242.0</v>
      </c>
      <c r="G85" s="11" t="s">
        <v>309</v>
      </c>
      <c r="H85" s="11" t="s">
        <v>310</v>
      </c>
      <c r="I85" s="11" t="s">
        <v>22</v>
      </c>
      <c r="J85" s="11">
        <v>20257.5442829324</v>
      </c>
      <c r="K85" s="11">
        <v>255.0</v>
      </c>
      <c r="L85" s="11" t="s">
        <v>50</v>
      </c>
      <c r="M85" s="12">
        <v>45272.0</v>
      </c>
      <c r="N85" s="11" t="s">
        <v>57</v>
      </c>
      <c r="O85" s="11" t="s">
        <v>51</v>
      </c>
    </row>
    <row r="86">
      <c r="A86" s="10" t="s">
        <v>311</v>
      </c>
      <c r="B86" s="11">
        <v>44.0</v>
      </c>
      <c r="C86" s="11" t="s">
        <v>17</v>
      </c>
      <c r="D86" s="11" t="s">
        <v>46</v>
      </c>
      <c r="E86" s="11" t="s">
        <v>29</v>
      </c>
      <c r="F86" s="12">
        <v>43981.0</v>
      </c>
      <c r="G86" s="11" t="s">
        <v>312</v>
      </c>
      <c r="H86" s="11" t="s">
        <v>313</v>
      </c>
      <c r="I86" s="11" t="s">
        <v>73</v>
      </c>
      <c r="J86" s="11">
        <v>22841.3638769056</v>
      </c>
      <c r="K86" s="11">
        <v>410.0</v>
      </c>
      <c r="L86" s="11" t="s">
        <v>33</v>
      </c>
      <c r="M86" s="12">
        <v>43996.0</v>
      </c>
      <c r="N86" s="11" t="s">
        <v>43</v>
      </c>
      <c r="O86" s="11" t="s">
        <v>35</v>
      </c>
    </row>
    <row r="87">
      <c r="A87" s="10" t="s">
        <v>314</v>
      </c>
      <c r="B87" s="11">
        <v>26.0</v>
      </c>
      <c r="C87" s="11" t="s">
        <v>38</v>
      </c>
      <c r="D87" s="11" t="s">
        <v>18</v>
      </c>
      <c r="E87" s="11" t="s">
        <v>60</v>
      </c>
      <c r="F87" s="12">
        <v>45058.0</v>
      </c>
      <c r="G87" s="11" t="s">
        <v>315</v>
      </c>
      <c r="H87" s="11" t="s">
        <v>316</v>
      </c>
      <c r="I87" s="11" t="s">
        <v>32</v>
      </c>
      <c r="J87" s="11">
        <v>10283.7168581291</v>
      </c>
      <c r="K87" s="11">
        <v>273.0</v>
      </c>
      <c r="L87" s="11" t="s">
        <v>33</v>
      </c>
      <c r="M87" s="12">
        <v>45087.0</v>
      </c>
      <c r="N87" s="11" t="s">
        <v>34</v>
      </c>
      <c r="O87" s="11" t="s">
        <v>51</v>
      </c>
    </row>
    <row r="88">
      <c r="A88" s="10" t="s">
        <v>317</v>
      </c>
      <c r="B88" s="11">
        <v>80.0</v>
      </c>
      <c r="C88" s="11" t="s">
        <v>17</v>
      </c>
      <c r="D88" s="11" t="s">
        <v>54</v>
      </c>
      <c r="E88" s="11" t="s">
        <v>19</v>
      </c>
      <c r="F88" s="12">
        <v>44749.0</v>
      </c>
      <c r="G88" s="11" t="s">
        <v>318</v>
      </c>
      <c r="H88" s="11" t="s">
        <v>319</v>
      </c>
      <c r="I88" s="11" t="s">
        <v>63</v>
      </c>
      <c r="J88" s="11">
        <v>1586.47660143828</v>
      </c>
      <c r="K88" s="11">
        <v>395.0</v>
      </c>
      <c r="L88" s="11" t="s">
        <v>33</v>
      </c>
      <c r="M88" s="12">
        <v>44765.0</v>
      </c>
      <c r="N88" s="11" t="s">
        <v>34</v>
      </c>
      <c r="O88" s="11" t="s">
        <v>25</v>
      </c>
    </row>
    <row r="89">
      <c r="A89" s="10" t="s">
        <v>320</v>
      </c>
      <c r="B89" s="11">
        <v>63.0</v>
      </c>
      <c r="C89" s="11" t="s">
        <v>17</v>
      </c>
      <c r="D89" s="11" t="s">
        <v>18</v>
      </c>
      <c r="E89" s="11" t="s">
        <v>60</v>
      </c>
      <c r="F89" s="12">
        <v>44098.0</v>
      </c>
      <c r="G89" s="11" t="s">
        <v>321</v>
      </c>
      <c r="H89" s="11" t="s">
        <v>322</v>
      </c>
      <c r="I89" s="11" t="s">
        <v>42</v>
      </c>
      <c r="J89" s="11">
        <v>34774.3511270575</v>
      </c>
      <c r="K89" s="11">
        <v>152.0</v>
      </c>
      <c r="L89" s="11" t="s">
        <v>33</v>
      </c>
      <c r="M89" s="12">
        <v>44112.0</v>
      </c>
      <c r="N89" s="11" t="s">
        <v>57</v>
      </c>
      <c r="O89" s="11" t="s">
        <v>35</v>
      </c>
    </row>
    <row r="90">
      <c r="A90" s="10" t="s">
        <v>323</v>
      </c>
      <c r="B90" s="11">
        <v>58.0</v>
      </c>
      <c r="C90" s="11" t="s">
        <v>38</v>
      </c>
      <c r="D90" s="11" t="s">
        <v>18</v>
      </c>
      <c r="E90" s="11" t="s">
        <v>109</v>
      </c>
      <c r="F90" s="12">
        <v>45157.0</v>
      </c>
      <c r="G90" s="11" t="s">
        <v>324</v>
      </c>
      <c r="H90" s="11" t="s">
        <v>325</v>
      </c>
      <c r="I90" s="11" t="s">
        <v>63</v>
      </c>
      <c r="J90" s="11">
        <v>24870.1036589338</v>
      </c>
      <c r="K90" s="11">
        <v>321.0</v>
      </c>
      <c r="L90" s="11" t="s">
        <v>33</v>
      </c>
      <c r="M90" s="12">
        <v>45163.0</v>
      </c>
      <c r="N90" s="11" t="s">
        <v>34</v>
      </c>
      <c r="O90" s="11" t="s">
        <v>35</v>
      </c>
    </row>
    <row r="91">
      <c r="A91" s="10" t="s">
        <v>326</v>
      </c>
      <c r="B91" s="11">
        <v>38.0</v>
      </c>
      <c r="C91" s="11" t="s">
        <v>38</v>
      </c>
      <c r="D91" s="11" t="s">
        <v>28</v>
      </c>
      <c r="E91" s="11" t="s">
        <v>19</v>
      </c>
      <c r="F91" s="12">
        <v>45062.0</v>
      </c>
      <c r="G91" s="11" t="s">
        <v>327</v>
      </c>
      <c r="H91" s="11" t="s">
        <v>328</v>
      </c>
      <c r="I91" s="11" t="s">
        <v>73</v>
      </c>
      <c r="J91" s="11">
        <v>39476.9475143799</v>
      </c>
      <c r="K91" s="11">
        <v>428.0</v>
      </c>
      <c r="L91" s="11" t="s">
        <v>50</v>
      </c>
      <c r="M91" s="12">
        <v>45078.0</v>
      </c>
      <c r="N91" s="11" t="s">
        <v>43</v>
      </c>
      <c r="O91" s="11" t="s">
        <v>51</v>
      </c>
    </row>
    <row r="92">
      <c r="A92" s="10" t="s">
        <v>329</v>
      </c>
      <c r="B92" s="11">
        <v>60.0</v>
      </c>
      <c r="C92" s="11" t="s">
        <v>17</v>
      </c>
      <c r="D92" s="11" t="s">
        <v>119</v>
      </c>
      <c r="E92" s="11" t="s">
        <v>88</v>
      </c>
      <c r="F92" s="12">
        <v>44795.0</v>
      </c>
      <c r="G92" s="11" t="s">
        <v>330</v>
      </c>
      <c r="H92" s="11" t="s">
        <v>331</v>
      </c>
      <c r="I92" s="11" t="s">
        <v>22</v>
      </c>
      <c r="J92" s="11">
        <v>26062.434320291</v>
      </c>
      <c r="K92" s="11">
        <v>482.0</v>
      </c>
      <c r="L92" s="11" t="s">
        <v>50</v>
      </c>
      <c r="M92" s="12">
        <v>44811.0</v>
      </c>
      <c r="N92" s="11" t="s">
        <v>24</v>
      </c>
      <c r="O92" s="11" t="s">
        <v>35</v>
      </c>
    </row>
    <row r="93">
      <c r="A93" s="10" t="s">
        <v>332</v>
      </c>
      <c r="B93" s="11">
        <v>49.0</v>
      </c>
      <c r="C93" s="11" t="s">
        <v>17</v>
      </c>
      <c r="D93" s="11" t="s">
        <v>119</v>
      </c>
      <c r="E93" s="11" t="s">
        <v>19</v>
      </c>
      <c r="F93" s="12">
        <v>44729.0</v>
      </c>
      <c r="G93" s="11" t="s">
        <v>333</v>
      </c>
      <c r="H93" s="11" t="s">
        <v>334</v>
      </c>
      <c r="I93" s="11" t="s">
        <v>32</v>
      </c>
      <c r="J93" s="11">
        <v>25302.1126340112</v>
      </c>
      <c r="K93" s="11">
        <v>268.0</v>
      </c>
      <c r="L93" s="11" t="s">
        <v>50</v>
      </c>
      <c r="M93" s="12">
        <v>44740.0</v>
      </c>
      <c r="N93" s="11" t="s">
        <v>57</v>
      </c>
      <c r="O93" s="11" t="s">
        <v>51</v>
      </c>
    </row>
    <row r="94">
      <c r="A94" s="10" t="s">
        <v>335</v>
      </c>
      <c r="B94" s="11">
        <v>80.0</v>
      </c>
      <c r="C94" s="11" t="s">
        <v>17</v>
      </c>
      <c r="D94" s="11" t="s">
        <v>28</v>
      </c>
      <c r="E94" s="11" t="s">
        <v>47</v>
      </c>
      <c r="F94" s="12">
        <v>44870.0</v>
      </c>
      <c r="G94" s="11" t="s">
        <v>336</v>
      </c>
      <c r="H94" s="11" t="s">
        <v>337</v>
      </c>
      <c r="I94" s="11" t="s">
        <v>63</v>
      </c>
      <c r="J94" s="11">
        <v>10661.5106491327</v>
      </c>
      <c r="K94" s="11">
        <v>120.0</v>
      </c>
      <c r="L94" s="11" t="s">
        <v>33</v>
      </c>
      <c r="M94" s="12">
        <v>44890.0</v>
      </c>
      <c r="N94" s="11" t="s">
        <v>91</v>
      </c>
      <c r="O94" s="11" t="s">
        <v>51</v>
      </c>
    </row>
    <row r="95">
      <c r="A95" s="10" t="s">
        <v>338</v>
      </c>
      <c r="B95" s="11">
        <v>35.0</v>
      </c>
      <c r="C95" s="11" t="s">
        <v>38</v>
      </c>
      <c r="D95" s="11" t="s">
        <v>119</v>
      </c>
      <c r="E95" s="11" t="s">
        <v>47</v>
      </c>
      <c r="F95" s="12">
        <v>44449.0</v>
      </c>
      <c r="G95" s="11" t="s">
        <v>339</v>
      </c>
      <c r="H95" s="11" t="s">
        <v>340</v>
      </c>
      <c r="I95" s="11" t="s">
        <v>22</v>
      </c>
      <c r="J95" s="11">
        <v>30358.1945795447</v>
      </c>
      <c r="K95" s="11">
        <v>318.0</v>
      </c>
      <c r="L95" s="11" t="s">
        <v>50</v>
      </c>
      <c r="M95" s="12">
        <v>44457.0</v>
      </c>
      <c r="N95" s="11" t="s">
        <v>34</v>
      </c>
      <c r="O95" s="11" t="s">
        <v>35</v>
      </c>
    </row>
    <row r="96">
      <c r="A96" s="10" t="s">
        <v>341</v>
      </c>
      <c r="B96" s="11">
        <v>84.0</v>
      </c>
      <c r="C96" s="11" t="s">
        <v>17</v>
      </c>
      <c r="D96" s="11" t="s">
        <v>28</v>
      </c>
      <c r="E96" s="11" t="s">
        <v>60</v>
      </c>
      <c r="F96" s="12">
        <v>44810.0</v>
      </c>
      <c r="G96" s="11" t="s">
        <v>342</v>
      </c>
      <c r="H96" s="11" t="s">
        <v>343</v>
      </c>
      <c r="I96" s="11" t="s">
        <v>73</v>
      </c>
      <c r="J96" s="11">
        <v>23684.5254727448</v>
      </c>
      <c r="K96" s="11">
        <v>162.0</v>
      </c>
      <c r="L96" s="11" t="s">
        <v>23</v>
      </c>
      <c r="M96" s="12">
        <v>44831.0</v>
      </c>
      <c r="N96" s="11" t="s">
        <v>34</v>
      </c>
      <c r="O96" s="11" t="s">
        <v>35</v>
      </c>
    </row>
    <row r="97">
      <c r="A97" s="10" t="s">
        <v>344</v>
      </c>
      <c r="B97" s="11">
        <v>76.0</v>
      </c>
      <c r="C97" s="11" t="s">
        <v>17</v>
      </c>
      <c r="D97" s="11" t="s">
        <v>28</v>
      </c>
      <c r="E97" s="11" t="s">
        <v>47</v>
      </c>
      <c r="F97" s="12">
        <v>44303.0</v>
      </c>
      <c r="G97" s="11" t="s">
        <v>345</v>
      </c>
      <c r="H97" s="11" t="s">
        <v>346</v>
      </c>
      <c r="I97" s="11" t="s">
        <v>42</v>
      </c>
      <c r="J97" s="11">
        <v>3908.94656794631</v>
      </c>
      <c r="K97" s="11">
        <v>428.0</v>
      </c>
      <c r="L97" s="11" t="s">
        <v>50</v>
      </c>
      <c r="M97" s="12">
        <v>44326.0</v>
      </c>
      <c r="N97" s="11" t="s">
        <v>91</v>
      </c>
      <c r="O97" s="11" t="s">
        <v>35</v>
      </c>
    </row>
    <row r="98">
      <c r="A98" s="10" t="s">
        <v>347</v>
      </c>
      <c r="B98" s="11">
        <v>79.0</v>
      </c>
      <c r="C98" s="11" t="s">
        <v>38</v>
      </c>
      <c r="D98" s="11" t="s">
        <v>39</v>
      </c>
      <c r="E98" s="11" t="s">
        <v>88</v>
      </c>
      <c r="F98" s="12">
        <v>43696.0</v>
      </c>
      <c r="G98" s="11" t="s">
        <v>348</v>
      </c>
      <c r="H98" s="11" t="s">
        <v>349</v>
      </c>
      <c r="I98" s="11" t="s">
        <v>32</v>
      </c>
      <c r="J98" s="11">
        <v>25503.673806852</v>
      </c>
      <c r="K98" s="11">
        <v>144.0</v>
      </c>
      <c r="L98" s="11" t="s">
        <v>50</v>
      </c>
      <c r="M98" s="12">
        <v>43703.0</v>
      </c>
      <c r="N98" s="11" t="s">
        <v>91</v>
      </c>
      <c r="O98" s="11" t="s">
        <v>51</v>
      </c>
    </row>
    <row r="99">
      <c r="A99" s="10" t="s">
        <v>350</v>
      </c>
      <c r="B99" s="11">
        <v>76.0</v>
      </c>
      <c r="C99" s="11" t="s">
        <v>38</v>
      </c>
      <c r="D99" s="11" t="s">
        <v>46</v>
      </c>
      <c r="E99" s="11" t="s">
        <v>47</v>
      </c>
      <c r="F99" s="12">
        <v>45375.0</v>
      </c>
      <c r="G99" s="11" t="s">
        <v>351</v>
      </c>
      <c r="H99" s="11" t="s">
        <v>352</v>
      </c>
      <c r="I99" s="11" t="s">
        <v>42</v>
      </c>
      <c r="J99" s="11">
        <v>6312.60769101852</v>
      </c>
      <c r="K99" s="11">
        <v>226.0</v>
      </c>
      <c r="L99" s="11" t="s">
        <v>50</v>
      </c>
      <c r="M99" s="12">
        <v>45396.0</v>
      </c>
      <c r="N99" s="11" t="s">
        <v>43</v>
      </c>
      <c r="O99" s="11" t="s">
        <v>51</v>
      </c>
    </row>
    <row r="100">
      <c r="A100" s="10" t="s">
        <v>353</v>
      </c>
      <c r="B100" s="11">
        <v>55.0</v>
      </c>
      <c r="C100" s="11" t="s">
        <v>38</v>
      </c>
      <c r="D100" s="11" t="s">
        <v>28</v>
      </c>
      <c r="E100" s="11" t="s">
        <v>47</v>
      </c>
      <c r="F100" s="12">
        <v>44905.0</v>
      </c>
      <c r="G100" s="11" t="s">
        <v>354</v>
      </c>
      <c r="H100" s="11" t="s">
        <v>355</v>
      </c>
      <c r="I100" s="11" t="s">
        <v>63</v>
      </c>
      <c r="J100" s="11">
        <v>21772.3413986496</v>
      </c>
      <c r="K100" s="11">
        <v>459.0</v>
      </c>
      <c r="L100" s="11" t="s">
        <v>50</v>
      </c>
      <c r="M100" s="12">
        <v>44926.0</v>
      </c>
      <c r="N100" s="11" t="s">
        <v>34</v>
      </c>
      <c r="O100" s="11" t="s">
        <v>25</v>
      </c>
    </row>
    <row r="101">
      <c r="A101" s="10" t="s">
        <v>356</v>
      </c>
      <c r="B101" s="11">
        <v>53.0</v>
      </c>
      <c r="C101" s="11" t="s">
        <v>17</v>
      </c>
      <c r="D101" s="11" t="s">
        <v>18</v>
      </c>
      <c r="E101" s="11" t="s">
        <v>19</v>
      </c>
      <c r="F101" s="12">
        <v>44818.0</v>
      </c>
      <c r="G101" s="11" t="s">
        <v>357</v>
      </c>
      <c r="H101" s="11" t="s">
        <v>358</v>
      </c>
      <c r="I101" s="11" t="s">
        <v>22</v>
      </c>
      <c r="J101" s="11">
        <v>30437.001787641</v>
      </c>
      <c r="K101" s="11">
        <v>208.0</v>
      </c>
      <c r="L101" s="11" t="s">
        <v>50</v>
      </c>
      <c r="M101" s="12">
        <v>44822.0</v>
      </c>
      <c r="N101" s="11" t="s">
        <v>43</v>
      </c>
      <c r="O101" s="11" t="s">
        <v>25</v>
      </c>
    </row>
    <row r="102">
      <c r="A102" s="10" t="s">
        <v>359</v>
      </c>
      <c r="B102" s="11">
        <v>18.0</v>
      </c>
      <c r="C102" s="11" t="s">
        <v>17</v>
      </c>
      <c r="D102" s="11" t="s">
        <v>119</v>
      </c>
      <c r="E102" s="11" t="s">
        <v>60</v>
      </c>
      <c r="F102" s="12">
        <v>44852.0</v>
      </c>
      <c r="G102" s="11" t="s">
        <v>360</v>
      </c>
      <c r="H102" s="11" t="s">
        <v>361</v>
      </c>
      <c r="I102" s="11" t="s">
        <v>63</v>
      </c>
      <c r="J102" s="11">
        <v>28837.6770525072</v>
      </c>
      <c r="K102" s="11">
        <v>227.0</v>
      </c>
      <c r="L102" s="11" t="s">
        <v>50</v>
      </c>
      <c r="M102" s="12">
        <v>44876.0</v>
      </c>
      <c r="N102" s="11" t="s">
        <v>43</v>
      </c>
      <c r="O102" s="11" t="s">
        <v>51</v>
      </c>
    </row>
    <row r="103">
      <c r="A103" s="10" t="s">
        <v>362</v>
      </c>
      <c r="B103" s="11">
        <v>69.0</v>
      </c>
      <c r="C103" s="11" t="s">
        <v>17</v>
      </c>
      <c r="D103" s="11" t="s">
        <v>46</v>
      </c>
      <c r="E103" s="11" t="s">
        <v>109</v>
      </c>
      <c r="F103" s="12">
        <v>44513.0</v>
      </c>
      <c r="G103" s="11" t="s">
        <v>363</v>
      </c>
      <c r="H103" s="11" t="s">
        <v>364</v>
      </c>
      <c r="I103" s="11" t="s">
        <v>73</v>
      </c>
      <c r="J103" s="11">
        <v>25425.727862607</v>
      </c>
      <c r="K103" s="11">
        <v>115.0</v>
      </c>
      <c r="L103" s="11" t="s">
        <v>50</v>
      </c>
      <c r="M103" s="12">
        <v>44521.0</v>
      </c>
      <c r="N103" s="11" t="s">
        <v>43</v>
      </c>
      <c r="O103" s="11" t="s">
        <v>25</v>
      </c>
    </row>
    <row r="104">
      <c r="A104" s="10" t="s">
        <v>365</v>
      </c>
      <c r="B104" s="11">
        <v>70.0</v>
      </c>
      <c r="C104" s="11" t="s">
        <v>17</v>
      </c>
      <c r="D104" s="11" t="s">
        <v>119</v>
      </c>
      <c r="E104" s="11" t="s">
        <v>47</v>
      </c>
      <c r="F104" s="12">
        <v>44750.0</v>
      </c>
      <c r="G104" s="11" t="s">
        <v>366</v>
      </c>
      <c r="H104" s="11" t="s">
        <v>367</v>
      </c>
      <c r="I104" s="11" t="s">
        <v>42</v>
      </c>
      <c r="J104" s="11">
        <v>7187.2723460995</v>
      </c>
      <c r="K104" s="11">
        <v>402.0</v>
      </c>
      <c r="L104" s="11" t="s">
        <v>33</v>
      </c>
      <c r="M104" s="12">
        <v>44767.0</v>
      </c>
      <c r="N104" s="11" t="s">
        <v>43</v>
      </c>
      <c r="O104" s="11" t="s">
        <v>25</v>
      </c>
    </row>
    <row r="105">
      <c r="A105" s="10" t="s">
        <v>368</v>
      </c>
      <c r="B105" s="11">
        <v>21.0</v>
      </c>
      <c r="C105" s="11" t="s">
        <v>17</v>
      </c>
      <c r="D105" s="11" t="s">
        <v>28</v>
      </c>
      <c r="E105" s="11" t="s">
        <v>47</v>
      </c>
      <c r="F105" s="12">
        <v>45102.0</v>
      </c>
      <c r="G105" s="11" t="s">
        <v>369</v>
      </c>
      <c r="H105" s="11" t="s">
        <v>370</v>
      </c>
      <c r="I105" s="11" t="s">
        <v>63</v>
      </c>
      <c r="J105" s="11">
        <v>3125.73647660125</v>
      </c>
      <c r="K105" s="11">
        <v>442.0</v>
      </c>
      <c r="L105" s="11" t="s">
        <v>23</v>
      </c>
      <c r="M105" s="12">
        <v>45118.0</v>
      </c>
      <c r="N105" s="11" t="s">
        <v>34</v>
      </c>
      <c r="O105" s="11" t="s">
        <v>25</v>
      </c>
    </row>
    <row r="106">
      <c r="A106" s="10" t="s">
        <v>371</v>
      </c>
      <c r="B106" s="11">
        <v>47.0</v>
      </c>
      <c r="C106" s="11" t="s">
        <v>17</v>
      </c>
      <c r="D106" s="11" t="s">
        <v>39</v>
      </c>
      <c r="E106" s="11" t="s">
        <v>47</v>
      </c>
      <c r="F106" s="12">
        <v>43655.0</v>
      </c>
      <c r="G106" s="11" t="s">
        <v>372</v>
      </c>
      <c r="H106" s="11" t="s">
        <v>373</v>
      </c>
      <c r="I106" s="11" t="s">
        <v>32</v>
      </c>
      <c r="J106" s="11">
        <v>31516.1007343743</v>
      </c>
      <c r="K106" s="11">
        <v>418.0</v>
      </c>
      <c r="L106" s="11" t="s">
        <v>50</v>
      </c>
      <c r="M106" s="12">
        <v>43682.0</v>
      </c>
      <c r="N106" s="11" t="s">
        <v>57</v>
      </c>
      <c r="O106" s="11" t="s">
        <v>35</v>
      </c>
    </row>
    <row r="107">
      <c r="A107" s="10" t="s">
        <v>374</v>
      </c>
      <c r="B107" s="11">
        <v>85.0</v>
      </c>
      <c r="C107" s="11" t="s">
        <v>17</v>
      </c>
      <c r="D107" s="11" t="s">
        <v>39</v>
      </c>
      <c r="E107" s="11" t="s">
        <v>109</v>
      </c>
      <c r="F107" s="12">
        <v>44330.0</v>
      </c>
      <c r="G107" s="11" t="s">
        <v>375</v>
      </c>
      <c r="H107" s="11" t="s">
        <v>376</v>
      </c>
      <c r="I107" s="11" t="s">
        <v>63</v>
      </c>
      <c r="J107" s="11">
        <v>40014.7623484579</v>
      </c>
      <c r="K107" s="11">
        <v>425.0</v>
      </c>
      <c r="L107" s="11" t="s">
        <v>33</v>
      </c>
      <c r="M107" s="12">
        <v>44350.0</v>
      </c>
      <c r="N107" s="11" t="s">
        <v>43</v>
      </c>
      <c r="O107" s="11" t="s">
        <v>51</v>
      </c>
    </row>
    <row r="108">
      <c r="A108" s="10" t="s">
        <v>377</v>
      </c>
      <c r="B108" s="11">
        <v>28.0</v>
      </c>
      <c r="C108" s="11" t="s">
        <v>17</v>
      </c>
      <c r="D108" s="11" t="s">
        <v>46</v>
      </c>
      <c r="E108" s="11" t="s">
        <v>19</v>
      </c>
      <c r="F108" s="12">
        <v>45306.0</v>
      </c>
      <c r="G108" s="11" t="s">
        <v>378</v>
      </c>
      <c r="H108" s="11" t="s">
        <v>379</v>
      </c>
      <c r="I108" s="11" t="s">
        <v>32</v>
      </c>
      <c r="J108" s="11">
        <v>40782.9278084865</v>
      </c>
      <c r="K108" s="11">
        <v>373.0</v>
      </c>
      <c r="L108" s="11" t="s">
        <v>50</v>
      </c>
      <c r="M108" s="12">
        <v>45329.0</v>
      </c>
      <c r="N108" s="11" t="s">
        <v>34</v>
      </c>
      <c r="O108" s="11" t="s">
        <v>51</v>
      </c>
    </row>
    <row r="109">
      <c r="A109" s="10" t="s">
        <v>380</v>
      </c>
      <c r="B109" s="11">
        <v>62.0</v>
      </c>
      <c r="C109" s="11" t="s">
        <v>17</v>
      </c>
      <c r="D109" s="11" t="s">
        <v>39</v>
      </c>
      <c r="E109" s="11" t="s">
        <v>29</v>
      </c>
      <c r="F109" s="12">
        <v>43738.0</v>
      </c>
      <c r="G109" s="11" t="s">
        <v>381</v>
      </c>
      <c r="H109" s="11" t="s">
        <v>382</v>
      </c>
      <c r="I109" s="11" t="s">
        <v>73</v>
      </c>
      <c r="J109" s="11">
        <v>3879.08460181339</v>
      </c>
      <c r="K109" s="11">
        <v>290.0</v>
      </c>
      <c r="L109" s="11" t="s">
        <v>50</v>
      </c>
      <c r="M109" s="12">
        <v>43753.0</v>
      </c>
      <c r="N109" s="11" t="s">
        <v>43</v>
      </c>
      <c r="O109" s="11" t="s">
        <v>35</v>
      </c>
    </row>
    <row r="110">
      <c r="A110" s="10" t="s">
        <v>383</v>
      </c>
      <c r="B110" s="11">
        <v>49.0</v>
      </c>
      <c r="C110" s="11" t="s">
        <v>38</v>
      </c>
      <c r="D110" s="11" t="s">
        <v>18</v>
      </c>
      <c r="E110" s="11" t="s">
        <v>109</v>
      </c>
      <c r="F110" s="12">
        <v>44260.0</v>
      </c>
      <c r="G110" s="11" t="s">
        <v>384</v>
      </c>
      <c r="H110" s="11" t="s">
        <v>385</v>
      </c>
      <c r="I110" s="11" t="s">
        <v>32</v>
      </c>
      <c r="J110" s="11">
        <v>24948.4778240269</v>
      </c>
      <c r="K110" s="11">
        <v>361.0</v>
      </c>
      <c r="L110" s="11" t="s">
        <v>33</v>
      </c>
      <c r="M110" s="12">
        <v>44275.0</v>
      </c>
      <c r="N110" s="11" t="s">
        <v>57</v>
      </c>
      <c r="O110" s="11" t="s">
        <v>51</v>
      </c>
    </row>
    <row r="111">
      <c r="A111" s="10" t="s">
        <v>386</v>
      </c>
      <c r="B111" s="11">
        <v>52.0</v>
      </c>
      <c r="C111" s="11" t="s">
        <v>17</v>
      </c>
      <c r="D111" s="11" t="s">
        <v>66</v>
      </c>
      <c r="E111" s="11" t="s">
        <v>88</v>
      </c>
      <c r="F111" s="12">
        <v>44330.0</v>
      </c>
      <c r="G111" s="11" t="s">
        <v>387</v>
      </c>
      <c r="H111" s="11" t="s">
        <v>388</v>
      </c>
      <c r="I111" s="11" t="s">
        <v>73</v>
      </c>
      <c r="J111" s="11">
        <v>37734.7421803869</v>
      </c>
      <c r="K111" s="11">
        <v>251.0</v>
      </c>
      <c r="L111" s="11" t="s">
        <v>50</v>
      </c>
      <c r="M111" s="12">
        <v>44353.0</v>
      </c>
      <c r="N111" s="11" t="s">
        <v>57</v>
      </c>
      <c r="O111" s="11" t="s">
        <v>51</v>
      </c>
    </row>
    <row r="112">
      <c r="A112" s="10" t="s">
        <v>389</v>
      </c>
      <c r="B112" s="11">
        <v>53.0</v>
      </c>
      <c r="C112" s="11" t="s">
        <v>17</v>
      </c>
      <c r="D112" s="11" t="s">
        <v>119</v>
      </c>
      <c r="E112" s="11" t="s">
        <v>19</v>
      </c>
      <c r="F112" s="12">
        <v>45085.0</v>
      </c>
      <c r="G112" s="11" t="s">
        <v>390</v>
      </c>
      <c r="H112" s="11" t="s">
        <v>391</v>
      </c>
      <c r="I112" s="11" t="s">
        <v>63</v>
      </c>
      <c r="J112" s="11">
        <v>27360.4618905512</v>
      </c>
      <c r="K112" s="11">
        <v>231.0</v>
      </c>
      <c r="L112" s="11" t="s">
        <v>50</v>
      </c>
      <c r="M112" s="12">
        <v>45112.0</v>
      </c>
      <c r="N112" s="11" t="s">
        <v>34</v>
      </c>
      <c r="O112" s="11" t="s">
        <v>51</v>
      </c>
    </row>
    <row r="113">
      <c r="A113" s="10" t="s">
        <v>392</v>
      </c>
      <c r="B113" s="11">
        <v>55.0</v>
      </c>
      <c r="C113" s="11" t="s">
        <v>17</v>
      </c>
      <c r="D113" s="11" t="s">
        <v>66</v>
      </c>
      <c r="E113" s="11" t="s">
        <v>60</v>
      </c>
      <c r="F113" s="12">
        <v>44694.0</v>
      </c>
      <c r="G113" s="11" t="s">
        <v>393</v>
      </c>
      <c r="H113" s="11" t="s">
        <v>394</v>
      </c>
      <c r="I113" s="11" t="s">
        <v>42</v>
      </c>
      <c r="J113" s="11">
        <v>37405.6965286312</v>
      </c>
      <c r="K113" s="11">
        <v>212.0</v>
      </c>
      <c r="L113" s="11" t="s">
        <v>50</v>
      </c>
      <c r="M113" s="12">
        <v>44701.0</v>
      </c>
      <c r="N113" s="11" t="s">
        <v>24</v>
      </c>
      <c r="O113" s="11" t="s">
        <v>25</v>
      </c>
    </row>
    <row r="114">
      <c r="A114" s="10" t="s">
        <v>395</v>
      </c>
      <c r="B114" s="11">
        <v>18.0</v>
      </c>
      <c r="C114" s="11" t="s">
        <v>17</v>
      </c>
      <c r="D114" s="11" t="s">
        <v>18</v>
      </c>
      <c r="E114" s="11" t="s">
        <v>109</v>
      </c>
      <c r="F114" s="12">
        <v>44826.0</v>
      </c>
      <c r="G114" s="11" t="s">
        <v>396</v>
      </c>
      <c r="H114" s="11" t="s">
        <v>397</v>
      </c>
      <c r="I114" s="11" t="s">
        <v>32</v>
      </c>
      <c r="J114" s="11">
        <v>31485.9731617159</v>
      </c>
      <c r="K114" s="11">
        <v>440.0</v>
      </c>
      <c r="L114" s="11" t="s">
        <v>33</v>
      </c>
      <c r="M114" s="12">
        <v>44848.0</v>
      </c>
      <c r="N114" s="11" t="s">
        <v>34</v>
      </c>
      <c r="O114" s="11" t="s">
        <v>25</v>
      </c>
    </row>
    <row r="115">
      <c r="A115" s="10" t="s">
        <v>398</v>
      </c>
      <c r="B115" s="11">
        <v>52.0</v>
      </c>
      <c r="C115" s="11" t="s">
        <v>17</v>
      </c>
      <c r="D115" s="11" t="s">
        <v>66</v>
      </c>
      <c r="E115" s="11" t="s">
        <v>88</v>
      </c>
      <c r="F115" s="12">
        <v>45163.0</v>
      </c>
      <c r="G115" s="11" t="s">
        <v>399</v>
      </c>
      <c r="H115" s="11" t="s">
        <v>400</v>
      </c>
      <c r="I115" s="11" t="s">
        <v>32</v>
      </c>
      <c r="J115" s="11">
        <v>23737.399323627</v>
      </c>
      <c r="K115" s="11">
        <v>414.0</v>
      </c>
      <c r="L115" s="11" t="s">
        <v>23</v>
      </c>
      <c r="M115" s="12">
        <v>45187.0</v>
      </c>
      <c r="N115" s="11" t="s">
        <v>91</v>
      </c>
      <c r="O115" s="11" t="s">
        <v>25</v>
      </c>
    </row>
    <row r="116">
      <c r="A116" s="10" t="s">
        <v>401</v>
      </c>
      <c r="B116" s="11">
        <v>67.0</v>
      </c>
      <c r="C116" s="11" t="s">
        <v>17</v>
      </c>
      <c r="D116" s="11" t="s">
        <v>66</v>
      </c>
      <c r="E116" s="11" t="s">
        <v>29</v>
      </c>
      <c r="F116" s="12">
        <v>43618.0</v>
      </c>
      <c r="G116" s="11" t="s">
        <v>402</v>
      </c>
      <c r="H116" s="11" t="s">
        <v>403</v>
      </c>
      <c r="I116" s="11" t="s">
        <v>42</v>
      </c>
      <c r="J116" s="11">
        <v>3326.38267468151</v>
      </c>
      <c r="K116" s="11">
        <v>424.0</v>
      </c>
      <c r="L116" s="11" t="s">
        <v>33</v>
      </c>
      <c r="M116" s="12">
        <v>43620.0</v>
      </c>
      <c r="N116" s="11" t="s">
        <v>91</v>
      </c>
      <c r="O116" s="11" t="s">
        <v>35</v>
      </c>
    </row>
    <row r="117">
      <c r="A117" s="10" t="s">
        <v>404</v>
      </c>
      <c r="B117" s="11">
        <v>82.0</v>
      </c>
      <c r="C117" s="11" t="s">
        <v>38</v>
      </c>
      <c r="D117" s="11" t="s">
        <v>28</v>
      </c>
      <c r="E117" s="11" t="s">
        <v>88</v>
      </c>
      <c r="F117" s="12">
        <v>44519.0</v>
      </c>
      <c r="G117" s="11" t="s">
        <v>405</v>
      </c>
      <c r="H117" s="11" t="s">
        <v>406</v>
      </c>
      <c r="I117" s="11" t="s">
        <v>32</v>
      </c>
      <c r="J117" s="11">
        <v>23067.6721652454</v>
      </c>
      <c r="K117" s="11">
        <v>307.0</v>
      </c>
      <c r="L117" s="11" t="s">
        <v>50</v>
      </c>
      <c r="M117" s="12">
        <v>44542.0</v>
      </c>
      <c r="N117" s="11" t="s">
        <v>34</v>
      </c>
      <c r="O117" s="11" t="s">
        <v>25</v>
      </c>
    </row>
    <row r="118">
      <c r="A118" s="10" t="s">
        <v>407</v>
      </c>
      <c r="B118" s="11">
        <v>37.0</v>
      </c>
      <c r="C118" s="11" t="s">
        <v>38</v>
      </c>
      <c r="D118" s="11" t="s">
        <v>46</v>
      </c>
      <c r="E118" s="11" t="s">
        <v>60</v>
      </c>
      <c r="F118" s="12">
        <v>43801.0</v>
      </c>
      <c r="G118" s="11" t="s">
        <v>408</v>
      </c>
      <c r="H118" s="11" t="s">
        <v>409</v>
      </c>
      <c r="I118" s="11" t="s">
        <v>42</v>
      </c>
      <c r="J118" s="11">
        <v>8521.21425267109</v>
      </c>
      <c r="K118" s="11">
        <v>476.0</v>
      </c>
      <c r="L118" s="11" t="s">
        <v>50</v>
      </c>
      <c r="M118" s="12">
        <v>43812.0</v>
      </c>
      <c r="N118" s="11" t="s">
        <v>57</v>
      </c>
      <c r="O118" s="11" t="s">
        <v>51</v>
      </c>
    </row>
    <row r="119">
      <c r="A119" s="10" t="s">
        <v>410</v>
      </c>
      <c r="B119" s="11">
        <v>52.0</v>
      </c>
      <c r="C119" s="11" t="s">
        <v>38</v>
      </c>
      <c r="D119" s="11" t="s">
        <v>66</v>
      </c>
      <c r="E119" s="11" t="s">
        <v>19</v>
      </c>
      <c r="F119" s="12">
        <v>44064.0</v>
      </c>
      <c r="G119" s="11" t="s">
        <v>411</v>
      </c>
      <c r="H119" s="11" t="s">
        <v>412</v>
      </c>
      <c r="I119" s="11" t="s">
        <v>73</v>
      </c>
      <c r="J119" s="11">
        <v>47985.1673383277</v>
      </c>
      <c r="K119" s="11">
        <v>388.0</v>
      </c>
      <c r="L119" s="11" t="s">
        <v>50</v>
      </c>
      <c r="M119" s="12">
        <v>44080.0</v>
      </c>
      <c r="N119" s="11" t="s">
        <v>57</v>
      </c>
      <c r="O119" s="11" t="s">
        <v>35</v>
      </c>
    </row>
    <row r="120">
      <c r="A120" s="10" t="s">
        <v>413</v>
      </c>
      <c r="B120" s="11">
        <v>37.0</v>
      </c>
      <c r="C120" s="11" t="s">
        <v>38</v>
      </c>
      <c r="D120" s="11" t="s">
        <v>119</v>
      </c>
      <c r="E120" s="11" t="s">
        <v>60</v>
      </c>
      <c r="F120" s="12">
        <v>44239.0</v>
      </c>
      <c r="G120" s="11" t="s">
        <v>414</v>
      </c>
      <c r="H120" s="11" t="s">
        <v>415</v>
      </c>
      <c r="I120" s="11" t="s">
        <v>63</v>
      </c>
      <c r="J120" s="11">
        <v>25230.2468818024</v>
      </c>
      <c r="K120" s="11">
        <v>326.0</v>
      </c>
      <c r="L120" s="11" t="s">
        <v>50</v>
      </c>
      <c r="M120" s="12">
        <v>44266.0</v>
      </c>
      <c r="N120" s="11" t="s">
        <v>34</v>
      </c>
      <c r="O120" s="11" t="s">
        <v>35</v>
      </c>
    </row>
    <row r="121">
      <c r="A121" s="10" t="s">
        <v>416</v>
      </c>
      <c r="B121" s="11">
        <v>83.0</v>
      </c>
      <c r="C121" s="11" t="s">
        <v>38</v>
      </c>
      <c r="D121" s="11" t="s">
        <v>28</v>
      </c>
      <c r="E121" s="11" t="s">
        <v>47</v>
      </c>
      <c r="F121" s="12">
        <v>45304.0</v>
      </c>
      <c r="G121" s="11" t="s">
        <v>417</v>
      </c>
      <c r="H121" s="11" t="s">
        <v>418</v>
      </c>
      <c r="I121" s="11" t="s">
        <v>22</v>
      </c>
      <c r="J121" s="11">
        <v>10352.2084867408</v>
      </c>
      <c r="K121" s="11">
        <v>394.0</v>
      </c>
      <c r="L121" s="11" t="s">
        <v>23</v>
      </c>
      <c r="M121" s="12">
        <v>45313.0</v>
      </c>
      <c r="N121" s="11" t="s">
        <v>43</v>
      </c>
      <c r="O121" s="11" t="s">
        <v>51</v>
      </c>
    </row>
    <row r="122">
      <c r="A122" s="10" t="s">
        <v>419</v>
      </c>
      <c r="B122" s="11">
        <v>33.0</v>
      </c>
      <c r="C122" s="11" t="s">
        <v>17</v>
      </c>
      <c r="D122" s="11" t="s">
        <v>141</v>
      </c>
      <c r="E122" s="11" t="s">
        <v>109</v>
      </c>
      <c r="F122" s="12">
        <v>44556.0</v>
      </c>
      <c r="G122" s="11" t="s">
        <v>420</v>
      </c>
      <c r="H122" s="11" t="s">
        <v>421</v>
      </c>
      <c r="I122" s="11" t="s">
        <v>32</v>
      </c>
      <c r="J122" s="11">
        <v>6175.86724929242</v>
      </c>
      <c r="K122" s="11">
        <v>138.0</v>
      </c>
      <c r="L122" s="11" t="s">
        <v>23</v>
      </c>
      <c r="M122" s="12">
        <v>44573.0</v>
      </c>
      <c r="N122" s="11" t="s">
        <v>43</v>
      </c>
      <c r="O122" s="11" t="s">
        <v>51</v>
      </c>
    </row>
    <row r="123">
      <c r="A123" s="10" t="s">
        <v>422</v>
      </c>
      <c r="B123" s="11">
        <v>22.0</v>
      </c>
      <c r="C123" s="11" t="s">
        <v>38</v>
      </c>
      <c r="D123" s="11" t="s">
        <v>39</v>
      </c>
      <c r="E123" s="11" t="s">
        <v>29</v>
      </c>
      <c r="F123" s="12">
        <v>44795.0</v>
      </c>
      <c r="G123" s="11" t="s">
        <v>423</v>
      </c>
      <c r="H123" s="11" t="s">
        <v>424</v>
      </c>
      <c r="I123" s="11" t="s">
        <v>22</v>
      </c>
      <c r="J123" s="11">
        <v>23499.9362509787</v>
      </c>
      <c r="K123" s="11">
        <v>178.0</v>
      </c>
      <c r="L123" s="11" t="s">
        <v>23</v>
      </c>
      <c r="M123" s="12">
        <v>44811.0</v>
      </c>
      <c r="N123" s="11" t="s">
        <v>57</v>
      </c>
      <c r="O123" s="11" t="s">
        <v>25</v>
      </c>
    </row>
    <row r="124">
      <c r="A124" s="10" t="s">
        <v>425</v>
      </c>
      <c r="B124" s="11">
        <v>19.0</v>
      </c>
      <c r="C124" s="11" t="s">
        <v>38</v>
      </c>
      <c r="D124" s="11" t="s">
        <v>119</v>
      </c>
      <c r="E124" s="11" t="s">
        <v>19</v>
      </c>
      <c r="F124" s="12">
        <v>44380.0</v>
      </c>
      <c r="G124" s="11" t="s">
        <v>426</v>
      </c>
      <c r="H124" s="11" t="s">
        <v>427</v>
      </c>
      <c r="I124" s="11" t="s">
        <v>32</v>
      </c>
      <c r="J124" s="11">
        <v>33681.5726441015</v>
      </c>
      <c r="K124" s="11">
        <v>177.0</v>
      </c>
      <c r="L124" s="11" t="s">
        <v>50</v>
      </c>
      <c r="M124" s="12">
        <v>44408.0</v>
      </c>
      <c r="N124" s="11" t="s">
        <v>34</v>
      </c>
      <c r="O124" s="11" t="s">
        <v>51</v>
      </c>
    </row>
    <row r="125">
      <c r="A125" s="10" t="s">
        <v>428</v>
      </c>
      <c r="B125" s="11">
        <v>85.0</v>
      </c>
      <c r="C125" s="11" t="s">
        <v>38</v>
      </c>
      <c r="D125" s="11" t="s">
        <v>46</v>
      </c>
      <c r="E125" s="11" t="s">
        <v>29</v>
      </c>
      <c r="F125" s="12">
        <v>43982.0</v>
      </c>
      <c r="G125" s="11" t="s">
        <v>429</v>
      </c>
      <c r="H125" s="11" t="s">
        <v>430</v>
      </c>
      <c r="I125" s="11" t="s">
        <v>42</v>
      </c>
      <c r="J125" s="11">
        <v>39957.9406222297</v>
      </c>
      <c r="K125" s="11">
        <v>211.0</v>
      </c>
      <c r="L125" s="11" t="s">
        <v>23</v>
      </c>
      <c r="M125" s="12">
        <v>43983.0</v>
      </c>
      <c r="N125" s="11" t="s">
        <v>34</v>
      </c>
      <c r="O125" s="11" t="s">
        <v>25</v>
      </c>
    </row>
    <row r="126">
      <c r="A126" s="10" t="s">
        <v>431</v>
      </c>
      <c r="B126" s="11">
        <v>19.0</v>
      </c>
      <c r="C126" s="11" t="s">
        <v>17</v>
      </c>
      <c r="D126" s="11" t="s">
        <v>119</v>
      </c>
      <c r="E126" s="11" t="s">
        <v>19</v>
      </c>
      <c r="F126" s="12">
        <v>44130.0</v>
      </c>
      <c r="G126" s="11" t="s">
        <v>432</v>
      </c>
      <c r="H126" s="11" t="s">
        <v>433</v>
      </c>
      <c r="I126" s="11" t="s">
        <v>63</v>
      </c>
      <c r="J126" s="11">
        <v>49833.7077178545</v>
      </c>
      <c r="K126" s="11">
        <v>302.0</v>
      </c>
      <c r="L126" s="11" t="s">
        <v>50</v>
      </c>
      <c r="M126" s="12">
        <v>44152.0</v>
      </c>
      <c r="N126" s="11" t="s">
        <v>91</v>
      </c>
      <c r="O126" s="11" t="s">
        <v>35</v>
      </c>
    </row>
    <row r="127">
      <c r="A127" s="10" t="s">
        <v>434</v>
      </c>
      <c r="B127" s="11">
        <v>50.0</v>
      </c>
      <c r="C127" s="11" t="s">
        <v>38</v>
      </c>
      <c r="D127" s="11" t="s">
        <v>18</v>
      </c>
      <c r="E127" s="11" t="s">
        <v>60</v>
      </c>
      <c r="F127" s="12">
        <v>44350.0</v>
      </c>
      <c r="G127" s="11" t="s">
        <v>435</v>
      </c>
      <c r="H127" s="11" t="s">
        <v>436</v>
      </c>
      <c r="I127" s="11" t="s">
        <v>42</v>
      </c>
      <c r="J127" s="11">
        <v>48175.4661168079</v>
      </c>
      <c r="K127" s="11">
        <v>368.0</v>
      </c>
      <c r="L127" s="11" t="s">
        <v>23</v>
      </c>
      <c r="M127" s="12">
        <v>44378.0</v>
      </c>
      <c r="N127" s="11" t="s">
        <v>24</v>
      </c>
      <c r="O127" s="11" t="s">
        <v>35</v>
      </c>
    </row>
    <row r="128">
      <c r="A128" s="10" t="s">
        <v>437</v>
      </c>
      <c r="B128" s="11">
        <v>50.0</v>
      </c>
      <c r="C128" s="11" t="s">
        <v>38</v>
      </c>
      <c r="D128" s="11" t="s">
        <v>141</v>
      </c>
      <c r="E128" s="11" t="s">
        <v>29</v>
      </c>
      <c r="F128" s="12">
        <v>44128.0</v>
      </c>
      <c r="G128" s="11" t="s">
        <v>438</v>
      </c>
      <c r="H128" s="11" t="s">
        <v>439</v>
      </c>
      <c r="I128" s="11" t="s">
        <v>63</v>
      </c>
      <c r="J128" s="11">
        <v>40133.9673924551</v>
      </c>
      <c r="K128" s="11">
        <v>130.0</v>
      </c>
      <c r="L128" s="11" t="s">
        <v>23</v>
      </c>
      <c r="M128" s="12">
        <v>44148.0</v>
      </c>
      <c r="N128" s="11" t="s">
        <v>34</v>
      </c>
      <c r="O128" s="11" t="s">
        <v>25</v>
      </c>
    </row>
    <row r="129">
      <c r="A129" s="10" t="s">
        <v>440</v>
      </c>
      <c r="B129" s="11">
        <v>40.0</v>
      </c>
      <c r="C129" s="11" t="s">
        <v>17</v>
      </c>
      <c r="D129" s="11" t="s">
        <v>46</v>
      </c>
      <c r="E129" s="11" t="s">
        <v>29</v>
      </c>
      <c r="F129" s="12">
        <v>43704.0</v>
      </c>
      <c r="G129" s="11" t="s">
        <v>441</v>
      </c>
      <c r="H129" s="11" t="s">
        <v>442</v>
      </c>
      <c r="I129" s="11" t="s">
        <v>42</v>
      </c>
      <c r="J129" s="11">
        <v>9585.95212799372</v>
      </c>
      <c r="K129" s="11">
        <v>424.0</v>
      </c>
      <c r="L129" s="11" t="s">
        <v>23</v>
      </c>
      <c r="M129" s="12">
        <v>43714.0</v>
      </c>
      <c r="N129" s="11" t="s">
        <v>91</v>
      </c>
      <c r="O129" s="11" t="s">
        <v>35</v>
      </c>
    </row>
    <row r="130">
      <c r="A130" s="10" t="s">
        <v>443</v>
      </c>
      <c r="B130" s="11">
        <v>57.0</v>
      </c>
      <c r="C130" s="11" t="s">
        <v>17</v>
      </c>
      <c r="D130" s="11" t="s">
        <v>66</v>
      </c>
      <c r="E130" s="11" t="s">
        <v>29</v>
      </c>
      <c r="F130" s="12">
        <v>44530.0</v>
      </c>
      <c r="G130" s="11" t="s">
        <v>444</v>
      </c>
      <c r="H130" s="11" t="s">
        <v>445</v>
      </c>
      <c r="I130" s="11" t="s">
        <v>32</v>
      </c>
      <c r="J130" s="11">
        <v>40693.3542239535</v>
      </c>
      <c r="K130" s="11">
        <v>430.0</v>
      </c>
      <c r="L130" s="11" t="s">
        <v>33</v>
      </c>
      <c r="M130" s="12">
        <v>44539.0</v>
      </c>
      <c r="N130" s="11" t="s">
        <v>43</v>
      </c>
      <c r="O130" s="11" t="s">
        <v>51</v>
      </c>
    </row>
    <row r="131">
      <c r="A131" s="10" t="s">
        <v>446</v>
      </c>
      <c r="B131" s="11">
        <v>82.0</v>
      </c>
      <c r="C131" s="11" t="s">
        <v>17</v>
      </c>
      <c r="D131" s="11" t="s">
        <v>54</v>
      </c>
      <c r="E131" s="11" t="s">
        <v>29</v>
      </c>
      <c r="F131" s="12">
        <v>45214.0</v>
      </c>
      <c r="G131" s="11" t="s">
        <v>447</v>
      </c>
      <c r="H131" s="11" t="s">
        <v>448</v>
      </c>
      <c r="I131" s="11" t="s">
        <v>63</v>
      </c>
      <c r="J131" s="11">
        <v>16399.2657610018</v>
      </c>
      <c r="K131" s="11">
        <v>133.0</v>
      </c>
      <c r="L131" s="11" t="s">
        <v>33</v>
      </c>
      <c r="M131" s="12">
        <v>45238.0</v>
      </c>
      <c r="N131" s="11" t="s">
        <v>57</v>
      </c>
      <c r="O131" s="11" t="s">
        <v>51</v>
      </c>
    </row>
    <row r="132">
      <c r="A132" s="10" t="s">
        <v>449</v>
      </c>
      <c r="B132" s="11">
        <v>20.0</v>
      </c>
      <c r="C132" s="11" t="s">
        <v>17</v>
      </c>
      <c r="D132" s="11" t="s">
        <v>54</v>
      </c>
      <c r="E132" s="11" t="s">
        <v>47</v>
      </c>
      <c r="F132" s="12">
        <v>45368.0</v>
      </c>
      <c r="G132" s="11" t="s">
        <v>450</v>
      </c>
      <c r="H132" s="11" t="s">
        <v>451</v>
      </c>
      <c r="I132" s="11" t="s">
        <v>22</v>
      </c>
      <c r="J132" s="11">
        <v>44939.565524761</v>
      </c>
      <c r="K132" s="11">
        <v>430.0</v>
      </c>
      <c r="L132" s="11" t="s">
        <v>33</v>
      </c>
      <c r="M132" s="12">
        <v>45379.0</v>
      </c>
      <c r="N132" s="11" t="s">
        <v>34</v>
      </c>
      <c r="O132" s="11" t="s">
        <v>35</v>
      </c>
    </row>
    <row r="133">
      <c r="A133" s="10" t="s">
        <v>452</v>
      </c>
      <c r="B133" s="11">
        <v>20.0</v>
      </c>
      <c r="C133" s="11" t="s">
        <v>17</v>
      </c>
      <c r="D133" s="11" t="s">
        <v>119</v>
      </c>
      <c r="E133" s="11" t="s">
        <v>88</v>
      </c>
      <c r="F133" s="12">
        <v>43751.0</v>
      </c>
      <c r="G133" s="11" t="s">
        <v>453</v>
      </c>
      <c r="H133" s="11" t="s">
        <v>454</v>
      </c>
      <c r="I133" s="11" t="s">
        <v>22</v>
      </c>
      <c r="J133" s="11">
        <v>10663.9100050385</v>
      </c>
      <c r="K133" s="11">
        <v>104.0</v>
      </c>
      <c r="L133" s="11" t="s">
        <v>33</v>
      </c>
      <c r="M133" s="12">
        <v>43754.0</v>
      </c>
      <c r="N133" s="11" t="s">
        <v>43</v>
      </c>
      <c r="O133" s="11" t="s">
        <v>25</v>
      </c>
    </row>
    <row r="134">
      <c r="A134" s="10" t="s">
        <v>455</v>
      </c>
      <c r="B134" s="11">
        <v>19.0</v>
      </c>
      <c r="C134" s="11" t="s">
        <v>38</v>
      </c>
      <c r="D134" s="11" t="s">
        <v>39</v>
      </c>
      <c r="E134" s="11" t="s">
        <v>88</v>
      </c>
      <c r="F134" s="12">
        <v>43892.0</v>
      </c>
      <c r="G134" s="11" t="s">
        <v>456</v>
      </c>
      <c r="H134" s="11" t="s">
        <v>457</v>
      </c>
      <c r="I134" s="11" t="s">
        <v>73</v>
      </c>
      <c r="J134" s="11">
        <v>22564.7879835172</v>
      </c>
      <c r="K134" s="11">
        <v>408.0</v>
      </c>
      <c r="L134" s="11" t="s">
        <v>50</v>
      </c>
      <c r="M134" s="12">
        <v>43897.0</v>
      </c>
      <c r="N134" s="11" t="s">
        <v>24</v>
      </c>
      <c r="O134" s="11" t="s">
        <v>25</v>
      </c>
    </row>
    <row r="135">
      <c r="A135" s="10" t="s">
        <v>458</v>
      </c>
      <c r="B135" s="11">
        <v>32.0</v>
      </c>
      <c r="C135" s="11" t="s">
        <v>38</v>
      </c>
      <c r="D135" s="11" t="s">
        <v>66</v>
      </c>
      <c r="E135" s="11" t="s">
        <v>19</v>
      </c>
      <c r="F135" s="12">
        <v>43774.0</v>
      </c>
      <c r="G135" s="11" t="s">
        <v>459</v>
      </c>
      <c r="H135" s="11" t="s">
        <v>460</v>
      </c>
      <c r="I135" s="11" t="s">
        <v>42</v>
      </c>
      <c r="J135" s="11">
        <v>-502.507812700947</v>
      </c>
      <c r="K135" s="11">
        <v>376.0</v>
      </c>
      <c r="L135" s="11" t="s">
        <v>23</v>
      </c>
      <c r="M135" s="12">
        <v>43792.0</v>
      </c>
      <c r="N135" s="11" t="s">
        <v>57</v>
      </c>
      <c r="O135" s="11" t="s">
        <v>25</v>
      </c>
    </row>
    <row r="136">
      <c r="A136" s="10" t="s">
        <v>461</v>
      </c>
      <c r="B136" s="11">
        <v>55.0</v>
      </c>
      <c r="C136" s="11" t="s">
        <v>17</v>
      </c>
      <c r="D136" s="11" t="s">
        <v>18</v>
      </c>
      <c r="E136" s="11" t="s">
        <v>47</v>
      </c>
      <c r="F136" s="12">
        <v>44234.0</v>
      </c>
      <c r="G136" s="11" t="s">
        <v>462</v>
      </c>
      <c r="H136" s="11" t="s">
        <v>463</v>
      </c>
      <c r="I136" s="11" t="s">
        <v>73</v>
      </c>
      <c r="J136" s="11">
        <v>34758.256750986</v>
      </c>
      <c r="K136" s="11">
        <v>331.0</v>
      </c>
      <c r="L136" s="11" t="s">
        <v>33</v>
      </c>
      <c r="M136" s="12">
        <v>44260.0</v>
      </c>
      <c r="N136" s="11" t="s">
        <v>43</v>
      </c>
      <c r="O136" s="11" t="s">
        <v>25</v>
      </c>
    </row>
    <row r="137">
      <c r="A137" s="10" t="s">
        <v>464</v>
      </c>
      <c r="B137" s="11">
        <v>81.0</v>
      </c>
      <c r="C137" s="11" t="s">
        <v>17</v>
      </c>
      <c r="D137" s="11" t="s">
        <v>119</v>
      </c>
      <c r="E137" s="11" t="s">
        <v>88</v>
      </c>
      <c r="F137" s="12">
        <v>44494.0</v>
      </c>
      <c r="G137" s="11" t="s">
        <v>465</v>
      </c>
      <c r="H137" s="11" t="s">
        <v>466</v>
      </c>
      <c r="I137" s="11" t="s">
        <v>63</v>
      </c>
      <c r="J137" s="11">
        <v>46377.8651492315</v>
      </c>
      <c r="K137" s="11">
        <v>275.0</v>
      </c>
      <c r="L137" s="11" t="s">
        <v>23</v>
      </c>
      <c r="M137" s="12">
        <v>44522.0</v>
      </c>
      <c r="N137" s="11" t="s">
        <v>91</v>
      </c>
      <c r="O137" s="11" t="s">
        <v>25</v>
      </c>
    </row>
    <row r="138">
      <c r="A138" s="10" t="s">
        <v>467</v>
      </c>
      <c r="B138" s="11">
        <v>26.0</v>
      </c>
      <c r="C138" s="11" t="s">
        <v>17</v>
      </c>
      <c r="D138" s="11" t="s">
        <v>141</v>
      </c>
      <c r="E138" s="11" t="s">
        <v>88</v>
      </c>
      <c r="F138" s="12">
        <v>44766.0</v>
      </c>
      <c r="G138" s="11" t="s">
        <v>468</v>
      </c>
      <c r="H138" s="11" t="s">
        <v>469</v>
      </c>
      <c r="I138" s="11" t="s">
        <v>22</v>
      </c>
      <c r="J138" s="11">
        <v>7555.77296480884</v>
      </c>
      <c r="K138" s="11">
        <v>425.0</v>
      </c>
      <c r="L138" s="11" t="s">
        <v>50</v>
      </c>
      <c r="M138" s="12">
        <v>44773.0</v>
      </c>
      <c r="N138" s="11" t="s">
        <v>24</v>
      </c>
      <c r="O138" s="11" t="s">
        <v>51</v>
      </c>
    </row>
    <row r="139">
      <c r="A139" s="10" t="s">
        <v>470</v>
      </c>
      <c r="B139" s="11">
        <v>54.0</v>
      </c>
      <c r="C139" s="11" t="s">
        <v>38</v>
      </c>
      <c r="D139" s="11" t="s">
        <v>54</v>
      </c>
      <c r="E139" s="11" t="s">
        <v>19</v>
      </c>
      <c r="F139" s="12">
        <v>43894.0</v>
      </c>
      <c r="G139" s="11" t="s">
        <v>471</v>
      </c>
      <c r="H139" s="11" t="s">
        <v>472</v>
      </c>
      <c r="I139" s="11" t="s">
        <v>63</v>
      </c>
      <c r="J139" s="11">
        <v>14299.9934469067</v>
      </c>
      <c r="K139" s="11">
        <v>480.0</v>
      </c>
      <c r="L139" s="11" t="s">
        <v>33</v>
      </c>
      <c r="M139" s="12">
        <v>43895.0</v>
      </c>
      <c r="N139" s="11" t="s">
        <v>91</v>
      </c>
      <c r="O139" s="11" t="s">
        <v>51</v>
      </c>
    </row>
    <row r="140">
      <c r="A140" s="10" t="s">
        <v>473</v>
      </c>
      <c r="B140" s="11">
        <v>57.0</v>
      </c>
      <c r="C140" s="11" t="s">
        <v>17</v>
      </c>
      <c r="D140" s="11" t="s">
        <v>18</v>
      </c>
      <c r="E140" s="11" t="s">
        <v>109</v>
      </c>
      <c r="F140" s="12">
        <v>44409.0</v>
      </c>
      <c r="G140" s="11" t="s">
        <v>474</v>
      </c>
      <c r="H140" s="11" t="s">
        <v>475</v>
      </c>
      <c r="I140" s="11" t="s">
        <v>73</v>
      </c>
      <c r="J140" s="11">
        <v>46429.5082037226</v>
      </c>
      <c r="K140" s="11">
        <v>233.0</v>
      </c>
      <c r="L140" s="11" t="s">
        <v>50</v>
      </c>
      <c r="M140" s="12">
        <v>44427.0</v>
      </c>
      <c r="N140" s="11" t="s">
        <v>24</v>
      </c>
      <c r="O140" s="11" t="s">
        <v>35</v>
      </c>
    </row>
    <row r="141">
      <c r="A141" s="10" t="s">
        <v>476</v>
      </c>
      <c r="B141" s="11">
        <v>38.0</v>
      </c>
      <c r="C141" s="11" t="s">
        <v>38</v>
      </c>
      <c r="D141" s="11" t="s">
        <v>54</v>
      </c>
      <c r="E141" s="11" t="s">
        <v>60</v>
      </c>
      <c r="F141" s="12">
        <v>43854.0</v>
      </c>
      <c r="G141" s="11" t="s">
        <v>477</v>
      </c>
      <c r="H141" s="11" t="s">
        <v>478</v>
      </c>
      <c r="I141" s="11" t="s">
        <v>32</v>
      </c>
      <c r="J141" s="11">
        <v>17978.9507448961</v>
      </c>
      <c r="K141" s="11">
        <v>384.0</v>
      </c>
      <c r="L141" s="11" t="s">
        <v>50</v>
      </c>
      <c r="M141" s="12">
        <v>43873.0</v>
      </c>
      <c r="N141" s="11" t="s">
        <v>34</v>
      </c>
      <c r="O141" s="11" t="s">
        <v>51</v>
      </c>
    </row>
    <row r="142">
      <c r="A142" s="10" t="s">
        <v>479</v>
      </c>
      <c r="B142" s="11">
        <v>54.0</v>
      </c>
      <c r="C142" s="11" t="s">
        <v>17</v>
      </c>
      <c r="D142" s="11" t="s">
        <v>46</v>
      </c>
      <c r="E142" s="11" t="s">
        <v>29</v>
      </c>
      <c r="F142" s="12">
        <v>44407.0</v>
      </c>
      <c r="G142" s="11" t="s">
        <v>480</v>
      </c>
      <c r="H142" s="11" t="s">
        <v>481</v>
      </c>
      <c r="I142" s="11" t="s">
        <v>32</v>
      </c>
      <c r="J142" s="11">
        <v>32629.0677482352</v>
      </c>
      <c r="K142" s="11">
        <v>380.0</v>
      </c>
      <c r="L142" s="11" t="s">
        <v>50</v>
      </c>
      <c r="M142" s="12">
        <v>44421.0</v>
      </c>
      <c r="N142" s="11" t="s">
        <v>24</v>
      </c>
      <c r="O142" s="11" t="s">
        <v>25</v>
      </c>
    </row>
    <row r="143">
      <c r="A143" s="10" t="s">
        <v>482</v>
      </c>
      <c r="B143" s="11">
        <v>42.0</v>
      </c>
      <c r="C143" s="11" t="s">
        <v>17</v>
      </c>
      <c r="D143" s="11" t="s">
        <v>28</v>
      </c>
      <c r="E143" s="11" t="s">
        <v>47</v>
      </c>
      <c r="F143" s="12">
        <v>45295.0</v>
      </c>
      <c r="G143" s="11" t="s">
        <v>483</v>
      </c>
      <c r="H143" s="11" t="s">
        <v>484</v>
      </c>
      <c r="I143" s="11" t="s">
        <v>32</v>
      </c>
      <c r="J143" s="11">
        <v>22356.2264918334</v>
      </c>
      <c r="K143" s="11">
        <v>310.0</v>
      </c>
      <c r="L143" s="11" t="s">
        <v>23</v>
      </c>
      <c r="M143" s="12">
        <v>45325.0</v>
      </c>
      <c r="N143" s="11" t="s">
        <v>43</v>
      </c>
      <c r="O143" s="11" t="s">
        <v>35</v>
      </c>
    </row>
    <row r="144">
      <c r="A144" s="10" t="s">
        <v>485</v>
      </c>
      <c r="B144" s="11">
        <v>20.0</v>
      </c>
      <c r="C144" s="11" t="s">
        <v>17</v>
      </c>
      <c r="D144" s="11" t="s">
        <v>141</v>
      </c>
      <c r="E144" s="11" t="s">
        <v>47</v>
      </c>
      <c r="F144" s="12">
        <v>45296.0</v>
      </c>
      <c r="G144" s="11" t="s">
        <v>486</v>
      </c>
      <c r="H144" s="11" t="s">
        <v>487</v>
      </c>
      <c r="I144" s="11" t="s">
        <v>32</v>
      </c>
      <c r="J144" s="11">
        <v>48995.9805916571</v>
      </c>
      <c r="K144" s="11">
        <v>406.0</v>
      </c>
      <c r="L144" s="11" t="s">
        <v>50</v>
      </c>
      <c r="M144" s="12">
        <v>45326.0</v>
      </c>
      <c r="N144" s="11" t="s">
        <v>91</v>
      </c>
      <c r="O144" s="11" t="s">
        <v>25</v>
      </c>
    </row>
    <row r="145">
      <c r="A145" s="10" t="s">
        <v>488</v>
      </c>
      <c r="B145" s="11">
        <v>44.0</v>
      </c>
      <c r="C145" s="11" t="s">
        <v>38</v>
      </c>
      <c r="D145" s="11" t="s">
        <v>141</v>
      </c>
      <c r="E145" s="11" t="s">
        <v>88</v>
      </c>
      <c r="F145" s="12">
        <v>44054.0</v>
      </c>
      <c r="G145" s="11" t="s">
        <v>489</v>
      </c>
      <c r="H145" s="11" t="s">
        <v>490</v>
      </c>
      <c r="I145" s="11" t="s">
        <v>63</v>
      </c>
      <c r="J145" s="11">
        <v>4532.48355361687</v>
      </c>
      <c r="K145" s="11">
        <v>213.0</v>
      </c>
      <c r="L145" s="11" t="s">
        <v>33</v>
      </c>
      <c r="M145" s="12">
        <v>44078.0</v>
      </c>
      <c r="N145" s="11" t="s">
        <v>91</v>
      </c>
      <c r="O145" s="11" t="s">
        <v>35</v>
      </c>
    </row>
    <row r="146">
      <c r="A146" s="10" t="s">
        <v>491</v>
      </c>
      <c r="B146" s="11">
        <v>54.0</v>
      </c>
      <c r="C146" s="11" t="s">
        <v>17</v>
      </c>
      <c r="D146" s="11" t="s">
        <v>119</v>
      </c>
      <c r="E146" s="11" t="s">
        <v>47</v>
      </c>
      <c r="F146" s="12">
        <v>44729.0</v>
      </c>
      <c r="G146" s="11" t="s">
        <v>492</v>
      </c>
      <c r="H146" s="11" t="s">
        <v>493</v>
      </c>
      <c r="I146" s="11" t="s">
        <v>32</v>
      </c>
      <c r="J146" s="11">
        <v>35521.5821482775</v>
      </c>
      <c r="K146" s="11">
        <v>130.0</v>
      </c>
      <c r="L146" s="11" t="s">
        <v>50</v>
      </c>
      <c r="M146" s="12">
        <v>44736.0</v>
      </c>
      <c r="N146" s="11" t="s">
        <v>24</v>
      </c>
      <c r="O146" s="11" t="s">
        <v>25</v>
      </c>
    </row>
    <row r="147">
      <c r="A147" s="10" t="s">
        <v>494</v>
      </c>
      <c r="B147" s="11">
        <v>21.0</v>
      </c>
      <c r="C147" s="11" t="s">
        <v>38</v>
      </c>
      <c r="D147" s="11" t="s">
        <v>66</v>
      </c>
      <c r="E147" s="11" t="s">
        <v>109</v>
      </c>
      <c r="F147" s="12">
        <v>44653.0</v>
      </c>
      <c r="G147" s="11" t="s">
        <v>495</v>
      </c>
      <c r="H147" s="11" t="s">
        <v>496</v>
      </c>
      <c r="I147" s="11" t="s">
        <v>42</v>
      </c>
      <c r="J147" s="11">
        <v>1589.50352318586</v>
      </c>
      <c r="K147" s="11">
        <v>244.0</v>
      </c>
      <c r="L147" s="11" t="s">
        <v>33</v>
      </c>
      <c r="M147" s="12">
        <v>44660.0</v>
      </c>
      <c r="N147" s="11" t="s">
        <v>43</v>
      </c>
      <c r="O147" s="11" t="s">
        <v>35</v>
      </c>
    </row>
    <row r="148">
      <c r="A148" s="10" t="s">
        <v>497</v>
      </c>
      <c r="B148" s="11">
        <v>45.0</v>
      </c>
      <c r="C148" s="11" t="s">
        <v>38</v>
      </c>
      <c r="D148" s="11" t="s">
        <v>54</v>
      </c>
      <c r="E148" s="11" t="s">
        <v>47</v>
      </c>
      <c r="F148" s="12">
        <v>43985.0</v>
      </c>
      <c r="G148" s="11" t="s">
        <v>498</v>
      </c>
      <c r="H148" s="11" t="s">
        <v>499</v>
      </c>
      <c r="I148" s="11" t="s">
        <v>32</v>
      </c>
      <c r="J148" s="11">
        <v>22950.6511391825</v>
      </c>
      <c r="K148" s="11">
        <v>233.0</v>
      </c>
      <c r="L148" s="11" t="s">
        <v>50</v>
      </c>
      <c r="M148" s="12">
        <v>44004.0</v>
      </c>
      <c r="N148" s="11" t="s">
        <v>34</v>
      </c>
      <c r="O148" s="11" t="s">
        <v>51</v>
      </c>
    </row>
    <row r="149">
      <c r="A149" s="10" t="s">
        <v>500</v>
      </c>
      <c r="B149" s="11">
        <v>68.0</v>
      </c>
      <c r="C149" s="11" t="s">
        <v>38</v>
      </c>
      <c r="D149" s="11" t="s">
        <v>119</v>
      </c>
      <c r="E149" s="11" t="s">
        <v>109</v>
      </c>
      <c r="F149" s="12">
        <v>43693.0</v>
      </c>
      <c r="G149" s="11" t="s">
        <v>501</v>
      </c>
      <c r="H149" s="11" t="s">
        <v>502</v>
      </c>
      <c r="I149" s="11" t="s">
        <v>42</v>
      </c>
      <c r="J149" s="11">
        <v>2678.9539360591</v>
      </c>
      <c r="K149" s="11">
        <v>427.0</v>
      </c>
      <c r="L149" s="11" t="s">
        <v>23</v>
      </c>
      <c r="M149" s="12">
        <v>43698.0</v>
      </c>
      <c r="N149" s="11" t="s">
        <v>24</v>
      </c>
      <c r="O149" s="11" t="s">
        <v>51</v>
      </c>
    </row>
    <row r="150">
      <c r="A150" s="10" t="s">
        <v>503</v>
      </c>
      <c r="B150" s="11">
        <v>27.0</v>
      </c>
      <c r="C150" s="11" t="s">
        <v>17</v>
      </c>
      <c r="D150" s="11" t="s">
        <v>28</v>
      </c>
      <c r="E150" s="11" t="s">
        <v>88</v>
      </c>
      <c r="F150" s="12">
        <v>45344.0</v>
      </c>
      <c r="G150" s="11" t="s">
        <v>504</v>
      </c>
      <c r="H150" s="11" t="s">
        <v>505</v>
      </c>
      <c r="I150" s="11" t="s">
        <v>63</v>
      </c>
      <c r="J150" s="11">
        <v>39615.6006557046</v>
      </c>
      <c r="K150" s="11">
        <v>500.0</v>
      </c>
      <c r="L150" s="11" t="s">
        <v>23</v>
      </c>
      <c r="M150" s="12">
        <v>45346.0</v>
      </c>
      <c r="N150" s="11" t="s">
        <v>57</v>
      </c>
      <c r="O150" s="11" t="s">
        <v>35</v>
      </c>
    </row>
    <row r="151">
      <c r="A151" s="10" t="s">
        <v>506</v>
      </c>
      <c r="B151" s="11">
        <v>42.0</v>
      </c>
      <c r="C151" s="11" t="s">
        <v>17</v>
      </c>
      <c r="D151" s="11" t="s">
        <v>66</v>
      </c>
      <c r="E151" s="11" t="s">
        <v>60</v>
      </c>
      <c r="F151" s="12">
        <v>44322.0</v>
      </c>
      <c r="G151" s="11" t="s">
        <v>507</v>
      </c>
      <c r="H151" s="11" t="s">
        <v>508</v>
      </c>
      <c r="I151" s="11" t="s">
        <v>32</v>
      </c>
      <c r="J151" s="11">
        <v>13355.7820854809</v>
      </c>
      <c r="K151" s="11">
        <v>451.0</v>
      </c>
      <c r="L151" s="11" t="s">
        <v>50</v>
      </c>
      <c r="M151" s="12">
        <v>44345.0</v>
      </c>
      <c r="N151" s="11" t="s">
        <v>34</v>
      </c>
      <c r="O151" s="11" t="s">
        <v>35</v>
      </c>
    </row>
    <row r="152">
      <c r="A152" s="10" t="s">
        <v>509</v>
      </c>
      <c r="B152" s="11">
        <v>27.0</v>
      </c>
      <c r="C152" s="11" t="s">
        <v>38</v>
      </c>
      <c r="D152" s="11" t="s">
        <v>18</v>
      </c>
      <c r="E152" s="11" t="s">
        <v>60</v>
      </c>
      <c r="F152" s="12">
        <v>44496.0</v>
      </c>
      <c r="G152" s="11" t="s">
        <v>510</v>
      </c>
      <c r="H152" s="11" t="s">
        <v>511</v>
      </c>
      <c r="I152" s="11" t="s">
        <v>42</v>
      </c>
      <c r="J152" s="11">
        <v>32561.5304064226</v>
      </c>
      <c r="K152" s="11">
        <v>485.0</v>
      </c>
      <c r="L152" s="11" t="s">
        <v>50</v>
      </c>
      <c r="M152" s="12">
        <v>44504.0</v>
      </c>
      <c r="N152" s="11" t="s">
        <v>34</v>
      </c>
      <c r="O152" s="11" t="s">
        <v>35</v>
      </c>
    </row>
    <row r="153">
      <c r="A153" s="10" t="s">
        <v>512</v>
      </c>
      <c r="B153" s="11">
        <v>80.0</v>
      </c>
      <c r="C153" s="11" t="s">
        <v>17</v>
      </c>
      <c r="D153" s="11" t="s">
        <v>119</v>
      </c>
      <c r="E153" s="11" t="s">
        <v>60</v>
      </c>
      <c r="F153" s="12">
        <v>44075.0</v>
      </c>
      <c r="G153" s="11" t="s">
        <v>513</v>
      </c>
      <c r="H153" s="11" t="s">
        <v>514</v>
      </c>
      <c r="I153" s="11" t="s">
        <v>32</v>
      </c>
      <c r="J153" s="11">
        <v>29221.3402076791</v>
      </c>
      <c r="K153" s="11">
        <v>208.0</v>
      </c>
      <c r="L153" s="11" t="s">
        <v>33</v>
      </c>
      <c r="M153" s="12">
        <v>44091.0</v>
      </c>
      <c r="N153" s="11" t="s">
        <v>24</v>
      </c>
      <c r="O153" s="11" t="s">
        <v>35</v>
      </c>
    </row>
    <row r="154">
      <c r="A154" s="10" t="s">
        <v>515</v>
      </c>
      <c r="B154" s="11">
        <v>21.0</v>
      </c>
      <c r="C154" s="11" t="s">
        <v>17</v>
      </c>
      <c r="D154" s="11" t="s">
        <v>46</v>
      </c>
      <c r="E154" s="11" t="s">
        <v>47</v>
      </c>
      <c r="F154" s="12">
        <v>44342.0</v>
      </c>
      <c r="G154" s="11" t="s">
        <v>516</v>
      </c>
      <c r="H154" s="11" t="s">
        <v>517</v>
      </c>
      <c r="I154" s="11" t="s">
        <v>32</v>
      </c>
      <c r="J154" s="11">
        <v>12880.6524127714</v>
      </c>
      <c r="K154" s="11">
        <v>267.0</v>
      </c>
      <c r="L154" s="11" t="s">
        <v>23</v>
      </c>
      <c r="M154" s="12">
        <v>44369.0</v>
      </c>
      <c r="N154" s="11" t="s">
        <v>57</v>
      </c>
      <c r="O154" s="11" t="s">
        <v>25</v>
      </c>
    </row>
    <row r="155">
      <c r="A155" s="10" t="s">
        <v>518</v>
      </c>
      <c r="B155" s="11">
        <v>84.0</v>
      </c>
      <c r="C155" s="11" t="s">
        <v>38</v>
      </c>
      <c r="D155" s="11" t="s">
        <v>39</v>
      </c>
      <c r="E155" s="11" t="s">
        <v>29</v>
      </c>
      <c r="F155" s="12">
        <v>44734.0</v>
      </c>
      <c r="G155" s="11" t="s">
        <v>519</v>
      </c>
      <c r="H155" s="11" t="s">
        <v>520</v>
      </c>
      <c r="I155" s="11" t="s">
        <v>42</v>
      </c>
      <c r="J155" s="11">
        <v>15475.4032365425</v>
      </c>
      <c r="K155" s="11">
        <v>154.0</v>
      </c>
      <c r="L155" s="11" t="s">
        <v>50</v>
      </c>
      <c r="M155" s="12">
        <v>44764.0</v>
      </c>
      <c r="N155" s="11" t="s">
        <v>34</v>
      </c>
      <c r="O155" s="11" t="s">
        <v>51</v>
      </c>
    </row>
    <row r="156">
      <c r="A156" s="10" t="s">
        <v>521</v>
      </c>
      <c r="B156" s="11">
        <v>67.0</v>
      </c>
      <c r="C156" s="11" t="s">
        <v>38</v>
      </c>
      <c r="D156" s="11" t="s">
        <v>141</v>
      </c>
      <c r="E156" s="11" t="s">
        <v>109</v>
      </c>
      <c r="F156" s="12">
        <v>45063.0</v>
      </c>
      <c r="G156" s="11" t="s">
        <v>522</v>
      </c>
      <c r="H156" s="11" t="s">
        <v>523</v>
      </c>
      <c r="I156" s="11" t="s">
        <v>32</v>
      </c>
      <c r="J156" s="11">
        <v>27309.4367606972</v>
      </c>
      <c r="K156" s="11">
        <v>293.0</v>
      </c>
      <c r="L156" s="11" t="s">
        <v>50</v>
      </c>
      <c r="M156" s="12">
        <v>45077.0</v>
      </c>
      <c r="N156" s="11" t="s">
        <v>43</v>
      </c>
      <c r="O156" s="11" t="s">
        <v>51</v>
      </c>
    </row>
    <row r="157">
      <c r="A157" s="10" t="s">
        <v>524</v>
      </c>
      <c r="B157" s="11">
        <v>66.0</v>
      </c>
      <c r="C157" s="11" t="s">
        <v>17</v>
      </c>
      <c r="D157" s="11" t="s">
        <v>54</v>
      </c>
      <c r="E157" s="11" t="s">
        <v>109</v>
      </c>
      <c r="F157" s="12">
        <v>44370.0</v>
      </c>
      <c r="G157" s="11" t="s">
        <v>525</v>
      </c>
      <c r="H157" s="11" t="s">
        <v>526</v>
      </c>
      <c r="I157" s="11" t="s">
        <v>32</v>
      </c>
      <c r="J157" s="11">
        <v>1897.89172714767</v>
      </c>
      <c r="K157" s="11">
        <v>196.0</v>
      </c>
      <c r="L157" s="11" t="s">
        <v>50</v>
      </c>
      <c r="M157" s="12">
        <v>44386.0</v>
      </c>
      <c r="N157" s="11" t="s">
        <v>34</v>
      </c>
      <c r="O157" s="11" t="s">
        <v>51</v>
      </c>
    </row>
    <row r="158">
      <c r="A158" s="10" t="s">
        <v>527</v>
      </c>
      <c r="B158" s="11">
        <v>37.0</v>
      </c>
      <c r="C158" s="11" t="s">
        <v>38</v>
      </c>
      <c r="D158" s="11" t="s">
        <v>39</v>
      </c>
      <c r="E158" s="11" t="s">
        <v>19</v>
      </c>
      <c r="F158" s="12">
        <v>45247.0</v>
      </c>
      <c r="G158" s="11" t="s">
        <v>528</v>
      </c>
      <c r="H158" s="11" t="s">
        <v>529</v>
      </c>
      <c r="I158" s="11" t="s">
        <v>42</v>
      </c>
      <c r="J158" s="11">
        <v>31308.2060084951</v>
      </c>
      <c r="K158" s="11">
        <v>466.0</v>
      </c>
      <c r="L158" s="11" t="s">
        <v>23</v>
      </c>
      <c r="M158" s="12">
        <v>45255.0</v>
      </c>
      <c r="N158" s="11" t="s">
        <v>57</v>
      </c>
      <c r="O158" s="11" t="s">
        <v>25</v>
      </c>
    </row>
    <row r="159">
      <c r="A159" s="10" t="s">
        <v>530</v>
      </c>
      <c r="B159" s="11">
        <v>30.0</v>
      </c>
      <c r="C159" s="11" t="s">
        <v>38</v>
      </c>
      <c r="D159" s="11" t="s">
        <v>39</v>
      </c>
      <c r="E159" s="11" t="s">
        <v>47</v>
      </c>
      <c r="F159" s="12">
        <v>44115.0</v>
      </c>
      <c r="G159" s="11" t="s">
        <v>531</v>
      </c>
      <c r="H159" s="11" t="s">
        <v>532</v>
      </c>
      <c r="I159" s="11" t="s">
        <v>32</v>
      </c>
      <c r="J159" s="11">
        <v>42792.2412821748</v>
      </c>
      <c r="K159" s="11">
        <v>468.0</v>
      </c>
      <c r="L159" s="11" t="s">
        <v>50</v>
      </c>
      <c r="M159" s="12">
        <v>44125.0</v>
      </c>
      <c r="N159" s="11" t="s">
        <v>34</v>
      </c>
      <c r="O159" s="11" t="s">
        <v>51</v>
      </c>
    </row>
    <row r="160">
      <c r="A160" s="10" t="s">
        <v>533</v>
      </c>
      <c r="B160" s="11">
        <v>78.0</v>
      </c>
      <c r="C160" s="11" t="s">
        <v>17</v>
      </c>
      <c r="D160" s="11" t="s">
        <v>46</v>
      </c>
      <c r="E160" s="11" t="s">
        <v>47</v>
      </c>
      <c r="F160" s="12">
        <v>44418.0</v>
      </c>
      <c r="G160" s="11" t="s">
        <v>534</v>
      </c>
      <c r="H160" s="11" t="s">
        <v>535</v>
      </c>
      <c r="I160" s="11" t="s">
        <v>73</v>
      </c>
      <c r="J160" s="11">
        <v>14377.3343184946</v>
      </c>
      <c r="K160" s="11">
        <v>114.0</v>
      </c>
      <c r="L160" s="11" t="s">
        <v>33</v>
      </c>
      <c r="M160" s="12">
        <v>44435.0</v>
      </c>
      <c r="N160" s="11" t="s">
        <v>57</v>
      </c>
      <c r="O160" s="11" t="s">
        <v>51</v>
      </c>
    </row>
    <row r="161">
      <c r="A161" s="10" t="s">
        <v>536</v>
      </c>
      <c r="B161" s="11">
        <v>39.0</v>
      </c>
      <c r="C161" s="11" t="s">
        <v>38</v>
      </c>
      <c r="D161" s="11" t="s">
        <v>28</v>
      </c>
      <c r="E161" s="11" t="s">
        <v>47</v>
      </c>
      <c r="F161" s="12">
        <v>45167.0</v>
      </c>
      <c r="G161" s="11" t="s">
        <v>537</v>
      </c>
      <c r="H161" s="11" t="s">
        <v>538</v>
      </c>
      <c r="I161" s="11" t="s">
        <v>63</v>
      </c>
      <c r="J161" s="11">
        <v>1150.87498608758</v>
      </c>
      <c r="K161" s="11">
        <v>408.0</v>
      </c>
      <c r="L161" s="11" t="s">
        <v>23</v>
      </c>
      <c r="M161" s="12">
        <v>45176.0</v>
      </c>
      <c r="N161" s="11" t="s">
        <v>57</v>
      </c>
      <c r="O161" s="11" t="s">
        <v>51</v>
      </c>
    </row>
    <row r="162">
      <c r="A162" s="10" t="s">
        <v>539</v>
      </c>
      <c r="B162" s="11">
        <v>29.0</v>
      </c>
      <c r="C162" s="11" t="s">
        <v>17</v>
      </c>
      <c r="D162" s="11" t="s">
        <v>141</v>
      </c>
      <c r="E162" s="11" t="s">
        <v>60</v>
      </c>
      <c r="F162" s="12">
        <v>43888.0</v>
      </c>
      <c r="G162" s="11" t="s">
        <v>540</v>
      </c>
      <c r="H162" s="11" t="s">
        <v>541</v>
      </c>
      <c r="I162" s="11" t="s">
        <v>32</v>
      </c>
      <c r="J162" s="11">
        <v>41939.1199366963</v>
      </c>
      <c r="K162" s="11">
        <v>453.0</v>
      </c>
      <c r="L162" s="11" t="s">
        <v>50</v>
      </c>
      <c r="M162" s="12">
        <v>43916.0</v>
      </c>
      <c r="N162" s="11" t="s">
        <v>34</v>
      </c>
      <c r="O162" s="11" t="s">
        <v>25</v>
      </c>
    </row>
    <row r="163">
      <c r="A163" s="10" t="s">
        <v>542</v>
      </c>
      <c r="B163" s="11">
        <v>81.0</v>
      </c>
      <c r="C163" s="11" t="s">
        <v>38</v>
      </c>
      <c r="D163" s="11" t="s">
        <v>66</v>
      </c>
      <c r="E163" s="11" t="s">
        <v>19</v>
      </c>
      <c r="F163" s="12">
        <v>44384.0</v>
      </c>
      <c r="G163" s="11" t="s">
        <v>543</v>
      </c>
      <c r="H163" s="11" t="s">
        <v>544</v>
      </c>
      <c r="I163" s="11" t="s">
        <v>63</v>
      </c>
      <c r="J163" s="11">
        <v>41982.3743962325</v>
      </c>
      <c r="K163" s="11">
        <v>261.0</v>
      </c>
      <c r="L163" s="11" t="s">
        <v>50</v>
      </c>
      <c r="M163" s="12">
        <v>44392.0</v>
      </c>
      <c r="N163" s="11" t="s">
        <v>43</v>
      </c>
      <c r="O163" s="11" t="s">
        <v>51</v>
      </c>
    </row>
    <row r="164">
      <c r="A164" s="10" t="s">
        <v>545</v>
      </c>
      <c r="B164" s="11">
        <v>66.0</v>
      </c>
      <c r="C164" s="11" t="s">
        <v>38</v>
      </c>
      <c r="D164" s="11" t="s">
        <v>66</v>
      </c>
      <c r="E164" s="11" t="s">
        <v>29</v>
      </c>
      <c r="F164" s="12">
        <v>44715.0</v>
      </c>
      <c r="G164" s="11" t="s">
        <v>546</v>
      </c>
      <c r="H164" s="11" t="s">
        <v>547</v>
      </c>
      <c r="I164" s="11" t="s">
        <v>73</v>
      </c>
      <c r="J164" s="11">
        <v>33861.0186317446</v>
      </c>
      <c r="K164" s="11">
        <v>115.0</v>
      </c>
      <c r="L164" s="11" t="s">
        <v>50</v>
      </c>
      <c r="M164" s="12">
        <v>44739.0</v>
      </c>
      <c r="N164" s="11" t="s">
        <v>43</v>
      </c>
      <c r="O164" s="11" t="s">
        <v>25</v>
      </c>
    </row>
    <row r="165">
      <c r="A165" s="10" t="s">
        <v>548</v>
      </c>
      <c r="B165" s="11">
        <v>65.0</v>
      </c>
      <c r="C165" s="11" t="s">
        <v>17</v>
      </c>
      <c r="D165" s="11" t="s">
        <v>18</v>
      </c>
      <c r="E165" s="11" t="s">
        <v>60</v>
      </c>
      <c r="F165" s="12">
        <v>43881.0</v>
      </c>
      <c r="G165" s="11" t="s">
        <v>549</v>
      </c>
      <c r="H165" s="11" t="s">
        <v>550</v>
      </c>
      <c r="I165" s="11" t="s">
        <v>42</v>
      </c>
      <c r="J165" s="11">
        <v>49321.1576314917</v>
      </c>
      <c r="K165" s="11">
        <v>167.0</v>
      </c>
      <c r="L165" s="11" t="s">
        <v>33</v>
      </c>
      <c r="M165" s="12">
        <v>43891.0</v>
      </c>
      <c r="N165" s="11" t="s">
        <v>57</v>
      </c>
      <c r="O165" s="11" t="s">
        <v>51</v>
      </c>
    </row>
    <row r="166">
      <c r="A166" s="10" t="s">
        <v>551</v>
      </c>
      <c r="B166" s="11">
        <v>80.0</v>
      </c>
      <c r="C166" s="11" t="s">
        <v>17</v>
      </c>
      <c r="D166" s="11" t="s">
        <v>66</v>
      </c>
      <c r="E166" s="11" t="s">
        <v>60</v>
      </c>
      <c r="F166" s="12">
        <v>44232.0</v>
      </c>
      <c r="G166" s="11" t="s">
        <v>552</v>
      </c>
      <c r="H166" s="11" t="s">
        <v>553</v>
      </c>
      <c r="I166" s="11" t="s">
        <v>73</v>
      </c>
      <c r="J166" s="11">
        <v>47433.2786547111</v>
      </c>
      <c r="K166" s="11">
        <v>179.0</v>
      </c>
      <c r="L166" s="11" t="s">
        <v>50</v>
      </c>
      <c r="M166" s="12">
        <v>44260.0</v>
      </c>
      <c r="N166" s="11" t="s">
        <v>57</v>
      </c>
      <c r="O166" s="11" t="s">
        <v>35</v>
      </c>
    </row>
    <row r="167">
      <c r="A167" s="10" t="s">
        <v>554</v>
      </c>
      <c r="B167" s="11">
        <v>72.0</v>
      </c>
      <c r="C167" s="11" t="s">
        <v>38</v>
      </c>
      <c r="D167" s="11" t="s">
        <v>141</v>
      </c>
      <c r="E167" s="11" t="s">
        <v>109</v>
      </c>
      <c r="F167" s="12">
        <v>44128.0</v>
      </c>
      <c r="G167" s="11" t="s">
        <v>555</v>
      </c>
      <c r="H167" s="11" t="s">
        <v>556</v>
      </c>
      <c r="I167" s="11" t="s">
        <v>32</v>
      </c>
      <c r="J167" s="11">
        <v>19065.0608855169</v>
      </c>
      <c r="K167" s="11">
        <v>490.0</v>
      </c>
      <c r="L167" s="11" t="s">
        <v>33</v>
      </c>
      <c r="M167" s="12">
        <v>44137.0</v>
      </c>
      <c r="N167" s="11" t="s">
        <v>24</v>
      </c>
      <c r="O167" s="11" t="s">
        <v>51</v>
      </c>
    </row>
    <row r="168">
      <c r="A168" s="10" t="s">
        <v>557</v>
      </c>
      <c r="B168" s="11">
        <v>85.0</v>
      </c>
      <c r="C168" s="11" t="s">
        <v>17</v>
      </c>
      <c r="D168" s="11" t="s">
        <v>141</v>
      </c>
      <c r="E168" s="11" t="s">
        <v>19</v>
      </c>
      <c r="F168" s="12">
        <v>45266.0</v>
      </c>
      <c r="G168" s="11" t="s">
        <v>558</v>
      </c>
      <c r="H168" s="11" t="s">
        <v>559</v>
      </c>
      <c r="I168" s="11" t="s">
        <v>73</v>
      </c>
      <c r="J168" s="11">
        <v>50142.026947853</v>
      </c>
      <c r="K168" s="11">
        <v>258.0</v>
      </c>
      <c r="L168" s="11" t="s">
        <v>50</v>
      </c>
      <c r="M168" s="12">
        <v>45279.0</v>
      </c>
      <c r="N168" s="11" t="s">
        <v>34</v>
      </c>
      <c r="O168" s="11" t="s">
        <v>51</v>
      </c>
    </row>
    <row r="169">
      <c r="A169" s="10" t="s">
        <v>560</v>
      </c>
      <c r="B169" s="11">
        <v>68.0</v>
      </c>
      <c r="C169" s="11" t="s">
        <v>38</v>
      </c>
      <c r="D169" s="11" t="s">
        <v>46</v>
      </c>
      <c r="E169" s="11" t="s">
        <v>88</v>
      </c>
      <c r="F169" s="12">
        <v>44551.0</v>
      </c>
      <c r="G169" s="11" t="s">
        <v>561</v>
      </c>
      <c r="H169" s="11" t="s">
        <v>562</v>
      </c>
      <c r="I169" s="11" t="s">
        <v>42</v>
      </c>
      <c r="J169" s="11">
        <v>12081.6790346649</v>
      </c>
      <c r="K169" s="11">
        <v>483.0</v>
      </c>
      <c r="L169" s="11" t="s">
        <v>23</v>
      </c>
      <c r="M169" s="12">
        <v>44560.0</v>
      </c>
      <c r="N169" s="11" t="s">
        <v>91</v>
      </c>
      <c r="O169" s="11" t="s">
        <v>51</v>
      </c>
    </row>
    <row r="170">
      <c r="A170" s="10" t="s">
        <v>563</v>
      </c>
      <c r="B170" s="11">
        <v>56.0</v>
      </c>
      <c r="C170" s="11" t="s">
        <v>38</v>
      </c>
      <c r="D170" s="11" t="s">
        <v>39</v>
      </c>
      <c r="E170" s="11" t="s">
        <v>19</v>
      </c>
      <c r="F170" s="12">
        <v>45172.0</v>
      </c>
      <c r="G170" s="11" t="s">
        <v>564</v>
      </c>
      <c r="H170" s="11" t="s">
        <v>565</v>
      </c>
      <c r="I170" s="11" t="s">
        <v>42</v>
      </c>
      <c r="J170" s="11">
        <v>18030.7907802356</v>
      </c>
      <c r="K170" s="11">
        <v>273.0</v>
      </c>
      <c r="L170" s="11" t="s">
        <v>50</v>
      </c>
      <c r="M170" s="12">
        <v>45199.0</v>
      </c>
      <c r="N170" s="11" t="s">
        <v>91</v>
      </c>
      <c r="O170" s="11" t="s">
        <v>35</v>
      </c>
    </row>
    <row r="171">
      <c r="A171" s="10" t="s">
        <v>566</v>
      </c>
      <c r="B171" s="11">
        <v>53.0</v>
      </c>
      <c r="C171" s="11" t="s">
        <v>38</v>
      </c>
      <c r="D171" s="11" t="s">
        <v>141</v>
      </c>
      <c r="E171" s="11" t="s">
        <v>60</v>
      </c>
      <c r="F171" s="12">
        <v>44122.0</v>
      </c>
      <c r="G171" s="11" t="s">
        <v>567</v>
      </c>
      <c r="H171" s="11" t="s">
        <v>568</v>
      </c>
      <c r="I171" s="11" t="s">
        <v>32</v>
      </c>
      <c r="J171" s="11">
        <v>5142.16376347468</v>
      </c>
      <c r="K171" s="11">
        <v>120.0</v>
      </c>
      <c r="L171" s="11" t="s">
        <v>50</v>
      </c>
      <c r="M171" s="12">
        <v>44145.0</v>
      </c>
      <c r="N171" s="11" t="s">
        <v>24</v>
      </c>
      <c r="O171" s="11" t="s">
        <v>51</v>
      </c>
    </row>
    <row r="172">
      <c r="A172" s="10" t="s">
        <v>569</v>
      </c>
      <c r="B172" s="11">
        <v>37.0</v>
      </c>
      <c r="C172" s="11" t="s">
        <v>38</v>
      </c>
      <c r="D172" s="11" t="s">
        <v>119</v>
      </c>
      <c r="E172" s="11" t="s">
        <v>60</v>
      </c>
      <c r="F172" s="12">
        <v>44384.0</v>
      </c>
      <c r="G172" s="11" t="s">
        <v>570</v>
      </c>
      <c r="H172" s="11" t="s">
        <v>571</v>
      </c>
      <c r="I172" s="11" t="s">
        <v>63</v>
      </c>
      <c r="J172" s="11">
        <v>19851.2429251884</v>
      </c>
      <c r="K172" s="11">
        <v>202.0</v>
      </c>
      <c r="L172" s="11" t="s">
        <v>50</v>
      </c>
      <c r="M172" s="12">
        <v>44401.0</v>
      </c>
      <c r="N172" s="11" t="s">
        <v>57</v>
      </c>
      <c r="O172" s="11" t="s">
        <v>25</v>
      </c>
    </row>
    <row r="173">
      <c r="A173" s="10" t="s">
        <v>572</v>
      </c>
      <c r="B173" s="11">
        <v>57.0</v>
      </c>
      <c r="C173" s="11" t="s">
        <v>38</v>
      </c>
      <c r="D173" s="11" t="s">
        <v>46</v>
      </c>
      <c r="E173" s="11" t="s">
        <v>88</v>
      </c>
      <c r="F173" s="12">
        <v>45166.0</v>
      </c>
      <c r="G173" s="11" t="s">
        <v>573</v>
      </c>
      <c r="H173" s="11" t="s">
        <v>574</v>
      </c>
      <c r="I173" s="11" t="s">
        <v>73</v>
      </c>
      <c r="J173" s="11">
        <v>20545.8717628298</v>
      </c>
      <c r="K173" s="11">
        <v>198.0</v>
      </c>
      <c r="L173" s="11" t="s">
        <v>23</v>
      </c>
      <c r="M173" s="12">
        <v>45185.0</v>
      </c>
      <c r="N173" s="11" t="s">
        <v>57</v>
      </c>
      <c r="O173" s="11" t="s">
        <v>51</v>
      </c>
    </row>
    <row r="174">
      <c r="A174" s="10" t="s">
        <v>575</v>
      </c>
      <c r="B174" s="11">
        <v>36.0</v>
      </c>
      <c r="C174" s="11" t="s">
        <v>17</v>
      </c>
      <c r="D174" s="11" t="s">
        <v>46</v>
      </c>
      <c r="E174" s="11" t="s">
        <v>109</v>
      </c>
      <c r="F174" s="12">
        <v>43786.0</v>
      </c>
      <c r="G174" s="11" t="s">
        <v>576</v>
      </c>
      <c r="H174" s="11" t="s">
        <v>577</v>
      </c>
      <c r="I174" s="11" t="s">
        <v>73</v>
      </c>
      <c r="J174" s="11">
        <v>36869.7257390398</v>
      </c>
      <c r="K174" s="11">
        <v>368.0</v>
      </c>
      <c r="L174" s="11" t="s">
        <v>23</v>
      </c>
      <c r="M174" s="12">
        <v>43800.0</v>
      </c>
      <c r="N174" s="11" t="s">
        <v>57</v>
      </c>
      <c r="O174" s="11" t="s">
        <v>25</v>
      </c>
    </row>
    <row r="175">
      <c r="A175" s="10" t="s">
        <v>578</v>
      </c>
      <c r="B175" s="11">
        <v>20.0</v>
      </c>
      <c r="C175" s="11" t="s">
        <v>38</v>
      </c>
      <c r="D175" s="11" t="s">
        <v>119</v>
      </c>
      <c r="E175" s="11" t="s">
        <v>19</v>
      </c>
      <c r="F175" s="12">
        <v>44157.0</v>
      </c>
      <c r="G175" s="11" t="s">
        <v>579</v>
      </c>
      <c r="H175" s="11" t="s">
        <v>580</v>
      </c>
      <c r="I175" s="11" t="s">
        <v>73</v>
      </c>
      <c r="J175" s="11">
        <v>40598.4225708786</v>
      </c>
      <c r="K175" s="11">
        <v>113.0</v>
      </c>
      <c r="L175" s="11" t="s">
        <v>50</v>
      </c>
      <c r="M175" s="12">
        <v>44182.0</v>
      </c>
      <c r="N175" s="11" t="s">
        <v>24</v>
      </c>
      <c r="O175" s="11" t="s">
        <v>25</v>
      </c>
    </row>
    <row r="176">
      <c r="A176" s="10" t="s">
        <v>581</v>
      </c>
      <c r="B176" s="11">
        <v>83.0</v>
      </c>
      <c r="C176" s="11" t="s">
        <v>17</v>
      </c>
      <c r="D176" s="11" t="s">
        <v>141</v>
      </c>
      <c r="E176" s="11" t="s">
        <v>60</v>
      </c>
      <c r="F176" s="12">
        <v>44513.0</v>
      </c>
      <c r="G176" s="11" t="s">
        <v>582</v>
      </c>
      <c r="H176" s="11" t="s">
        <v>583</v>
      </c>
      <c r="I176" s="11" t="s">
        <v>42</v>
      </c>
      <c r="J176" s="11">
        <v>18198.0585178538</v>
      </c>
      <c r="K176" s="11">
        <v>308.0</v>
      </c>
      <c r="L176" s="11" t="s">
        <v>23</v>
      </c>
      <c r="M176" s="12">
        <v>44538.0</v>
      </c>
      <c r="N176" s="11" t="s">
        <v>34</v>
      </c>
      <c r="O176" s="11" t="s">
        <v>25</v>
      </c>
    </row>
    <row r="177">
      <c r="A177" s="10" t="s">
        <v>584</v>
      </c>
      <c r="B177" s="11">
        <v>79.0</v>
      </c>
      <c r="C177" s="11" t="s">
        <v>17</v>
      </c>
      <c r="D177" s="11" t="s">
        <v>119</v>
      </c>
      <c r="E177" s="11" t="s">
        <v>29</v>
      </c>
      <c r="F177" s="12">
        <v>44605.0</v>
      </c>
      <c r="G177" s="11" t="s">
        <v>585</v>
      </c>
      <c r="H177" s="11" t="s">
        <v>586</v>
      </c>
      <c r="I177" s="11" t="s">
        <v>22</v>
      </c>
      <c r="J177" s="11">
        <v>4920.0411890887</v>
      </c>
      <c r="K177" s="11">
        <v>278.0</v>
      </c>
      <c r="L177" s="11" t="s">
        <v>50</v>
      </c>
      <c r="M177" s="12">
        <v>44612.0</v>
      </c>
      <c r="N177" s="11" t="s">
        <v>24</v>
      </c>
      <c r="O177" s="11" t="s">
        <v>25</v>
      </c>
    </row>
    <row r="178">
      <c r="A178" s="10" t="s">
        <v>587</v>
      </c>
      <c r="B178" s="11">
        <v>62.0</v>
      </c>
      <c r="C178" s="11" t="s">
        <v>17</v>
      </c>
      <c r="D178" s="11" t="s">
        <v>46</v>
      </c>
      <c r="E178" s="11" t="s">
        <v>47</v>
      </c>
      <c r="F178" s="12">
        <v>43601.0</v>
      </c>
      <c r="G178" s="11" t="s">
        <v>588</v>
      </c>
      <c r="H178" s="11" t="s">
        <v>589</v>
      </c>
      <c r="I178" s="11" t="s">
        <v>63</v>
      </c>
      <c r="J178" s="11">
        <v>3864.13949887163</v>
      </c>
      <c r="K178" s="11">
        <v>103.0</v>
      </c>
      <c r="L178" s="11" t="s">
        <v>23</v>
      </c>
      <c r="M178" s="12">
        <v>43616.0</v>
      </c>
      <c r="N178" s="11" t="s">
        <v>43</v>
      </c>
      <c r="O178" s="11" t="s">
        <v>35</v>
      </c>
    </row>
    <row r="179">
      <c r="A179" s="10" t="s">
        <v>590</v>
      </c>
      <c r="B179" s="11">
        <v>38.0</v>
      </c>
      <c r="C179" s="11" t="s">
        <v>17</v>
      </c>
      <c r="D179" s="11" t="s">
        <v>54</v>
      </c>
      <c r="E179" s="11" t="s">
        <v>60</v>
      </c>
      <c r="F179" s="12">
        <v>44412.0</v>
      </c>
      <c r="G179" s="11" t="s">
        <v>591</v>
      </c>
      <c r="H179" s="11" t="s">
        <v>592</v>
      </c>
      <c r="I179" s="11" t="s">
        <v>22</v>
      </c>
      <c r="J179" s="11">
        <v>21562.8610510203</v>
      </c>
      <c r="K179" s="11">
        <v>400.0</v>
      </c>
      <c r="L179" s="11" t="s">
        <v>23</v>
      </c>
      <c r="M179" s="12">
        <v>44434.0</v>
      </c>
      <c r="N179" s="11" t="s">
        <v>24</v>
      </c>
      <c r="O179" s="11" t="s">
        <v>25</v>
      </c>
    </row>
    <row r="180">
      <c r="A180" s="10" t="s">
        <v>593</v>
      </c>
      <c r="B180" s="11">
        <v>75.0</v>
      </c>
      <c r="C180" s="11" t="s">
        <v>38</v>
      </c>
      <c r="D180" s="11" t="s">
        <v>18</v>
      </c>
      <c r="E180" s="11" t="s">
        <v>19</v>
      </c>
      <c r="F180" s="12">
        <v>43833.0</v>
      </c>
      <c r="G180" s="11" t="s">
        <v>594</v>
      </c>
      <c r="H180" s="11" t="s">
        <v>595</v>
      </c>
      <c r="I180" s="11" t="s">
        <v>32</v>
      </c>
      <c r="J180" s="11">
        <v>11815.2027414876</v>
      </c>
      <c r="K180" s="11">
        <v>401.0</v>
      </c>
      <c r="L180" s="11" t="s">
        <v>50</v>
      </c>
      <c r="M180" s="12">
        <v>43857.0</v>
      </c>
      <c r="N180" s="11" t="s">
        <v>34</v>
      </c>
      <c r="O180" s="11" t="s">
        <v>51</v>
      </c>
    </row>
    <row r="181">
      <c r="A181" s="10" t="s">
        <v>596</v>
      </c>
      <c r="B181" s="11">
        <v>28.0</v>
      </c>
      <c r="C181" s="11" t="s">
        <v>17</v>
      </c>
      <c r="D181" s="11" t="s">
        <v>28</v>
      </c>
      <c r="E181" s="11" t="s">
        <v>88</v>
      </c>
      <c r="F181" s="12">
        <v>44817.0</v>
      </c>
      <c r="G181" s="11" t="s">
        <v>597</v>
      </c>
      <c r="H181" s="11" t="s">
        <v>598</v>
      </c>
      <c r="I181" s="11" t="s">
        <v>73</v>
      </c>
      <c r="J181" s="11">
        <v>25796.8696692934</v>
      </c>
      <c r="K181" s="11">
        <v>258.0</v>
      </c>
      <c r="L181" s="11" t="s">
        <v>23</v>
      </c>
      <c r="M181" s="12">
        <v>44841.0</v>
      </c>
      <c r="N181" s="11" t="s">
        <v>91</v>
      </c>
      <c r="O181" s="11" t="s">
        <v>51</v>
      </c>
    </row>
    <row r="182">
      <c r="A182" s="10" t="s">
        <v>599</v>
      </c>
      <c r="B182" s="11">
        <v>36.0</v>
      </c>
      <c r="C182" s="11" t="s">
        <v>17</v>
      </c>
      <c r="D182" s="11" t="s">
        <v>141</v>
      </c>
      <c r="E182" s="11" t="s">
        <v>88</v>
      </c>
      <c r="F182" s="12">
        <v>44184.0</v>
      </c>
      <c r="G182" s="11" t="s">
        <v>600</v>
      </c>
      <c r="H182" s="11" t="s">
        <v>601</v>
      </c>
      <c r="I182" s="11" t="s">
        <v>63</v>
      </c>
      <c r="J182" s="11">
        <v>4266.78430718752</v>
      </c>
      <c r="K182" s="11">
        <v>268.0</v>
      </c>
      <c r="L182" s="11" t="s">
        <v>33</v>
      </c>
      <c r="M182" s="12">
        <v>44205.0</v>
      </c>
      <c r="N182" s="11" t="s">
        <v>91</v>
      </c>
      <c r="O182" s="11" t="s">
        <v>25</v>
      </c>
    </row>
    <row r="183">
      <c r="A183" s="10" t="s">
        <v>602</v>
      </c>
      <c r="B183" s="11">
        <v>54.0</v>
      </c>
      <c r="C183" s="11" t="s">
        <v>17</v>
      </c>
      <c r="D183" s="11" t="s">
        <v>54</v>
      </c>
      <c r="E183" s="11" t="s">
        <v>29</v>
      </c>
      <c r="F183" s="12">
        <v>45016.0</v>
      </c>
      <c r="G183" s="11" t="s">
        <v>603</v>
      </c>
      <c r="H183" s="11" t="s">
        <v>604</v>
      </c>
      <c r="I183" s="11" t="s">
        <v>73</v>
      </c>
      <c r="J183" s="11">
        <v>4751.16274103238</v>
      </c>
      <c r="K183" s="11">
        <v>192.0</v>
      </c>
      <c r="L183" s="11" t="s">
        <v>23</v>
      </c>
      <c r="M183" s="12">
        <v>45045.0</v>
      </c>
      <c r="N183" s="11" t="s">
        <v>57</v>
      </c>
      <c r="O183" s="11" t="s">
        <v>35</v>
      </c>
    </row>
    <row r="184">
      <c r="A184" s="10" t="s">
        <v>605</v>
      </c>
      <c r="B184" s="11">
        <v>81.0</v>
      </c>
      <c r="C184" s="11" t="s">
        <v>38</v>
      </c>
      <c r="D184" s="11" t="s">
        <v>18</v>
      </c>
      <c r="E184" s="11" t="s">
        <v>47</v>
      </c>
      <c r="F184" s="12">
        <v>43959.0</v>
      </c>
      <c r="G184" s="11" t="s">
        <v>606</v>
      </c>
      <c r="H184" s="11" t="s">
        <v>607</v>
      </c>
      <c r="I184" s="11" t="s">
        <v>42</v>
      </c>
      <c r="J184" s="11">
        <v>17968.49598759</v>
      </c>
      <c r="K184" s="11">
        <v>285.0</v>
      </c>
      <c r="L184" s="11" t="s">
        <v>33</v>
      </c>
      <c r="M184" s="12">
        <v>43979.0</v>
      </c>
      <c r="N184" s="11" t="s">
        <v>91</v>
      </c>
      <c r="O184" s="11" t="s">
        <v>35</v>
      </c>
    </row>
    <row r="185">
      <c r="A185" s="10" t="s">
        <v>608</v>
      </c>
      <c r="B185" s="11">
        <v>56.0</v>
      </c>
      <c r="C185" s="11" t="s">
        <v>38</v>
      </c>
      <c r="D185" s="11" t="s">
        <v>54</v>
      </c>
      <c r="E185" s="11" t="s">
        <v>29</v>
      </c>
      <c r="F185" s="12">
        <v>45138.0</v>
      </c>
      <c r="G185" s="11" t="s">
        <v>609</v>
      </c>
      <c r="H185" s="11" t="s">
        <v>610</v>
      </c>
      <c r="I185" s="11" t="s">
        <v>73</v>
      </c>
      <c r="J185" s="11">
        <v>11311.3273479975</v>
      </c>
      <c r="K185" s="11">
        <v>302.0</v>
      </c>
      <c r="L185" s="11" t="s">
        <v>23</v>
      </c>
      <c r="M185" s="12">
        <v>45140.0</v>
      </c>
      <c r="N185" s="11" t="s">
        <v>91</v>
      </c>
      <c r="O185" s="11" t="s">
        <v>25</v>
      </c>
    </row>
    <row r="186">
      <c r="A186" s="10" t="s">
        <v>611</v>
      </c>
      <c r="B186" s="11">
        <v>30.0</v>
      </c>
      <c r="C186" s="11" t="s">
        <v>17</v>
      </c>
      <c r="D186" s="11" t="s">
        <v>66</v>
      </c>
      <c r="E186" s="11" t="s">
        <v>88</v>
      </c>
      <c r="F186" s="12">
        <v>44570.0</v>
      </c>
      <c r="G186" s="11" t="s">
        <v>612</v>
      </c>
      <c r="H186" s="11" t="s">
        <v>613</v>
      </c>
      <c r="I186" s="11" t="s">
        <v>22</v>
      </c>
      <c r="J186" s="11">
        <v>47242.224297681</v>
      </c>
      <c r="K186" s="11">
        <v>418.0</v>
      </c>
      <c r="L186" s="11" t="s">
        <v>33</v>
      </c>
      <c r="M186" s="12">
        <v>44573.0</v>
      </c>
      <c r="N186" s="11" t="s">
        <v>34</v>
      </c>
      <c r="O186" s="11" t="s">
        <v>35</v>
      </c>
    </row>
    <row r="187">
      <c r="A187" s="10" t="s">
        <v>614</v>
      </c>
      <c r="B187" s="11">
        <v>64.0</v>
      </c>
      <c r="C187" s="11" t="s">
        <v>38</v>
      </c>
      <c r="D187" s="11" t="s">
        <v>39</v>
      </c>
      <c r="E187" s="11" t="s">
        <v>47</v>
      </c>
      <c r="F187" s="12">
        <v>45276.0</v>
      </c>
      <c r="G187" s="11" t="s">
        <v>615</v>
      </c>
      <c r="H187" s="11" t="s">
        <v>616</v>
      </c>
      <c r="I187" s="11" t="s">
        <v>73</v>
      </c>
      <c r="J187" s="11">
        <v>17670.5052173935</v>
      </c>
      <c r="K187" s="11">
        <v>128.0</v>
      </c>
      <c r="L187" s="11" t="s">
        <v>50</v>
      </c>
      <c r="M187" s="12">
        <v>45306.0</v>
      </c>
      <c r="N187" s="11" t="s">
        <v>24</v>
      </c>
      <c r="O187" s="11" t="s">
        <v>35</v>
      </c>
    </row>
    <row r="188">
      <c r="A188" s="10" t="s">
        <v>617</v>
      </c>
      <c r="B188" s="11">
        <v>76.0</v>
      </c>
      <c r="C188" s="11" t="s">
        <v>17</v>
      </c>
      <c r="D188" s="11" t="s">
        <v>28</v>
      </c>
      <c r="E188" s="11" t="s">
        <v>29</v>
      </c>
      <c r="F188" s="12">
        <v>44170.0</v>
      </c>
      <c r="G188" s="11" t="s">
        <v>618</v>
      </c>
      <c r="H188" s="11" t="s">
        <v>619</v>
      </c>
      <c r="I188" s="11" t="s">
        <v>32</v>
      </c>
      <c r="J188" s="11">
        <v>5714.74801791466</v>
      </c>
      <c r="K188" s="11">
        <v>238.0</v>
      </c>
      <c r="L188" s="11" t="s">
        <v>50</v>
      </c>
      <c r="M188" s="12">
        <v>44183.0</v>
      </c>
      <c r="N188" s="11" t="s">
        <v>91</v>
      </c>
      <c r="O188" s="11" t="s">
        <v>51</v>
      </c>
    </row>
    <row r="189">
      <c r="A189" s="10" t="s">
        <v>620</v>
      </c>
      <c r="B189" s="11">
        <v>21.0</v>
      </c>
      <c r="C189" s="11" t="s">
        <v>38</v>
      </c>
      <c r="D189" s="11" t="s">
        <v>54</v>
      </c>
      <c r="E189" s="11" t="s">
        <v>47</v>
      </c>
      <c r="F189" s="12">
        <v>44511.0</v>
      </c>
      <c r="G189" s="11" t="s">
        <v>621</v>
      </c>
      <c r="H189" s="11" t="s">
        <v>622</v>
      </c>
      <c r="I189" s="11" t="s">
        <v>73</v>
      </c>
      <c r="J189" s="11">
        <v>5985.97848724019</v>
      </c>
      <c r="K189" s="11">
        <v>136.0</v>
      </c>
      <c r="L189" s="11" t="s">
        <v>23</v>
      </c>
      <c r="M189" s="12">
        <v>44534.0</v>
      </c>
      <c r="N189" s="11" t="s">
        <v>57</v>
      </c>
      <c r="O189" s="11" t="s">
        <v>25</v>
      </c>
    </row>
    <row r="190">
      <c r="A190" s="10" t="s">
        <v>623</v>
      </c>
      <c r="B190" s="11">
        <v>59.0</v>
      </c>
      <c r="C190" s="11" t="s">
        <v>38</v>
      </c>
      <c r="D190" s="11" t="s">
        <v>46</v>
      </c>
      <c r="E190" s="11" t="s">
        <v>29</v>
      </c>
      <c r="F190" s="12">
        <v>43719.0</v>
      </c>
      <c r="G190" s="11" t="s">
        <v>624</v>
      </c>
      <c r="H190" s="11" t="s">
        <v>625</v>
      </c>
      <c r="I190" s="11" t="s">
        <v>22</v>
      </c>
      <c r="J190" s="11">
        <v>27385.7362279881</v>
      </c>
      <c r="K190" s="11">
        <v>427.0</v>
      </c>
      <c r="L190" s="11" t="s">
        <v>33</v>
      </c>
      <c r="M190" s="12">
        <v>43723.0</v>
      </c>
      <c r="N190" s="11" t="s">
        <v>57</v>
      </c>
      <c r="O190" s="11" t="s">
        <v>35</v>
      </c>
    </row>
    <row r="191">
      <c r="A191" s="10" t="s">
        <v>626</v>
      </c>
      <c r="B191" s="11">
        <v>31.0</v>
      </c>
      <c r="C191" s="11" t="s">
        <v>38</v>
      </c>
      <c r="D191" s="11" t="s">
        <v>39</v>
      </c>
      <c r="E191" s="11" t="s">
        <v>47</v>
      </c>
      <c r="F191" s="12">
        <v>44180.0</v>
      </c>
      <c r="G191" s="11" t="s">
        <v>627</v>
      </c>
      <c r="H191" s="11" t="s">
        <v>628</v>
      </c>
      <c r="I191" s="11" t="s">
        <v>63</v>
      </c>
      <c r="J191" s="11">
        <v>3730.00219089662</v>
      </c>
      <c r="K191" s="11">
        <v>218.0</v>
      </c>
      <c r="L191" s="11" t="s">
        <v>23</v>
      </c>
      <c r="M191" s="12">
        <v>44197.0</v>
      </c>
      <c r="N191" s="11" t="s">
        <v>34</v>
      </c>
      <c r="O191" s="11" t="s">
        <v>51</v>
      </c>
    </row>
    <row r="192">
      <c r="A192" s="10" t="s">
        <v>629</v>
      </c>
      <c r="B192" s="11">
        <v>36.0</v>
      </c>
      <c r="C192" s="11" t="s">
        <v>38</v>
      </c>
      <c r="D192" s="11" t="s">
        <v>46</v>
      </c>
      <c r="E192" s="11" t="s">
        <v>60</v>
      </c>
      <c r="F192" s="12">
        <v>44903.0</v>
      </c>
      <c r="G192" s="11" t="s">
        <v>630</v>
      </c>
      <c r="H192" s="11" t="s">
        <v>631</v>
      </c>
      <c r="I192" s="11" t="s">
        <v>22</v>
      </c>
      <c r="J192" s="11">
        <v>22480.9659289307</v>
      </c>
      <c r="K192" s="11">
        <v>348.0</v>
      </c>
      <c r="L192" s="11" t="s">
        <v>50</v>
      </c>
      <c r="M192" s="12">
        <v>44928.0</v>
      </c>
      <c r="N192" s="11" t="s">
        <v>34</v>
      </c>
      <c r="O192" s="11" t="s">
        <v>35</v>
      </c>
    </row>
    <row r="193">
      <c r="A193" s="10" t="s">
        <v>632</v>
      </c>
      <c r="B193" s="11">
        <v>42.0</v>
      </c>
      <c r="C193" s="11" t="s">
        <v>38</v>
      </c>
      <c r="D193" s="11" t="s">
        <v>119</v>
      </c>
      <c r="E193" s="11" t="s">
        <v>47</v>
      </c>
      <c r="F193" s="12">
        <v>44392.0</v>
      </c>
      <c r="G193" s="11" t="s">
        <v>633</v>
      </c>
      <c r="H193" s="11" t="s">
        <v>634</v>
      </c>
      <c r="I193" s="11" t="s">
        <v>42</v>
      </c>
      <c r="J193" s="11">
        <v>35022.3167123606</v>
      </c>
      <c r="K193" s="11">
        <v>486.0</v>
      </c>
      <c r="L193" s="11" t="s">
        <v>50</v>
      </c>
      <c r="M193" s="12">
        <v>44413.0</v>
      </c>
      <c r="N193" s="11" t="s">
        <v>43</v>
      </c>
      <c r="O193" s="11" t="s">
        <v>35</v>
      </c>
    </row>
    <row r="194">
      <c r="A194" s="10" t="s">
        <v>635</v>
      </c>
      <c r="B194" s="11">
        <v>18.0</v>
      </c>
      <c r="C194" s="11" t="s">
        <v>38</v>
      </c>
      <c r="D194" s="11" t="s">
        <v>54</v>
      </c>
      <c r="E194" s="11" t="s">
        <v>60</v>
      </c>
      <c r="F194" s="12">
        <v>44728.0</v>
      </c>
      <c r="G194" s="11" t="s">
        <v>636</v>
      </c>
      <c r="H194" s="11" t="s">
        <v>637</v>
      </c>
      <c r="I194" s="11" t="s">
        <v>22</v>
      </c>
      <c r="J194" s="11">
        <v>45072.418258941</v>
      </c>
      <c r="K194" s="11">
        <v>147.0</v>
      </c>
      <c r="L194" s="11" t="s">
        <v>23</v>
      </c>
      <c r="M194" s="12">
        <v>44746.0</v>
      </c>
      <c r="N194" s="11" t="s">
        <v>91</v>
      </c>
      <c r="O194" s="11" t="s">
        <v>35</v>
      </c>
    </row>
    <row r="195">
      <c r="A195" s="10" t="s">
        <v>638</v>
      </c>
      <c r="B195" s="11">
        <v>62.0</v>
      </c>
      <c r="C195" s="11" t="s">
        <v>38</v>
      </c>
      <c r="D195" s="11" t="s">
        <v>28</v>
      </c>
      <c r="E195" s="11" t="s">
        <v>29</v>
      </c>
      <c r="F195" s="12">
        <v>45331.0</v>
      </c>
      <c r="G195" s="11" t="s">
        <v>639</v>
      </c>
      <c r="H195" s="11" t="s">
        <v>640</v>
      </c>
      <c r="I195" s="11" t="s">
        <v>63</v>
      </c>
      <c r="J195" s="11">
        <v>45902.7076446902</v>
      </c>
      <c r="K195" s="11">
        <v>126.0</v>
      </c>
      <c r="L195" s="11" t="s">
        <v>23</v>
      </c>
      <c r="M195" s="12">
        <v>45341.0</v>
      </c>
      <c r="N195" s="11" t="s">
        <v>43</v>
      </c>
      <c r="O195" s="11" t="s">
        <v>25</v>
      </c>
    </row>
    <row r="196">
      <c r="A196" s="10" t="s">
        <v>641</v>
      </c>
      <c r="B196" s="11">
        <v>53.0</v>
      </c>
      <c r="C196" s="11" t="s">
        <v>17</v>
      </c>
      <c r="D196" s="11" t="s">
        <v>54</v>
      </c>
      <c r="E196" s="11" t="s">
        <v>88</v>
      </c>
      <c r="F196" s="12">
        <v>45355.0</v>
      </c>
      <c r="G196" s="11" t="s">
        <v>642</v>
      </c>
      <c r="H196" s="11" t="s">
        <v>643</v>
      </c>
      <c r="I196" s="11" t="s">
        <v>32</v>
      </c>
      <c r="J196" s="11">
        <v>28899.1857587483</v>
      </c>
      <c r="K196" s="11">
        <v>314.0</v>
      </c>
      <c r="L196" s="11" t="s">
        <v>33</v>
      </c>
      <c r="M196" s="12">
        <v>45369.0</v>
      </c>
      <c r="N196" s="11" t="s">
        <v>24</v>
      </c>
      <c r="O196" s="11" t="s">
        <v>51</v>
      </c>
    </row>
    <row r="197">
      <c r="A197" s="10" t="s">
        <v>644</v>
      </c>
      <c r="B197" s="11">
        <v>82.0</v>
      </c>
      <c r="C197" s="11" t="s">
        <v>38</v>
      </c>
      <c r="D197" s="11" t="s">
        <v>28</v>
      </c>
      <c r="E197" s="11" t="s">
        <v>29</v>
      </c>
      <c r="F197" s="12">
        <v>44603.0</v>
      </c>
      <c r="G197" s="11" t="s">
        <v>645</v>
      </c>
      <c r="H197" s="11" t="s">
        <v>646</v>
      </c>
      <c r="I197" s="11" t="s">
        <v>22</v>
      </c>
      <c r="J197" s="11">
        <v>39003.1814380949</v>
      </c>
      <c r="K197" s="11">
        <v>133.0</v>
      </c>
      <c r="L197" s="11" t="s">
        <v>50</v>
      </c>
      <c r="M197" s="12">
        <v>44617.0</v>
      </c>
      <c r="N197" s="11" t="s">
        <v>91</v>
      </c>
      <c r="O197" s="11" t="s">
        <v>25</v>
      </c>
    </row>
    <row r="198">
      <c r="A198" s="10" t="s">
        <v>647</v>
      </c>
      <c r="B198" s="11">
        <v>19.0</v>
      </c>
      <c r="C198" s="11" t="s">
        <v>38</v>
      </c>
      <c r="D198" s="11" t="s">
        <v>141</v>
      </c>
      <c r="E198" s="11" t="s">
        <v>47</v>
      </c>
      <c r="F198" s="12">
        <v>44600.0</v>
      </c>
      <c r="G198" s="11" t="s">
        <v>648</v>
      </c>
      <c r="H198" s="11" t="s">
        <v>649</v>
      </c>
      <c r="I198" s="11" t="s">
        <v>22</v>
      </c>
      <c r="J198" s="11">
        <v>10348.8185214386</v>
      </c>
      <c r="K198" s="11">
        <v>271.0</v>
      </c>
      <c r="L198" s="11" t="s">
        <v>33</v>
      </c>
      <c r="M198" s="12">
        <v>44609.0</v>
      </c>
      <c r="N198" s="11" t="s">
        <v>34</v>
      </c>
      <c r="O198" s="11" t="s">
        <v>35</v>
      </c>
    </row>
    <row r="199">
      <c r="A199" s="10" t="s">
        <v>650</v>
      </c>
      <c r="B199" s="11">
        <v>83.0</v>
      </c>
      <c r="C199" s="11" t="s">
        <v>38</v>
      </c>
      <c r="D199" s="11" t="s">
        <v>39</v>
      </c>
      <c r="E199" s="11" t="s">
        <v>88</v>
      </c>
      <c r="F199" s="12">
        <v>45092.0</v>
      </c>
      <c r="G199" s="11" t="s">
        <v>651</v>
      </c>
      <c r="H199" s="11" t="s">
        <v>652</v>
      </c>
      <c r="I199" s="11" t="s">
        <v>63</v>
      </c>
      <c r="J199" s="11">
        <v>14371.5396986661</v>
      </c>
      <c r="K199" s="11">
        <v>341.0</v>
      </c>
      <c r="L199" s="11" t="s">
        <v>23</v>
      </c>
      <c r="M199" s="12">
        <v>45107.0</v>
      </c>
      <c r="N199" s="11" t="s">
        <v>24</v>
      </c>
      <c r="O199" s="11" t="s">
        <v>35</v>
      </c>
    </row>
    <row r="200">
      <c r="A200" s="10" t="s">
        <v>653</v>
      </c>
      <c r="B200" s="11">
        <v>26.0</v>
      </c>
      <c r="C200" s="11" t="s">
        <v>17</v>
      </c>
      <c r="D200" s="11" t="s">
        <v>141</v>
      </c>
      <c r="E200" s="11" t="s">
        <v>47</v>
      </c>
      <c r="F200" s="12">
        <v>44480.0</v>
      </c>
      <c r="G200" s="11" t="s">
        <v>654</v>
      </c>
      <c r="H200" s="11" t="s">
        <v>655</v>
      </c>
      <c r="I200" s="11" t="s">
        <v>63</v>
      </c>
      <c r="J200" s="11">
        <v>13769.4031287638</v>
      </c>
      <c r="K200" s="11">
        <v>498.0</v>
      </c>
      <c r="L200" s="11" t="s">
        <v>23</v>
      </c>
      <c r="M200" s="12">
        <v>44493.0</v>
      </c>
      <c r="N200" s="11" t="s">
        <v>34</v>
      </c>
      <c r="O200" s="11" t="s">
        <v>51</v>
      </c>
    </row>
    <row r="201">
      <c r="A201" s="10" t="s">
        <v>656</v>
      </c>
      <c r="B201" s="11">
        <v>51.0</v>
      </c>
      <c r="C201" s="11" t="s">
        <v>17</v>
      </c>
      <c r="D201" s="11" t="s">
        <v>46</v>
      </c>
      <c r="E201" s="11" t="s">
        <v>109</v>
      </c>
      <c r="F201" s="12">
        <v>44542.0</v>
      </c>
      <c r="G201" s="11" t="s">
        <v>657</v>
      </c>
      <c r="H201" s="11" t="s">
        <v>658</v>
      </c>
      <c r="I201" s="11" t="s">
        <v>42</v>
      </c>
      <c r="J201" s="11">
        <v>35868.5386367655</v>
      </c>
      <c r="K201" s="11">
        <v>309.0</v>
      </c>
      <c r="L201" s="11" t="s">
        <v>50</v>
      </c>
      <c r="M201" s="12">
        <v>44560.0</v>
      </c>
      <c r="N201" s="11" t="s">
        <v>91</v>
      </c>
      <c r="O201" s="11" t="s">
        <v>51</v>
      </c>
    </row>
    <row r="202">
      <c r="A202" s="10" t="s">
        <v>659</v>
      </c>
      <c r="B202" s="11">
        <v>20.0</v>
      </c>
      <c r="C202" s="11" t="s">
        <v>17</v>
      </c>
      <c r="D202" s="11" t="s">
        <v>46</v>
      </c>
      <c r="E202" s="11" t="s">
        <v>29</v>
      </c>
      <c r="F202" s="12">
        <v>45116.0</v>
      </c>
      <c r="G202" s="11" t="s">
        <v>660</v>
      </c>
      <c r="H202" s="11" t="s">
        <v>661</v>
      </c>
      <c r="I202" s="11" t="s">
        <v>22</v>
      </c>
      <c r="J202" s="11">
        <v>35205.2845980244</v>
      </c>
      <c r="K202" s="11">
        <v>104.0</v>
      </c>
      <c r="L202" s="11" t="s">
        <v>33</v>
      </c>
      <c r="M202" s="12">
        <v>45122.0</v>
      </c>
      <c r="N202" s="11" t="s">
        <v>91</v>
      </c>
      <c r="O202" s="11" t="s">
        <v>51</v>
      </c>
    </row>
    <row r="203">
      <c r="A203" s="10" t="s">
        <v>662</v>
      </c>
      <c r="B203" s="11">
        <v>61.0</v>
      </c>
      <c r="C203" s="11" t="s">
        <v>38</v>
      </c>
      <c r="D203" s="11" t="s">
        <v>39</v>
      </c>
      <c r="E203" s="11" t="s">
        <v>29</v>
      </c>
      <c r="F203" s="12">
        <v>44082.0</v>
      </c>
      <c r="G203" s="11" t="s">
        <v>663</v>
      </c>
      <c r="H203" s="11" t="s">
        <v>664</v>
      </c>
      <c r="I203" s="11" t="s">
        <v>22</v>
      </c>
      <c r="J203" s="11">
        <v>21576.5023455387</v>
      </c>
      <c r="K203" s="11">
        <v>308.0</v>
      </c>
      <c r="L203" s="11" t="s">
        <v>33</v>
      </c>
      <c r="M203" s="12">
        <v>44107.0</v>
      </c>
      <c r="N203" s="11" t="s">
        <v>34</v>
      </c>
      <c r="O203" s="11" t="s">
        <v>51</v>
      </c>
    </row>
    <row r="204">
      <c r="A204" s="10" t="s">
        <v>665</v>
      </c>
      <c r="B204" s="11">
        <v>44.0</v>
      </c>
      <c r="C204" s="11" t="s">
        <v>17</v>
      </c>
      <c r="D204" s="11" t="s">
        <v>66</v>
      </c>
      <c r="E204" s="11" t="s">
        <v>88</v>
      </c>
      <c r="F204" s="12">
        <v>44074.0</v>
      </c>
      <c r="G204" s="11" t="s">
        <v>666</v>
      </c>
      <c r="H204" s="11" t="s">
        <v>667</v>
      </c>
      <c r="I204" s="11" t="s">
        <v>42</v>
      </c>
      <c r="J204" s="11">
        <v>18771.0106871058</v>
      </c>
      <c r="K204" s="11">
        <v>168.0</v>
      </c>
      <c r="L204" s="11" t="s">
        <v>23</v>
      </c>
      <c r="M204" s="12">
        <v>44092.0</v>
      </c>
      <c r="N204" s="11" t="s">
        <v>91</v>
      </c>
      <c r="O204" s="11" t="s">
        <v>51</v>
      </c>
    </row>
    <row r="205">
      <c r="A205" s="10" t="s">
        <v>668</v>
      </c>
      <c r="B205" s="11">
        <v>74.0</v>
      </c>
      <c r="C205" s="11" t="s">
        <v>38</v>
      </c>
      <c r="D205" s="11" t="s">
        <v>54</v>
      </c>
      <c r="E205" s="11" t="s">
        <v>19</v>
      </c>
      <c r="F205" s="12">
        <v>45392.0</v>
      </c>
      <c r="G205" s="11" t="s">
        <v>669</v>
      </c>
      <c r="H205" s="11" t="s">
        <v>670</v>
      </c>
      <c r="I205" s="11" t="s">
        <v>22</v>
      </c>
      <c r="J205" s="11">
        <v>21668.5645083491</v>
      </c>
      <c r="K205" s="11">
        <v>115.0</v>
      </c>
      <c r="L205" s="11" t="s">
        <v>33</v>
      </c>
      <c r="M205" s="12">
        <v>45415.0</v>
      </c>
      <c r="N205" s="11" t="s">
        <v>91</v>
      </c>
      <c r="O205" s="11" t="s">
        <v>51</v>
      </c>
    </row>
    <row r="206">
      <c r="A206" s="10" t="s">
        <v>671</v>
      </c>
      <c r="B206" s="11">
        <v>82.0</v>
      </c>
      <c r="C206" s="11" t="s">
        <v>38</v>
      </c>
      <c r="D206" s="11" t="s">
        <v>18</v>
      </c>
      <c r="E206" s="11" t="s">
        <v>47</v>
      </c>
      <c r="F206" s="12">
        <v>44418.0</v>
      </c>
      <c r="G206" s="11" t="s">
        <v>672</v>
      </c>
      <c r="H206" s="11" t="s">
        <v>673</v>
      </c>
      <c r="I206" s="11" t="s">
        <v>73</v>
      </c>
      <c r="J206" s="11">
        <v>36339.8190811746</v>
      </c>
      <c r="K206" s="11">
        <v>189.0</v>
      </c>
      <c r="L206" s="11" t="s">
        <v>50</v>
      </c>
      <c r="M206" s="12">
        <v>44448.0</v>
      </c>
      <c r="N206" s="11" t="s">
        <v>91</v>
      </c>
      <c r="O206" s="11" t="s">
        <v>35</v>
      </c>
    </row>
    <row r="207">
      <c r="A207" s="10" t="s">
        <v>674</v>
      </c>
      <c r="B207" s="11">
        <v>83.0</v>
      </c>
      <c r="C207" s="11" t="s">
        <v>17</v>
      </c>
      <c r="D207" s="11" t="s">
        <v>141</v>
      </c>
      <c r="E207" s="11" t="s">
        <v>47</v>
      </c>
      <c r="F207" s="12">
        <v>44586.0</v>
      </c>
      <c r="G207" s="11" t="s">
        <v>675</v>
      </c>
      <c r="H207" s="11" t="s">
        <v>676</v>
      </c>
      <c r="I207" s="11" t="s">
        <v>73</v>
      </c>
      <c r="J207" s="11">
        <v>40825.184423605</v>
      </c>
      <c r="K207" s="11">
        <v>438.0</v>
      </c>
      <c r="L207" s="11" t="s">
        <v>50</v>
      </c>
      <c r="M207" s="12">
        <v>44589.0</v>
      </c>
      <c r="N207" s="11" t="s">
        <v>43</v>
      </c>
      <c r="O207" s="11" t="s">
        <v>51</v>
      </c>
    </row>
    <row r="208">
      <c r="A208" s="10" t="s">
        <v>677</v>
      </c>
      <c r="B208" s="11">
        <v>62.0</v>
      </c>
      <c r="C208" s="11" t="s">
        <v>38</v>
      </c>
      <c r="D208" s="11" t="s">
        <v>66</v>
      </c>
      <c r="E208" s="11" t="s">
        <v>19</v>
      </c>
      <c r="F208" s="12">
        <v>45181.0</v>
      </c>
      <c r="G208" s="11" t="s">
        <v>678</v>
      </c>
      <c r="H208" s="11" t="s">
        <v>679</v>
      </c>
      <c r="I208" s="11" t="s">
        <v>22</v>
      </c>
      <c r="J208" s="11">
        <v>40469.5662591005</v>
      </c>
      <c r="K208" s="11">
        <v>286.0</v>
      </c>
      <c r="L208" s="11" t="s">
        <v>50</v>
      </c>
      <c r="M208" s="12">
        <v>45211.0</v>
      </c>
      <c r="N208" s="11" t="s">
        <v>57</v>
      </c>
      <c r="O208" s="11" t="s">
        <v>25</v>
      </c>
    </row>
    <row r="209">
      <c r="A209" s="10" t="s">
        <v>680</v>
      </c>
      <c r="B209" s="11">
        <v>62.0</v>
      </c>
      <c r="C209" s="11" t="s">
        <v>38</v>
      </c>
      <c r="D209" s="11" t="s">
        <v>18</v>
      </c>
      <c r="E209" s="11" t="s">
        <v>29</v>
      </c>
      <c r="F209" s="12">
        <v>44048.0</v>
      </c>
      <c r="G209" s="11" t="s">
        <v>681</v>
      </c>
      <c r="H209" s="11" t="s">
        <v>682</v>
      </c>
      <c r="I209" s="11" t="s">
        <v>32</v>
      </c>
      <c r="J209" s="11">
        <v>25749.5208355403</v>
      </c>
      <c r="K209" s="11">
        <v>138.0</v>
      </c>
      <c r="L209" s="11" t="s">
        <v>50</v>
      </c>
      <c r="M209" s="12">
        <v>44057.0</v>
      </c>
      <c r="N209" s="11" t="s">
        <v>34</v>
      </c>
      <c r="O209" s="11" t="s">
        <v>35</v>
      </c>
    </row>
    <row r="210">
      <c r="A210" s="10" t="s">
        <v>683</v>
      </c>
      <c r="B210" s="11">
        <v>18.0</v>
      </c>
      <c r="C210" s="11" t="s">
        <v>17</v>
      </c>
      <c r="D210" s="11" t="s">
        <v>39</v>
      </c>
      <c r="E210" s="11" t="s">
        <v>60</v>
      </c>
      <c r="F210" s="12">
        <v>44688.0</v>
      </c>
      <c r="G210" s="11" t="s">
        <v>684</v>
      </c>
      <c r="H210" s="11" t="s">
        <v>685</v>
      </c>
      <c r="I210" s="11" t="s">
        <v>42</v>
      </c>
      <c r="J210" s="11">
        <v>15841.2016765125</v>
      </c>
      <c r="K210" s="11">
        <v>275.0</v>
      </c>
      <c r="L210" s="11" t="s">
        <v>23</v>
      </c>
      <c r="M210" s="12">
        <v>44715.0</v>
      </c>
      <c r="N210" s="11" t="s">
        <v>34</v>
      </c>
      <c r="O210" s="11" t="s">
        <v>51</v>
      </c>
    </row>
    <row r="211">
      <c r="A211" s="10" t="s">
        <v>686</v>
      </c>
      <c r="B211" s="11">
        <v>66.0</v>
      </c>
      <c r="C211" s="11" t="s">
        <v>17</v>
      </c>
      <c r="D211" s="11" t="s">
        <v>28</v>
      </c>
      <c r="E211" s="11" t="s">
        <v>109</v>
      </c>
      <c r="F211" s="12">
        <v>44605.0</v>
      </c>
      <c r="G211" s="11" t="s">
        <v>687</v>
      </c>
      <c r="H211" s="11" t="s">
        <v>688</v>
      </c>
      <c r="I211" s="11" t="s">
        <v>32</v>
      </c>
      <c r="J211" s="11">
        <v>36086.5720780543</v>
      </c>
      <c r="K211" s="11">
        <v>266.0</v>
      </c>
      <c r="L211" s="11" t="s">
        <v>23</v>
      </c>
      <c r="M211" s="12">
        <v>44615.0</v>
      </c>
      <c r="N211" s="11" t="s">
        <v>24</v>
      </c>
      <c r="O211" s="11" t="s">
        <v>25</v>
      </c>
    </row>
    <row r="212">
      <c r="A212" s="10" t="s">
        <v>689</v>
      </c>
      <c r="B212" s="11">
        <v>26.0</v>
      </c>
      <c r="C212" s="11" t="s">
        <v>38</v>
      </c>
      <c r="D212" s="11" t="s">
        <v>54</v>
      </c>
      <c r="E212" s="11" t="s">
        <v>60</v>
      </c>
      <c r="F212" s="12">
        <v>45354.0</v>
      </c>
      <c r="G212" s="11" t="s">
        <v>690</v>
      </c>
      <c r="H212" s="11" t="s">
        <v>691</v>
      </c>
      <c r="I212" s="11" t="s">
        <v>22</v>
      </c>
      <c r="J212" s="11">
        <v>32085.2276465087</v>
      </c>
      <c r="K212" s="11">
        <v>392.0</v>
      </c>
      <c r="L212" s="11" t="s">
        <v>23</v>
      </c>
      <c r="M212" s="12">
        <v>45378.0</v>
      </c>
      <c r="N212" s="11" t="s">
        <v>57</v>
      </c>
      <c r="O212" s="11" t="s">
        <v>35</v>
      </c>
    </row>
    <row r="213">
      <c r="A213" s="10" t="s">
        <v>692</v>
      </c>
      <c r="B213" s="11">
        <v>45.0</v>
      </c>
      <c r="C213" s="11" t="s">
        <v>38</v>
      </c>
      <c r="D213" s="11" t="s">
        <v>119</v>
      </c>
      <c r="E213" s="11" t="s">
        <v>19</v>
      </c>
      <c r="F213" s="12">
        <v>43904.0</v>
      </c>
      <c r="G213" s="11" t="s">
        <v>693</v>
      </c>
      <c r="H213" s="11" t="s">
        <v>694</v>
      </c>
      <c r="I213" s="11" t="s">
        <v>73</v>
      </c>
      <c r="J213" s="11">
        <v>12356.5606512939</v>
      </c>
      <c r="K213" s="11">
        <v>156.0</v>
      </c>
      <c r="L213" s="11" t="s">
        <v>33</v>
      </c>
      <c r="M213" s="12">
        <v>43924.0</v>
      </c>
      <c r="N213" s="11" t="s">
        <v>43</v>
      </c>
      <c r="O213" s="11" t="s">
        <v>35</v>
      </c>
    </row>
    <row r="214">
      <c r="A214" s="10" t="s">
        <v>695</v>
      </c>
      <c r="B214" s="11">
        <v>26.0</v>
      </c>
      <c r="C214" s="11" t="s">
        <v>17</v>
      </c>
      <c r="D214" s="11" t="s">
        <v>66</v>
      </c>
      <c r="E214" s="11" t="s">
        <v>60</v>
      </c>
      <c r="F214" s="12">
        <v>45329.0</v>
      </c>
      <c r="G214" s="11" t="s">
        <v>696</v>
      </c>
      <c r="H214" s="11" t="s">
        <v>697</v>
      </c>
      <c r="I214" s="11" t="s">
        <v>42</v>
      </c>
      <c r="J214" s="11">
        <v>15367.4113155228</v>
      </c>
      <c r="K214" s="11">
        <v>255.0</v>
      </c>
      <c r="L214" s="11" t="s">
        <v>33</v>
      </c>
      <c r="M214" s="12">
        <v>45346.0</v>
      </c>
      <c r="N214" s="11" t="s">
        <v>34</v>
      </c>
      <c r="O214" s="11" t="s">
        <v>35</v>
      </c>
    </row>
    <row r="215">
      <c r="A215" s="10" t="s">
        <v>698</v>
      </c>
      <c r="B215" s="11">
        <v>26.0</v>
      </c>
      <c r="C215" s="11" t="s">
        <v>17</v>
      </c>
      <c r="D215" s="11" t="s">
        <v>46</v>
      </c>
      <c r="E215" s="11" t="s">
        <v>19</v>
      </c>
      <c r="F215" s="12">
        <v>43667.0</v>
      </c>
      <c r="G215" s="11" t="s">
        <v>699</v>
      </c>
      <c r="H215" s="11" t="s">
        <v>700</v>
      </c>
      <c r="I215" s="11" t="s">
        <v>32</v>
      </c>
      <c r="J215" s="11">
        <v>40190.2029180175</v>
      </c>
      <c r="K215" s="11">
        <v>315.0</v>
      </c>
      <c r="L215" s="11" t="s">
        <v>50</v>
      </c>
      <c r="M215" s="12">
        <v>43682.0</v>
      </c>
      <c r="N215" s="11" t="s">
        <v>57</v>
      </c>
      <c r="O215" s="11" t="s">
        <v>51</v>
      </c>
    </row>
    <row r="216">
      <c r="A216" s="10" t="s">
        <v>701</v>
      </c>
      <c r="B216" s="11">
        <v>79.0</v>
      </c>
      <c r="C216" s="11" t="s">
        <v>38</v>
      </c>
      <c r="D216" s="11" t="s">
        <v>46</v>
      </c>
      <c r="E216" s="11" t="s">
        <v>47</v>
      </c>
      <c r="F216" s="12">
        <v>45030.0</v>
      </c>
      <c r="G216" s="11" t="s">
        <v>702</v>
      </c>
      <c r="H216" s="11" t="s">
        <v>703</v>
      </c>
      <c r="I216" s="11" t="s">
        <v>42</v>
      </c>
      <c r="J216" s="11">
        <v>3872.09698519108</v>
      </c>
      <c r="K216" s="11">
        <v>322.0</v>
      </c>
      <c r="L216" s="11" t="s">
        <v>50</v>
      </c>
      <c r="M216" s="12">
        <v>45034.0</v>
      </c>
      <c r="N216" s="11" t="s">
        <v>57</v>
      </c>
      <c r="O216" s="11" t="s">
        <v>35</v>
      </c>
    </row>
    <row r="217">
      <c r="A217" s="10" t="s">
        <v>704</v>
      </c>
      <c r="B217" s="11">
        <v>33.0</v>
      </c>
      <c r="C217" s="11" t="s">
        <v>38</v>
      </c>
      <c r="D217" s="11" t="s">
        <v>18</v>
      </c>
      <c r="E217" s="11" t="s">
        <v>109</v>
      </c>
      <c r="F217" s="12">
        <v>45308.0</v>
      </c>
      <c r="G217" s="11" t="s">
        <v>705</v>
      </c>
      <c r="H217" s="11" t="s">
        <v>706</v>
      </c>
      <c r="I217" s="11" t="s">
        <v>73</v>
      </c>
      <c r="J217" s="11">
        <v>3311.58910555355</v>
      </c>
      <c r="K217" s="11">
        <v>184.0</v>
      </c>
      <c r="L217" s="11" t="s">
        <v>50</v>
      </c>
      <c r="M217" s="12">
        <v>45327.0</v>
      </c>
      <c r="N217" s="11" t="s">
        <v>91</v>
      </c>
      <c r="O217" s="11" t="s">
        <v>25</v>
      </c>
    </row>
    <row r="218">
      <c r="A218" s="10" t="s">
        <v>707</v>
      </c>
      <c r="B218" s="11">
        <v>34.0</v>
      </c>
      <c r="C218" s="11" t="s">
        <v>38</v>
      </c>
      <c r="D218" s="11" t="s">
        <v>46</v>
      </c>
      <c r="E218" s="11" t="s">
        <v>19</v>
      </c>
      <c r="F218" s="12">
        <v>43641.0</v>
      </c>
      <c r="G218" s="11" t="s">
        <v>708</v>
      </c>
      <c r="H218" s="11" t="s">
        <v>709</v>
      </c>
      <c r="I218" s="11" t="s">
        <v>63</v>
      </c>
      <c r="J218" s="11">
        <v>18524.8666374857</v>
      </c>
      <c r="K218" s="11">
        <v>472.0</v>
      </c>
      <c r="L218" s="11" t="s">
        <v>23</v>
      </c>
      <c r="M218" s="12">
        <v>43646.0</v>
      </c>
      <c r="N218" s="11" t="s">
        <v>91</v>
      </c>
      <c r="O218" s="11" t="s">
        <v>51</v>
      </c>
    </row>
    <row r="219">
      <c r="A219" s="10" t="s">
        <v>710</v>
      </c>
      <c r="B219" s="11">
        <v>76.0</v>
      </c>
      <c r="C219" s="11" t="s">
        <v>38</v>
      </c>
      <c r="D219" s="11" t="s">
        <v>66</v>
      </c>
      <c r="E219" s="11" t="s">
        <v>88</v>
      </c>
      <c r="F219" s="12">
        <v>44336.0</v>
      </c>
      <c r="G219" s="11" t="s">
        <v>711</v>
      </c>
      <c r="H219" s="11" t="s">
        <v>712</v>
      </c>
      <c r="I219" s="11" t="s">
        <v>63</v>
      </c>
      <c r="J219" s="11">
        <v>30107.4870351719</v>
      </c>
      <c r="K219" s="11">
        <v>494.0</v>
      </c>
      <c r="L219" s="11" t="s">
        <v>33</v>
      </c>
      <c r="M219" s="12">
        <v>44359.0</v>
      </c>
      <c r="N219" s="11" t="s">
        <v>34</v>
      </c>
      <c r="O219" s="11" t="s">
        <v>35</v>
      </c>
    </row>
    <row r="220">
      <c r="A220" s="10" t="s">
        <v>713</v>
      </c>
      <c r="B220" s="11">
        <v>50.0</v>
      </c>
      <c r="C220" s="11" t="s">
        <v>38</v>
      </c>
      <c r="D220" s="11" t="s">
        <v>18</v>
      </c>
      <c r="E220" s="11" t="s">
        <v>29</v>
      </c>
      <c r="F220" s="12">
        <v>43924.0</v>
      </c>
      <c r="G220" s="11" t="s">
        <v>714</v>
      </c>
      <c r="H220" s="11" t="s">
        <v>715</v>
      </c>
      <c r="I220" s="11" t="s">
        <v>63</v>
      </c>
      <c r="J220" s="11">
        <v>15826.1012762539</v>
      </c>
      <c r="K220" s="11">
        <v>398.0</v>
      </c>
      <c r="L220" s="11" t="s">
        <v>33</v>
      </c>
      <c r="M220" s="12">
        <v>43932.0</v>
      </c>
      <c r="N220" s="11" t="s">
        <v>24</v>
      </c>
      <c r="O220" s="11" t="s">
        <v>25</v>
      </c>
    </row>
    <row r="221">
      <c r="A221" s="10" t="s">
        <v>716</v>
      </c>
      <c r="B221" s="11">
        <v>44.0</v>
      </c>
      <c r="C221" s="11" t="s">
        <v>17</v>
      </c>
      <c r="D221" s="11" t="s">
        <v>18</v>
      </c>
      <c r="E221" s="11" t="s">
        <v>47</v>
      </c>
      <c r="F221" s="12">
        <v>43851.0</v>
      </c>
      <c r="G221" s="11" t="s">
        <v>717</v>
      </c>
      <c r="H221" s="11" t="s">
        <v>718</v>
      </c>
      <c r="I221" s="11" t="s">
        <v>22</v>
      </c>
      <c r="J221" s="11">
        <v>26437.7746301457</v>
      </c>
      <c r="K221" s="11">
        <v>267.0</v>
      </c>
      <c r="L221" s="11" t="s">
        <v>33</v>
      </c>
      <c r="M221" s="12">
        <v>43860.0</v>
      </c>
      <c r="N221" s="11" t="s">
        <v>34</v>
      </c>
      <c r="O221" s="11" t="s">
        <v>51</v>
      </c>
    </row>
    <row r="222">
      <c r="A222" s="10" t="s">
        <v>719</v>
      </c>
      <c r="B222" s="11">
        <v>38.0</v>
      </c>
      <c r="C222" s="11" t="s">
        <v>38</v>
      </c>
      <c r="D222" s="11" t="s">
        <v>66</v>
      </c>
      <c r="E222" s="11" t="s">
        <v>109</v>
      </c>
      <c r="F222" s="12">
        <v>44532.0</v>
      </c>
      <c r="G222" s="11" t="s">
        <v>720</v>
      </c>
      <c r="H222" s="11" t="s">
        <v>721</v>
      </c>
      <c r="I222" s="11" t="s">
        <v>42</v>
      </c>
      <c r="J222" s="11">
        <v>49663.4528710204</v>
      </c>
      <c r="K222" s="11">
        <v>435.0</v>
      </c>
      <c r="L222" s="11" t="s">
        <v>33</v>
      </c>
      <c r="M222" s="12">
        <v>44537.0</v>
      </c>
      <c r="N222" s="11" t="s">
        <v>24</v>
      </c>
      <c r="O222" s="11" t="s">
        <v>25</v>
      </c>
    </row>
    <row r="223">
      <c r="A223" s="10" t="s">
        <v>722</v>
      </c>
      <c r="B223" s="11">
        <v>43.0</v>
      </c>
      <c r="C223" s="11" t="s">
        <v>17</v>
      </c>
      <c r="D223" s="11" t="s">
        <v>54</v>
      </c>
      <c r="E223" s="11" t="s">
        <v>19</v>
      </c>
      <c r="F223" s="12">
        <v>44344.0</v>
      </c>
      <c r="G223" s="11" t="s">
        <v>723</v>
      </c>
      <c r="H223" s="11" t="s">
        <v>724</v>
      </c>
      <c r="I223" s="11" t="s">
        <v>42</v>
      </c>
      <c r="J223" s="11">
        <v>27278.2368852241</v>
      </c>
      <c r="K223" s="11">
        <v>174.0</v>
      </c>
      <c r="L223" s="11" t="s">
        <v>23</v>
      </c>
      <c r="M223" s="12">
        <v>44365.0</v>
      </c>
      <c r="N223" s="11" t="s">
        <v>34</v>
      </c>
      <c r="O223" s="11" t="s">
        <v>51</v>
      </c>
    </row>
    <row r="224">
      <c r="A224" s="10" t="s">
        <v>725</v>
      </c>
      <c r="B224" s="11">
        <v>27.0</v>
      </c>
      <c r="C224" s="11" t="s">
        <v>38</v>
      </c>
      <c r="D224" s="11" t="s">
        <v>54</v>
      </c>
      <c r="E224" s="11" t="s">
        <v>88</v>
      </c>
      <c r="F224" s="12">
        <v>43913.0</v>
      </c>
      <c r="G224" s="11" t="s">
        <v>726</v>
      </c>
      <c r="H224" s="11" t="s">
        <v>727</v>
      </c>
      <c r="I224" s="11" t="s">
        <v>73</v>
      </c>
      <c r="J224" s="11">
        <v>33170.4367400385</v>
      </c>
      <c r="K224" s="11">
        <v>137.0</v>
      </c>
      <c r="L224" s="11" t="s">
        <v>23</v>
      </c>
      <c r="M224" s="12">
        <v>43932.0</v>
      </c>
      <c r="N224" s="11" t="s">
        <v>24</v>
      </c>
      <c r="O224" s="11" t="s">
        <v>51</v>
      </c>
    </row>
    <row r="225">
      <c r="A225" s="10" t="s">
        <v>728</v>
      </c>
      <c r="B225" s="11">
        <v>78.0</v>
      </c>
      <c r="C225" s="11" t="s">
        <v>17</v>
      </c>
      <c r="D225" s="11" t="s">
        <v>28</v>
      </c>
      <c r="E225" s="11" t="s">
        <v>60</v>
      </c>
      <c r="F225" s="12">
        <v>44779.0</v>
      </c>
      <c r="G225" s="11" t="s">
        <v>344</v>
      </c>
      <c r="H225" s="11" t="s">
        <v>729</v>
      </c>
      <c r="I225" s="11" t="s">
        <v>32</v>
      </c>
      <c r="J225" s="11">
        <v>1791.38900111131</v>
      </c>
      <c r="K225" s="11">
        <v>405.0</v>
      </c>
      <c r="L225" s="11" t="s">
        <v>23</v>
      </c>
      <c r="M225" s="12">
        <v>44809.0</v>
      </c>
      <c r="N225" s="11" t="s">
        <v>24</v>
      </c>
      <c r="O225" s="11" t="s">
        <v>25</v>
      </c>
    </row>
    <row r="226">
      <c r="A226" s="10" t="s">
        <v>730</v>
      </c>
      <c r="B226" s="11">
        <v>40.0</v>
      </c>
      <c r="C226" s="11" t="s">
        <v>17</v>
      </c>
      <c r="D226" s="11" t="s">
        <v>28</v>
      </c>
      <c r="E226" s="11" t="s">
        <v>47</v>
      </c>
      <c r="F226" s="12">
        <v>45360.0</v>
      </c>
      <c r="G226" s="11" t="s">
        <v>731</v>
      </c>
      <c r="H226" s="11" t="s">
        <v>732</v>
      </c>
      <c r="I226" s="11" t="s">
        <v>22</v>
      </c>
      <c r="J226" s="11">
        <v>31188.0414917411</v>
      </c>
      <c r="K226" s="11">
        <v>111.0</v>
      </c>
      <c r="L226" s="11" t="s">
        <v>50</v>
      </c>
      <c r="M226" s="12">
        <v>45387.0</v>
      </c>
      <c r="N226" s="11" t="s">
        <v>34</v>
      </c>
      <c r="O226" s="11" t="s">
        <v>25</v>
      </c>
    </row>
    <row r="227">
      <c r="A227" s="10" t="s">
        <v>733</v>
      </c>
      <c r="B227" s="11">
        <v>25.0</v>
      </c>
      <c r="C227" s="11" t="s">
        <v>17</v>
      </c>
      <c r="D227" s="11" t="s">
        <v>66</v>
      </c>
      <c r="E227" s="11" t="s">
        <v>109</v>
      </c>
      <c r="F227" s="12">
        <v>44635.0</v>
      </c>
      <c r="G227" s="11" t="s">
        <v>734</v>
      </c>
      <c r="H227" s="11" t="s">
        <v>735</v>
      </c>
      <c r="I227" s="11" t="s">
        <v>32</v>
      </c>
      <c r="J227" s="11">
        <v>13854.6457636635</v>
      </c>
      <c r="K227" s="11">
        <v>328.0</v>
      </c>
      <c r="L227" s="11" t="s">
        <v>50</v>
      </c>
      <c r="M227" s="12">
        <v>44661.0</v>
      </c>
      <c r="N227" s="11" t="s">
        <v>57</v>
      </c>
      <c r="O227" s="11" t="s">
        <v>35</v>
      </c>
    </row>
    <row r="228">
      <c r="A228" s="10" t="s">
        <v>736</v>
      </c>
      <c r="B228" s="11">
        <v>67.0</v>
      </c>
      <c r="C228" s="11" t="s">
        <v>38</v>
      </c>
      <c r="D228" s="11" t="s">
        <v>54</v>
      </c>
      <c r="E228" s="11" t="s">
        <v>29</v>
      </c>
      <c r="F228" s="12">
        <v>44051.0</v>
      </c>
      <c r="G228" s="11" t="s">
        <v>737</v>
      </c>
      <c r="H228" s="11" t="s">
        <v>738</v>
      </c>
      <c r="I228" s="11" t="s">
        <v>22</v>
      </c>
      <c r="J228" s="11">
        <v>11870.9083801416</v>
      </c>
      <c r="K228" s="11">
        <v>196.0</v>
      </c>
      <c r="L228" s="11" t="s">
        <v>50</v>
      </c>
      <c r="M228" s="12">
        <v>44057.0</v>
      </c>
      <c r="N228" s="11" t="s">
        <v>34</v>
      </c>
      <c r="O228" s="11" t="s">
        <v>51</v>
      </c>
    </row>
    <row r="229">
      <c r="A229" s="10" t="s">
        <v>739</v>
      </c>
      <c r="B229" s="11">
        <v>47.0</v>
      </c>
      <c r="C229" s="11" t="s">
        <v>38</v>
      </c>
      <c r="D229" s="11" t="s">
        <v>54</v>
      </c>
      <c r="E229" s="11" t="s">
        <v>29</v>
      </c>
      <c r="F229" s="12">
        <v>43625.0</v>
      </c>
      <c r="G229" s="11" t="s">
        <v>740</v>
      </c>
      <c r="H229" s="11" t="s">
        <v>741</v>
      </c>
      <c r="I229" s="11" t="s">
        <v>63</v>
      </c>
      <c r="J229" s="11">
        <v>25574.1276190986</v>
      </c>
      <c r="K229" s="11">
        <v>464.0</v>
      </c>
      <c r="L229" s="11" t="s">
        <v>50</v>
      </c>
      <c r="M229" s="12">
        <v>43647.0</v>
      </c>
      <c r="N229" s="11" t="s">
        <v>43</v>
      </c>
      <c r="O229" s="11" t="s">
        <v>35</v>
      </c>
    </row>
    <row r="230">
      <c r="A230" s="10" t="s">
        <v>742</v>
      </c>
      <c r="B230" s="11">
        <v>75.0</v>
      </c>
      <c r="C230" s="11" t="s">
        <v>17</v>
      </c>
      <c r="D230" s="11" t="s">
        <v>66</v>
      </c>
      <c r="E230" s="11" t="s">
        <v>109</v>
      </c>
      <c r="F230" s="12">
        <v>43715.0</v>
      </c>
      <c r="G230" s="11" t="s">
        <v>743</v>
      </c>
      <c r="H230" s="11" t="s">
        <v>744</v>
      </c>
      <c r="I230" s="11" t="s">
        <v>42</v>
      </c>
      <c r="J230" s="11">
        <v>6132.40409523864</v>
      </c>
      <c r="K230" s="11">
        <v>231.0</v>
      </c>
      <c r="L230" s="11" t="s">
        <v>23</v>
      </c>
      <c r="M230" s="12">
        <v>43744.0</v>
      </c>
      <c r="N230" s="11" t="s">
        <v>24</v>
      </c>
      <c r="O230" s="11" t="s">
        <v>25</v>
      </c>
    </row>
    <row r="231">
      <c r="A231" s="10" t="s">
        <v>745</v>
      </c>
      <c r="B231" s="11">
        <v>58.0</v>
      </c>
      <c r="C231" s="11" t="s">
        <v>38</v>
      </c>
      <c r="D231" s="11" t="s">
        <v>39</v>
      </c>
      <c r="E231" s="11" t="s">
        <v>29</v>
      </c>
      <c r="F231" s="12">
        <v>44241.0</v>
      </c>
      <c r="G231" s="11" t="s">
        <v>746</v>
      </c>
      <c r="H231" s="11" t="s">
        <v>747</v>
      </c>
      <c r="I231" s="11" t="s">
        <v>32</v>
      </c>
      <c r="J231" s="11">
        <v>33343.9024937478</v>
      </c>
      <c r="K231" s="11">
        <v>117.0</v>
      </c>
      <c r="L231" s="11" t="s">
        <v>50</v>
      </c>
      <c r="M231" s="12">
        <v>44253.0</v>
      </c>
      <c r="N231" s="11" t="s">
        <v>91</v>
      </c>
      <c r="O231" s="11" t="s">
        <v>35</v>
      </c>
    </row>
    <row r="232">
      <c r="A232" s="10" t="s">
        <v>748</v>
      </c>
      <c r="B232" s="11">
        <v>26.0</v>
      </c>
      <c r="C232" s="11" t="s">
        <v>38</v>
      </c>
      <c r="D232" s="11" t="s">
        <v>39</v>
      </c>
      <c r="E232" s="11" t="s">
        <v>88</v>
      </c>
      <c r="F232" s="12">
        <v>43779.0</v>
      </c>
      <c r="G232" s="11" t="s">
        <v>749</v>
      </c>
      <c r="H232" s="11" t="s">
        <v>750</v>
      </c>
      <c r="I232" s="11" t="s">
        <v>32</v>
      </c>
      <c r="J232" s="11">
        <v>43484.2497464405</v>
      </c>
      <c r="K232" s="11">
        <v>244.0</v>
      </c>
      <c r="L232" s="11" t="s">
        <v>23</v>
      </c>
      <c r="M232" s="12">
        <v>43795.0</v>
      </c>
      <c r="N232" s="11" t="s">
        <v>57</v>
      </c>
      <c r="O232" s="11" t="s">
        <v>51</v>
      </c>
    </row>
    <row r="233">
      <c r="A233" s="10" t="s">
        <v>751</v>
      </c>
      <c r="B233" s="11">
        <v>22.0</v>
      </c>
      <c r="C233" s="11" t="s">
        <v>17</v>
      </c>
      <c r="D233" s="11" t="s">
        <v>46</v>
      </c>
      <c r="E233" s="11" t="s">
        <v>29</v>
      </c>
      <c r="F233" s="12">
        <v>45032.0</v>
      </c>
      <c r="G233" s="11" t="s">
        <v>752</v>
      </c>
      <c r="H233" s="11" t="s">
        <v>753</v>
      </c>
      <c r="I233" s="11" t="s">
        <v>63</v>
      </c>
      <c r="J233" s="11">
        <v>7858.92685994679</v>
      </c>
      <c r="K233" s="11">
        <v>414.0</v>
      </c>
      <c r="L233" s="11" t="s">
        <v>23</v>
      </c>
      <c r="M233" s="12">
        <v>45060.0</v>
      </c>
      <c r="N233" s="11" t="s">
        <v>57</v>
      </c>
      <c r="O233" s="11" t="s">
        <v>25</v>
      </c>
    </row>
    <row r="234">
      <c r="A234" s="10" t="s">
        <v>754</v>
      </c>
      <c r="B234" s="11">
        <v>29.0</v>
      </c>
      <c r="C234" s="11" t="s">
        <v>38</v>
      </c>
      <c r="D234" s="11" t="s">
        <v>119</v>
      </c>
      <c r="E234" s="11" t="s">
        <v>60</v>
      </c>
      <c r="F234" s="12">
        <v>43946.0</v>
      </c>
      <c r="G234" s="11" t="s">
        <v>755</v>
      </c>
      <c r="H234" s="11" t="s">
        <v>756</v>
      </c>
      <c r="I234" s="11" t="s">
        <v>73</v>
      </c>
      <c r="J234" s="11">
        <v>33161.9384029981</v>
      </c>
      <c r="K234" s="11">
        <v>493.0</v>
      </c>
      <c r="L234" s="11" t="s">
        <v>23</v>
      </c>
      <c r="M234" s="12">
        <v>43949.0</v>
      </c>
      <c r="N234" s="11" t="s">
        <v>24</v>
      </c>
      <c r="O234" s="11" t="s">
        <v>35</v>
      </c>
    </row>
    <row r="235">
      <c r="A235" s="10" t="s">
        <v>757</v>
      </c>
      <c r="B235" s="11">
        <v>30.0</v>
      </c>
      <c r="C235" s="11" t="s">
        <v>17</v>
      </c>
      <c r="D235" s="11" t="s">
        <v>39</v>
      </c>
      <c r="E235" s="11" t="s">
        <v>19</v>
      </c>
      <c r="F235" s="12">
        <v>44429.0</v>
      </c>
      <c r="G235" s="11" t="s">
        <v>758</v>
      </c>
      <c r="H235" s="11" t="s">
        <v>759</v>
      </c>
      <c r="I235" s="11" t="s">
        <v>73</v>
      </c>
      <c r="J235" s="11">
        <v>2879.46053205424</v>
      </c>
      <c r="K235" s="11">
        <v>183.0</v>
      </c>
      <c r="L235" s="11" t="s">
        <v>23</v>
      </c>
      <c r="M235" s="12">
        <v>44436.0</v>
      </c>
      <c r="N235" s="11" t="s">
        <v>34</v>
      </c>
      <c r="O235" s="11" t="s">
        <v>25</v>
      </c>
    </row>
    <row r="236">
      <c r="A236" s="10" t="s">
        <v>760</v>
      </c>
      <c r="B236" s="11">
        <v>22.0</v>
      </c>
      <c r="C236" s="11" t="s">
        <v>38</v>
      </c>
      <c r="D236" s="11" t="s">
        <v>46</v>
      </c>
      <c r="E236" s="11" t="s">
        <v>60</v>
      </c>
      <c r="F236" s="12">
        <v>44210.0</v>
      </c>
      <c r="G236" s="11" t="s">
        <v>761</v>
      </c>
      <c r="H236" s="11" t="s">
        <v>280</v>
      </c>
      <c r="I236" s="11" t="s">
        <v>42</v>
      </c>
      <c r="J236" s="11">
        <v>46492.8617729489</v>
      </c>
      <c r="K236" s="11">
        <v>471.0</v>
      </c>
      <c r="L236" s="11" t="s">
        <v>50</v>
      </c>
      <c r="M236" s="12">
        <v>44223.0</v>
      </c>
      <c r="N236" s="11" t="s">
        <v>43</v>
      </c>
      <c r="O236" s="11" t="s">
        <v>35</v>
      </c>
    </row>
    <row r="237">
      <c r="A237" s="10" t="s">
        <v>762</v>
      </c>
      <c r="B237" s="11">
        <v>34.0</v>
      </c>
      <c r="C237" s="11" t="s">
        <v>17</v>
      </c>
      <c r="D237" s="11" t="s">
        <v>54</v>
      </c>
      <c r="E237" s="11" t="s">
        <v>88</v>
      </c>
      <c r="F237" s="12">
        <v>44086.0</v>
      </c>
      <c r="G237" s="11" t="s">
        <v>763</v>
      </c>
      <c r="H237" s="11" t="s">
        <v>764</v>
      </c>
      <c r="I237" s="11" t="s">
        <v>42</v>
      </c>
      <c r="J237" s="11">
        <v>5259.27304964771</v>
      </c>
      <c r="K237" s="11">
        <v>341.0</v>
      </c>
      <c r="L237" s="11" t="s">
        <v>50</v>
      </c>
      <c r="M237" s="12">
        <v>44100.0</v>
      </c>
      <c r="N237" s="11" t="s">
        <v>24</v>
      </c>
      <c r="O237" s="11" t="s">
        <v>51</v>
      </c>
    </row>
    <row r="238">
      <c r="A238" s="10" t="s">
        <v>545</v>
      </c>
      <c r="B238" s="11">
        <v>20.0</v>
      </c>
      <c r="C238" s="11" t="s">
        <v>17</v>
      </c>
      <c r="D238" s="11" t="s">
        <v>54</v>
      </c>
      <c r="E238" s="11" t="s">
        <v>109</v>
      </c>
      <c r="F238" s="12">
        <v>43917.0</v>
      </c>
      <c r="G238" s="11" t="s">
        <v>765</v>
      </c>
      <c r="H238" s="11" t="s">
        <v>766</v>
      </c>
      <c r="I238" s="11" t="s">
        <v>63</v>
      </c>
      <c r="J238" s="11">
        <v>2784.58248997835</v>
      </c>
      <c r="K238" s="11">
        <v>164.0</v>
      </c>
      <c r="L238" s="11" t="s">
        <v>33</v>
      </c>
      <c r="M238" s="12">
        <v>43937.0</v>
      </c>
      <c r="N238" s="11" t="s">
        <v>43</v>
      </c>
      <c r="O238" s="11" t="s">
        <v>35</v>
      </c>
    </row>
    <row r="239">
      <c r="A239" s="10" t="s">
        <v>767</v>
      </c>
      <c r="B239" s="11">
        <v>37.0</v>
      </c>
      <c r="C239" s="11" t="s">
        <v>38</v>
      </c>
      <c r="D239" s="11" t="s">
        <v>39</v>
      </c>
      <c r="E239" s="11" t="s">
        <v>109</v>
      </c>
      <c r="F239" s="12">
        <v>43672.0</v>
      </c>
      <c r="G239" s="11" t="s">
        <v>768</v>
      </c>
      <c r="H239" s="11" t="s">
        <v>769</v>
      </c>
      <c r="I239" s="11" t="s">
        <v>42</v>
      </c>
      <c r="J239" s="11">
        <v>13418.2163679355</v>
      </c>
      <c r="K239" s="11">
        <v>102.0</v>
      </c>
      <c r="L239" s="11" t="s">
        <v>33</v>
      </c>
      <c r="M239" s="12">
        <v>43694.0</v>
      </c>
      <c r="N239" s="11" t="s">
        <v>57</v>
      </c>
      <c r="O239" s="11" t="s">
        <v>51</v>
      </c>
    </row>
    <row r="240">
      <c r="A240" s="10" t="s">
        <v>770</v>
      </c>
      <c r="B240" s="11">
        <v>25.0</v>
      </c>
      <c r="C240" s="11" t="s">
        <v>38</v>
      </c>
      <c r="D240" s="11" t="s">
        <v>28</v>
      </c>
      <c r="E240" s="11" t="s">
        <v>19</v>
      </c>
      <c r="F240" s="12">
        <v>45267.0</v>
      </c>
      <c r="G240" s="11" t="s">
        <v>771</v>
      </c>
      <c r="H240" s="11" t="s">
        <v>772</v>
      </c>
      <c r="I240" s="11" t="s">
        <v>22</v>
      </c>
      <c r="J240" s="11">
        <v>36990.4557753253</v>
      </c>
      <c r="K240" s="11">
        <v>356.0</v>
      </c>
      <c r="L240" s="11" t="s">
        <v>23</v>
      </c>
      <c r="M240" s="12">
        <v>45274.0</v>
      </c>
      <c r="N240" s="11" t="s">
        <v>43</v>
      </c>
      <c r="O240" s="11" t="s">
        <v>25</v>
      </c>
    </row>
    <row r="241">
      <c r="A241" s="10" t="s">
        <v>773</v>
      </c>
      <c r="B241" s="11">
        <v>45.0</v>
      </c>
      <c r="C241" s="11" t="s">
        <v>38</v>
      </c>
      <c r="D241" s="11" t="s">
        <v>18</v>
      </c>
      <c r="E241" s="11" t="s">
        <v>19</v>
      </c>
      <c r="F241" s="12">
        <v>44358.0</v>
      </c>
      <c r="G241" s="11" t="s">
        <v>774</v>
      </c>
      <c r="H241" s="11" t="s">
        <v>775</v>
      </c>
      <c r="I241" s="11" t="s">
        <v>42</v>
      </c>
      <c r="J241" s="11">
        <v>43567.1441579709</v>
      </c>
      <c r="K241" s="11">
        <v>325.0</v>
      </c>
      <c r="L241" s="11" t="s">
        <v>23</v>
      </c>
      <c r="M241" s="12">
        <v>44380.0</v>
      </c>
      <c r="N241" s="11" t="s">
        <v>24</v>
      </c>
      <c r="O241" s="11" t="s">
        <v>25</v>
      </c>
    </row>
    <row r="242">
      <c r="A242" s="10" t="s">
        <v>776</v>
      </c>
      <c r="B242" s="11">
        <v>18.0</v>
      </c>
      <c r="C242" s="11" t="s">
        <v>17</v>
      </c>
      <c r="D242" s="11" t="s">
        <v>141</v>
      </c>
      <c r="E242" s="11" t="s">
        <v>47</v>
      </c>
      <c r="F242" s="12">
        <v>44603.0</v>
      </c>
      <c r="G242" s="11" t="s">
        <v>777</v>
      </c>
      <c r="H242" s="11" t="s">
        <v>778</v>
      </c>
      <c r="I242" s="11" t="s">
        <v>63</v>
      </c>
      <c r="J242" s="11">
        <v>35570.0765570962</v>
      </c>
      <c r="K242" s="11">
        <v>497.0</v>
      </c>
      <c r="L242" s="11" t="s">
        <v>33</v>
      </c>
      <c r="M242" s="12">
        <v>44615.0</v>
      </c>
      <c r="N242" s="11" t="s">
        <v>34</v>
      </c>
      <c r="O242" s="11" t="s">
        <v>35</v>
      </c>
    </row>
    <row r="243">
      <c r="A243" s="10" t="s">
        <v>779</v>
      </c>
      <c r="B243" s="11">
        <v>56.0</v>
      </c>
      <c r="C243" s="11" t="s">
        <v>17</v>
      </c>
      <c r="D243" s="11" t="s">
        <v>46</v>
      </c>
      <c r="E243" s="11" t="s">
        <v>109</v>
      </c>
      <c r="F243" s="12">
        <v>44086.0</v>
      </c>
      <c r="G243" s="11" t="s">
        <v>780</v>
      </c>
      <c r="H243" s="11" t="s">
        <v>781</v>
      </c>
      <c r="I243" s="11" t="s">
        <v>22</v>
      </c>
      <c r="J243" s="11">
        <v>6848.13042719658</v>
      </c>
      <c r="K243" s="11">
        <v>421.0</v>
      </c>
      <c r="L243" s="11" t="s">
        <v>33</v>
      </c>
      <c r="M243" s="12">
        <v>44096.0</v>
      </c>
      <c r="N243" s="11" t="s">
        <v>43</v>
      </c>
      <c r="O243" s="11" t="s">
        <v>25</v>
      </c>
    </row>
    <row r="244">
      <c r="A244" s="10" t="s">
        <v>782</v>
      </c>
      <c r="B244" s="11">
        <v>44.0</v>
      </c>
      <c r="C244" s="11" t="s">
        <v>17</v>
      </c>
      <c r="D244" s="11" t="s">
        <v>66</v>
      </c>
      <c r="E244" s="11" t="s">
        <v>60</v>
      </c>
      <c r="F244" s="12">
        <v>43976.0</v>
      </c>
      <c r="G244" s="11" t="s">
        <v>783</v>
      </c>
      <c r="H244" s="11" t="s">
        <v>784</v>
      </c>
      <c r="I244" s="11" t="s">
        <v>42</v>
      </c>
      <c r="J244" s="11">
        <v>4677.59584650444</v>
      </c>
      <c r="K244" s="11">
        <v>488.0</v>
      </c>
      <c r="L244" s="11" t="s">
        <v>33</v>
      </c>
      <c r="M244" s="12">
        <v>43987.0</v>
      </c>
      <c r="N244" s="11" t="s">
        <v>91</v>
      </c>
      <c r="O244" s="11" t="s">
        <v>35</v>
      </c>
    </row>
    <row r="245">
      <c r="A245" s="10" t="s">
        <v>785</v>
      </c>
      <c r="B245" s="11">
        <v>34.0</v>
      </c>
      <c r="C245" s="11" t="s">
        <v>17</v>
      </c>
      <c r="D245" s="11" t="s">
        <v>46</v>
      </c>
      <c r="E245" s="11" t="s">
        <v>88</v>
      </c>
      <c r="F245" s="12">
        <v>45194.0</v>
      </c>
      <c r="G245" s="11" t="s">
        <v>786</v>
      </c>
      <c r="H245" s="11" t="s">
        <v>787</v>
      </c>
      <c r="I245" s="11" t="s">
        <v>42</v>
      </c>
      <c r="J245" s="11">
        <v>35157.1702673228</v>
      </c>
      <c r="K245" s="11">
        <v>328.0</v>
      </c>
      <c r="L245" s="11" t="s">
        <v>50</v>
      </c>
      <c r="M245" s="12">
        <v>45220.0</v>
      </c>
      <c r="N245" s="11" t="s">
        <v>57</v>
      </c>
      <c r="O245" s="11" t="s">
        <v>25</v>
      </c>
    </row>
    <row r="246">
      <c r="A246" s="10" t="s">
        <v>788</v>
      </c>
      <c r="B246" s="11">
        <v>26.0</v>
      </c>
      <c r="C246" s="11" t="s">
        <v>17</v>
      </c>
      <c r="D246" s="11" t="s">
        <v>119</v>
      </c>
      <c r="E246" s="11" t="s">
        <v>29</v>
      </c>
      <c r="F246" s="12">
        <v>44734.0</v>
      </c>
      <c r="G246" s="11" t="s">
        <v>789</v>
      </c>
      <c r="H246" s="11" t="s">
        <v>790</v>
      </c>
      <c r="I246" s="11" t="s">
        <v>63</v>
      </c>
      <c r="J246" s="11">
        <v>34719.1738501764</v>
      </c>
      <c r="K246" s="11">
        <v>317.0</v>
      </c>
      <c r="L246" s="11" t="s">
        <v>50</v>
      </c>
      <c r="M246" s="12">
        <v>44762.0</v>
      </c>
      <c r="N246" s="11" t="s">
        <v>91</v>
      </c>
      <c r="O246" s="11" t="s">
        <v>25</v>
      </c>
    </row>
    <row r="247">
      <c r="A247" s="10" t="s">
        <v>791</v>
      </c>
      <c r="B247" s="11">
        <v>32.0</v>
      </c>
      <c r="C247" s="11" t="s">
        <v>17</v>
      </c>
      <c r="D247" s="11" t="s">
        <v>46</v>
      </c>
      <c r="E247" s="11" t="s">
        <v>29</v>
      </c>
      <c r="F247" s="12">
        <v>43842.0</v>
      </c>
      <c r="G247" s="11" t="s">
        <v>792</v>
      </c>
      <c r="H247" s="11" t="s">
        <v>793</v>
      </c>
      <c r="I247" s="11" t="s">
        <v>42</v>
      </c>
      <c r="J247" s="11">
        <v>23775.4490069404</v>
      </c>
      <c r="K247" s="11">
        <v>133.0</v>
      </c>
      <c r="L247" s="11" t="s">
        <v>50</v>
      </c>
      <c r="M247" s="12">
        <v>43849.0</v>
      </c>
      <c r="N247" s="11" t="s">
        <v>43</v>
      </c>
      <c r="O247" s="11" t="s">
        <v>25</v>
      </c>
    </row>
    <row r="248">
      <c r="A248" s="10" t="s">
        <v>794</v>
      </c>
      <c r="B248" s="11">
        <v>64.0</v>
      </c>
      <c r="C248" s="11" t="s">
        <v>17</v>
      </c>
      <c r="D248" s="11" t="s">
        <v>119</v>
      </c>
      <c r="E248" s="11" t="s">
        <v>109</v>
      </c>
      <c r="F248" s="12">
        <v>44771.0</v>
      </c>
      <c r="G248" s="11" t="s">
        <v>795</v>
      </c>
      <c r="H248" s="11" t="s">
        <v>796</v>
      </c>
      <c r="I248" s="11" t="s">
        <v>63</v>
      </c>
      <c r="J248" s="11">
        <v>17732.4693660627</v>
      </c>
      <c r="K248" s="11">
        <v>247.0</v>
      </c>
      <c r="L248" s="11" t="s">
        <v>23</v>
      </c>
      <c r="M248" s="12">
        <v>44780.0</v>
      </c>
      <c r="N248" s="11" t="s">
        <v>34</v>
      </c>
      <c r="O248" s="11" t="s">
        <v>25</v>
      </c>
    </row>
    <row r="249">
      <c r="A249" s="10" t="s">
        <v>797</v>
      </c>
      <c r="B249" s="11">
        <v>80.0</v>
      </c>
      <c r="C249" s="11" t="s">
        <v>17</v>
      </c>
      <c r="D249" s="11" t="s">
        <v>39</v>
      </c>
      <c r="E249" s="11" t="s">
        <v>60</v>
      </c>
      <c r="F249" s="12">
        <v>44977.0</v>
      </c>
      <c r="G249" s="11" t="s">
        <v>798</v>
      </c>
      <c r="H249" s="11" t="s">
        <v>799</v>
      </c>
      <c r="I249" s="11" t="s">
        <v>73</v>
      </c>
      <c r="J249" s="11">
        <v>3845.39749562647</v>
      </c>
      <c r="K249" s="11">
        <v>158.0</v>
      </c>
      <c r="L249" s="11" t="s">
        <v>33</v>
      </c>
      <c r="M249" s="12">
        <v>44995.0</v>
      </c>
      <c r="N249" s="11" t="s">
        <v>57</v>
      </c>
      <c r="O249" s="11" t="s">
        <v>25</v>
      </c>
    </row>
    <row r="250">
      <c r="A250" s="10" t="s">
        <v>800</v>
      </c>
      <c r="B250" s="11">
        <v>80.0</v>
      </c>
      <c r="C250" s="11" t="s">
        <v>17</v>
      </c>
      <c r="D250" s="11" t="s">
        <v>39</v>
      </c>
      <c r="E250" s="11" t="s">
        <v>19</v>
      </c>
      <c r="F250" s="12">
        <v>44391.0</v>
      </c>
      <c r="G250" s="11" t="s">
        <v>801</v>
      </c>
      <c r="H250" s="11" t="s">
        <v>802</v>
      </c>
      <c r="I250" s="11" t="s">
        <v>22</v>
      </c>
      <c r="J250" s="11">
        <v>22401.5503534375</v>
      </c>
      <c r="K250" s="11">
        <v>242.0</v>
      </c>
      <c r="L250" s="11" t="s">
        <v>50</v>
      </c>
      <c r="M250" s="12">
        <v>44401.0</v>
      </c>
      <c r="N250" s="11" t="s">
        <v>91</v>
      </c>
      <c r="O250" s="11" t="s">
        <v>35</v>
      </c>
    </row>
    <row r="251">
      <c r="A251" s="10" t="s">
        <v>803</v>
      </c>
      <c r="B251" s="11">
        <v>37.0</v>
      </c>
      <c r="C251" s="11" t="s">
        <v>38</v>
      </c>
      <c r="D251" s="11" t="s">
        <v>46</v>
      </c>
      <c r="E251" s="11" t="s">
        <v>88</v>
      </c>
      <c r="F251" s="12">
        <v>45399.0</v>
      </c>
      <c r="G251" s="11" t="s">
        <v>804</v>
      </c>
      <c r="H251" s="11" t="s">
        <v>805</v>
      </c>
      <c r="I251" s="11" t="s">
        <v>63</v>
      </c>
      <c r="J251" s="11">
        <v>23340.3047192135</v>
      </c>
      <c r="K251" s="11">
        <v>151.0</v>
      </c>
      <c r="L251" s="11" t="s">
        <v>23</v>
      </c>
      <c r="M251" s="12">
        <v>45419.0</v>
      </c>
      <c r="N251" s="11" t="s">
        <v>43</v>
      </c>
      <c r="O251" s="11" t="s">
        <v>25</v>
      </c>
    </row>
    <row r="252">
      <c r="A252" s="10" t="s">
        <v>806</v>
      </c>
      <c r="B252" s="11">
        <v>52.0</v>
      </c>
      <c r="C252" s="11" t="s">
        <v>38</v>
      </c>
      <c r="D252" s="11" t="s">
        <v>28</v>
      </c>
      <c r="E252" s="11" t="s">
        <v>88</v>
      </c>
      <c r="F252" s="12">
        <v>44231.0</v>
      </c>
      <c r="G252" s="11" t="s">
        <v>807</v>
      </c>
      <c r="H252" s="11" t="s">
        <v>808</v>
      </c>
      <c r="I252" s="11" t="s">
        <v>22</v>
      </c>
      <c r="J252" s="11">
        <v>3042.40918359702</v>
      </c>
      <c r="K252" s="11">
        <v>221.0</v>
      </c>
      <c r="L252" s="11" t="s">
        <v>23</v>
      </c>
      <c r="M252" s="12">
        <v>44255.0</v>
      </c>
      <c r="N252" s="11" t="s">
        <v>43</v>
      </c>
      <c r="O252" s="11" t="s">
        <v>51</v>
      </c>
    </row>
    <row r="253">
      <c r="A253" s="10" t="s">
        <v>809</v>
      </c>
      <c r="B253" s="11">
        <v>83.0</v>
      </c>
      <c r="C253" s="11" t="s">
        <v>38</v>
      </c>
      <c r="D253" s="11" t="s">
        <v>141</v>
      </c>
      <c r="E253" s="11" t="s">
        <v>47</v>
      </c>
      <c r="F253" s="12">
        <v>44441.0</v>
      </c>
      <c r="G253" s="11" t="s">
        <v>810</v>
      </c>
      <c r="H253" s="11" t="s">
        <v>811</v>
      </c>
      <c r="I253" s="11" t="s">
        <v>22</v>
      </c>
      <c r="J253" s="11">
        <v>41817.6791825064</v>
      </c>
      <c r="K253" s="11">
        <v>223.0</v>
      </c>
      <c r="L253" s="11" t="s">
        <v>23</v>
      </c>
      <c r="M253" s="12">
        <v>44458.0</v>
      </c>
      <c r="N253" s="11" t="s">
        <v>24</v>
      </c>
      <c r="O253" s="11" t="s">
        <v>35</v>
      </c>
    </row>
    <row r="254">
      <c r="A254" s="10" t="s">
        <v>812</v>
      </c>
      <c r="B254" s="11">
        <v>28.0</v>
      </c>
      <c r="C254" s="11" t="s">
        <v>38</v>
      </c>
      <c r="D254" s="11" t="s">
        <v>18</v>
      </c>
      <c r="E254" s="11" t="s">
        <v>109</v>
      </c>
      <c r="F254" s="12">
        <v>44814.0</v>
      </c>
      <c r="G254" s="11" t="s">
        <v>813</v>
      </c>
      <c r="H254" s="11" t="s">
        <v>814</v>
      </c>
      <c r="I254" s="11" t="s">
        <v>73</v>
      </c>
      <c r="J254" s="11">
        <v>49700.3242065521</v>
      </c>
      <c r="K254" s="11">
        <v>359.0</v>
      </c>
      <c r="L254" s="11" t="s">
        <v>50</v>
      </c>
      <c r="M254" s="12">
        <v>44835.0</v>
      </c>
      <c r="N254" s="11" t="s">
        <v>24</v>
      </c>
      <c r="O254" s="11" t="s">
        <v>51</v>
      </c>
    </row>
    <row r="255">
      <c r="A255" s="10" t="s">
        <v>815</v>
      </c>
      <c r="B255" s="11">
        <v>63.0</v>
      </c>
      <c r="C255" s="11" t="s">
        <v>17</v>
      </c>
      <c r="D255" s="11" t="s">
        <v>28</v>
      </c>
      <c r="E255" s="11" t="s">
        <v>47</v>
      </c>
      <c r="F255" s="12">
        <v>44890.0</v>
      </c>
      <c r="G255" s="11" t="s">
        <v>816</v>
      </c>
      <c r="H255" s="11" t="s">
        <v>817</v>
      </c>
      <c r="I255" s="11" t="s">
        <v>22</v>
      </c>
      <c r="J255" s="11">
        <v>45157.4711248389</v>
      </c>
      <c r="K255" s="11">
        <v>480.0</v>
      </c>
      <c r="L255" s="11" t="s">
        <v>50</v>
      </c>
      <c r="M255" s="12">
        <v>44915.0</v>
      </c>
      <c r="N255" s="11" t="s">
        <v>91</v>
      </c>
      <c r="O255" s="11" t="s">
        <v>25</v>
      </c>
    </row>
    <row r="256">
      <c r="A256" s="10" t="s">
        <v>818</v>
      </c>
      <c r="B256" s="11">
        <v>85.0</v>
      </c>
      <c r="C256" s="11" t="s">
        <v>17</v>
      </c>
      <c r="D256" s="11" t="s">
        <v>141</v>
      </c>
      <c r="E256" s="11" t="s">
        <v>60</v>
      </c>
      <c r="F256" s="12">
        <v>45142.0</v>
      </c>
      <c r="G256" s="11" t="s">
        <v>819</v>
      </c>
      <c r="H256" s="11" t="s">
        <v>820</v>
      </c>
      <c r="I256" s="11" t="s">
        <v>73</v>
      </c>
      <c r="J256" s="11">
        <v>18832.1003427796</v>
      </c>
      <c r="K256" s="11">
        <v>472.0</v>
      </c>
      <c r="L256" s="11" t="s">
        <v>33</v>
      </c>
      <c r="M256" s="12">
        <v>45150.0</v>
      </c>
      <c r="N256" s="11" t="s">
        <v>34</v>
      </c>
      <c r="O256" s="11" t="s">
        <v>51</v>
      </c>
    </row>
    <row r="257">
      <c r="A257" s="10" t="s">
        <v>821</v>
      </c>
      <c r="B257" s="11">
        <v>37.0</v>
      </c>
      <c r="C257" s="11" t="s">
        <v>17</v>
      </c>
      <c r="D257" s="11" t="s">
        <v>141</v>
      </c>
      <c r="E257" s="11" t="s">
        <v>88</v>
      </c>
      <c r="F257" s="12">
        <v>44155.0</v>
      </c>
      <c r="G257" s="11" t="s">
        <v>822</v>
      </c>
      <c r="H257" s="11" t="s">
        <v>823</v>
      </c>
      <c r="I257" s="11" t="s">
        <v>42</v>
      </c>
      <c r="J257" s="11">
        <v>31732.1300778819</v>
      </c>
      <c r="K257" s="11">
        <v>373.0</v>
      </c>
      <c r="L257" s="11" t="s">
        <v>50</v>
      </c>
      <c r="M257" s="12">
        <v>44171.0</v>
      </c>
      <c r="N257" s="11" t="s">
        <v>91</v>
      </c>
      <c r="O257" s="11" t="s">
        <v>25</v>
      </c>
    </row>
    <row r="258">
      <c r="A258" s="10" t="s">
        <v>824</v>
      </c>
      <c r="B258" s="11">
        <v>22.0</v>
      </c>
      <c r="C258" s="11" t="s">
        <v>17</v>
      </c>
      <c r="D258" s="11" t="s">
        <v>66</v>
      </c>
      <c r="E258" s="11" t="s">
        <v>47</v>
      </c>
      <c r="F258" s="12">
        <v>43761.0</v>
      </c>
      <c r="G258" s="11" t="s">
        <v>825</v>
      </c>
      <c r="H258" s="11" t="s">
        <v>826</v>
      </c>
      <c r="I258" s="11" t="s">
        <v>22</v>
      </c>
      <c r="J258" s="11">
        <v>42214.9796977142</v>
      </c>
      <c r="K258" s="11">
        <v>370.0</v>
      </c>
      <c r="L258" s="11" t="s">
        <v>23</v>
      </c>
      <c r="M258" s="12">
        <v>43778.0</v>
      </c>
      <c r="N258" s="11" t="s">
        <v>24</v>
      </c>
      <c r="O258" s="11" t="s">
        <v>51</v>
      </c>
    </row>
    <row r="259">
      <c r="A259" s="10" t="s">
        <v>827</v>
      </c>
      <c r="B259" s="11">
        <v>80.0</v>
      </c>
      <c r="C259" s="11" t="s">
        <v>38</v>
      </c>
      <c r="D259" s="11" t="s">
        <v>54</v>
      </c>
      <c r="E259" s="11" t="s">
        <v>109</v>
      </c>
      <c r="F259" s="12">
        <v>44121.0</v>
      </c>
      <c r="G259" s="11" t="s">
        <v>828</v>
      </c>
      <c r="H259" s="11" t="s">
        <v>829</v>
      </c>
      <c r="I259" s="11" t="s">
        <v>32</v>
      </c>
      <c r="J259" s="11">
        <v>12400.2050988106</v>
      </c>
      <c r="K259" s="11">
        <v>141.0</v>
      </c>
      <c r="L259" s="11" t="s">
        <v>50</v>
      </c>
      <c r="M259" s="12">
        <v>44133.0</v>
      </c>
      <c r="N259" s="11" t="s">
        <v>43</v>
      </c>
      <c r="O259" s="11" t="s">
        <v>25</v>
      </c>
    </row>
    <row r="260">
      <c r="A260" s="10" t="s">
        <v>830</v>
      </c>
      <c r="B260" s="11">
        <v>48.0</v>
      </c>
      <c r="C260" s="11" t="s">
        <v>38</v>
      </c>
      <c r="D260" s="11" t="s">
        <v>46</v>
      </c>
      <c r="E260" s="11" t="s">
        <v>109</v>
      </c>
      <c r="F260" s="12">
        <v>44922.0</v>
      </c>
      <c r="G260" s="11" t="s">
        <v>831</v>
      </c>
      <c r="H260" s="11" t="s">
        <v>832</v>
      </c>
      <c r="I260" s="11" t="s">
        <v>22</v>
      </c>
      <c r="J260" s="11">
        <v>1133.58647605806</v>
      </c>
      <c r="K260" s="11">
        <v>343.0</v>
      </c>
      <c r="L260" s="11" t="s">
        <v>23</v>
      </c>
      <c r="M260" s="12">
        <v>44926.0</v>
      </c>
      <c r="N260" s="11" t="s">
        <v>57</v>
      </c>
      <c r="O260" s="11" t="s">
        <v>51</v>
      </c>
    </row>
    <row r="261">
      <c r="A261" s="10" t="s">
        <v>833</v>
      </c>
      <c r="B261" s="11">
        <v>29.0</v>
      </c>
      <c r="C261" s="11" t="s">
        <v>17</v>
      </c>
      <c r="D261" s="11" t="s">
        <v>119</v>
      </c>
      <c r="E261" s="11" t="s">
        <v>29</v>
      </c>
      <c r="F261" s="12">
        <v>45093.0</v>
      </c>
      <c r="G261" s="11" t="s">
        <v>834</v>
      </c>
      <c r="H261" s="11" t="s">
        <v>835</v>
      </c>
      <c r="I261" s="11" t="s">
        <v>22</v>
      </c>
      <c r="J261" s="11">
        <v>24340.3228569656</v>
      </c>
      <c r="K261" s="11">
        <v>310.0</v>
      </c>
      <c r="L261" s="11" t="s">
        <v>33</v>
      </c>
      <c r="M261" s="12">
        <v>45121.0</v>
      </c>
      <c r="N261" s="11" t="s">
        <v>43</v>
      </c>
      <c r="O261" s="11" t="s">
        <v>35</v>
      </c>
    </row>
    <row r="262">
      <c r="A262" s="10" t="s">
        <v>836</v>
      </c>
      <c r="B262" s="11">
        <v>76.0</v>
      </c>
      <c r="C262" s="11" t="s">
        <v>17</v>
      </c>
      <c r="D262" s="11" t="s">
        <v>28</v>
      </c>
      <c r="E262" s="11" t="s">
        <v>109</v>
      </c>
      <c r="F262" s="12">
        <v>45236.0</v>
      </c>
      <c r="G262" s="11" t="s">
        <v>837</v>
      </c>
      <c r="H262" s="11" t="s">
        <v>838</v>
      </c>
      <c r="I262" s="11" t="s">
        <v>22</v>
      </c>
      <c r="J262" s="11">
        <v>39390.9355470849</v>
      </c>
      <c r="K262" s="11">
        <v>319.0</v>
      </c>
      <c r="L262" s="11" t="s">
        <v>50</v>
      </c>
      <c r="M262" s="12">
        <v>45251.0</v>
      </c>
      <c r="N262" s="11" t="s">
        <v>43</v>
      </c>
      <c r="O262" s="11" t="s">
        <v>51</v>
      </c>
    </row>
    <row r="263">
      <c r="A263" s="10" t="s">
        <v>839</v>
      </c>
      <c r="B263" s="11">
        <v>23.0</v>
      </c>
      <c r="C263" s="11" t="s">
        <v>38</v>
      </c>
      <c r="D263" s="11" t="s">
        <v>28</v>
      </c>
      <c r="E263" s="11" t="s">
        <v>88</v>
      </c>
      <c r="F263" s="12">
        <v>45286.0</v>
      </c>
      <c r="G263" s="11" t="s">
        <v>840</v>
      </c>
      <c r="H263" s="11" t="s">
        <v>841</v>
      </c>
      <c r="I263" s="11" t="s">
        <v>32</v>
      </c>
      <c r="J263" s="11">
        <v>17012.5074022272</v>
      </c>
      <c r="K263" s="11">
        <v>121.0</v>
      </c>
      <c r="L263" s="11" t="s">
        <v>50</v>
      </c>
      <c r="M263" s="12">
        <v>45313.0</v>
      </c>
      <c r="N263" s="11" t="s">
        <v>57</v>
      </c>
      <c r="O263" s="11" t="s">
        <v>25</v>
      </c>
    </row>
    <row r="264">
      <c r="A264" s="10" t="s">
        <v>842</v>
      </c>
      <c r="B264" s="11">
        <v>33.0</v>
      </c>
      <c r="C264" s="11" t="s">
        <v>17</v>
      </c>
      <c r="D264" s="11" t="s">
        <v>18</v>
      </c>
      <c r="E264" s="11" t="s">
        <v>60</v>
      </c>
      <c r="F264" s="12">
        <v>44967.0</v>
      </c>
      <c r="G264" s="11" t="s">
        <v>843</v>
      </c>
      <c r="H264" s="11" t="s">
        <v>844</v>
      </c>
      <c r="I264" s="11" t="s">
        <v>73</v>
      </c>
      <c r="J264" s="11">
        <v>14493.6139032184</v>
      </c>
      <c r="K264" s="11">
        <v>166.0</v>
      </c>
      <c r="L264" s="11" t="s">
        <v>33</v>
      </c>
      <c r="M264" s="12">
        <v>44990.0</v>
      </c>
      <c r="N264" s="11" t="s">
        <v>57</v>
      </c>
      <c r="O264" s="11" t="s">
        <v>35</v>
      </c>
    </row>
    <row r="265">
      <c r="A265" s="10" t="s">
        <v>845</v>
      </c>
      <c r="B265" s="11">
        <v>34.0</v>
      </c>
      <c r="C265" s="11" t="s">
        <v>17</v>
      </c>
      <c r="D265" s="11" t="s">
        <v>46</v>
      </c>
      <c r="E265" s="11" t="s">
        <v>88</v>
      </c>
      <c r="F265" s="12">
        <v>44013.0</v>
      </c>
      <c r="G265" s="11" t="s">
        <v>846</v>
      </c>
      <c r="H265" s="11" t="s">
        <v>847</v>
      </c>
      <c r="I265" s="11" t="s">
        <v>42</v>
      </c>
      <c r="J265" s="11">
        <v>32679.2685926962</v>
      </c>
      <c r="K265" s="11">
        <v>397.0</v>
      </c>
      <c r="L265" s="11" t="s">
        <v>33</v>
      </c>
      <c r="M265" s="12">
        <v>44022.0</v>
      </c>
      <c r="N265" s="11" t="s">
        <v>24</v>
      </c>
      <c r="O265" s="11" t="s">
        <v>25</v>
      </c>
    </row>
    <row r="266">
      <c r="A266" s="10" t="s">
        <v>848</v>
      </c>
      <c r="B266" s="11">
        <v>44.0</v>
      </c>
      <c r="C266" s="11" t="s">
        <v>38</v>
      </c>
      <c r="D266" s="11" t="s">
        <v>54</v>
      </c>
      <c r="E266" s="11" t="s">
        <v>29</v>
      </c>
      <c r="F266" s="12">
        <v>45190.0</v>
      </c>
      <c r="G266" s="11" t="s">
        <v>849</v>
      </c>
      <c r="H266" s="11" t="s">
        <v>850</v>
      </c>
      <c r="I266" s="11" t="s">
        <v>63</v>
      </c>
      <c r="J266" s="11">
        <v>6232.00178684709</v>
      </c>
      <c r="K266" s="11">
        <v>186.0</v>
      </c>
      <c r="L266" s="11" t="s">
        <v>33</v>
      </c>
      <c r="M266" s="12">
        <v>45194.0</v>
      </c>
      <c r="N266" s="11" t="s">
        <v>34</v>
      </c>
      <c r="O266" s="11" t="s">
        <v>35</v>
      </c>
    </row>
    <row r="267">
      <c r="A267" s="10" t="s">
        <v>851</v>
      </c>
      <c r="B267" s="11">
        <v>84.0</v>
      </c>
      <c r="C267" s="11" t="s">
        <v>17</v>
      </c>
      <c r="D267" s="11" t="s">
        <v>119</v>
      </c>
      <c r="E267" s="11" t="s">
        <v>47</v>
      </c>
      <c r="F267" s="12">
        <v>44160.0</v>
      </c>
      <c r="G267" s="11" t="s">
        <v>852</v>
      </c>
      <c r="H267" s="11" t="s">
        <v>853</v>
      </c>
      <c r="I267" s="11" t="s">
        <v>73</v>
      </c>
      <c r="J267" s="11">
        <v>22982.2521217276</v>
      </c>
      <c r="K267" s="11">
        <v>320.0</v>
      </c>
      <c r="L267" s="11" t="s">
        <v>23</v>
      </c>
      <c r="M267" s="12">
        <v>44167.0</v>
      </c>
      <c r="N267" s="11" t="s">
        <v>34</v>
      </c>
      <c r="O267" s="11" t="s">
        <v>51</v>
      </c>
    </row>
    <row r="268">
      <c r="A268" s="10" t="s">
        <v>854</v>
      </c>
      <c r="B268" s="11">
        <v>25.0</v>
      </c>
      <c r="C268" s="11" t="s">
        <v>38</v>
      </c>
      <c r="D268" s="11" t="s">
        <v>28</v>
      </c>
      <c r="E268" s="11" t="s">
        <v>19</v>
      </c>
      <c r="F268" s="12">
        <v>44022.0</v>
      </c>
      <c r="G268" s="11" t="s">
        <v>855</v>
      </c>
      <c r="H268" s="11" t="s">
        <v>856</v>
      </c>
      <c r="I268" s="11" t="s">
        <v>42</v>
      </c>
      <c r="J268" s="11">
        <v>28213.8154666384</v>
      </c>
      <c r="K268" s="11">
        <v>296.0</v>
      </c>
      <c r="L268" s="11" t="s">
        <v>23</v>
      </c>
      <c r="M268" s="12">
        <v>44030.0</v>
      </c>
      <c r="N268" s="11" t="s">
        <v>43</v>
      </c>
      <c r="O268" s="11" t="s">
        <v>51</v>
      </c>
    </row>
    <row r="269">
      <c r="A269" s="10" t="s">
        <v>857</v>
      </c>
      <c r="B269" s="11">
        <v>42.0</v>
      </c>
      <c r="C269" s="11" t="s">
        <v>17</v>
      </c>
      <c r="D269" s="11" t="s">
        <v>18</v>
      </c>
      <c r="E269" s="11" t="s">
        <v>109</v>
      </c>
      <c r="F269" s="12">
        <v>44919.0</v>
      </c>
      <c r="G269" s="11" t="s">
        <v>858</v>
      </c>
      <c r="H269" s="11" t="s">
        <v>859</v>
      </c>
      <c r="I269" s="11" t="s">
        <v>73</v>
      </c>
      <c r="J269" s="11">
        <v>10645.5658530089</v>
      </c>
      <c r="K269" s="11">
        <v>251.0</v>
      </c>
      <c r="L269" s="11" t="s">
        <v>33</v>
      </c>
      <c r="M269" s="12">
        <v>44932.0</v>
      </c>
      <c r="N269" s="11" t="s">
        <v>34</v>
      </c>
      <c r="O269" s="11" t="s">
        <v>25</v>
      </c>
    </row>
    <row r="270">
      <c r="A270" s="10" t="s">
        <v>860</v>
      </c>
      <c r="B270" s="11">
        <v>57.0</v>
      </c>
      <c r="C270" s="11" t="s">
        <v>17</v>
      </c>
      <c r="D270" s="11" t="s">
        <v>119</v>
      </c>
      <c r="E270" s="11" t="s">
        <v>109</v>
      </c>
      <c r="F270" s="12">
        <v>43743.0</v>
      </c>
      <c r="G270" s="11" t="s">
        <v>861</v>
      </c>
      <c r="H270" s="11" t="s">
        <v>862</v>
      </c>
      <c r="I270" s="11" t="s">
        <v>22</v>
      </c>
      <c r="J270" s="11">
        <v>35041.0309676033</v>
      </c>
      <c r="K270" s="11">
        <v>299.0</v>
      </c>
      <c r="L270" s="11" t="s">
        <v>50</v>
      </c>
      <c r="M270" s="12">
        <v>43758.0</v>
      </c>
      <c r="N270" s="11" t="s">
        <v>91</v>
      </c>
      <c r="O270" s="11" t="s">
        <v>25</v>
      </c>
    </row>
    <row r="271">
      <c r="A271" s="10" t="s">
        <v>863</v>
      </c>
      <c r="B271" s="11">
        <v>75.0</v>
      </c>
      <c r="C271" s="11" t="s">
        <v>38</v>
      </c>
      <c r="D271" s="11" t="s">
        <v>141</v>
      </c>
      <c r="E271" s="11" t="s">
        <v>109</v>
      </c>
      <c r="F271" s="12">
        <v>44633.0</v>
      </c>
      <c r="G271" s="11" t="s">
        <v>864</v>
      </c>
      <c r="H271" s="11" t="s">
        <v>865</v>
      </c>
      <c r="I271" s="11" t="s">
        <v>73</v>
      </c>
      <c r="J271" s="11">
        <v>45980.292293796</v>
      </c>
      <c r="K271" s="11">
        <v>101.0</v>
      </c>
      <c r="L271" s="11" t="s">
        <v>33</v>
      </c>
      <c r="M271" s="12">
        <v>44646.0</v>
      </c>
      <c r="N271" s="11" t="s">
        <v>43</v>
      </c>
      <c r="O271" s="11" t="s">
        <v>35</v>
      </c>
    </row>
    <row r="272">
      <c r="A272" s="10" t="s">
        <v>866</v>
      </c>
      <c r="B272" s="11">
        <v>24.0</v>
      </c>
      <c r="C272" s="11" t="s">
        <v>38</v>
      </c>
      <c r="D272" s="11" t="s">
        <v>54</v>
      </c>
      <c r="E272" s="11" t="s">
        <v>29</v>
      </c>
      <c r="F272" s="12">
        <v>43966.0</v>
      </c>
      <c r="G272" s="11" t="s">
        <v>867</v>
      </c>
      <c r="H272" s="11" t="s">
        <v>868</v>
      </c>
      <c r="I272" s="11" t="s">
        <v>63</v>
      </c>
      <c r="J272" s="11">
        <v>25163.8224838312</v>
      </c>
      <c r="K272" s="11">
        <v>142.0</v>
      </c>
      <c r="L272" s="11" t="s">
        <v>50</v>
      </c>
      <c r="M272" s="12">
        <v>43992.0</v>
      </c>
      <c r="N272" s="11" t="s">
        <v>34</v>
      </c>
      <c r="O272" s="11" t="s">
        <v>25</v>
      </c>
    </row>
    <row r="273">
      <c r="A273" s="10" t="s">
        <v>869</v>
      </c>
      <c r="B273" s="11">
        <v>43.0</v>
      </c>
      <c r="C273" s="11" t="s">
        <v>38</v>
      </c>
      <c r="D273" s="11" t="s">
        <v>66</v>
      </c>
      <c r="E273" s="11" t="s">
        <v>60</v>
      </c>
      <c r="F273" s="12">
        <v>44167.0</v>
      </c>
      <c r="G273" s="11" t="s">
        <v>870</v>
      </c>
      <c r="H273" s="11" t="s">
        <v>871</v>
      </c>
      <c r="I273" s="11" t="s">
        <v>63</v>
      </c>
      <c r="J273" s="11">
        <v>43670.3781916689</v>
      </c>
      <c r="K273" s="11">
        <v>181.0</v>
      </c>
      <c r="L273" s="11" t="s">
        <v>50</v>
      </c>
      <c r="M273" s="12">
        <v>44188.0</v>
      </c>
      <c r="N273" s="11" t="s">
        <v>43</v>
      </c>
      <c r="O273" s="11" t="s">
        <v>25</v>
      </c>
    </row>
    <row r="274">
      <c r="A274" s="10" t="s">
        <v>872</v>
      </c>
      <c r="B274" s="11">
        <v>22.0</v>
      </c>
      <c r="C274" s="11" t="s">
        <v>17</v>
      </c>
      <c r="D274" s="11" t="s">
        <v>54</v>
      </c>
      <c r="E274" s="11" t="s">
        <v>60</v>
      </c>
      <c r="F274" s="12">
        <v>45299.0</v>
      </c>
      <c r="G274" s="11" t="s">
        <v>873</v>
      </c>
      <c r="H274" s="11" t="s">
        <v>874</v>
      </c>
      <c r="I274" s="11" t="s">
        <v>63</v>
      </c>
      <c r="J274" s="11">
        <v>33706.5976706835</v>
      </c>
      <c r="K274" s="11">
        <v>282.0</v>
      </c>
      <c r="L274" s="11" t="s">
        <v>33</v>
      </c>
      <c r="M274" s="12">
        <v>45306.0</v>
      </c>
      <c r="N274" s="11" t="s">
        <v>43</v>
      </c>
      <c r="O274" s="11" t="s">
        <v>35</v>
      </c>
    </row>
    <row r="275">
      <c r="A275" s="10" t="s">
        <v>594</v>
      </c>
      <c r="B275" s="11">
        <v>64.0</v>
      </c>
      <c r="C275" s="11" t="s">
        <v>38</v>
      </c>
      <c r="D275" s="11" t="s">
        <v>66</v>
      </c>
      <c r="E275" s="11" t="s">
        <v>109</v>
      </c>
      <c r="F275" s="12">
        <v>43693.0</v>
      </c>
      <c r="G275" s="11" t="s">
        <v>875</v>
      </c>
      <c r="H275" s="11" t="s">
        <v>876</v>
      </c>
      <c r="I275" s="11" t="s">
        <v>32</v>
      </c>
      <c r="J275" s="11">
        <v>5549.7854357922</v>
      </c>
      <c r="K275" s="11">
        <v>302.0</v>
      </c>
      <c r="L275" s="11" t="s">
        <v>33</v>
      </c>
      <c r="M275" s="12">
        <v>43714.0</v>
      </c>
      <c r="N275" s="11" t="s">
        <v>34</v>
      </c>
      <c r="O275" s="11" t="s">
        <v>35</v>
      </c>
    </row>
    <row r="276">
      <c r="A276" s="10" t="s">
        <v>877</v>
      </c>
      <c r="B276" s="11">
        <v>66.0</v>
      </c>
      <c r="C276" s="11" t="s">
        <v>38</v>
      </c>
      <c r="D276" s="11" t="s">
        <v>54</v>
      </c>
      <c r="E276" s="11" t="s">
        <v>109</v>
      </c>
      <c r="F276" s="12">
        <v>45008.0</v>
      </c>
      <c r="G276" s="11" t="s">
        <v>878</v>
      </c>
      <c r="H276" s="11" t="s">
        <v>879</v>
      </c>
      <c r="I276" s="11" t="s">
        <v>22</v>
      </c>
      <c r="J276" s="11">
        <v>49078.4690110566</v>
      </c>
      <c r="K276" s="11">
        <v>389.0</v>
      </c>
      <c r="L276" s="11" t="s">
        <v>50</v>
      </c>
      <c r="M276" s="12">
        <v>45035.0</v>
      </c>
      <c r="N276" s="11" t="s">
        <v>57</v>
      </c>
      <c r="O276" s="11" t="s">
        <v>51</v>
      </c>
    </row>
    <row r="277">
      <c r="A277" s="10" t="s">
        <v>880</v>
      </c>
      <c r="B277" s="11">
        <v>19.0</v>
      </c>
      <c r="C277" s="11" t="s">
        <v>17</v>
      </c>
      <c r="D277" s="11" t="s">
        <v>46</v>
      </c>
      <c r="E277" s="11" t="s">
        <v>29</v>
      </c>
      <c r="F277" s="12">
        <v>43850.0</v>
      </c>
      <c r="G277" s="11" t="s">
        <v>881</v>
      </c>
      <c r="H277" s="11" t="s">
        <v>882</v>
      </c>
      <c r="I277" s="11" t="s">
        <v>63</v>
      </c>
      <c r="J277" s="11">
        <v>23687.9936424676</v>
      </c>
      <c r="K277" s="11">
        <v>481.0</v>
      </c>
      <c r="L277" s="11" t="s">
        <v>33</v>
      </c>
      <c r="M277" s="12">
        <v>43872.0</v>
      </c>
      <c r="N277" s="11" t="s">
        <v>34</v>
      </c>
      <c r="O277" s="11" t="s">
        <v>25</v>
      </c>
    </row>
    <row r="278">
      <c r="A278" s="10" t="s">
        <v>883</v>
      </c>
      <c r="B278" s="11">
        <v>79.0</v>
      </c>
      <c r="C278" s="11" t="s">
        <v>38</v>
      </c>
      <c r="D278" s="11" t="s">
        <v>18</v>
      </c>
      <c r="E278" s="11" t="s">
        <v>47</v>
      </c>
      <c r="F278" s="12">
        <v>45314.0</v>
      </c>
      <c r="G278" s="11" t="s">
        <v>884</v>
      </c>
      <c r="H278" s="11" t="s">
        <v>885</v>
      </c>
      <c r="I278" s="11" t="s">
        <v>63</v>
      </c>
      <c r="J278" s="11">
        <v>17720.318726459</v>
      </c>
      <c r="K278" s="11">
        <v>275.0</v>
      </c>
      <c r="L278" s="11" t="s">
        <v>50</v>
      </c>
      <c r="M278" s="12">
        <v>45344.0</v>
      </c>
      <c r="N278" s="11" t="s">
        <v>24</v>
      </c>
      <c r="O278" s="11" t="s">
        <v>51</v>
      </c>
    </row>
    <row r="279">
      <c r="A279" s="10" t="s">
        <v>886</v>
      </c>
      <c r="B279" s="11">
        <v>76.0</v>
      </c>
      <c r="C279" s="11" t="s">
        <v>17</v>
      </c>
      <c r="D279" s="11" t="s">
        <v>18</v>
      </c>
      <c r="E279" s="11" t="s">
        <v>60</v>
      </c>
      <c r="F279" s="12">
        <v>44915.0</v>
      </c>
      <c r="G279" s="11" t="s">
        <v>887</v>
      </c>
      <c r="H279" s="11" t="s">
        <v>888</v>
      </c>
      <c r="I279" s="11" t="s">
        <v>63</v>
      </c>
      <c r="J279" s="11">
        <v>27361.2496848068</v>
      </c>
      <c r="K279" s="11">
        <v>231.0</v>
      </c>
      <c r="L279" s="11" t="s">
        <v>33</v>
      </c>
      <c r="M279" s="12">
        <v>44928.0</v>
      </c>
      <c r="N279" s="11" t="s">
        <v>24</v>
      </c>
      <c r="O279" s="11" t="s">
        <v>25</v>
      </c>
    </row>
    <row r="280">
      <c r="A280" s="10" t="s">
        <v>889</v>
      </c>
      <c r="B280" s="11">
        <v>37.0</v>
      </c>
      <c r="C280" s="11" t="s">
        <v>38</v>
      </c>
      <c r="D280" s="11" t="s">
        <v>28</v>
      </c>
      <c r="E280" s="11" t="s">
        <v>29</v>
      </c>
      <c r="F280" s="12">
        <v>44418.0</v>
      </c>
      <c r="G280" s="11" t="s">
        <v>890</v>
      </c>
      <c r="H280" s="11" t="s">
        <v>891</v>
      </c>
      <c r="I280" s="11" t="s">
        <v>63</v>
      </c>
      <c r="J280" s="11">
        <v>39265.6460545451</v>
      </c>
      <c r="K280" s="11">
        <v>350.0</v>
      </c>
      <c r="L280" s="11" t="s">
        <v>50</v>
      </c>
      <c r="M280" s="12">
        <v>44442.0</v>
      </c>
      <c r="N280" s="11" t="s">
        <v>34</v>
      </c>
      <c r="O280" s="11" t="s">
        <v>25</v>
      </c>
    </row>
    <row r="281">
      <c r="A281" s="10" t="s">
        <v>892</v>
      </c>
      <c r="B281" s="11">
        <v>62.0</v>
      </c>
      <c r="C281" s="11" t="s">
        <v>17</v>
      </c>
      <c r="D281" s="11" t="s">
        <v>141</v>
      </c>
      <c r="E281" s="11" t="s">
        <v>109</v>
      </c>
      <c r="F281" s="12">
        <v>44158.0</v>
      </c>
      <c r="G281" s="11" t="s">
        <v>893</v>
      </c>
      <c r="H281" s="11" t="s">
        <v>894</v>
      </c>
      <c r="I281" s="11" t="s">
        <v>42</v>
      </c>
      <c r="J281" s="11">
        <v>32868.0827709227</v>
      </c>
      <c r="K281" s="11">
        <v>114.0</v>
      </c>
      <c r="L281" s="11" t="s">
        <v>33</v>
      </c>
      <c r="M281" s="12">
        <v>44163.0</v>
      </c>
      <c r="N281" s="11" t="s">
        <v>24</v>
      </c>
      <c r="O281" s="11" t="s">
        <v>35</v>
      </c>
    </row>
    <row r="282">
      <c r="A282" s="10" t="s">
        <v>895</v>
      </c>
      <c r="B282" s="11">
        <v>80.0</v>
      </c>
      <c r="C282" s="11" t="s">
        <v>17</v>
      </c>
      <c r="D282" s="11" t="s">
        <v>39</v>
      </c>
      <c r="E282" s="11" t="s">
        <v>60</v>
      </c>
      <c r="F282" s="12">
        <v>43871.0</v>
      </c>
      <c r="G282" s="11" t="s">
        <v>896</v>
      </c>
      <c r="H282" s="11" t="s">
        <v>897</v>
      </c>
      <c r="I282" s="11" t="s">
        <v>22</v>
      </c>
      <c r="J282" s="11">
        <v>22032.3895867422</v>
      </c>
      <c r="K282" s="11">
        <v>262.0</v>
      </c>
      <c r="L282" s="11" t="s">
        <v>33</v>
      </c>
      <c r="M282" s="12">
        <v>43890.0</v>
      </c>
      <c r="N282" s="11" t="s">
        <v>34</v>
      </c>
      <c r="O282" s="11" t="s">
        <v>25</v>
      </c>
    </row>
    <row r="283">
      <c r="A283" s="10" t="s">
        <v>898</v>
      </c>
      <c r="B283" s="11">
        <v>49.0</v>
      </c>
      <c r="C283" s="11" t="s">
        <v>38</v>
      </c>
      <c r="D283" s="11" t="s">
        <v>28</v>
      </c>
      <c r="E283" s="11" t="s">
        <v>47</v>
      </c>
      <c r="F283" s="12">
        <v>43620.0</v>
      </c>
      <c r="G283" s="11" t="s">
        <v>899</v>
      </c>
      <c r="H283" s="11" t="s">
        <v>900</v>
      </c>
      <c r="I283" s="11" t="s">
        <v>22</v>
      </c>
      <c r="J283" s="11">
        <v>43165.6940860102</v>
      </c>
      <c r="K283" s="11">
        <v>428.0</v>
      </c>
      <c r="L283" s="11" t="s">
        <v>50</v>
      </c>
      <c r="M283" s="12">
        <v>43633.0</v>
      </c>
      <c r="N283" s="11" t="s">
        <v>34</v>
      </c>
      <c r="O283" s="11" t="s">
        <v>51</v>
      </c>
    </row>
    <row r="284">
      <c r="A284" s="10" t="s">
        <v>901</v>
      </c>
      <c r="B284" s="11">
        <v>66.0</v>
      </c>
      <c r="C284" s="11" t="s">
        <v>38</v>
      </c>
      <c r="D284" s="11" t="s">
        <v>46</v>
      </c>
      <c r="E284" s="11" t="s">
        <v>29</v>
      </c>
      <c r="F284" s="12">
        <v>45193.0</v>
      </c>
      <c r="G284" s="11" t="s">
        <v>902</v>
      </c>
      <c r="H284" s="11" t="s">
        <v>903</v>
      </c>
      <c r="I284" s="11" t="s">
        <v>22</v>
      </c>
      <c r="J284" s="11">
        <v>1870.60843977259</v>
      </c>
      <c r="K284" s="11">
        <v>234.0</v>
      </c>
      <c r="L284" s="11" t="s">
        <v>33</v>
      </c>
      <c r="M284" s="12">
        <v>45210.0</v>
      </c>
      <c r="N284" s="11" t="s">
        <v>57</v>
      </c>
      <c r="O284" s="11" t="s">
        <v>35</v>
      </c>
    </row>
    <row r="285">
      <c r="A285" s="10" t="s">
        <v>904</v>
      </c>
      <c r="B285" s="11">
        <v>50.0</v>
      </c>
      <c r="C285" s="11" t="s">
        <v>17</v>
      </c>
      <c r="D285" s="11" t="s">
        <v>18</v>
      </c>
      <c r="E285" s="11" t="s">
        <v>47</v>
      </c>
      <c r="F285" s="12">
        <v>44424.0</v>
      </c>
      <c r="G285" s="11" t="s">
        <v>905</v>
      </c>
      <c r="H285" s="11" t="s">
        <v>906</v>
      </c>
      <c r="I285" s="11" t="s">
        <v>22</v>
      </c>
      <c r="J285" s="11">
        <v>50254.2018311622</v>
      </c>
      <c r="K285" s="11">
        <v>210.0</v>
      </c>
      <c r="L285" s="11" t="s">
        <v>50</v>
      </c>
      <c r="M285" s="12">
        <v>44428.0</v>
      </c>
      <c r="N285" s="11" t="s">
        <v>43</v>
      </c>
      <c r="O285" s="11" t="s">
        <v>35</v>
      </c>
    </row>
    <row r="286">
      <c r="A286" s="10" t="s">
        <v>907</v>
      </c>
      <c r="B286" s="11">
        <v>39.0</v>
      </c>
      <c r="C286" s="11" t="s">
        <v>17</v>
      </c>
      <c r="D286" s="11" t="s">
        <v>66</v>
      </c>
      <c r="E286" s="11" t="s">
        <v>109</v>
      </c>
      <c r="F286" s="12">
        <v>44018.0</v>
      </c>
      <c r="G286" s="11" t="s">
        <v>908</v>
      </c>
      <c r="H286" s="11" t="s">
        <v>909</v>
      </c>
      <c r="I286" s="11" t="s">
        <v>42</v>
      </c>
      <c r="J286" s="11">
        <v>23159.6630336393</v>
      </c>
      <c r="K286" s="11">
        <v>333.0</v>
      </c>
      <c r="L286" s="11" t="s">
        <v>50</v>
      </c>
      <c r="M286" s="12">
        <v>44034.0</v>
      </c>
      <c r="N286" s="11" t="s">
        <v>57</v>
      </c>
      <c r="O286" s="11" t="s">
        <v>35</v>
      </c>
    </row>
    <row r="287">
      <c r="A287" s="10" t="s">
        <v>910</v>
      </c>
      <c r="B287" s="11">
        <v>31.0</v>
      </c>
      <c r="C287" s="11" t="s">
        <v>38</v>
      </c>
      <c r="D287" s="11" t="s">
        <v>18</v>
      </c>
      <c r="E287" s="11" t="s">
        <v>47</v>
      </c>
      <c r="F287" s="12">
        <v>44902.0</v>
      </c>
      <c r="G287" s="11" t="s">
        <v>911</v>
      </c>
      <c r="H287" s="11" t="s">
        <v>912</v>
      </c>
      <c r="I287" s="11" t="s">
        <v>42</v>
      </c>
      <c r="J287" s="11">
        <v>11469.390589717</v>
      </c>
      <c r="K287" s="11">
        <v>391.0</v>
      </c>
      <c r="L287" s="11" t="s">
        <v>50</v>
      </c>
      <c r="M287" s="12">
        <v>44924.0</v>
      </c>
      <c r="N287" s="11" t="s">
        <v>24</v>
      </c>
      <c r="O287" s="11" t="s">
        <v>51</v>
      </c>
    </row>
    <row r="288">
      <c r="A288" s="10" t="s">
        <v>913</v>
      </c>
      <c r="B288" s="11">
        <v>84.0</v>
      </c>
      <c r="C288" s="11" t="s">
        <v>17</v>
      </c>
      <c r="D288" s="11" t="s">
        <v>66</v>
      </c>
      <c r="E288" s="11" t="s">
        <v>19</v>
      </c>
      <c r="F288" s="12">
        <v>45289.0</v>
      </c>
      <c r="G288" s="11" t="s">
        <v>914</v>
      </c>
      <c r="H288" s="11" t="s">
        <v>915</v>
      </c>
      <c r="I288" s="11" t="s">
        <v>42</v>
      </c>
      <c r="J288" s="11">
        <v>35435.1701526956</v>
      </c>
      <c r="K288" s="11">
        <v>458.0</v>
      </c>
      <c r="L288" s="11" t="s">
        <v>50</v>
      </c>
      <c r="M288" s="12">
        <v>45307.0</v>
      </c>
      <c r="N288" s="11" t="s">
        <v>34</v>
      </c>
      <c r="O288" s="11" t="s">
        <v>51</v>
      </c>
    </row>
    <row r="289">
      <c r="A289" s="10" t="s">
        <v>916</v>
      </c>
      <c r="B289" s="11">
        <v>71.0</v>
      </c>
      <c r="C289" s="11" t="s">
        <v>17</v>
      </c>
      <c r="D289" s="11" t="s">
        <v>141</v>
      </c>
      <c r="E289" s="11" t="s">
        <v>19</v>
      </c>
      <c r="F289" s="12">
        <v>44973.0</v>
      </c>
      <c r="G289" s="11" t="s">
        <v>917</v>
      </c>
      <c r="H289" s="11" t="s">
        <v>918</v>
      </c>
      <c r="I289" s="11" t="s">
        <v>63</v>
      </c>
      <c r="J289" s="11">
        <v>26139.7859488467</v>
      </c>
      <c r="K289" s="11">
        <v>195.0</v>
      </c>
      <c r="L289" s="11" t="s">
        <v>23</v>
      </c>
      <c r="M289" s="12">
        <v>44982.0</v>
      </c>
      <c r="N289" s="11" t="s">
        <v>24</v>
      </c>
      <c r="O289" s="11" t="s">
        <v>51</v>
      </c>
    </row>
    <row r="290">
      <c r="A290" s="10" t="s">
        <v>919</v>
      </c>
      <c r="B290" s="11">
        <v>79.0</v>
      </c>
      <c r="C290" s="11" t="s">
        <v>17</v>
      </c>
      <c r="D290" s="11" t="s">
        <v>119</v>
      </c>
      <c r="E290" s="11" t="s">
        <v>19</v>
      </c>
      <c r="F290" s="12">
        <v>44693.0</v>
      </c>
      <c r="G290" s="11" t="s">
        <v>920</v>
      </c>
      <c r="H290" s="11" t="s">
        <v>921</v>
      </c>
      <c r="I290" s="11" t="s">
        <v>63</v>
      </c>
      <c r="J290" s="11">
        <v>21296.5187269638</v>
      </c>
      <c r="K290" s="11">
        <v>214.0</v>
      </c>
      <c r="L290" s="11" t="s">
        <v>33</v>
      </c>
      <c r="M290" s="12">
        <v>44697.0</v>
      </c>
      <c r="N290" s="11" t="s">
        <v>24</v>
      </c>
      <c r="O290" s="11" t="s">
        <v>51</v>
      </c>
    </row>
    <row r="291">
      <c r="A291" s="10" t="s">
        <v>922</v>
      </c>
      <c r="B291" s="11">
        <v>56.0</v>
      </c>
      <c r="C291" s="11" t="s">
        <v>17</v>
      </c>
      <c r="D291" s="11" t="s">
        <v>46</v>
      </c>
      <c r="E291" s="11" t="s">
        <v>109</v>
      </c>
      <c r="F291" s="12">
        <v>45189.0</v>
      </c>
      <c r="G291" s="11" t="s">
        <v>208</v>
      </c>
      <c r="H291" s="11" t="s">
        <v>923</v>
      </c>
      <c r="I291" s="11" t="s">
        <v>63</v>
      </c>
      <c r="J291" s="11">
        <v>8421.91538451632</v>
      </c>
      <c r="K291" s="11">
        <v>409.0</v>
      </c>
      <c r="L291" s="11" t="s">
        <v>33</v>
      </c>
      <c r="M291" s="12">
        <v>45194.0</v>
      </c>
      <c r="N291" s="11" t="s">
        <v>24</v>
      </c>
      <c r="O291" s="11" t="s">
        <v>35</v>
      </c>
    </row>
    <row r="292">
      <c r="A292" s="10" t="s">
        <v>924</v>
      </c>
      <c r="B292" s="11">
        <v>36.0</v>
      </c>
      <c r="C292" s="11" t="s">
        <v>17</v>
      </c>
      <c r="D292" s="11" t="s">
        <v>141</v>
      </c>
      <c r="E292" s="11" t="s">
        <v>29</v>
      </c>
      <c r="F292" s="12">
        <v>43841.0</v>
      </c>
      <c r="G292" s="11" t="s">
        <v>925</v>
      </c>
      <c r="H292" s="11" t="s">
        <v>926</v>
      </c>
      <c r="I292" s="11" t="s">
        <v>73</v>
      </c>
      <c r="J292" s="11">
        <v>23892.5526692264</v>
      </c>
      <c r="K292" s="11">
        <v>268.0</v>
      </c>
      <c r="L292" s="11" t="s">
        <v>33</v>
      </c>
      <c r="M292" s="12">
        <v>43846.0</v>
      </c>
      <c r="N292" s="11" t="s">
        <v>43</v>
      </c>
      <c r="O292" s="11" t="s">
        <v>25</v>
      </c>
    </row>
    <row r="293">
      <c r="A293" s="10" t="s">
        <v>927</v>
      </c>
      <c r="B293" s="11">
        <v>38.0</v>
      </c>
      <c r="C293" s="11" t="s">
        <v>17</v>
      </c>
      <c r="D293" s="11" t="s">
        <v>141</v>
      </c>
      <c r="E293" s="11" t="s">
        <v>29</v>
      </c>
      <c r="F293" s="12">
        <v>44650.0</v>
      </c>
      <c r="G293" s="11" t="s">
        <v>928</v>
      </c>
      <c r="H293" s="11" t="s">
        <v>929</v>
      </c>
      <c r="I293" s="11" t="s">
        <v>22</v>
      </c>
      <c r="J293" s="11">
        <v>8171.46261471492</v>
      </c>
      <c r="K293" s="11">
        <v>279.0</v>
      </c>
      <c r="L293" s="11" t="s">
        <v>50</v>
      </c>
      <c r="M293" s="12">
        <v>44677.0</v>
      </c>
      <c r="N293" s="11" t="s">
        <v>34</v>
      </c>
      <c r="O293" s="11" t="s">
        <v>35</v>
      </c>
    </row>
    <row r="294">
      <c r="A294" s="10" t="s">
        <v>930</v>
      </c>
      <c r="B294" s="11">
        <v>21.0</v>
      </c>
      <c r="C294" s="11" t="s">
        <v>17</v>
      </c>
      <c r="D294" s="11" t="s">
        <v>54</v>
      </c>
      <c r="E294" s="11" t="s">
        <v>109</v>
      </c>
      <c r="F294" s="12">
        <v>43962.0</v>
      </c>
      <c r="G294" s="11" t="s">
        <v>931</v>
      </c>
      <c r="H294" s="11" t="s">
        <v>932</v>
      </c>
      <c r="I294" s="11" t="s">
        <v>63</v>
      </c>
      <c r="J294" s="11">
        <v>23457.3092865079</v>
      </c>
      <c r="K294" s="11">
        <v>322.0</v>
      </c>
      <c r="L294" s="11" t="s">
        <v>50</v>
      </c>
      <c r="M294" s="12">
        <v>43971.0</v>
      </c>
      <c r="N294" s="11" t="s">
        <v>91</v>
      </c>
      <c r="O294" s="11" t="s">
        <v>25</v>
      </c>
    </row>
    <row r="295">
      <c r="A295" s="10" t="s">
        <v>933</v>
      </c>
      <c r="B295" s="11">
        <v>55.0</v>
      </c>
      <c r="C295" s="11" t="s">
        <v>38</v>
      </c>
      <c r="D295" s="11" t="s">
        <v>46</v>
      </c>
      <c r="E295" s="11" t="s">
        <v>19</v>
      </c>
      <c r="F295" s="12">
        <v>44581.0</v>
      </c>
      <c r="G295" s="11" t="s">
        <v>934</v>
      </c>
      <c r="H295" s="11" t="s">
        <v>935</v>
      </c>
      <c r="I295" s="11" t="s">
        <v>73</v>
      </c>
      <c r="J295" s="11">
        <v>25787.4391437459</v>
      </c>
      <c r="K295" s="11">
        <v>205.0</v>
      </c>
      <c r="L295" s="11" t="s">
        <v>33</v>
      </c>
      <c r="M295" s="12">
        <v>44608.0</v>
      </c>
      <c r="N295" s="11" t="s">
        <v>24</v>
      </c>
      <c r="O295" s="11" t="s">
        <v>25</v>
      </c>
    </row>
    <row r="296">
      <c r="A296" s="10" t="s">
        <v>936</v>
      </c>
      <c r="B296" s="11">
        <v>79.0</v>
      </c>
      <c r="C296" s="11" t="s">
        <v>38</v>
      </c>
      <c r="D296" s="11" t="s">
        <v>39</v>
      </c>
      <c r="E296" s="11" t="s">
        <v>88</v>
      </c>
      <c r="F296" s="12">
        <v>43782.0</v>
      </c>
      <c r="G296" s="11" t="s">
        <v>937</v>
      </c>
      <c r="H296" s="11" t="s">
        <v>938</v>
      </c>
      <c r="I296" s="11" t="s">
        <v>22</v>
      </c>
      <c r="J296" s="11">
        <v>28525.5247676882</v>
      </c>
      <c r="K296" s="11">
        <v>243.0</v>
      </c>
      <c r="L296" s="11" t="s">
        <v>23</v>
      </c>
      <c r="M296" s="12">
        <v>43793.0</v>
      </c>
      <c r="N296" s="11" t="s">
        <v>43</v>
      </c>
      <c r="O296" s="11" t="s">
        <v>51</v>
      </c>
    </row>
    <row r="297">
      <c r="A297" s="10" t="s">
        <v>939</v>
      </c>
      <c r="B297" s="11">
        <v>55.0</v>
      </c>
      <c r="C297" s="11" t="s">
        <v>17</v>
      </c>
      <c r="D297" s="11" t="s">
        <v>66</v>
      </c>
      <c r="E297" s="11" t="s">
        <v>109</v>
      </c>
      <c r="F297" s="12">
        <v>44230.0</v>
      </c>
      <c r="G297" s="11" t="s">
        <v>940</v>
      </c>
      <c r="H297" s="11" t="s">
        <v>941</v>
      </c>
      <c r="I297" s="11" t="s">
        <v>63</v>
      </c>
      <c r="J297" s="11">
        <v>17182.8698118769</v>
      </c>
      <c r="K297" s="11">
        <v>408.0</v>
      </c>
      <c r="L297" s="11" t="s">
        <v>33</v>
      </c>
      <c r="M297" s="12">
        <v>44247.0</v>
      </c>
      <c r="N297" s="11" t="s">
        <v>91</v>
      </c>
      <c r="O297" s="11" t="s">
        <v>51</v>
      </c>
    </row>
    <row r="298">
      <c r="A298" s="10" t="s">
        <v>942</v>
      </c>
      <c r="B298" s="11">
        <v>24.0</v>
      </c>
      <c r="C298" s="11" t="s">
        <v>17</v>
      </c>
      <c r="D298" s="11" t="s">
        <v>54</v>
      </c>
      <c r="E298" s="11" t="s">
        <v>60</v>
      </c>
      <c r="F298" s="12">
        <v>44128.0</v>
      </c>
      <c r="G298" s="11" t="s">
        <v>943</v>
      </c>
      <c r="H298" s="11" t="s">
        <v>944</v>
      </c>
      <c r="I298" s="11" t="s">
        <v>73</v>
      </c>
      <c r="J298" s="11">
        <v>20980.3030648722</v>
      </c>
      <c r="K298" s="11">
        <v>106.0</v>
      </c>
      <c r="L298" s="11" t="s">
        <v>50</v>
      </c>
      <c r="M298" s="12">
        <v>44150.0</v>
      </c>
      <c r="N298" s="11" t="s">
        <v>43</v>
      </c>
      <c r="O298" s="11" t="s">
        <v>35</v>
      </c>
    </row>
    <row r="299">
      <c r="A299" s="10" t="s">
        <v>945</v>
      </c>
      <c r="B299" s="11">
        <v>39.0</v>
      </c>
      <c r="C299" s="11" t="s">
        <v>38</v>
      </c>
      <c r="D299" s="11" t="s">
        <v>46</v>
      </c>
      <c r="E299" s="11" t="s">
        <v>88</v>
      </c>
      <c r="F299" s="12">
        <v>44837.0</v>
      </c>
      <c r="G299" s="11" t="s">
        <v>946</v>
      </c>
      <c r="H299" s="11" t="s">
        <v>947</v>
      </c>
      <c r="I299" s="11" t="s">
        <v>32</v>
      </c>
      <c r="J299" s="11">
        <v>4243.20264383059</v>
      </c>
      <c r="K299" s="11">
        <v>138.0</v>
      </c>
      <c r="L299" s="11" t="s">
        <v>23</v>
      </c>
      <c r="M299" s="12">
        <v>44840.0</v>
      </c>
      <c r="N299" s="11" t="s">
        <v>34</v>
      </c>
      <c r="O299" s="11" t="s">
        <v>51</v>
      </c>
    </row>
    <row r="300">
      <c r="A300" s="10" t="s">
        <v>948</v>
      </c>
      <c r="B300" s="11">
        <v>63.0</v>
      </c>
      <c r="C300" s="11" t="s">
        <v>38</v>
      </c>
      <c r="D300" s="11" t="s">
        <v>119</v>
      </c>
      <c r="E300" s="11" t="s">
        <v>19</v>
      </c>
      <c r="F300" s="12">
        <v>45284.0</v>
      </c>
      <c r="G300" s="11" t="s">
        <v>949</v>
      </c>
      <c r="H300" s="11" t="s">
        <v>950</v>
      </c>
      <c r="I300" s="11" t="s">
        <v>73</v>
      </c>
      <c r="J300" s="11">
        <v>40137.7891714806</v>
      </c>
      <c r="K300" s="11">
        <v>467.0</v>
      </c>
      <c r="L300" s="11" t="s">
        <v>50</v>
      </c>
      <c r="M300" s="12">
        <v>45293.0</v>
      </c>
      <c r="N300" s="11" t="s">
        <v>34</v>
      </c>
      <c r="O300" s="11" t="s">
        <v>25</v>
      </c>
    </row>
    <row r="301">
      <c r="A301" s="10" t="s">
        <v>951</v>
      </c>
      <c r="B301" s="11">
        <v>26.0</v>
      </c>
      <c r="C301" s="11" t="s">
        <v>17</v>
      </c>
      <c r="D301" s="11" t="s">
        <v>66</v>
      </c>
      <c r="E301" s="11" t="s">
        <v>60</v>
      </c>
      <c r="F301" s="12">
        <v>45248.0</v>
      </c>
      <c r="G301" s="11" t="s">
        <v>952</v>
      </c>
      <c r="H301" s="11" t="s">
        <v>953</v>
      </c>
      <c r="I301" s="11" t="s">
        <v>32</v>
      </c>
      <c r="J301" s="11">
        <v>30676.441759527</v>
      </c>
      <c r="K301" s="11">
        <v>290.0</v>
      </c>
      <c r="L301" s="11" t="s">
        <v>50</v>
      </c>
      <c r="M301" s="12">
        <v>45256.0</v>
      </c>
      <c r="N301" s="11" t="s">
        <v>34</v>
      </c>
      <c r="O301" s="11" t="s">
        <v>25</v>
      </c>
    </row>
    <row r="302">
      <c r="A302" s="10" t="s">
        <v>954</v>
      </c>
      <c r="B302" s="11">
        <v>76.0</v>
      </c>
      <c r="C302" s="11" t="s">
        <v>38</v>
      </c>
      <c r="D302" s="11" t="s">
        <v>54</v>
      </c>
      <c r="E302" s="11" t="s">
        <v>88</v>
      </c>
      <c r="F302" s="12">
        <v>45363.0</v>
      </c>
      <c r="G302" s="11" t="s">
        <v>955</v>
      </c>
      <c r="H302" s="11" t="s">
        <v>956</v>
      </c>
      <c r="I302" s="11" t="s">
        <v>42</v>
      </c>
      <c r="J302" s="11">
        <v>45594.8890706359</v>
      </c>
      <c r="K302" s="11">
        <v>192.0</v>
      </c>
      <c r="L302" s="11" t="s">
        <v>23</v>
      </c>
      <c r="M302" s="12">
        <v>45391.0</v>
      </c>
      <c r="N302" s="11" t="s">
        <v>24</v>
      </c>
      <c r="O302" s="11" t="s">
        <v>51</v>
      </c>
    </row>
    <row r="303">
      <c r="A303" s="10" t="s">
        <v>957</v>
      </c>
      <c r="B303" s="11">
        <v>69.0</v>
      </c>
      <c r="C303" s="11" t="s">
        <v>17</v>
      </c>
      <c r="D303" s="11" t="s">
        <v>28</v>
      </c>
      <c r="E303" s="11" t="s">
        <v>19</v>
      </c>
      <c r="F303" s="12">
        <v>45028.0</v>
      </c>
      <c r="G303" s="11" t="s">
        <v>958</v>
      </c>
      <c r="H303" s="11" t="s">
        <v>959</v>
      </c>
      <c r="I303" s="11" t="s">
        <v>32</v>
      </c>
      <c r="J303" s="11">
        <v>29076.629611154</v>
      </c>
      <c r="K303" s="11">
        <v>135.0</v>
      </c>
      <c r="L303" s="11" t="s">
        <v>23</v>
      </c>
      <c r="M303" s="12">
        <v>45053.0</v>
      </c>
      <c r="N303" s="11" t="s">
        <v>34</v>
      </c>
      <c r="O303" s="11" t="s">
        <v>51</v>
      </c>
    </row>
    <row r="304">
      <c r="A304" s="10" t="s">
        <v>960</v>
      </c>
      <c r="B304" s="11">
        <v>38.0</v>
      </c>
      <c r="C304" s="11" t="s">
        <v>38</v>
      </c>
      <c r="D304" s="11" t="s">
        <v>46</v>
      </c>
      <c r="E304" s="11" t="s">
        <v>29</v>
      </c>
      <c r="F304" s="12">
        <v>44363.0</v>
      </c>
      <c r="G304" s="11" t="s">
        <v>961</v>
      </c>
      <c r="H304" s="11" t="s">
        <v>962</v>
      </c>
      <c r="I304" s="11" t="s">
        <v>73</v>
      </c>
      <c r="J304" s="11">
        <v>5223.50208134405</v>
      </c>
      <c r="K304" s="11">
        <v>255.0</v>
      </c>
      <c r="L304" s="11" t="s">
        <v>33</v>
      </c>
      <c r="M304" s="12">
        <v>44388.0</v>
      </c>
      <c r="N304" s="11" t="s">
        <v>24</v>
      </c>
      <c r="O304" s="11" t="s">
        <v>51</v>
      </c>
    </row>
    <row r="305">
      <c r="A305" s="10" t="s">
        <v>963</v>
      </c>
      <c r="B305" s="11">
        <v>19.0</v>
      </c>
      <c r="C305" s="11" t="s">
        <v>17</v>
      </c>
      <c r="D305" s="11" t="s">
        <v>66</v>
      </c>
      <c r="E305" s="11" t="s">
        <v>88</v>
      </c>
      <c r="F305" s="12">
        <v>44524.0</v>
      </c>
      <c r="G305" s="11" t="s">
        <v>964</v>
      </c>
      <c r="H305" s="11" t="s">
        <v>965</v>
      </c>
      <c r="I305" s="11" t="s">
        <v>22</v>
      </c>
      <c r="J305" s="11">
        <v>41840.6580344238</v>
      </c>
      <c r="K305" s="11">
        <v>176.0</v>
      </c>
      <c r="L305" s="11" t="s">
        <v>50</v>
      </c>
      <c r="M305" s="12">
        <v>44543.0</v>
      </c>
      <c r="N305" s="11" t="s">
        <v>57</v>
      </c>
      <c r="O305" s="11" t="s">
        <v>51</v>
      </c>
    </row>
    <row r="306">
      <c r="A306" s="10" t="s">
        <v>966</v>
      </c>
      <c r="B306" s="11">
        <v>61.0</v>
      </c>
      <c r="C306" s="11" t="s">
        <v>17</v>
      </c>
      <c r="D306" s="11" t="s">
        <v>18</v>
      </c>
      <c r="E306" s="11" t="s">
        <v>29</v>
      </c>
      <c r="F306" s="12">
        <v>44018.0</v>
      </c>
      <c r="G306" s="11" t="s">
        <v>967</v>
      </c>
      <c r="H306" s="11" t="s">
        <v>968</v>
      </c>
      <c r="I306" s="11" t="s">
        <v>22</v>
      </c>
      <c r="J306" s="11">
        <v>26504.8659110347</v>
      </c>
      <c r="K306" s="11">
        <v>287.0</v>
      </c>
      <c r="L306" s="11" t="s">
        <v>33</v>
      </c>
      <c r="M306" s="12">
        <v>44034.0</v>
      </c>
      <c r="N306" s="11" t="s">
        <v>43</v>
      </c>
      <c r="O306" s="11" t="s">
        <v>25</v>
      </c>
    </row>
    <row r="307">
      <c r="A307" s="10" t="s">
        <v>969</v>
      </c>
      <c r="B307" s="11">
        <v>42.0</v>
      </c>
      <c r="C307" s="11" t="s">
        <v>38</v>
      </c>
      <c r="D307" s="11" t="s">
        <v>66</v>
      </c>
      <c r="E307" s="11" t="s">
        <v>109</v>
      </c>
      <c r="F307" s="12">
        <v>44738.0</v>
      </c>
      <c r="G307" s="11" t="s">
        <v>970</v>
      </c>
      <c r="H307" s="11" t="s">
        <v>971</v>
      </c>
      <c r="I307" s="11" t="s">
        <v>73</v>
      </c>
      <c r="J307" s="11">
        <v>7946.12911295769</v>
      </c>
      <c r="K307" s="11">
        <v>111.0</v>
      </c>
      <c r="L307" s="11" t="s">
        <v>50</v>
      </c>
      <c r="M307" s="12">
        <v>44743.0</v>
      </c>
      <c r="N307" s="11" t="s">
        <v>34</v>
      </c>
      <c r="O307" s="11" t="s">
        <v>35</v>
      </c>
    </row>
    <row r="308">
      <c r="A308" s="10" t="s">
        <v>972</v>
      </c>
      <c r="B308" s="11">
        <v>57.0</v>
      </c>
      <c r="C308" s="11" t="s">
        <v>17</v>
      </c>
      <c r="D308" s="11" t="s">
        <v>66</v>
      </c>
      <c r="E308" s="11" t="s">
        <v>47</v>
      </c>
      <c r="F308" s="12">
        <v>44033.0</v>
      </c>
      <c r="G308" s="11" t="s">
        <v>973</v>
      </c>
      <c r="H308" s="11" t="s">
        <v>974</v>
      </c>
      <c r="I308" s="11" t="s">
        <v>73</v>
      </c>
      <c r="J308" s="11">
        <v>18689.138447934</v>
      </c>
      <c r="K308" s="11">
        <v>133.0</v>
      </c>
      <c r="L308" s="11" t="s">
        <v>23</v>
      </c>
      <c r="M308" s="12">
        <v>44043.0</v>
      </c>
      <c r="N308" s="11" t="s">
        <v>91</v>
      </c>
      <c r="O308" s="11" t="s">
        <v>25</v>
      </c>
    </row>
    <row r="309">
      <c r="A309" s="10" t="s">
        <v>975</v>
      </c>
      <c r="B309" s="11">
        <v>36.0</v>
      </c>
      <c r="C309" s="11" t="s">
        <v>38</v>
      </c>
      <c r="D309" s="11" t="s">
        <v>39</v>
      </c>
      <c r="E309" s="11" t="s">
        <v>109</v>
      </c>
      <c r="F309" s="12">
        <v>43773.0</v>
      </c>
      <c r="G309" s="11" t="s">
        <v>976</v>
      </c>
      <c r="H309" s="11" t="s">
        <v>977</v>
      </c>
      <c r="I309" s="11" t="s">
        <v>22</v>
      </c>
      <c r="J309" s="11">
        <v>30051.9750727671</v>
      </c>
      <c r="K309" s="11">
        <v>482.0</v>
      </c>
      <c r="L309" s="11" t="s">
        <v>23</v>
      </c>
      <c r="M309" s="12">
        <v>43802.0</v>
      </c>
      <c r="N309" s="11" t="s">
        <v>34</v>
      </c>
      <c r="O309" s="11" t="s">
        <v>51</v>
      </c>
    </row>
    <row r="310">
      <c r="A310" s="10" t="s">
        <v>978</v>
      </c>
      <c r="B310" s="11">
        <v>68.0</v>
      </c>
      <c r="C310" s="11" t="s">
        <v>38</v>
      </c>
      <c r="D310" s="11" t="s">
        <v>54</v>
      </c>
      <c r="E310" s="11" t="s">
        <v>88</v>
      </c>
      <c r="F310" s="12">
        <v>44501.0</v>
      </c>
      <c r="G310" s="11" t="s">
        <v>979</v>
      </c>
      <c r="H310" s="11" t="s">
        <v>980</v>
      </c>
      <c r="I310" s="11" t="s">
        <v>32</v>
      </c>
      <c r="J310" s="11">
        <v>22913.5542530079</v>
      </c>
      <c r="K310" s="11">
        <v>124.0</v>
      </c>
      <c r="L310" s="11" t="s">
        <v>23</v>
      </c>
      <c r="M310" s="12">
        <v>44503.0</v>
      </c>
      <c r="N310" s="11" t="s">
        <v>24</v>
      </c>
      <c r="O310" s="11" t="s">
        <v>25</v>
      </c>
    </row>
    <row r="311">
      <c r="A311" s="10" t="s">
        <v>981</v>
      </c>
      <c r="B311" s="11">
        <v>25.0</v>
      </c>
      <c r="C311" s="11" t="s">
        <v>38</v>
      </c>
      <c r="D311" s="11" t="s">
        <v>119</v>
      </c>
      <c r="E311" s="11" t="s">
        <v>29</v>
      </c>
      <c r="F311" s="12">
        <v>43786.0</v>
      </c>
      <c r="G311" s="11" t="s">
        <v>982</v>
      </c>
      <c r="H311" s="11" t="s">
        <v>983</v>
      </c>
      <c r="I311" s="11" t="s">
        <v>63</v>
      </c>
      <c r="J311" s="11">
        <v>36238.5768493333</v>
      </c>
      <c r="K311" s="11">
        <v>131.0</v>
      </c>
      <c r="L311" s="11" t="s">
        <v>50</v>
      </c>
      <c r="M311" s="12">
        <v>43799.0</v>
      </c>
      <c r="N311" s="11" t="s">
        <v>34</v>
      </c>
      <c r="O311" s="11" t="s">
        <v>35</v>
      </c>
    </row>
    <row r="312">
      <c r="A312" s="10" t="s">
        <v>984</v>
      </c>
      <c r="B312" s="11">
        <v>37.0</v>
      </c>
      <c r="C312" s="11" t="s">
        <v>38</v>
      </c>
      <c r="D312" s="11" t="s">
        <v>119</v>
      </c>
      <c r="E312" s="11" t="s">
        <v>29</v>
      </c>
      <c r="F312" s="12">
        <v>44914.0</v>
      </c>
      <c r="G312" s="11" t="s">
        <v>985</v>
      </c>
      <c r="H312" s="11" t="s">
        <v>986</v>
      </c>
      <c r="I312" s="11" t="s">
        <v>32</v>
      </c>
      <c r="J312" s="11">
        <v>25217.4561843394</v>
      </c>
      <c r="K312" s="11">
        <v>352.0</v>
      </c>
      <c r="L312" s="11" t="s">
        <v>23</v>
      </c>
      <c r="M312" s="12">
        <v>44932.0</v>
      </c>
      <c r="N312" s="11" t="s">
        <v>43</v>
      </c>
      <c r="O312" s="11" t="s">
        <v>25</v>
      </c>
    </row>
    <row r="313">
      <c r="A313" s="10" t="s">
        <v>987</v>
      </c>
      <c r="B313" s="11">
        <v>68.0</v>
      </c>
      <c r="C313" s="11" t="s">
        <v>17</v>
      </c>
      <c r="D313" s="11" t="s">
        <v>28</v>
      </c>
      <c r="E313" s="11" t="s">
        <v>60</v>
      </c>
      <c r="F313" s="12">
        <v>44110.0</v>
      </c>
      <c r="G313" s="11" t="s">
        <v>988</v>
      </c>
      <c r="H313" s="11" t="s">
        <v>989</v>
      </c>
      <c r="I313" s="11" t="s">
        <v>42</v>
      </c>
      <c r="J313" s="11">
        <v>41548.408314477</v>
      </c>
      <c r="K313" s="11">
        <v>124.0</v>
      </c>
      <c r="L313" s="11" t="s">
        <v>23</v>
      </c>
      <c r="M313" s="12">
        <v>44124.0</v>
      </c>
      <c r="N313" s="11" t="s">
        <v>43</v>
      </c>
      <c r="O313" s="11" t="s">
        <v>25</v>
      </c>
    </row>
    <row r="314">
      <c r="A314" s="10" t="s">
        <v>990</v>
      </c>
      <c r="B314" s="11">
        <v>81.0</v>
      </c>
      <c r="C314" s="11" t="s">
        <v>38</v>
      </c>
      <c r="D314" s="11" t="s">
        <v>66</v>
      </c>
      <c r="E314" s="11" t="s">
        <v>109</v>
      </c>
      <c r="F314" s="12">
        <v>44577.0</v>
      </c>
      <c r="G314" s="11" t="s">
        <v>991</v>
      </c>
      <c r="H314" s="11" t="s">
        <v>992</v>
      </c>
      <c r="I314" s="11" t="s">
        <v>42</v>
      </c>
      <c r="J314" s="11">
        <v>7562.39437964212</v>
      </c>
      <c r="K314" s="11">
        <v>471.0</v>
      </c>
      <c r="L314" s="11" t="s">
        <v>50</v>
      </c>
      <c r="M314" s="12">
        <v>44583.0</v>
      </c>
      <c r="N314" s="11" t="s">
        <v>34</v>
      </c>
      <c r="O314" s="11" t="s">
        <v>51</v>
      </c>
    </row>
    <row r="315">
      <c r="A315" s="10" t="s">
        <v>993</v>
      </c>
      <c r="B315" s="11">
        <v>74.0</v>
      </c>
      <c r="C315" s="11" t="s">
        <v>38</v>
      </c>
      <c r="D315" s="11" t="s">
        <v>28</v>
      </c>
      <c r="E315" s="11" t="s">
        <v>60</v>
      </c>
      <c r="F315" s="12">
        <v>45113.0</v>
      </c>
      <c r="G315" s="11" t="s">
        <v>994</v>
      </c>
      <c r="H315" s="11" t="s">
        <v>995</v>
      </c>
      <c r="I315" s="11" t="s">
        <v>63</v>
      </c>
      <c r="J315" s="11">
        <v>386.054054691336</v>
      </c>
      <c r="K315" s="11">
        <v>165.0</v>
      </c>
      <c r="L315" s="11" t="s">
        <v>50</v>
      </c>
      <c r="M315" s="12">
        <v>45141.0</v>
      </c>
      <c r="N315" s="11" t="s">
        <v>43</v>
      </c>
      <c r="O315" s="11" t="s">
        <v>25</v>
      </c>
    </row>
    <row r="316">
      <c r="A316" s="10" t="s">
        <v>996</v>
      </c>
      <c r="B316" s="11">
        <v>75.0</v>
      </c>
      <c r="C316" s="11" t="s">
        <v>17</v>
      </c>
      <c r="D316" s="11" t="s">
        <v>46</v>
      </c>
      <c r="E316" s="11" t="s">
        <v>109</v>
      </c>
      <c r="F316" s="12">
        <v>44359.0</v>
      </c>
      <c r="G316" s="11" t="s">
        <v>997</v>
      </c>
      <c r="H316" s="11" t="s">
        <v>998</v>
      </c>
      <c r="I316" s="11" t="s">
        <v>73</v>
      </c>
      <c r="J316" s="11">
        <v>31491.6147107443</v>
      </c>
      <c r="K316" s="11">
        <v>347.0</v>
      </c>
      <c r="L316" s="11" t="s">
        <v>23</v>
      </c>
      <c r="M316" s="12">
        <v>44362.0</v>
      </c>
      <c r="N316" s="11" t="s">
        <v>34</v>
      </c>
      <c r="O316" s="11" t="s">
        <v>51</v>
      </c>
    </row>
    <row r="317">
      <c r="A317" s="10" t="s">
        <v>999</v>
      </c>
      <c r="B317" s="11">
        <v>74.0</v>
      </c>
      <c r="C317" s="11" t="s">
        <v>38</v>
      </c>
      <c r="D317" s="11" t="s">
        <v>54</v>
      </c>
      <c r="E317" s="11" t="s">
        <v>19</v>
      </c>
      <c r="F317" s="12">
        <v>43704.0</v>
      </c>
      <c r="G317" s="11" t="s">
        <v>1000</v>
      </c>
      <c r="H317" s="11" t="s">
        <v>1001</v>
      </c>
      <c r="I317" s="11" t="s">
        <v>63</v>
      </c>
      <c r="J317" s="11">
        <v>34224.3483445802</v>
      </c>
      <c r="K317" s="11">
        <v>228.0</v>
      </c>
      <c r="L317" s="11" t="s">
        <v>50</v>
      </c>
      <c r="M317" s="12">
        <v>43709.0</v>
      </c>
      <c r="N317" s="11" t="s">
        <v>91</v>
      </c>
      <c r="O317" s="11" t="s">
        <v>51</v>
      </c>
    </row>
    <row r="318">
      <c r="A318" s="10" t="s">
        <v>1002</v>
      </c>
      <c r="B318" s="11">
        <v>28.0</v>
      </c>
      <c r="C318" s="11" t="s">
        <v>38</v>
      </c>
      <c r="D318" s="11" t="s">
        <v>66</v>
      </c>
      <c r="E318" s="11" t="s">
        <v>47</v>
      </c>
      <c r="F318" s="12">
        <v>44698.0</v>
      </c>
      <c r="G318" s="11" t="s">
        <v>1003</v>
      </c>
      <c r="H318" s="11" t="s">
        <v>1004</v>
      </c>
      <c r="I318" s="11" t="s">
        <v>32</v>
      </c>
      <c r="J318" s="11">
        <v>23673.7217393301</v>
      </c>
      <c r="K318" s="11">
        <v>354.0</v>
      </c>
      <c r="L318" s="11" t="s">
        <v>23</v>
      </c>
      <c r="M318" s="12">
        <v>44724.0</v>
      </c>
      <c r="N318" s="11" t="s">
        <v>34</v>
      </c>
      <c r="O318" s="11" t="s">
        <v>51</v>
      </c>
    </row>
    <row r="319">
      <c r="A319" s="10" t="s">
        <v>1005</v>
      </c>
      <c r="B319" s="11">
        <v>35.0</v>
      </c>
      <c r="C319" s="11" t="s">
        <v>17</v>
      </c>
      <c r="D319" s="11" t="s">
        <v>54</v>
      </c>
      <c r="E319" s="11" t="s">
        <v>88</v>
      </c>
      <c r="F319" s="12">
        <v>44106.0</v>
      </c>
      <c r="G319" s="11" t="s">
        <v>1006</v>
      </c>
      <c r="H319" s="11" t="s">
        <v>1007</v>
      </c>
      <c r="I319" s="11" t="s">
        <v>63</v>
      </c>
      <c r="J319" s="11">
        <v>40301.9973092428</v>
      </c>
      <c r="K319" s="11">
        <v>250.0</v>
      </c>
      <c r="L319" s="11" t="s">
        <v>50</v>
      </c>
      <c r="M319" s="12">
        <v>44121.0</v>
      </c>
      <c r="N319" s="11" t="s">
        <v>34</v>
      </c>
      <c r="O319" s="11" t="s">
        <v>35</v>
      </c>
    </row>
    <row r="320">
      <c r="A320" s="10" t="s">
        <v>1008</v>
      </c>
      <c r="B320" s="11">
        <v>79.0</v>
      </c>
      <c r="C320" s="11" t="s">
        <v>38</v>
      </c>
      <c r="D320" s="11" t="s">
        <v>46</v>
      </c>
      <c r="E320" s="11" t="s">
        <v>60</v>
      </c>
      <c r="F320" s="12">
        <v>44428.0</v>
      </c>
      <c r="G320" s="11" t="s">
        <v>1009</v>
      </c>
      <c r="H320" s="11" t="s">
        <v>1010</v>
      </c>
      <c r="I320" s="11" t="s">
        <v>32</v>
      </c>
      <c r="J320" s="11">
        <v>37116.1638141008</v>
      </c>
      <c r="K320" s="11">
        <v>225.0</v>
      </c>
      <c r="L320" s="11" t="s">
        <v>50</v>
      </c>
      <c r="M320" s="12">
        <v>44455.0</v>
      </c>
      <c r="N320" s="11" t="s">
        <v>91</v>
      </c>
      <c r="O320" s="11" t="s">
        <v>51</v>
      </c>
    </row>
    <row r="321">
      <c r="A321" s="10" t="s">
        <v>1011</v>
      </c>
      <c r="B321" s="11">
        <v>59.0</v>
      </c>
      <c r="C321" s="11" t="s">
        <v>38</v>
      </c>
      <c r="D321" s="11" t="s">
        <v>141</v>
      </c>
      <c r="E321" s="11" t="s">
        <v>60</v>
      </c>
      <c r="F321" s="12">
        <v>43774.0</v>
      </c>
      <c r="G321" s="11" t="s">
        <v>1012</v>
      </c>
      <c r="H321" s="11" t="s">
        <v>1013</v>
      </c>
      <c r="I321" s="11" t="s">
        <v>42</v>
      </c>
      <c r="J321" s="11">
        <v>38606.9637968325</v>
      </c>
      <c r="K321" s="11">
        <v>357.0</v>
      </c>
      <c r="L321" s="11" t="s">
        <v>50</v>
      </c>
      <c r="M321" s="12">
        <v>43786.0</v>
      </c>
      <c r="N321" s="11" t="s">
        <v>43</v>
      </c>
      <c r="O321" s="11" t="s">
        <v>35</v>
      </c>
    </row>
    <row r="322">
      <c r="A322" s="10" t="s">
        <v>1014</v>
      </c>
      <c r="B322" s="11">
        <v>84.0</v>
      </c>
      <c r="C322" s="11" t="s">
        <v>38</v>
      </c>
      <c r="D322" s="11" t="s">
        <v>141</v>
      </c>
      <c r="E322" s="11" t="s">
        <v>109</v>
      </c>
      <c r="F322" s="12">
        <v>45328.0</v>
      </c>
      <c r="G322" s="11" t="s">
        <v>1015</v>
      </c>
      <c r="H322" s="11" t="s">
        <v>1016</v>
      </c>
      <c r="I322" s="11" t="s">
        <v>73</v>
      </c>
      <c r="J322" s="11">
        <v>17813.9305038873</v>
      </c>
      <c r="K322" s="11">
        <v>140.0</v>
      </c>
      <c r="L322" s="11" t="s">
        <v>33</v>
      </c>
      <c r="M322" s="12">
        <v>45350.0</v>
      </c>
      <c r="N322" s="11" t="s">
        <v>57</v>
      </c>
      <c r="O322" s="11" t="s">
        <v>35</v>
      </c>
    </row>
    <row r="323">
      <c r="A323" s="10" t="s">
        <v>1017</v>
      </c>
      <c r="B323" s="11">
        <v>36.0</v>
      </c>
      <c r="C323" s="11" t="s">
        <v>38</v>
      </c>
      <c r="D323" s="11" t="s">
        <v>141</v>
      </c>
      <c r="E323" s="11" t="s">
        <v>60</v>
      </c>
      <c r="F323" s="12">
        <v>45329.0</v>
      </c>
      <c r="G323" s="11" t="s">
        <v>1018</v>
      </c>
      <c r="H323" s="11" t="s">
        <v>1019</v>
      </c>
      <c r="I323" s="11" t="s">
        <v>42</v>
      </c>
      <c r="J323" s="11">
        <v>20773.0233188859</v>
      </c>
      <c r="K323" s="11">
        <v>352.0</v>
      </c>
      <c r="L323" s="11" t="s">
        <v>23</v>
      </c>
      <c r="M323" s="12">
        <v>45343.0</v>
      </c>
      <c r="N323" s="11" t="s">
        <v>34</v>
      </c>
      <c r="O323" s="11" t="s">
        <v>25</v>
      </c>
    </row>
    <row r="324">
      <c r="A324" s="10" t="s">
        <v>1020</v>
      </c>
      <c r="B324" s="11">
        <v>69.0</v>
      </c>
      <c r="C324" s="11" t="s">
        <v>17</v>
      </c>
      <c r="D324" s="11" t="s">
        <v>46</v>
      </c>
      <c r="E324" s="11" t="s">
        <v>109</v>
      </c>
      <c r="F324" s="12">
        <v>45099.0</v>
      </c>
      <c r="G324" s="11" t="s">
        <v>1021</v>
      </c>
      <c r="H324" s="11" t="s">
        <v>1022</v>
      </c>
      <c r="I324" s="11" t="s">
        <v>22</v>
      </c>
      <c r="J324" s="11">
        <v>9609.52230714936</v>
      </c>
      <c r="K324" s="11">
        <v>404.0</v>
      </c>
      <c r="L324" s="11" t="s">
        <v>23</v>
      </c>
      <c r="M324" s="12">
        <v>45118.0</v>
      </c>
      <c r="N324" s="11" t="s">
        <v>91</v>
      </c>
      <c r="O324" s="11" t="s">
        <v>25</v>
      </c>
    </row>
    <row r="325">
      <c r="A325" s="10" t="s">
        <v>1023</v>
      </c>
      <c r="B325" s="11">
        <v>54.0</v>
      </c>
      <c r="C325" s="11" t="s">
        <v>17</v>
      </c>
      <c r="D325" s="11" t="s">
        <v>39</v>
      </c>
      <c r="E325" s="11" t="s">
        <v>19</v>
      </c>
      <c r="F325" s="12">
        <v>44154.0</v>
      </c>
      <c r="G325" s="11" t="s">
        <v>1024</v>
      </c>
      <c r="H325" s="11" t="s">
        <v>1025</v>
      </c>
      <c r="I325" s="11" t="s">
        <v>22</v>
      </c>
      <c r="J325" s="11">
        <v>3771.23716557387</v>
      </c>
      <c r="K325" s="11">
        <v>426.0</v>
      </c>
      <c r="L325" s="11" t="s">
        <v>23</v>
      </c>
      <c r="M325" s="12">
        <v>44162.0</v>
      </c>
      <c r="N325" s="11" t="s">
        <v>57</v>
      </c>
      <c r="O325" s="11" t="s">
        <v>51</v>
      </c>
    </row>
    <row r="326">
      <c r="A326" s="10" t="s">
        <v>1026</v>
      </c>
      <c r="B326" s="11">
        <v>30.0</v>
      </c>
      <c r="C326" s="11" t="s">
        <v>38</v>
      </c>
      <c r="D326" s="11" t="s">
        <v>46</v>
      </c>
      <c r="E326" s="11" t="s">
        <v>60</v>
      </c>
      <c r="F326" s="12">
        <v>44524.0</v>
      </c>
      <c r="G326" s="11" t="s">
        <v>1027</v>
      </c>
      <c r="H326" s="11" t="s">
        <v>1028</v>
      </c>
      <c r="I326" s="11" t="s">
        <v>32</v>
      </c>
      <c r="J326" s="11">
        <v>51587.936816502</v>
      </c>
      <c r="K326" s="11">
        <v>236.0</v>
      </c>
      <c r="L326" s="11" t="s">
        <v>33</v>
      </c>
      <c r="M326" s="12">
        <v>44537.0</v>
      </c>
      <c r="N326" s="11" t="s">
        <v>34</v>
      </c>
      <c r="O326" s="11" t="s">
        <v>51</v>
      </c>
    </row>
    <row r="327">
      <c r="A327" s="10" t="s">
        <v>1029</v>
      </c>
      <c r="B327" s="11">
        <v>31.0</v>
      </c>
      <c r="C327" s="11" t="s">
        <v>17</v>
      </c>
      <c r="D327" s="11" t="s">
        <v>141</v>
      </c>
      <c r="E327" s="11" t="s">
        <v>19</v>
      </c>
      <c r="F327" s="12">
        <v>43672.0</v>
      </c>
      <c r="G327" s="11" t="s">
        <v>1030</v>
      </c>
      <c r="H327" s="11" t="s">
        <v>1031</v>
      </c>
      <c r="I327" s="11" t="s">
        <v>32</v>
      </c>
      <c r="J327" s="11">
        <v>28456.6985574468</v>
      </c>
      <c r="K327" s="11">
        <v>395.0</v>
      </c>
      <c r="L327" s="11" t="s">
        <v>50</v>
      </c>
      <c r="M327" s="12">
        <v>43675.0</v>
      </c>
      <c r="N327" s="11" t="s">
        <v>91</v>
      </c>
      <c r="O327" s="11" t="s">
        <v>35</v>
      </c>
    </row>
    <row r="328">
      <c r="A328" s="10" t="s">
        <v>1032</v>
      </c>
      <c r="B328" s="11">
        <v>81.0</v>
      </c>
      <c r="C328" s="11" t="s">
        <v>38</v>
      </c>
      <c r="D328" s="11" t="s">
        <v>54</v>
      </c>
      <c r="E328" s="11" t="s">
        <v>19</v>
      </c>
      <c r="F328" s="12">
        <v>44747.0</v>
      </c>
      <c r="G328" s="11" t="s">
        <v>1033</v>
      </c>
      <c r="H328" s="11" t="s">
        <v>1034</v>
      </c>
      <c r="I328" s="11" t="s">
        <v>73</v>
      </c>
      <c r="J328" s="11">
        <v>33870.1209049485</v>
      </c>
      <c r="K328" s="11">
        <v>194.0</v>
      </c>
      <c r="L328" s="11" t="s">
        <v>50</v>
      </c>
      <c r="M328" s="12">
        <v>44750.0</v>
      </c>
      <c r="N328" s="11" t="s">
        <v>34</v>
      </c>
      <c r="O328" s="11" t="s">
        <v>51</v>
      </c>
    </row>
    <row r="329">
      <c r="A329" s="10" t="s">
        <v>1035</v>
      </c>
      <c r="B329" s="11">
        <v>61.0</v>
      </c>
      <c r="C329" s="11" t="s">
        <v>38</v>
      </c>
      <c r="D329" s="11" t="s">
        <v>46</v>
      </c>
      <c r="E329" s="11" t="s">
        <v>47</v>
      </c>
      <c r="F329" s="12">
        <v>43706.0</v>
      </c>
      <c r="G329" s="11" t="s">
        <v>1036</v>
      </c>
      <c r="H329" s="11" t="s">
        <v>1037</v>
      </c>
      <c r="I329" s="11" t="s">
        <v>32</v>
      </c>
      <c r="J329" s="11">
        <v>2303.99842275666</v>
      </c>
      <c r="K329" s="11">
        <v>408.0</v>
      </c>
      <c r="L329" s="11" t="s">
        <v>50</v>
      </c>
      <c r="M329" s="12">
        <v>43715.0</v>
      </c>
      <c r="N329" s="11" t="s">
        <v>24</v>
      </c>
      <c r="O329" s="11" t="s">
        <v>25</v>
      </c>
    </row>
    <row r="330">
      <c r="A330" s="10" t="s">
        <v>1038</v>
      </c>
      <c r="B330" s="11">
        <v>52.0</v>
      </c>
      <c r="C330" s="11" t="s">
        <v>17</v>
      </c>
      <c r="D330" s="11" t="s">
        <v>119</v>
      </c>
      <c r="E330" s="11" t="s">
        <v>88</v>
      </c>
      <c r="F330" s="12">
        <v>45414.0</v>
      </c>
      <c r="G330" s="11" t="s">
        <v>1039</v>
      </c>
      <c r="H330" s="11" t="s">
        <v>1040</v>
      </c>
      <c r="I330" s="11" t="s">
        <v>42</v>
      </c>
      <c r="J330" s="11">
        <v>1878.00730181789</v>
      </c>
      <c r="K330" s="11">
        <v>188.0</v>
      </c>
      <c r="L330" s="11" t="s">
        <v>50</v>
      </c>
      <c r="M330" s="12">
        <v>45433.0</v>
      </c>
      <c r="N330" s="11" t="s">
        <v>24</v>
      </c>
      <c r="O330" s="11" t="s">
        <v>51</v>
      </c>
    </row>
    <row r="331">
      <c r="A331" s="10" t="s">
        <v>1041</v>
      </c>
      <c r="B331" s="11">
        <v>25.0</v>
      </c>
      <c r="C331" s="11" t="s">
        <v>17</v>
      </c>
      <c r="D331" s="11" t="s">
        <v>119</v>
      </c>
      <c r="E331" s="11" t="s">
        <v>60</v>
      </c>
      <c r="F331" s="12">
        <v>43977.0</v>
      </c>
      <c r="G331" s="11" t="s">
        <v>1042</v>
      </c>
      <c r="H331" s="11" t="s">
        <v>1043</v>
      </c>
      <c r="I331" s="11" t="s">
        <v>22</v>
      </c>
      <c r="J331" s="11">
        <v>19160.993728264</v>
      </c>
      <c r="K331" s="11">
        <v>361.0</v>
      </c>
      <c r="L331" s="11" t="s">
        <v>50</v>
      </c>
      <c r="M331" s="12">
        <v>43982.0</v>
      </c>
      <c r="N331" s="11" t="s">
        <v>57</v>
      </c>
      <c r="O331" s="11" t="s">
        <v>25</v>
      </c>
    </row>
    <row r="332">
      <c r="A332" s="10" t="s">
        <v>1044</v>
      </c>
      <c r="B332" s="11">
        <v>56.0</v>
      </c>
      <c r="C332" s="11" t="s">
        <v>17</v>
      </c>
      <c r="D332" s="11" t="s">
        <v>119</v>
      </c>
      <c r="E332" s="11" t="s">
        <v>19</v>
      </c>
      <c r="F332" s="12">
        <v>45371.0</v>
      </c>
      <c r="G332" s="11" t="s">
        <v>1045</v>
      </c>
      <c r="H332" s="11" t="s">
        <v>1046</v>
      </c>
      <c r="I332" s="11" t="s">
        <v>22</v>
      </c>
      <c r="J332" s="11">
        <v>5811.62985103773</v>
      </c>
      <c r="K332" s="11">
        <v>176.0</v>
      </c>
      <c r="L332" s="11" t="s">
        <v>23</v>
      </c>
      <c r="M332" s="12">
        <v>45388.0</v>
      </c>
      <c r="N332" s="11" t="s">
        <v>24</v>
      </c>
      <c r="O332" s="11" t="s">
        <v>25</v>
      </c>
    </row>
    <row r="333">
      <c r="A333" s="10" t="s">
        <v>1047</v>
      </c>
      <c r="B333" s="11">
        <v>44.0</v>
      </c>
      <c r="C333" s="11" t="s">
        <v>17</v>
      </c>
      <c r="D333" s="11" t="s">
        <v>46</v>
      </c>
      <c r="E333" s="11" t="s">
        <v>47</v>
      </c>
      <c r="F333" s="12">
        <v>45378.0</v>
      </c>
      <c r="G333" s="11" t="s">
        <v>1048</v>
      </c>
      <c r="H333" s="11" t="s">
        <v>1049</v>
      </c>
      <c r="I333" s="11" t="s">
        <v>32</v>
      </c>
      <c r="J333" s="11">
        <v>22868.5303422015</v>
      </c>
      <c r="K333" s="11">
        <v>295.0</v>
      </c>
      <c r="L333" s="11" t="s">
        <v>50</v>
      </c>
      <c r="M333" s="12">
        <v>45390.0</v>
      </c>
      <c r="N333" s="11" t="s">
        <v>34</v>
      </c>
      <c r="O333" s="11" t="s">
        <v>51</v>
      </c>
    </row>
    <row r="334">
      <c r="A334" s="10" t="s">
        <v>1050</v>
      </c>
      <c r="B334" s="11">
        <v>30.0</v>
      </c>
      <c r="C334" s="11" t="s">
        <v>38</v>
      </c>
      <c r="D334" s="11" t="s">
        <v>46</v>
      </c>
      <c r="E334" s="11" t="s">
        <v>109</v>
      </c>
      <c r="F334" s="12">
        <v>44277.0</v>
      </c>
      <c r="G334" s="11" t="s">
        <v>1051</v>
      </c>
      <c r="H334" s="11" t="s">
        <v>1052</v>
      </c>
      <c r="I334" s="11" t="s">
        <v>22</v>
      </c>
      <c r="J334" s="11">
        <v>48281.911940192</v>
      </c>
      <c r="K334" s="11">
        <v>415.0</v>
      </c>
      <c r="L334" s="11" t="s">
        <v>23</v>
      </c>
      <c r="M334" s="12">
        <v>44280.0</v>
      </c>
      <c r="N334" s="11" t="s">
        <v>34</v>
      </c>
      <c r="O334" s="11" t="s">
        <v>51</v>
      </c>
    </row>
    <row r="335">
      <c r="A335" s="10" t="s">
        <v>1053</v>
      </c>
      <c r="B335" s="11">
        <v>82.0</v>
      </c>
      <c r="C335" s="11" t="s">
        <v>17</v>
      </c>
      <c r="D335" s="11" t="s">
        <v>141</v>
      </c>
      <c r="E335" s="11" t="s">
        <v>19</v>
      </c>
      <c r="F335" s="12">
        <v>44107.0</v>
      </c>
      <c r="G335" s="11" t="s">
        <v>1054</v>
      </c>
      <c r="H335" s="11" t="s">
        <v>1055</v>
      </c>
      <c r="I335" s="11" t="s">
        <v>32</v>
      </c>
      <c r="J335" s="11">
        <v>30562.5676252004</v>
      </c>
      <c r="K335" s="11">
        <v>185.0</v>
      </c>
      <c r="L335" s="11" t="s">
        <v>33</v>
      </c>
      <c r="M335" s="12">
        <v>44132.0</v>
      </c>
      <c r="N335" s="11" t="s">
        <v>24</v>
      </c>
      <c r="O335" s="11" t="s">
        <v>51</v>
      </c>
    </row>
    <row r="336">
      <c r="A336" s="10" t="s">
        <v>1056</v>
      </c>
      <c r="B336" s="11">
        <v>67.0</v>
      </c>
      <c r="C336" s="11" t="s">
        <v>17</v>
      </c>
      <c r="D336" s="11" t="s">
        <v>119</v>
      </c>
      <c r="E336" s="11" t="s">
        <v>29</v>
      </c>
      <c r="F336" s="12">
        <v>45063.0</v>
      </c>
      <c r="G336" s="11" t="s">
        <v>1057</v>
      </c>
      <c r="H336" s="11" t="s">
        <v>1058</v>
      </c>
      <c r="I336" s="11" t="s">
        <v>32</v>
      </c>
      <c r="J336" s="11">
        <v>24293.6330258266</v>
      </c>
      <c r="K336" s="11">
        <v>278.0</v>
      </c>
      <c r="L336" s="11" t="s">
        <v>33</v>
      </c>
      <c r="M336" s="12">
        <v>45077.0</v>
      </c>
      <c r="N336" s="11" t="s">
        <v>34</v>
      </c>
      <c r="O336" s="11" t="s">
        <v>25</v>
      </c>
    </row>
    <row r="337">
      <c r="A337" s="10" t="s">
        <v>1059</v>
      </c>
      <c r="B337" s="11">
        <v>41.0</v>
      </c>
      <c r="C337" s="11" t="s">
        <v>17</v>
      </c>
      <c r="D337" s="11" t="s">
        <v>28</v>
      </c>
      <c r="E337" s="11" t="s">
        <v>109</v>
      </c>
      <c r="F337" s="12">
        <v>44785.0</v>
      </c>
      <c r="G337" s="11" t="s">
        <v>1060</v>
      </c>
      <c r="H337" s="11" t="s">
        <v>1061</v>
      </c>
      <c r="I337" s="11" t="s">
        <v>42</v>
      </c>
      <c r="J337" s="11">
        <v>5878.77885332326</v>
      </c>
      <c r="K337" s="11">
        <v>358.0</v>
      </c>
      <c r="L337" s="11" t="s">
        <v>33</v>
      </c>
      <c r="M337" s="12">
        <v>44804.0</v>
      </c>
      <c r="N337" s="11" t="s">
        <v>34</v>
      </c>
      <c r="O337" s="11" t="s">
        <v>51</v>
      </c>
    </row>
    <row r="338">
      <c r="A338" s="10" t="s">
        <v>1062</v>
      </c>
      <c r="B338" s="11">
        <v>84.0</v>
      </c>
      <c r="C338" s="11" t="s">
        <v>17</v>
      </c>
      <c r="D338" s="11" t="s">
        <v>39</v>
      </c>
      <c r="E338" s="11" t="s">
        <v>109</v>
      </c>
      <c r="F338" s="12">
        <v>44002.0</v>
      </c>
      <c r="G338" s="11" t="s">
        <v>1063</v>
      </c>
      <c r="H338" s="11" t="s">
        <v>1064</v>
      </c>
      <c r="I338" s="11" t="s">
        <v>63</v>
      </c>
      <c r="J338" s="11">
        <v>28410.4387679273</v>
      </c>
      <c r="K338" s="11">
        <v>451.0</v>
      </c>
      <c r="L338" s="11" t="s">
        <v>23</v>
      </c>
      <c r="M338" s="12">
        <v>44004.0</v>
      </c>
      <c r="N338" s="11" t="s">
        <v>34</v>
      </c>
      <c r="O338" s="11" t="s">
        <v>51</v>
      </c>
    </row>
    <row r="339">
      <c r="A339" s="10" t="s">
        <v>1065</v>
      </c>
      <c r="B339" s="11">
        <v>85.0</v>
      </c>
      <c r="C339" s="11" t="s">
        <v>38</v>
      </c>
      <c r="D339" s="11" t="s">
        <v>54</v>
      </c>
      <c r="E339" s="11" t="s">
        <v>60</v>
      </c>
      <c r="F339" s="12">
        <v>45036.0</v>
      </c>
      <c r="G339" s="11" t="s">
        <v>1066</v>
      </c>
      <c r="H339" s="11" t="s">
        <v>1067</v>
      </c>
      <c r="I339" s="11" t="s">
        <v>32</v>
      </c>
      <c r="J339" s="11">
        <v>27414.0188047217</v>
      </c>
      <c r="K339" s="11">
        <v>390.0</v>
      </c>
      <c r="L339" s="11" t="s">
        <v>33</v>
      </c>
      <c r="M339" s="12">
        <v>45051.0</v>
      </c>
      <c r="N339" s="11" t="s">
        <v>34</v>
      </c>
      <c r="O339" s="11" t="s">
        <v>25</v>
      </c>
    </row>
    <row r="340">
      <c r="A340" s="10" t="s">
        <v>1068</v>
      </c>
      <c r="B340" s="11">
        <v>26.0</v>
      </c>
      <c r="C340" s="11" t="s">
        <v>38</v>
      </c>
      <c r="D340" s="11" t="s">
        <v>39</v>
      </c>
      <c r="E340" s="11" t="s">
        <v>88</v>
      </c>
      <c r="F340" s="12">
        <v>43766.0</v>
      </c>
      <c r="G340" s="11" t="s">
        <v>1069</v>
      </c>
      <c r="H340" s="11" t="s">
        <v>1070</v>
      </c>
      <c r="I340" s="11" t="s">
        <v>42</v>
      </c>
      <c r="J340" s="11">
        <v>5826.24402705413</v>
      </c>
      <c r="K340" s="11">
        <v>226.0</v>
      </c>
      <c r="L340" s="11" t="s">
        <v>33</v>
      </c>
      <c r="M340" s="12">
        <v>43790.0</v>
      </c>
      <c r="N340" s="11" t="s">
        <v>57</v>
      </c>
      <c r="O340" s="11" t="s">
        <v>51</v>
      </c>
    </row>
    <row r="341">
      <c r="A341" s="10" t="s">
        <v>1071</v>
      </c>
      <c r="B341" s="11">
        <v>49.0</v>
      </c>
      <c r="C341" s="11" t="s">
        <v>38</v>
      </c>
      <c r="D341" s="11" t="s">
        <v>46</v>
      </c>
      <c r="E341" s="11" t="s">
        <v>47</v>
      </c>
      <c r="F341" s="12">
        <v>44439.0</v>
      </c>
      <c r="G341" s="11" t="s">
        <v>1072</v>
      </c>
      <c r="H341" s="11" t="s">
        <v>1073</v>
      </c>
      <c r="I341" s="11" t="s">
        <v>73</v>
      </c>
      <c r="J341" s="11">
        <v>2133.73720227139</v>
      </c>
      <c r="K341" s="11">
        <v>189.0</v>
      </c>
      <c r="L341" s="11" t="s">
        <v>23</v>
      </c>
      <c r="M341" s="12">
        <v>44444.0</v>
      </c>
      <c r="N341" s="11" t="s">
        <v>34</v>
      </c>
      <c r="O341" s="11" t="s">
        <v>25</v>
      </c>
    </row>
    <row r="342">
      <c r="A342" s="10" t="s">
        <v>1074</v>
      </c>
      <c r="B342" s="11">
        <v>47.0</v>
      </c>
      <c r="C342" s="11" t="s">
        <v>38</v>
      </c>
      <c r="D342" s="11" t="s">
        <v>28</v>
      </c>
      <c r="E342" s="11" t="s">
        <v>88</v>
      </c>
      <c r="F342" s="12">
        <v>44391.0</v>
      </c>
      <c r="G342" s="11" t="s">
        <v>1075</v>
      </c>
      <c r="H342" s="11" t="s">
        <v>1076</v>
      </c>
      <c r="I342" s="11" t="s">
        <v>22</v>
      </c>
      <c r="J342" s="11">
        <v>34262.609469234</v>
      </c>
      <c r="K342" s="11">
        <v>112.0</v>
      </c>
      <c r="L342" s="11" t="s">
        <v>23</v>
      </c>
      <c r="M342" s="12">
        <v>44414.0</v>
      </c>
      <c r="N342" s="11" t="s">
        <v>57</v>
      </c>
      <c r="O342" s="11" t="s">
        <v>35</v>
      </c>
    </row>
    <row r="343">
      <c r="A343" s="10" t="s">
        <v>1077</v>
      </c>
      <c r="B343" s="11">
        <v>69.0</v>
      </c>
      <c r="C343" s="11" t="s">
        <v>17</v>
      </c>
      <c r="D343" s="11" t="s">
        <v>39</v>
      </c>
      <c r="E343" s="11" t="s">
        <v>47</v>
      </c>
      <c r="F343" s="12">
        <v>44582.0</v>
      </c>
      <c r="G343" s="11" t="s">
        <v>1078</v>
      </c>
      <c r="H343" s="11" t="s">
        <v>1079</v>
      </c>
      <c r="I343" s="11" t="s">
        <v>42</v>
      </c>
      <c r="J343" s="11">
        <v>44897.0490148505</v>
      </c>
      <c r="K343" s="11">
        <v>283.0</v>
      </c>
      <c r="L343" s="11" t="s">
        <v>50</v>
      </c>
      <c r="M343" s="12">
        <v>44594.0</v>
      </c>
      <c r="N343" s="11" t="s">
        <v>24</v>
      </c>
      <c r="O343" s="11" t="s">
        <v>25</v>
      </c>
    </row>
    <row r="344">
      <c r="A344" s="10" t="s">
        <v>1080</v>
      </c>
      <c r="B344" s="11">
        <v>78.0</v>
      </c>
      <c r="C344" s="11" t="s">
        <v>38</v>
      </c>
      <c r="D344" s="11" t="s">
        <v>46</v>
      </c>
      <c r="E344" s="11" t="s">
        <v>60</v>
      </c>
      <c r="F344" s="12">
        <v>43724.0</v>
      </c>
      <c r="G344" s="11" t="s">
        <v>1081</v>
      </c>
      <c r="H344" s="11" t="s">
        <v>1082</v>
      </c>
      <c r="I344" s="11" t="s">
        <v>73</v>
      </c>
      <c r="J344" s="11">
        <v>22230.1227639829</v>
      </c>
      <c r="K344" s="11">
        <v>439.0</v>
      </c>
      <c r="L344" s="11" t="s">
        <v>23</v>
      </c>
      <c r="M344" s="12">
        <v>43754.0</v>
      </c>
      <c r="N344" s="11" t="s">
        <v>57</v>
      </c>
      <c r="O344" s="11" t="s">
        <v>25</v>
      </c>
    </row>
    <row r="345">
      <c r="A345" s="10" t="s">
        <v>1083</v>
      </c>
      <c r="B345" s="11">
        <v>29.0</v>
      </c>
      <c r="C345" s="11" t="s">
        <v>17</v>
      </c>
      <c r="D345" s="11" t="s">
        <v>54</v>
      </c>
      <c r="E345" s="11" t="s">
        <v>47</v>
      </c>
      <c r="F345" s="12">
        <v>44946.0</v>
      </c>
      <c r="G345" s="11" t="s">
        <v>1084</v>
      </c>
      <c r="H345" s="11" t="s">
        <v>1085</v>
      </c>
      <c r="I345" s="11" t="s">
        <v>73</v>
      </c>
      <c r="J345" s="11">
        <v>32895.1018913032</v>
      </c>
      <c r="K345" s="11">
        <v>123.0</v>
      </c>
      <c r="L345" s="11" t="s">
        <v>23</v>
      </c>
      <c r="M345" s="12">
        <v>44955.0</v>
      </c>
      <c r="N345" s="11" t="s">
        <v>43</v>
      </c>
      <c r="O345" s="11" t="s">
        <v>51</v>
      </c>
    </row>
    <row r="346">
      <c r="A346" s="10" t="s">
        <v>1086</v>
      </c>
      <c r="B346" s="11">
        <v>73.0</v>
      </c>
      <c r="C346" s="11" t="s">
        <v>17</v>
      </c>
      <c r="D346" s="11" t="s">
        <v>28</v>
      </c>
      <c r="E346" s="11" t="s">
        <v>19</v>
      </c>
      <c r="F346" s="12">
        <v>43834.0</v>
      </c>
      <c r="G346" s="11" t="s">
        <v>1087</v>
      </c>
      <c r="H346" s="11" t="s">
        <v>1088</v>
      </c>
      <c r="I346" s="11" t="s">
        <v>32</v>
      </c>
      <c r="J346" s="11">
        <v>5349.05611631197</v>
      </c>
      <c r="K346" s="11">
        <v>469.0</v>
      </c>
      <c r="L346" s="11" t="s">
        <v>33</v>
      </c>
      <c r="M346" s="12">
        <v>43846.0</v>
      </c>
      <c r="N346" s="11" t="s">
        <v>24</v>
      </c>
      <c r="O346" s="11" t="s">
        <v>25</v>
      </c>
    </row>
    <row r="347">
      <c r="A347" s="10" t="s">
        <v>1089</v>
      </c>
      <c r="B347" s="11">
        <v>53.0</v>
      </c>
      <c r="C347" s="11" t="s">
        <v>17</v>
      </c>
      <c r="D347" s="11" t="s">
        <v>66</v>
      </c>
      <c r="E347" s="11" t="s">
        <v>29</v>
      </c>
      <c r="F347" s="12">
        <v>45354.0</v>
      </c>
      <c r="G347" s="11" t="s">
        <v>1090</v>
      </c>
      <c r="H347" s="11" t="s">
        <v>1091</v>
      </c>
      <c r="I347" s="11" t="s">
        <v>73</v>
      </c>
      <c r="J347" s="11">
        <v>23235.8544100344</v>
      </c>
      <c r="K347" s="11">
        <v>442.0</v>
      </c>
      <c r="L347" s="11" t="s">
        <v>50</v>
      </c>
      <c r="M347" s="12">
        <v>45366.0</v>
      </c>
      <c r="N347" s="11" t="s">
        <v>43</v>
      </c>
      <c r="O347" s="11" t="s">
        <v>35</v>
      </c>
    </row>
    <row r="348">
      <c r="A348" s="10" t="s">
        <v>1092</v>
      </c>
      <c r="B348" s="11">
        <v>34.0</v>
      </c>
      <c r="C348" s="11" t="s">
        <v>17</v>
      </c>
      <c r="D348" s="11" t="s">
        <v>54</v>
      </c>
      <c r="E348" s="11" t="s">
        <v>47</v>
      </c>
      <c r="F348" s="12">
        <v>43652.0</v>
      </c>
      <c r="G348" s="11" t="s">
        <v>1093</v>
      </c>
      <c r="H348" s="11" t="s">
        <v>1094</v>
      </c>
      <c r="I348" s="11" t="s">
        <v>42</v>
      </c>
      <c r="J348" s="11">
        <v>25683.2798622156</v>
      </c>
      <c r="K348" s="11">
        <v>295.0</v>
      </c>
      <c r="L348" s="11" t="s">
        <v>50</v>
      </c>
      <c r="M348" s="12">
        <v>43678.0</v>
      </c>
      <c r="N348" s="11" t="s">
        <v>24</v>
      </c>
      <c r="O348" s="11" t="s">
        <v>35</v>
      </c>
    </row>
    <row r="349">
      <c r="A349" s="10" t="s">
        <v>1095</v>
      </c>
      <c r="B349" s="11">
        <v>38.0</v>
      </c>
      <c r="C349" s="11" t="s">
        <v>38</v>
      </c>
      <c r="D349" s="11" t="s">
        <v>66</v>
      </c>
      <c r="E349" s="11" t="s">
        <v>29</v>
      </c>
      <c r="F349" s="12">
        <v>44896.0</v>
      </c>
      <c r="G349" s="11" t="s">
        <v>1096</v>
      </c>
      <c r="H349" s="11" t="s">
        <v>1097</v>
      </c>
      <c r="I349" s="11" t="s">
        <v>73</v>
      </c>
      <c r="J349" s="11">
        <v>45560.2818387258</v>
      </c>
      <c r="K349" s="11">
        <v>309.0</v>
      </c>
      <c r="L349" s="11" t="s">
        <v>50</v>
      </c>
      <c r="M349" s="12">
        <v>44898.0</v>
      </c>
      <c r="N349" s="11" t="s">
        <v>34</v>
      </c>
      <c r="O349" s="11" t="s">
        <v>25</v>
      </c>
    </row>
    <row r="350">
      <c r="A350" s="10" t="s">
        <v>1098</v>
      </c>
      <c r="B350" s="11">
        <v>70.0</v>
      </c>
      <c r="C350" s="11" t="s">
        <v>38</v>
      </c>
      <c r="D350" s="11" t="s">
        <v>18</v>
      </c>
      <c r="E350" s="11" t="s">
        <v>109</v>
      </c>
      <c r="F350" s="12">
        <v>43961.0</v>
      </c>
      <c r="G350" s="11" t="s">
        <v>1099</v>
      </c>
      <c r="H350" s="11" t="s">
        <v>1100</v>
      </c>
      <c r="I350" s="11" t="s">
        <v>63</v>
      </c>
      <c r="J350" s="11">
        <v>16850.8863121927</v>
      </c>
      <c r="K350" s="11">
        <v>230.0</v>
      </c>
      <c r="L350" s="11" t="s">
        <v>23</v>
      </c>
      <c r="M350" s="12">
        <v>43981.0</v>
      </c>
      <c r="N350" s="11" t="s">
        <v>57</v>
      </c>
      <c r="O350" s="11" t="s">
        <v>51</v>
      </c>
    </row>
    <row r="351">
      <c r="A351" s="10" t="s">
        <v>1101</v>
      </c>
      <c r="B351" s="11">
        <v>59.0</v>
      </c>
      <c r="C351" s="11" t="s">
        <v>38</v>
      </c>
      <c r="D351" s="11" t="s">
        <v>54</v>
      </c>
      <c r="E351" s="11" t="s">
        <v>88</v>
      </c>
      <c r="F351" s="12">
        <v>45361.0</v>
      </c>
      <c r="G351" s="11" t="s">
        <v>1102</v>
      </c>
      <c r="H351" s="11" t="s">
        <v>1103</v>
      </c>
      <c r="I351" s="11" t="s">
        <v>42</v>
      </c>
      <c r="J351" s="11">
        <v>34365.9971239597</v>
      </c>
      <c r="K351" s="11">
        <v>157.0</v>
      </c>
      <c r="L351" s="11" t="s">
        <v>50</v>
      </c>
      <c r="M351" s="12">
        <v>45367.0</v>
      </c>
      <c r="N351" s="11" t="s">
        <v>34</v>
      </c>
      <c r="O351" s="11" t="s">
        <v>35</v>
      </c>
    </row>
    <row r="352">
      <c r="A352" s="10" t="s">
        <v>1104</v>
      </c>
      <c r="B352" s="11">
        <v>43.0</v>
      </c>
      <c r="C352" s="11" t="s">
        <v>17</v>
      </c>
      <c r="D352" s="11" t="s">
        <v>54</v>
      </c>
      <c r="E352" s="11" t="s">
        <v>109</v>
      </c>
      <c r="F352" s="12">
        <v>43844.0</v>
      </c>
      <c r="G352" s="11" t="s">
        <v>1105</v>
      </c>
      <c r="H352" s="11" t="s">
        <v>1106</v>
      </c>
      <c r="I352" s="11" t="s">
        <v>63</v>
      </c>
      <c r="J352" s="11">
        <v>11968.0238168351</v>
      </c>
      <c r="K352" s="11">
        <v>171.0</v>
      </c>
      <c r="L352" s="11" t="s">
        <v>23</v>
      </c>
      <c r="M352" s="12">
        <v>43849.0</v>
      </c>
      <c r="N352" s="11" t="s">
        <v>24</v>
      </c>
      <c r="O352" s="11" t="s">
        <v>35</v>
      </c>
    </row>
    <row r="353">
      <c r="A353" s="10" t="s">
        <v>1107</v>
      </c>
      <c r="B353" s="11">
        <v>49.0</v>
      </c>
      <c r="C353" s="11" t="s">
        <v>17</v>
      </c>
      <c r="D353" s="11" t="s">
        <v>18</v>
      </c>
      <c r="E353" s="11" t="s">
        <v>47</v>
      </c>
      <c r="F353" s="12">
        <v>43989.0</v>
      </c>
      <c r="G353" s="11" t="s">
        <v>1108</v>
      </c>
      <c r="H353" s="11" t="s">
        <v>1109</v>
      </c>
      <c r="I353" s="11" t="s">
        <v>73</v>
      </c>
      <c r="J353" s="11">
        <v>10076.8925329912</v>
      </c>
      <c r="K353" s="11">
        <v>380.0</v>
      </c>
      <c r="L353" s="11" t="s">
        <v>50</v>
      </c>
      <c r="M353" s="12">
        <v>44008.0</v>
      </c>
      <c r="N353" s="11" t="s">
        <v>57</v>
      </c>
      <c r="O353" s="11" t="s">
        <v>35</v>
      </c>
    </row>
    <row r="354">
      <c r="A354" s="10" t="s">
        <v>1110</v>
      </c>
      <c r="B354" s="11">
        <v>63.0</v>
      </c>
      <c r="C354" s="11" t="s">
        <v>17</v>
      </c>
      <c r="D354" s="11" t="s">
        <v>66</v>
      </c>
      <c r="E354" s="11" t="s">
        <v>60</v>
      </c>
      <c r="F354" s="12">
        <v>44146.0</v>
      </c>
      <c r="G354" s="11" t="s">
        <v>332</v>
      </c>
      <c r="H354" s="11" t="s">
        <v>1111</v>
      </c>
      <c r="I354" s="11" t="s">
        <v>22</v>
      </c>
      <c r="J354" s="11">
        <v>44582.8173592592</v>
      </c>
      <c r="K354" s="11">
        <v>189.0</v>
      </c>
      <c r="L354" s="11" t="s">
        <v>50</v>
      </c>
      <c r="M354" s="12">
        <v>44165.0</v>
      </c>
      <c r="N354" s="11" t="s">
        <v>57</v>
      </c>
      <c r="O354" s="11" t="s">
        <v>51</v>
      </c>
    </row>
    <row r="355">
      <c r="A355" s="10" t="s">
        <v>1112</v>
      </c>
      <c r="B355" s="11">
        <v>40.0</v>
      </c>
      <c r="C355" s="11" t="s">
        <v>38</v>
      </c>
      <c r="D355" s="11" t="s">
        <v>46</v>
      </c>
      <c r="E355" s="11" t="s">
        <v>60</v>
      </c>
      <c r="F355" s="12">
        <v>44323.0</v>
      </c>
      <c r="G355" s="11" t="s">
        <v>660</v>
      </c>
      <c r="H355" s="11" t="s">
        <v>1113</v>
      </c>
      <c r="I355" s="11" t="s">
        <v>32</v>
      </c>
      <c r="J355" s="11">
        <v>30334.9890660505</v>
      </c>
      <c r="K355" s="11">
        <v>102.0</v>
      </c>
      <c r="L355" s="11" t="s">
        <v>23</v>
      </c>
      <c r="M355" s="12">
        <v>44347.0</v>
      </c>
      <c r="N355" s="11" t="s">
        <v>43</v>
      </c>
      <c r="O355" s="11" t="s">
        <v>51</v>
      </c>
    </row>
    <row r="356">
      <c r="A356" s="10" t="s">
        <v>1114</v>
      </c>
      <c r="B356" s="11">
        <v>80.0</v>
      </c>
      <c r="C356" s="11" t="s">
        <v>17</v>
      </c>
      <c r="D356" s="11" t="s">
        <v>18</v>
      </c>
      <c r="E356" s="11" t="s">
        <v>109</v>
      </c>
      <c r="F356" s="12">
        <v>44390.0</v>
      </c>
      <c r="G356" s="11" t="s">
        <v>1115</v>
      </c>
      <c r="H356" s="11" t="s">
        <v>1116</v>
      </c>
      <c r="I356" s="11" t="s">
        <v>73</v>
      </c>
      <c r="J356" s="11">
        <v>6196.6351360699</v>
      </c>
      <c r="K356" s="11">
        <v>484.0</v>
      </c>
      <c r="L356" s="11" t="s">
        <v>23</v>
      </c>
      <c r="M356" s="12">
        <v>44413.0</v>
      </c>
      <c r="N356" s="11" t="s">
        <v>57</v>
      </c>
      <c r="O356" s="11" t="s">
        <v>25</v>
      </c>
    </row>
    <row r="357">
      <c r="A357" s="10" t="s">
        <v>1117</v>
      </c>
      <c r="B357" s="11">
        <v>74.0</v>
      </c>
      <c r="C357" s="11" t="s">
        <v>38</v>
      </c>
      <c r="D357" s="11" t="s">
        <v>119</v>
      </c>
      <c r="E357" s="11" t="s">
        <v>19</v>
      </c>
      <c r="F357" s="12">
        <v>45376.0</v>
      </c>
      <c r="G357" s="11" t="s">
        <v>1118</v>
      </c>
      <c r="H357" s="11" t="s">
        <v>1119</v>
      </c>
      <c r="I357" s="11" t="s">
        <v>73</v>
      </c>
      <c r="J357" s="11">
        <v>45438.9069463693</v>
      </c>
      <c r="K357" s="11">
        <v>256.0</v>
      </c>
      <c r="L357" s="11" t="s">
        <v>33</v>
      </c>
      <c r="M357" s="12">
        <v>45385.0</v>
      </c>
      <c r="N357" s="11" t="s">
        <v>91</v>
      </c>
      <c r="O357" s="11" t="s">
        <v>25</v>
      </c>
    </row>
    <row r="358">
      <c r="A358" s="10" t="s">
        <v>1120</v>
      </c>
      <c r="B358" s="11">
        <v>70.0</v>
      </c>
      <c r="C358" s="11" t="s">
        <v>17</v>
      </c>
      <c r="D358" s="11" t="s">
        <v>46</v>
      </c>
      <c r="E358" s="11" t="s">
        <v>47</v>
      </c>
      <c r="F358" s="12">
        <v>43915.0</v>
      </c>
      <c r="G358" s="11" t="s">
        <v>1121</v>
      </c>
      <c r="H358" s="11" t="s">
        <v>1122</v>
      </c>
      <c r="I358" s="11" t="s">
        <v>42</v>
      </c>
      <c r="J358" s="11">
        <v>43707.1792421981</v>
      </c>
      <c r="K358" s="11">
        <v>365.0</v>
      </c>
      <c r="L358" s="11" t="s">
        <v>23</v>
      </c>
      <c r="M358" s="12">
        <v>43923.0</v>
      </c>
      <c r="N358" s="11" t="s">
        <v>91</v>
      </c>
      <c r="O358" s="11" t="s">
        <v>25</v>
      </c>
    </row>
    <row r="359">
      <c r="A359" s="10" t="s">
        <v>1123</v>
      </c>
      <c r="B359" s="11">
        <v>39.0</v>
      </c>
      <c r="C359" s="11" t="s">
        <v>38</v>
      </c>
      <c r="D359" s="11" t="s">
        <v>66</v>
      </c>
      <c r="E359" s="11" t="s">
        <v>47</v>
      </c>
      <c r="F359" s="12">
        <v>45060.0</v>
      </c>
      <c r="G359" s="11" t="s">
        <v>1124</v>
      </c>
      <c r="H359" s="11" t="s">
        <v>1125</v>
      </c>
      <c r="I359" s="11" t="s">
        <v>22</v>
      </c>
      <c r="J359" s="11">
        <v>20105.0299292768</v>
      </c>
      <c r="K359" s="11">
        <v>286.0</v>
      </c>
      <c r="L359" s="11" t="s">
        <v>23</v>
      </c>
      <c r="M359" s="12">
        <v>45066.0</v>
      </c>
      <c r="N359" s="11" t="s">
        <v>57</v>
      </c>
      <c r="O359" s="11" t="s">
        <v>25</v>
      </c>
    </row>
    <row r="360">
      <c r="A360" s="10" t="s">
        <v>1126</v>
      </c>
      <c r="B360" s="11">
        <v>47.0</v>
      </c>
      <c r="C360" s="11" t="s">
        <v>38</v>
      </c>
      <c r="D360" s="11" t="s">
        <v>54</v>
      </c>
      <c r="E360" s="11" t="s">
        <v>47</v>
      </c>
      <c r="F360" s="12">
        <v>44884.0</v>
      </c>
      <c r="G360" s="11" t="s">
        <v>1127</v>
      </c>
      <c r="H360" s="11" t="s">
        <v>1128</v>
      </c>
      <c r="I360" s="11" t="s">
        <v>63</v>
      </c>
      <c r="J360" s="11">
        <v>11938.0676946801</v>
      </c>
      <c r="K360" s="11">
        <v>452.0</v>
      </c>
      <c r="L360" s="11" t="s">
        <v>23</v>
      </c>
      <c r="M360" s="12">
        <v>44888.0</v>
      </c>
      <c r="N360" s="11" t="s">
        <v>57</v>
      </c>
      <c r="O360" s="11" t="s">
        <v>25</v>
      </c>
    </row>
    <row r="361">
      <c r="A361" s="10" t="s">
        <v>1129</v>
      </c>
      <c r="B361" s="11">
        <v>49.0</v>
      </c>
      <c r="C361" s="11" t="s">
        <v>17</v>
      </c>
      <c r="D361" s="11" t="s">
        <v>54</v>
      </c>
      <c r="E361" s="11" t="s">
        <v>47</v>
      </c>
      <c r="F361" s="12">
        <v>44265.0</v>
      </c>
      <c r="G361" s="11" t="s">
        <v>1130</v>
      </c>
      <c r="H361" s="11" t="s">
        <v>1131</v>
      </c>
      <c r="I361" s="11" t="s">
        <v>73</v>
      </c>
      <c r="J361" s="11">
        <v>10836.2112173349</v>
      </c>
      <c r="K361" s="11">
        <v>481.0</v>
      </c>
      <c r="L361" s="11" t="s">
        <v>33</v>
      </c>
      <c r="M361" s="12">
        <v>44285.0</v>
      </c>
      <c r="N361" s="11" t="s">
        <v>91</v>
      </c>
      <c r="O361" s="11" t="s">
        <v>51</v>
      </c>
    </row>
    <row r="362">
      <c r="A362" s="10" t="s">
        <v>1132</v>
      </c>
      <c r="B362" s="11">
        <v>64.0</v>
      </c>
      <c r="C362" s="11" t="s">
        <v>17</v>
      </c>
      <c r="D362" s="11" t="s">
        <v>39</v>
      </c>
      <c r="E362" s="11" t="s">
        <v>29</v>
      </c>
      <c r="F362" s="12">
        <v>44150.0</v>
      </c>
      <c r="G362" s="11" t="s">
        <v>1133</v>
      </c>
      <c r="H362" s="11" t="s">
        <v>1134</v>
      </c>
      <c r="I362" s="11" t="s">
        <v>73</v>
      </c>
      <c r="J362" s="11">
        <v>40037.4799867787</v>
      </c>
      <c r="K362" s="11">
        <v>278.0</v>
      </c>
      <c r="L362" s="11" t="s">
        <v>23</v>
      </c>
      <c r="M362" s="12">
        <v>44155.0</v>
      </c>
      <c r="N362" s="11" t="s">
        <v>34</v>
      </c>
      <c r="O362" s="11" t="s">
        <v>35</v>
      </c>
    </row>
    <row r="363">
      <c r="A363" s="10" t="s">
        <v>1135</v>
      </c>
      <c r="B363" s="11">
        <v>40.0</v>
      </c>
      <c r="C363" s="11" t="s">
        <v>17</v>
      </c>
      <c r="D363" s="11" t="s">
        <v>28</v>
      </c>
      <c r="E363" s="11" t="s">
        <v>60</v>
      </c>
      <c r="F363" s="12">
        <v>45319.0</v>
      </c>
      <c r="G363" s="11" t="s">
        <v>1136</v>
      </c>
      <c r="H363" s="11" t="s">
        <v>1137</v>
      </c>
      <c r="I363" s="11" t="s">
        <v>32</v>
      </c>
      <c r="J363" s="11">
        <v>42959.2998143182</v>
      </c>
      <c r="K363" s="11">
        <v>410.0</v>
      </c>
      <c r="L363" s="11" t="s">
        <v>50</v>
      </c>
      <c r="M363" s="12">
        <v>45343.0</v>
      </c>
      <c r="N363" s="11" t="s">
        <v>24</v>
      </c>
      <c r="O363" s="11" t="s">
        <v>51</v>
      </c>
    </row>
    <row r="364">
      <c r="A364" s="10" t="s">
        <v>1138</v>
      </c>
      <c r="B364" s="11">
        <v>77.0</v>
      </c>
      <c r="C364" s="11" t="s">
        <v>17</v>
      </c>
      <c r="D364" s="11" t="s">
        <v>39</v>
      </c>
      <c r="E364" s="11" t="s">
        <v>109</v>
      </c>
      <c r="F364" s="12">
        <v>44019.0</v>
      </c>
      <c r="G364" s="11" t="s">
        <v>1139</v>
      </c>
      <c r="H364" s="11" t="s">
        <v>1140</v>
      </c>
      <c r="I364" s="11" t="s">
        <v>32</v>
      </c>
      <c r="J364" s="11">
        <v>40196.8252778048</v>
      </c>
      <c r="K364" s="11">
        <v>152.0</v>
      </c>
      <c r="L364" s="11" t="s">
        <v>23</v>
      </c>
      <c r="M364" s="12">
        <v>44048.0</v>
      </c>
      <c r="N364" s="11" t="s">
        <v>24</v>
      </c>
      <c r="O364" s="11" t="s">
        <v>51</v>
      </c>
    </row>
    <row r="365">
      <c r="A365" s="10" t="s">
        <v>1141</v>
      </c>
      <c r="B365" s="11">
        <v>61.0</v>
      </c>
      <c r="C365" s="11" t="s">
        <v>17</v>
      </c>
      <c r="D365" s="11" t="s">
        <v>66</v>
      </c>
      <c r="E365" s="11" t="s">
        <v>88</v>
      </c>
      <c r="F365" s="12">
        <v>44948.0</v>
      </c>
      <c r="G365" s="11" t="s">
        <v>1142</v>
      </c>
      <c r="H365" s="11" t="s">
        <v>1143</v>
      </c>
      <c r="I365" s="11" t="s">
        <v>42</v>
      </c>
      <c r="J365" s="11">
        <v>39827.6634172361</v>
      </c>
      <c r="K365" s="11">
        <v>172.0</v>
      </c>
      <c r="L365" s="11" t="s">
        <v>50</v>
      </c>
      <c r="M365" s="12">
        <v>44953.0</v>
      </c>
      <c r="N365" s="11" t="s">
        <v>34</v>
      </c>
      <c r="O365" s="11" t="s">
        <v>35</v>
      </c>
    </row>
    <row r="366">
      <c r="A366" s="10" t="s">
        <v>1144</v>
      </c>
      <c r="B366" s="11">
        <v>36.0</v>
      </c>
      <c r="C366" s="11" t="s">
        <v>38</v>
      </c>
      <c r="D366" s="11" t="s">
        <v>39</v>
      </c>
      <c r="E366" s="11" t="s">
        <v>60</v>
      </c>
      <c r="F366" s="12">
        <v>43961.0</v>
      </c>
      <c r="G366" s="11" t="s">
        <v>1145</v>
      </c>
      <c r="H366" s="11" t="s">
        <v>1146</v>
      </c>
      <c r="I366" s="11" t="s">
        <v>42</v>
      </c>
      <c r="J366" s="11">
        <v>3516.84785009067</v>
      </c>
      <c r="K366" s="11">
        <v>314.0</v>
      </c>
      <c r="L366" s="11" t="s">
        <v>33</v>
      </c>
      <c r="M366" s="12">
        <v>43975.0</v>
      </c>
      <c r="N366" s="11" t="s">
        <v>43</v>
      </c>
      <c r="O366" s="11" t="s">
        <v>35</v>
      </c>
    </row>
    <row r="367">
      <c r="A367" s="10" t="s">
        <v>1147</v>
      </c>
      <c r="B367" s="11">
        <v>19.0</v>
      </c>
      <c r="C367" s="11" t="s">
        <v>38</v>
      </c>
      <c r="D367" s="11" t="s">
        <v>46</v>
      </c>
      <c r="E367" s="11" t="s">
        <v>47</v>
      </c>
      <c r="F367" s="12">
        <v>44386.0</v>
      </c>
      <c r="G367" s="11" t="s">
        <v>1148</v>
      </c>
      <c r="H367" s="11" t="s">
        <v>1149</v>
      </c>
      <c r="I367" s="11" t="s">
        <v>73</v>
      </c>
      <c r="J367" s="11">
        <v>25414.7959336239</v>
      </c>
      <c r="K367" s="11">
        <v>283.0</v>
      </c>
      <c r="L367" s="11" t="s">
        <v>50</v>
      </c>
      <c r="M367" s="12">
        <v>44412.0</v>
      </c>
      <c r="N367" s="11" t="s">
        <v>43</v>
      </c>
      <c r="O367" s="11" t="s">
        <v>51</v>
      </c>
    </row>
    <row r="368">
      <c r="A368" s="10" t="s">
        <v>1150</v>
      </c>
      <c r="B368" s="11">
        <v>21.0</v>
      </c>
      <c r="C368" s="11" t="s">
        <v>17</v>
      </c>
      <c r="D368" s="11" t="s">
        <v>141</v>
      </c>
      <c r="E368" s="11" t="s">
        <v>19</v>
      </c>
      <c r="F368" s="12">
        <v>43993.0</v>
      </c>
      <c r="G368" s="11" t="s">
        <v>1151</v>
      </c>
      <c r="H368" s="11" t="s">
        <v>1152</v>
      </c>
      <c r="I368" s="11" t="s">
        <v>73</v>
      </c>
      <c r="J368" s="11">
        <v>36230.3877609556</v>
      </c>
      <c r="K368" s="11">
        <v>404.0</v>
      </c>
      <c r="L368" s="11" t="s">
        <v>50</v>
      </c>
      <c r="M368" s="12">
        <v>44003.0</v>
      </c>
      <c r="N368" s="11" t="s">
        <v>24</v>
      </c>
      <c r="O368" s="11" t="s">
        <v>35</v>
      </c>
    </row>
    <row r="369">
      <c r="A369" s="10" t="s">
        <v>1153</v>
      </c>
      <c r="B369" s="11">
        <v>49.0</v>
      </c>
      <c r="C369" s="11" t="s">
        <v>17</v>
      </c>
      <c r="D369" s="11" t="s">
        <v>66</v>
      </c>
      <c r="E369" s="11" t="s">
        <v>60</v>
      </c>
      <c r="F369" s="12">
        <v>43942.0</v>
      </c>
      <c r="G369" s="11" t="s">
        <v>1154</v>
      </c>
      <c r="H369" s="11" t="s">
        <v>1155</v>
      </c>
      <c r="I369" s="11" t="s">
        <v>63</v>
      </c>
      <c r="J369" s="11">
        <v>22427.1741373668</v>
      </c>
      <c r="K369" s="11">
        <v>197.0</v>
      </c>
      <c r="L369" s="11" t="s">
        <v>33</v>
      </c>
      <c r="M369" s="12">
        <v>43960.0</v>
      </c>
      <c r="N369" s="11" t="s">
        <v>91</v>
      </c>
      <c r="O369" s="11" t="s">
        <v>35</v>
      </c>
    </row>
    <row r="370">
      <c r="A370" s="10" t="s">
        <v>1156</v>
      </c>
      <c r="B370" s="11">
        <v>62.0</v>
      </c>
      <c r="C370" s="11" t="s">
        <v>38</v>
      </c>
      <c r="D370" s="11" t="s">
        <v>28</v>
      </c>
      <c r="E370" s="11" t="s">
        <v>29</v>
      </c>
      <c r="F370" s="12">
        <v>43744.0</v>
      </c>
      <c r="G370" s="11" t="s">
        <v>1157</v>
      </c>
      <c r="H370" s="11" t="s">
        <v>1158</v>
      </c>
      <c r="I370" s="11" t="s">
        <v>73</v>
      </c>
      <c r="J370" s="11">
        <v>39250.4474387077</v>
      </c>
      <c r="K370" s="11">
        <v>110.0</v>
      </c>
      <c r="L370" s="11" t="s">
        <v>23</v>
      </c>
      <c r="M370" s="12">
        <v>43773.0</v>
      </c>
      <c r="N370" s="11" t="s">
        <v>43</v>
      </c>
      <c r="O370" s="11" t="s">
        <v>25</v>
      </c>
    </row>
    <row r="371">
      <c r="A371" s="10" t="s">
        <v>1159</v>
      </c>
      <c r="B371" s="11">
        <v>54.0</v>
      </c>
      <c r="C371" s="11" t="s">
        <v>38</v>
      </c>
      <c r="D371" s="11" t="s">
        <v>141</v>
      </c>
      <c r="E371" s="11" t="s">
        <v>88</v>
      </c>
      <c r="F371" s="12">
        <v>44023.0</v>
      </c>
      <c r="G371" s="11" t="s">
        <v>1160</v>
      </c>
      <c r="H371" s="11" t="s">
        <v>1161</v>
      </c>
      <c r="I371" s="11" t="s">
        <v>63</v>
      </c>
      <c r="J371" s="11">
        <v>5226.00129713463</v>
      </c>
      <c r="K371" s="11">
        <v>437.0</v>
      </c>
      <c r="L371" s="11" t="s">
        <v>23</v>
      </c>
      <c r="M371" s="12">
        <v>44043.0</v>
      </c>
      <c r="N371" s="11" t="s">
        <v>57</v>
      </c>
      <c r="O371" s="11" t="s">
        <v>25</v>
      </c>
    </row>
    <row r="372">
      <c r="A372" s="10" t="s">
        <v>1162</v>
      </c>
      <c r="B372" s="11">
        <v>22.0</v>
      </c>
      <c r="C372" s="11" t="s">
        <v>17</v>
      </c>
      <c r="D372" s="11" t="s">
        <v>66</v>
      </c>
      <c r="E372" s="11" t="s">
        <v>29</v>
      </c>
      <c r="F372" s="12">
        <v>44654.0</v>
      </c>
      <c r="G372" s="11" t="s">
        <v>1163</v>
      </c>
      <c r="H372" s="11" t="s">
        <v>1164</v>
      </c>
      <c r="I372" s="11" t="s">
        <v>73</v>
      </c>
      <c r="J372" s="11">
        <v>7732.67226473495</v>
      </c>
      <c r="K372" s="11">
        <v>397.0</v>
      </c>
      <c r="L372" s="11" t="s">
        <v>50</v>
      </c>
      <c r="M372" s="12">
        <v>44668.0</v>
      </c>
      <c r="N372" s="11" t="s">
        <v>24</v>
      </c>
      <c r="O372" s="11" t="s">
        <v>51</v>
      </c>
    </row>
    <row r="373">
      <c r="A373" s="10" t="s">
        <v>1165</v>
      </c>
      <c r="B373" s="11">
        <v>74.0</v>
      </c>
      <c r="C373" s="11" t="s">
        <v>17</v>
      </c>
      <c r="D373" s="11" t="s">
        <v>39</v>
      </c>
      <c r="E373" s="11" t="s">
        <v>88</v>
      </c>
      <c r="F373" s="12">
        <v>43851.0</v>
      </c>
      <c r="G373" s="11" t="s">
        <v>1166</v>
      </c>
      <c r="H373" s="11" t="s">
        <v>1167</v>
      </c>
      <c r="I373" s="11" t="s">
        <v>32</v>
      </c>
      <c r="J373" s="11">
        <v>11304.0025772337</v>
      </c>
      <c r="K373" s="11">
        <v>419.0</v>
      </c>
      <c r="L373" s="11" t="s">
        <v>23</v>
      </c>
      <c r="M373" s="12">
        <v>43859.0</v>
      </c>
      <c r="N373" s="11" t="s">
        <v>43</v>
      </c>
      <c r="O373" s="11" t="s">
        <v>51</v>
      </c>
    </row>
    <row r="374">
      <c r="A374" s="10" t="s">
        <v>1168</v>
      </c>
      <c r="B374" s="11">
        <v>35.0</v>
      </c>
      <c r="C374" s="11" t="s">
        <v>38</v>
      </c>
      <c r="D374" s="11" t="s">
        <v>28</v>
      </c>
      <c r="E374" s="11" t="s">
        <v>60</v>
      </c>
      <c r="F374" s="12">
        <v>44911.0</v>
      </c>
      <c r="G374" s="11" t="s">
        <v>1169</v>
      </c>
      <c r="H374" s="11" t="s">
        <v>1170</v>
      </c>
      <c r="I374" s="11" t="s">
        <v>63</v>
      </c>
      <c r="J374" s="11">
        <v>38403.5765782834</v>
      </c>
      <c r="K374" s="11">
        <v>476.0</v>
      </c>
      <c r="L374" s="11" t="s">
        <v>50</v>
      </c>
      <c r="M374" s="12">
        <v>44934.0</v>
      </c>
      <c r="N374" s="11" t="s">
        <v>91</v>
      </c>
      <c r="O374" s="11" t="s">
        <v>51</v>
      </c>
    </row>
    <row r="375">
      <c r="A375" s="10" t="s">
        <v>1171</v>
      </c>
      <c r="B375" s="11">
        <v>20.0</v>
      </c>
      <c r="C375" s="11" t="s">
        <v>17</v>
      </c>
      <c r="D375" s="11" t="s">
        <v>18</v>
      </c>
      <c r="E375" s="11" t="s">
        <v>60</v>
      </c>
      <c r="F375" s="12">
        <v>44762.0</v>
      </c>
      <c r="G375" s="11" t="s">
        <v>1172</v>
      </c>
      <c r="H375" s="11" t="s">
        <v>1173</v>
      </c>
      <c r="I375" s="11" t="s">
        <v>63</v>
      </c>
      <c r="J375" s="11">
        <v>14039.88613756</v>
      </c>
      <c r="K375" s="11">
        <v>416.0</v>
      </c>
      <c r="L375" s="11" t="s">
        <v>33</v>
      </c>
      <c r="M375" s="12">
        <v>44771.0</v>
      </c>
      <c r="N375" s="11" t="s">
        <v>34</v>
      </c>
      <c r="O375" s="11" t="s">
        <v>35</v>
      </c>
    </row>
    <row r="376">
      <c r="A376" s="10" t="s">
        <v>1174</v>
      </c>
      <c r="B376" s="11">
        <v>18.0</v>
      </c>
      <c r="C376" s="11" t="s">
        <v>38</v>
      </c>
      <c r="D376" s="11" t="s">
        <v>18</v>
      </c>
      <c r="E376" s="11" t="s">
        <v>19</v>
      </c>
      <c r="F376" s="12">
        <v>44402.0</v>
      </c>
      <c r="G376" s="11" t="s">
        <v>1175</v>
      </c>
      <c r="H376" s="11" t="s">
        <v>1176</v>
      </c>
      <c r="I376" s="11" t="s">
        <v>63</v>
      </c>
      <c r="J376" s="11">
        <v>6958.6976712132</v>
      </c>
      <c r="K376" s="11">
        <v>493.0</v>
      </c>
      <c r="L376" s="11" t="s">
        <v>50</v>
      </c>
      <c r="M376" s="12">
        <v>44405.0</v>
      </c>
      <c r="N376" s="11" t="s">
        <v>24</v>
      </c>
      <c r="O376" s="11" t="s">
        <v>51</v>
      </c>
    </row>
    <row r="377">
      <c r="A377" s="10" t="s">
        <v>1177</v>
      </c>
      <c r="B377" s="11">
        <v>55.0</v>
      </c>
      <c r="C377" s="11" t="s">
        <v>38</v>
      </c>
      <c r="D377" s="11" t="s">
        <v>46</v>
      </c>
      <c r="E377" s="11" t="s">
        <v>19</v>
      </c>
      <c r="F377" s="12">
        <v>45126.0</v>
      </c>
      <c r="G377" s="11" t="s">
        <v>1178</v>
      </c>
      <c r="H377" s="11" t="s">
        <v>1179</v>
      </c>
      <c r="I377" s="11" t="s">
        <v>32</v>
      </c>
      <c r="J377" s="11">
        <v>3254.03221968062</v>
      </c>
      <c r="K377" s="11">
        <v>404.0</v>
      </c>
      <c r="L377" s="11" t="s">
        <v>23</v>
      </c>
      <c r="M377" s="12">
        <v>45140.0</v>
      </c>
      <c r="N377" s="11" t="s">
        <v>91</v>
      </c>
      <c r="O377" s="11" t="s">
        <v>25</v>
      </c>
    </row>
    <row r="378">
      <c r="A378" s="10" t="s">
        <v>1180</v>
      </c>
      <c r="B378" s="11">
        <v>66.0</v>
      </c>
      <c r="C378" s="11" t="s">
        <v>17</v>
      </c>
      <c r="D378" s="11" t="s">
        <v>18</v>
      </c>
      <c r="E378" s="11" t="s">
        <v>47</v>
      </c>
      <c r="F378" s="12">
        <v>45068.0</v>
      </c>
      <c r="G378" s="11" t="s">
        <v>1181</v>
      </c>
      <c r="H378" s="11" t="s">
        <v>1182</v>
      </c>
      <c r="I378" s="11" t="s">
        <v>42</v>
      </c>
      <c r="J378" s="11">
        <v>11855.9520190659</v>
      </c>
      <c r="K378" s="11">
        <v>123.0</v>
      </c>
      <c r="L378" s="11" t="s">
        <v>23</v>
      </c>
      <c r="M378" s="12">
        <v>45085.0</v>
      </c>
      <c r="N378" s="11" t="s">
        <v>34</v>
      </c>
      <c r="O378" s="11" t="s">
        <v>35</v>
      </c>
    </row>
    <row r="379">
      <c r="A379" s="10" t="s">
        <v>1183</v>
      </c>
      <c r="B379" s="11">
        <v>62.0</v>
      </c>
      <c r="C379" s="11" t="s">
        <v>38</v>
      </c>
      <c r="D379" s="11" t="s">
        <v>141</v>
      </c>
      <c r="E379" s="11" t="s">
        <v>88</v>
      </c>
      <c r="F379" s="12">
        <v>44020.0</v>
      </c>
      <c r="G379" s="11" t="s">
        <v>1184</v>
      </c>
      <c r="H379" s="11" t="s">
        <v>1185</v>
      </c>
      <c r="I379" s="11" t="s">
        <v>22</v>
      </c>
      <c r="J379" s="11">
        <v>22368.3759384447</v>
      </c>
      <c r="K379" s="11">
        <v>461.0</v>
      </c>
      <c r="L379" s="11" t="s">
        <v>33</v>
      </c>
      <c r="M379" s="12">
        <v>44037.0</v>
      </c>
      <c r="N379" s="11" t="s">
        <v>34</v>
      </c>
      <c r="O379" s="11" t="s">
        <v>35</v>
      </c>
    </row>
    <row r="380">
      <c r="A380" s="10" t="s">
        <v>1186</v>
      </c>
      <c r="B380" s="11">
        <v>43.0</v>
      </c>
      <c r="C380" s="11" t="s">
        <v>38</v>
      </c>
      <c r="D380" s="11" t="s">
        <v>39</v>
      </c>
      <c r="E380" s="11" t="s">
        <v>60</v>
      </c>
      <c r="F380" s="12">
        <v>44922.0</v>
      </c>
      <c r="G380" s="11" t="s">
        <v>1187</v>
      </c>
      <c r="H380" s="11" t="s">
        <v>1188</v>
      </c>
      <c r="I380" s="11" t="s">
        <v>32</v>
      </c>
      <c r="J380" s="11">
        <v>48511.6547338423</v>
      </c>
      <c r="K380" s="11">
        <v>172.0</v>
      </c>
      <c r="L380" s="11" t="s">
        <v>23</v>
      </c>
      <c r="M380" s="12">
        <v>44950.0</v>
      </c>
      <c r="N380" s="11" t="s">
        <v>91</v>
      </c>
      <c r="O380" s="11" t="s">
        <v>35</v>
      </c>
    </row>
    <row r="381">
      <c r="A381" s="10" t="s">
        <v>1189</v>
      </c>
      <c r="B381" s="11">
        <v>24.0</v>
      </c>
      <c r="C381" s="11" t="s">
        <v>38</v>
      </c>
      <c r="D381" s="11" t="s">
        <v>18</v>
      </c>
      <c r="E381" s="11" t="s">
        <v>47</v>
      </c>
      <c r="F381" s="12">
        <v>43637.0</v>
      </c>
      <c r="G381" s="11" t="s">
        <v>1190</v>
      </c>
      <c r="H381" s="11" t="s">
        <v>1191</v>
      </c>
      <c r="I381" s="11" t="s">
        <v>42</v>
      </c>
      <c r="J381" s="11">
        <v>10126.5025725437</v>
      </c>
      <c r="K381" s="11">
        <v>242.0</v>
      </c>
      <c r="L381" s="11" t="s">
        <v>23</v>
      </c>
      <c r="M381" s="12">
        <v>43658.0</v>
      </c>
      <c r="N381" s="11" t="s">
        <v>34</v>
      </c>
      <c r="O381" s="11" t="s">
        <v>51</v>
      </c>
    </row>
    <row r="382">
      <c r="A382" s="10" t="s">
        <v>1192</v>
      </c>
      <c r="B382" s="11">
        <v>46.0</v>
      </c>
      <c r="C382" s="11" t="s">
        <v>38</v>
      </c>
      <c r="D382" s="11" t="s">
        <v>46</v>
      </c>
      <c r="E382" s="11" t="s">
        <v>47</v>
      </c>
      <c r="F382" s="12">
        <v>44197.0</v>
      </c>
      <c r="G382" s="11" t="s">
        <v>1193</v>
      </c>
      <c r="H382" s="11" t="s">
        <v>1194</v>
      </c>
      <c r="I382" s="11" t="s">
        <v>63</v>
      </c>
      <c r="J382" s="11">
        <v>8470.64129955333</v>
      </c>
      <c r="K382" s="11">
        <v>328.0</v>
      </c>
      <c r="L382" s="11" t="s">
        <v>50</v>
      </c>
      <c r="M382" s="12">
        <v>44223.0</v>
      </c>
      <c r="N382" s="11" t="s">
        <v>57</v>
      </c>
      <c r="O382" s="11" t="s">
        <v>35</v>
      </c>
    </row>
    <row r="383">
      <c r="A383" s="10" t="s">
        <v>1195</v>
      </c>
      <c r="B383" s="11">
        <v>58.0</v>
      </c>
      <c r="C383" s="11" t="s">
        <v>17</v>
      </c>
      <c r="D383" s="11" t="s">
        <v>66</v>
      </c>
      <c r="E383" s="11" t="s">
        <v>60</v>
      </c>
      <c r="F383" s="12">
        <v>44811.0</v>
      </c>
      <c r="G383" s="11" t="s">
        <v>1196</v>
      </c>
      <c r="H383" s="11" t="s">
        <v>1197</v>
      </c>
      <c r="I383" s="11" t="s">
        <v>32</v>
      </c>
      <c r="J383" s="11">
        <v>25086.0139150671</v>
      </c>
      <c r="K383" s="11">
        <v>476.0</v>
      </c>
      <c r="L383" s="11" t="s">
        <v>23</v>
      </c>
      <c r="M383" s="12">
        <v>44832.0</v>
      </c>
      <c r="N383" s="11" t="s">
        <v>91</v>
      </c>
      <c r="O383" s="11" t="s">
        <v>35</v>
      </c>
    </row>
    <row r="384">
      <c r="A384" s="10" t="s">
        <v>1198</v>
      </c>
      <c r="B384" s="11">
        <v>58.0</v>
      </c>
      <c r="C384" s="11" t="s">
        <v>17</v>
      </c>
      <c r="D384" s="11" t="s">
        <v>119</v>
      </c>
      <c r="E384" s="11" t="s">
        <v>29</v>
      </c>
      <c r="F384" s="12">
        <v>44721.0</v>
      </c>
      <c r="G384" s="11" t="s">
        <v>1199</v>
      </c>
      <c r="H384" s="11" t="s">
        <v>1200</v>
      </c>
      <c r="I384" s="11" t="s">
        <v>73</v>
      </c>
      <c r="J384" s="11">
        <v>36524.3772465517</v>
      </c>
      <c r="K384" s="11">
        <v>371.0</v>
      </c>
      <c r="L384" s="11" t="s">
        <v>23</v>
      </c>
      <c r="M384" s="12">
        <v>44738.0</v>
      </c>
      <c r="N384" s="11" t="s">
        <v>34</v>
      </c>
      <c r="O384" s="11" t="s">
        <v>51</v>
      </c>
    </row>
    <row r="385">
      <c r="A385" s="10" t="s">
        <v>1201</v>
      </c>
      <c r="B385" s="11">
        <v>48.0</v>
      </c>
      <c r="C385" s="11" t="s">
        <v>17</v>
      </c>
      <c r="D385" s="11" t="s">
        <v>119</v>
      </c>
      <c r="E385" s="11" t="s">
        <v>19</v>
      </c>
      <c r="F385" s="12">
        <v>45231.0</v>
      </c>
      <c r="G385" s="11" t="s">
        <v>1202</v>
      </c>
      <c r="H385" s="11" t="s">
        <v>1203</v>
      </c>
      <c r="I385" s="11" t="s">
        <v>63</v>
      </c>
      <c r="J385" s="11">
        <v>5945.0118164359</v>
      </c>
      <c r="K385" s="11">
        <v>431.0</v>
      </c>
      <c r="L385" s="11" t="s">
        <v>50</v>
      </c>
      <c r="M385" s="12">
        <v>45240.0</v>
      </c>
      <c r="N385" s="11" t="s">
        <v>24</v>
      </c>
      <c r="O385" s="11" t="s">
        <v>35</v>
      </c>
    </row>
    <row r="386">
      <c r="A386" s="10" t="s">
        <v>1204</v>
      </c>
      <c r="B386" s="11">
        <v>43.0</v>
      </c>
      <c r="C386" s="11" t="s">
        <v>17</v>
      </c>
      <c r="D386" s="11" t="s">
        <v>141</v>
      </c>
      <c r="E386" s="11" t="s">
        <v>29</v>
      </c>
      <c r="F386" s="12">
        <v>45144.0</v>
      </c>
      <c r="G386" s="11" t="s">
        <v>1205</v>
      </c>
      <c r="H386" s="11" t="s">
        <v>1206</v>
      </c>
      <c r="I386" s="11" t="s">
        <v>22</v>
      </c>
      <c r="J386" s="11">
        <v>3601.68167937205</v>
      </c>
      <c r="K386" s="11">
        <v>409.0</v>
      </c>
      <c r="L386" s="11" t="s">
        <v>23</v>
      </c>
      <c r="M386" s="12">
        <v>45151.0</v>
      </c>
      <c r="N386" s="11" t="s">
        <v>91</v>
      </c>
      <c r="O386" s="11" t="s">
        <v>35</v>
      </c>
    </row>
    <row r="387">
      <c r="A387" s="10" t="s">
        <v>1207</v>
      </c>
      <c r="B387" s="11">
        <v>74.0</v>
      </c>
      <c r="C387" s="11" t="s">
        <v>38</v>
      </c>
      <c r="D387" s="11" t="s">
        <v>54</v>
      </c>
      <c r="E387" s="11" t="s">
        <v>29</v>
      </c>
      <c r="F387" s="12">
        <v>44772.0</v>
      </c>
      <c r="G387" s="11" t="s">
        <v>1208</v>
      </c>
      <c r="H387" s="11" t="s">
        <v>1209</v>
      </c>
      <c r="I387" s="11" t="s">
        <v>73</v>
      </c>
      <c r="J387" s="11">
        <v>4920.19041843111</v>
      </c>
      <c r="K387" s="11">
        <v>135.0</v>
      </c>
      <c r="L387" s="11" t="s">
        <v>50</v>
      </c>
      <c r="M387" s="12">
        <v>44798.0</v>
      </c>
      <c r="N387" s="11" t="s">
        <v>43</v>
      </c>
      <c r="O387" s="11" t="s">
        <v>51</v>
      </c>
    </row>
    <row r="388">
      <c r="A388" s="10" t="s">
        <v>1210</v>
      </c>
      <c r="B388" s="11">
        <v>47.0</v>
      </c>
      <c r="C388" s="11" t="s">
        <v>38</v>
      </c>
      <c r="D388" s="11" t="s">
        <v>66</v>
      </c>
      <c r="E388" s="11" t="s">
        <v>47</v>
      </c>
      <c r="F388" s="12">
        <v>44231.0</v>
      </c>
      <c r="G388" s="11" t="s">
        <v>1211</v>
      </c>
      <c r="H388" s="11" t="s">
        <v>1212</v>
      </c>
      <c r="I388" s="11" t="s">
        <v>63</v>
      </c>
      <c r="J388" s="11">
        <v>48887.2345242024</v>
      </c>
      <c r="K388" s="11">
        <v>105.0</v>
      </c>
      <c r="L388" s="11" t="s">
        <v>50</v>
      </c>
      <c r="M388" s="12">
        <v>44255.0</v>
      </c>
      <c r="N388" s="11" t="s">
        <v>34</v>
      </c>
      <c r="O388" s="11" t="s">
        <v>35</v>
      </c>
    </row>
    <row r="389">
      <c r="A389" s="10" t="s">
        <v>1213</v>
      </c>
      <c r="B389" s="11">
        <v>35.0</v>
      </c>
      <c r="C389" s="11" t="s">
        <v>17</v>
      </c>
      <c r="D389" s="11" t="s">
        <v>28</v>
      </c>
      <c r="E389" s="11" t="s">
        <v>19</v>
      </c>
      <c r="F389" s="12">
        <v>44526.0</v>
      </c>
      <c r="G389" s="11" t="s">
        <v>1214</v>
      </c>
      <c r="H389" s="11" t="s">
        <v>1215</v>
      </c>
      <c r="I389" s="11" t="s">
        <v>22</v>
      </c>
      <c r="J389" s="11">
        <v>48826.3870565796</v>
      </c>
      <c r="K389" s="11">
        <v>142.0</v>
      </c>
      <c r="L389" s="11" t="s">
        <v>23</v>
      </c>
      <c r="M389" s="12">
        <v>44539.0</v>
      </c>
      <c r="N389" s="11" t="s">
        <v>24</v>
      </c>
      <c r="O389" s="11" t="s">
        <v>25</v>
      </c>
    </row>
    <row r="390">
      <c r="A390" s="10" t="s">
        <v>1216</v>
      </c>
      <c r="B390" s="11">
        <v>28.0</v>
      </c>
      <c r="C390" s="11" t="s">
        <v>17</v>
      </c>
      <c r="D390" s="11" t="s">
        <v>18</v>
      </c>
      <c r="E390" s="11" t="s">
        <v>109</v>
      </c>
      <c r="F390" s="12">
        <v>44014.0</v>
      </c>
      <c r="G390" s="11" t="s">
        <v>1217</v>
      </c>
      <c r="H390" s="11" t="s">
        <v>1218</v>
      </c>
      <c r="I390" s="11" t="s">
        <v>63</v>
      </c>
      <c r="J390" s="11">
        <v>5509.59580144552</v>
      </c>
      <c r="K390" s="11">
        <v>313.0</v>
      </c>
      <c r="L390" s="11" t="s">
        <v>33</v>
      </c>
      <c r="M390" s="12">
        <v>44015.0</v>
      </c>
      <c r="N390" s="11" t="s">
        <v>91</v>
      </c>
      <c r="O390" s="11" t="s">
        <v>51</v>
      </c>
    </row>
    <row r="391">
      <c r="A391" s="10" t="s">
        <v>1219</v>
      </c>
      <c r="B391" s="11">
        <v>49.0</v>
      </c>
      <c r="C391" s="11" t="s">
        <v>17</v>
      </c>
      <c r="D391" s="11" t="s">
        <v>39</v>
      </c>
      <c r="E391" s="11" t="s">
        <v>47</v>
      </c>
      <c r="F391" s="12">
        <v>44417.0</v>
      </c>
      <c r="G391" s="11" t="s">
        <v>1220</v>
      </c>
      <c r="H391" s="11" t="s">
        <v>1221</v>
      </c>
      <c r="I391" s="11" t="s">
        <v>32</v>
      </c>
      <c r="J391" s="11">
        <v>37636.4416616169</v>
      </c>
      <c r="K391" s="11">
        <v>385.0</v>
      </c>
      <c r="L391" s="11" t="s">
        <v>50</v>
      </c>
      <c r="M391" s="12">
        <v>44445.0</v>
      </c>
      <c r="N391" s="11" t="s">
        <v>34</v>
      </c>
      <c r="O391" s="11" t="s">
        <v>25</v>
      </c>
    </row>
    <row r="392">
      <c r="A392" s="10" t="s">
        <v>1222</v>
      </c>
      <c r="B392" s="11">
        <v>28.0</v>
      </c>
      <c r="C392" s="11" t="s">
        <v>17</v>
      </c>
      <c r="D392" s="11" t="s">
        <v>66</v>
      </c>
      <c r="E392" s="11" t="s">
        <v>29</v>
      </c>
      <c r="F392" s="12">
        <v>45309.0</v>
      </c>
      <c r="G392" s="11" t="s">
        <v>1223</v>
      </c>
      <c r="H392" s="11" t="s">
        <v>1224</v>
      </c>
      <c r="I392" s="11" t="s">
        <v>73</v>
      </c>
      <c r="J392" s="11">
        <v>20885.9195075241</v>
      </c>
      <c r="K392" s="11">
        <v>247.0</v>
      </c>
      <c r="L392" s="11" t="s">
        <v>33</v>
      </c>
      <c r="M392" s="12">
        <v>45326.0</v>
      </c>
      <c r="N392" s="11" t="s">
        <v>34</v>
      </c>
      <c r="O392" s="11" t="s">
        <v>35</v>
      </c>
    </row>
    <row r="393">
      <c r="A393" s="10" t="s">
        <v>1225</v>
      </c>
      <c r="B393" s="11">
        <v>50.0</v>
      </c>
      <c r="C393" s="11" t="s">
        <v>17</v>
      </c>
      <c r="D393" s="11" t="s">
        <v>141</v>
      </c>
      <c r="E393" s="11" t="s">
        <v>29</v>
      </c>
      <c r="F393" s="12">
        <v>44943.0</v>
      </c>
      <c r="G393" s="11" t="s">
        <v>1226</v>
      </c>
      <c r="H393" s="11" t="s">
        <v>1227</v>
      </c>
      <c r="I393" s="11" t="s">
        <v>42</v>
      </c>
      <c r="J393" s="11">
        <v>35114.4899739483</v>
      </c>
      <c r="K393" s="11">
        <v>183.0</v>
      </c>
      <c r="L393" s="11" t="s">
        <v>50</v>
      </c>
      <c r="M393" s="12">
        <v>44967.0</v>
      </c>
      <c r="N393" s="11" t="s">
        <v>24</v>
      </c>
      <c r="O393" s="11" t="s">
        <v>25</v>
      </c>
    </row>
    <row r="394">
      <c r="A394" s="10" t="s">
        <v>1228</v>
      </c>
      <c r="B394" s="11">
        <v>59.0</v>
      </c>
      <c r="C394" s="11" t="s">
        <v>17</v>
      </c>
      <c r="D394" s="11" t="s">
        <v>39</v>
      </c>
      <c r="E394" s="11" t="s">
        <v>29</v>
      </c>
      <c r="F394" s="12">
        <v>45378.0</v>
      </c>
      <c r="G394" s="11" t="s">
        <v>1229</v>
      </c>
      <c r="H394" s="11" t="s">
        <v>1230</v>
      </c>
      <c r="I394" s="11" t="s">
        <v>22</v>
      </c>
      <c r="J394" s="11">
        <v>6191.39265563093</v>
      </c>
      <c r="K394" s="11">
        <v>192.0</v>
      </c>
      <c r="L394" s="11" t="s">
        <v>50</v>
      </c>
      <c r="M394" s="12">
        <v>45403.0</v>
      </c>
      <c r="N394" s="11" t="s">
        <v>91</v>
      </c>
      <c r="O394" s="11" t="s">
        <v>25</v>
      </c>
    </row>
    <row r="395">
      <c r="A395" s="10" t="s">
        <v>1231</v>
      </c>
      <c r="B395" s="11">
        <v>22.0</v>
      </c>
      <c r="C395" s="11" t="s">
        <v>38</v>
      </c>
      <c r="D395" s="11" t="s">
        <v>46</v>
      </c>
      <c r="E395" s="11" t="s">
        <v>88</v>
      </c>
      <c r="F395" s="12">
        <v>44936.0</v>
      </c>
      <c r="G395" s="11" t="s">
        <v>1232</v>
      </c>
      <c r="H395" s="11" t="s">
        <v>1233</v>
      </c>
      <c r="I395" s="11" t="s">
        <v>22</v>
      </c>
      <c r="J395" s="11">
        <v>40697.9689475451</v>
      </c>
      <c r="K395" s="11">
        <v>116.0</v>
      </c>
      <c r="L395" s="11" t="s">
        <v>50</v>
      </c>
      <c r="M395" s="12">
        <v>44949.0</v>
      </c>
      <c r="N395" s="11" t="s">
        <v>34</v>
      </c>
      <c r="O395" s="11" t="s">
        <v>25</v>
      </c>
    </row>
    <row r="396">
      <c r="A396" s="10" t="s">
        <v>1234</v>
      </c>
      <c r="B396" s="11">
        <v>62.0</v>
      </c>
      <c r="C396" s="11" t="s">
        <v>38</v>
      </c>
      <c r="D396" s="11" t="s">
        <v>119</v>
      </c>
      <c r="E396" s="11" t="s">
        <v>109</v>
      </c>
      <c r="F396" s="12">
        <v>43660.0</v>
      </c>
      <c r="G396" s="11" t="s">
        <v>1235</v>
      </c>
      <c r="H396" s="11" t="s">
        <v>1236</v>
      </c>
      <c r="I396" s="11" t="s">
        <v>42</v>
      </c>
      <c r="J396" s="11">
        <v>43465.9527835804</v>
      </c>
      <c r="K396" s="11">
        <v>325.0</v>
      </c>
      <c r="L396" s="11" t="s">
        <v>23</v>
      </c>
      <c r="M396" s="12">
        <v>43664.0</v>
      </c>
      <c r="N396" s="11" t="s">
        <v>91</v>
      </c>
      <c r="O396" s="11" t="s">
        <v>25</v>
      </c>
    </row>
    <row r="397">
      <c r="A397" s="10" t="s">
        <v>1237</v>
      </c>
      <c r="B397" s="11">
        <v>21.0</v>
      </c>
      <c r="C397" s="11" t="s">
        <v>38</v>
      </c>
      <c r="D397" s="11" t="s">
        <v>28</v>
      </c>
      <c r="E397" s="11" t="s">
        <v>19</v>
      </c>
      <c r="F397" s="12">
        <v>43969.0</v>
      </c>
      <c r="G397" s="11" t="s">
        <v>1238</v>
      </c>
      <c r="H397" s="11" t="s">
        <v>1239</v>
      </c>
      <c r="I397" s="11" t="s">
        <v>73</v>
      </c>
      <c r="J397" s="11">
        <v>16866.0688240055</v>
      </c>
      <c r="K397" s="11">
        <v>177.0</v>
      </c>
      <c r="L397" s="11" t="s">
        <v>50</v>
      </c>
      <c r="M397" s="12">
        <v>43984.0</v>
      </c>
      <c r="N397" s="11" t="s">
        <v>34</v>
      </c>
      <c r="O397" s="11" t="s">
        <v>25</v>
      </c>
    </row>
    <row r="398">
      <c r="A398" s="10" t="s">
        <v>1240</v>
      </c>
      <c r="B398" s="11">
        <v>44.0</v>
      </c>
      <c r="C398" s="11" t="s">
        <v>17</v>
      </c>
      <c r="D398" s="11" t="s">
        <v>18</v>
      </c>
      <c r="E398" s="11" t="s">
        <v>29</v>
      </c>
      <c r="F398" s="12">
        <v>44727.0</v>
      </c>
      <c r="G398" s="11" t="s">
        <v>1241</v>
      </c>
      <c r="H398" s="11" t="s">
        <v>1242</v>
      </c>
      <c r="I398" s="11" t="s">
        <v>42</v>
      </c>
      <c r="J398" s="11">
        <v>41454.6852615562</v>
      </c>
      <c r="K398" s="11">
        <v>328.0</v>
      </c>
      <c r="L398" s="11" t="s">
        <v>33</v>
      </c>
      <c r="M398" s="12">
        <v>44737.0</v>
      </c>
      <c r="N398" s="11" t="s">
        <v>34</v>
      </c>
      <c r="O398" s="11" t="s">
        <v>35</v>
      </c>
    </row>
    <row r="399">
      <c r="A399" s="10" t="s">
        <v>1243</v>
      </c>
      <c r="B399" s="11">
        <v>27.0</v>
      </c>
      <c r="C399" s="11" t="s">
        <v>17</v>
      </c>
      <c r="D399" s="11" t="s">
        <v>119</v>
      </c>
      <c r="E399" s="11" t="s">
        <v>88</v>
      </c>
      <c r="F399" s="12">
        <v>43917.0</v>
      </c>
      <c r="G399" s="11" t="s">
        <v>1244</v>
      </c>
      <c r="H399" s="11" t="s">
        <v>1245</v>
      </c>
      <c r="I399" s="11" t="s">
        <v>73</v>
      </c>
      <c r="J399" s="11">
        <v>47735.3842426511</v>
      </c>
      <c r="K399" s="11">
        <v>221.0</v>
      </c>
      <c r="L399" s="11" t="s">
        <v>23</v>
      </c>
      <c r="M399" s="12">
        <v>43926.0</v>
      </c>
      <c r="N399" s="11" t="s">
        <v>57</v>
      </c>
      <c r="O399" s="11" t="s">
        <v>25</v>
      </c>
    </row>
    <row r="400">
      <c r="A400" s="10" t="s">
        <v>1246</v>
      </c>
      <c r="B400" s="11">
        <v>47.0</v>
      </c>
      <c r="C400" s="11" t="s">
        <v>17</v>
      </c>
      <c r="D400" s="11" t="s">
        <v>141</v>
      </c>
      <c r="E400" s="11" t="s">
        <v>47</v>
      </c>
      <c r="F400" s="12">
        <v>43881.0</v>
      </c>
      <c r="G400" s="11" t="s">
        <v>1247</v>
      </c>
      <c r="H400" s="11" t="s">
        <v>1248</v>
      </c>
      <c r="I400" s="11" t="s">
        <v>63</v>
      </c>
      <c r="J400" s="11">
        <v>2826.81298129957</v>
      </c>
      <c r="K400" s="11">
        <v>256.0</v>
      </c>
      <c r="L400" s="11" t="s">
        <v>50</v>
      </c>
      <c r="M400" s="12">
        <v>43891.0</v>
      </c>
      <c r="N400" s="11" t="s">
        <v>91</v>
      </c>
      <c r="O400" s="11" t="s">
        <v>25</v>
      </c>
    </row>
    <row r="401">
      <c r="A401" s="10" t="s">
        <v>1249</v>
      </c>
      <c r="B401" s="11">
        <v>51.0</v>
      </c>
      <c r="C401" s="11" t="s">
        <v>17</v>
      </c>
      <c r="D401" s="11" t="s">
        <v>141</v>
      </c>
      <c r="E401" s="11" t="s">
        <v>88</v>
      </c>
      <c r="F401" s="12">
        <v>43998.0</v>
      </c>
      <c r="G401" s="11" t="s">
        <v>1250</v>
      </c>
      <c r="H401" s="11" t="s">
        <v>1251</v>
      </c>
      <c r="I401" s="11" t="s">
        <v>22</v>
      </c>
      <c r="J401" s="11">
        <v>26524.172804251</v>
      </c>
      <c r="K401" s="11">
        <v>426.0</v>
      </c>
      <c r="L401" s="11" t="s">
        <v>50</v>
      </c>
      <c r="M401" s="12">
        <v>44003.0</v>
      </c>
      <c r="N401" s="11" t="s">
        <v>57</v>
      </c>
      <c r="O401" s="11" t="s">
        <v>35</v>
      </c>
    </row>
    <row r="402">
      <c r="A402" s="10" t="s">
        <v>1252</v>
      </c>
      <c r="B402" s="11">
        <v>48.0</v>
      </c>
      <c r="C402" s="11" t="s">
        <v>38</v>
      </c>
      <c r="D402" s="11" t="s">
        <v>18</v>
      </c>
      <c r="E402" s="11" t="s">
        <v>88</v>
      </c>
      <c r="F402" s="12">
        <v>43622.0</v>
      </c>
      <c r="G402" s="11" t="s">
        <v>1253</v>
      </c>
      <c r="H402" s="11" t="s">
        <v>1254</v>
      </c>
      <c r="I402" s="11" t="s">
        <v>63</v>
      </c>
      <c r="J402" s="11">
        <v>36727.5810051217</v>
      </c>
      <c r="K402" s="11">
        <v>386.0</v>
      </c>
      <c r="L402" s="11" t="s">
        <v>23</v>
      </c>
      <c r="M402" s="12">
        <v>43648.0</v>
      </c>
      <c r="N402" s="11" t="s">
        <v>34</v>
      </c>
      <c r="O402" s="11" t="s">
        <v>25</v>
      </c>
    </row>
    <row r="403">
      <c r="A403" s="10" t="s">
        <v>1255</v>
      </c>
      <c r="B403" s="11">
        <v>83.0</v>
      </c>
      <c r="C403" s="11" t="s">
        <v>17</v>
      </c>
      <c r="D403" s="11" t="s">
        <v>18</v>
      </c>
      <c r="E403" s="11" t="s">
        <v>109</v>
      </c>
      <c r="F403" s="12">
        <v>44579.0</v>
      </c>
      <c r="G403" s="11" t="s">
        <v>1256</v>
      </c>
      <c r="H403" s="11" t="s">
        <v>1257</v>
      </c>
      <c r="I403" s="11" t="s">
        <v>22</v>
      </c>
      <c r="J403" s="11">
        <v>4509.40306089449</v>
      </c>
      <c r="K403" s="11">
        <v>175.0</v>
      </c>
      <c r="L403" s="11" t="s">
        <v>50</v>
      </c>
      <c r="M403" s="12">
        <v>44597.0</v>
      </c>
      <c r="N403" s="11" t="s">
        <v>24</v>
      </c>
      <c r="O403" s="11" t="s">
        <v>51</v>
      </c>
    </row>
    <row r="404">
      <c r="A404" s="10" t="s">
        <v>1258</v>
      </c>
      <c r="B404" s="11">
        <v>64.0</v>
      </c>
      <c r="C404" s="11" t="s">
        <v>17</v>
      </c>
      <c r="D404" s="11" t="s">
        <v>28</v>
      </c>
      <c r="E404" s="11" t="s">
        <v>109</v>
      </c>
      <c r="F404" s="12">
        <v>44207.0</v>
      </c>
      <c r="G404" s="11" t="s">
        <v>1259</v>
      </c>
      <c r="H404" s="11" t="s">
        <v>1260</v>
      </c>
      <c r="I404" s="11" t="s">
        <v>42</v>
      </c>
      <c r="J404" s="11">
        <v>25709.5844317189</v>
      </c>
      <c r="K404" s="11">
        <v>180.0</v>
      </c>
      <c r="L404" s="11" t="s">
        <v>50</v>
      </c>
      <c r="M404" s="12">
        <v>44219.0</v>
      </c>
      <c r="N404" s="11" t="s">
        <v>43</v>
      </c>
      <c r="O404" s="11" t="s">
        <v>51</v>
      </c>
    </row>
    <row r="405">
      <c r="A405" s="10" t="s">
        <v>1261</v>
      </c>
      <c r="B405" s="11">
        <v>19.0</v>
      </c>
      <c r="C405" s="11" t="s">
        <v>17</v>
      </c>
      <c r="D405" s="11" t="s">
        <v>46</v>
      </c>
      <c r="E405" s="11" t="s">
        <v>29</v>
      </c>
      <c r="F405" s="12">
        <v>44231.0</v>
      </c>
      <c r="G405" s="11" t="s">
        <v>1262</v>
      </c>
      <c r="H405" s="11" t="s">
        <v>1263</v>
      </c>
      <c r="I405" s="11" t="s">
        <v>32</v>
      </c>
      <c r="J405" s="11">
        <v>20086.2171028671</v>
      </c>
      <c r="K405" s="11">
        <v>270.0</v>
      </c>
      <c r="L405" s="11" t="s">
        <v>23</v>
      </c>
      <c r="M405" s="12">
        <v>44242.0</v>
      </c>
      <c r="N405" s="11" t="s">
        <v>43</v>
      </c>
      <c r="O405" s="11" t="s">
        <v>51</v>
      </c>
    </row>
    <row r="406">
      <c r="A406" s="10" t="s">
        <v>1264</v>
      </c>
      <c r="B406" s="11">
        <v>39.0</v>
      </c>
      <c r="C406" s="11" t="s">
        <v>17</v>
      </c>
      <c r="D406" s="11" t="s">
        <v>18</v>
      </c>
      <c r="E406" s="11" t="s">
        <v>60</v>
      </c>
      <c r="F406" s="12">
        <v>44711.0</v>
      </c>
      <c r="G406" s="11" t="s">
        <v>1265</v>
      </c>
      <c r="H406" s="11" t="s">
        <v>1266</v>
      </c>
      <c r="I406" s="11" t="s">
        <v>63</v>
      </c>
      <c r="J406" s="11">
        <v>36862.1718029631</v>
      </c>
      <c r="K406" s="11">
        <v>338.0</v>
      </c>
      <c r="L406" s="11" t="s">
        <v>50</v>
      </c>
      <c r="M406" s="12">
        <v>44713.0</v>
      </c>
      <c r="N406" s="11" t="s">
        <v>43</v>
      </c>
      <c r="O406" s="11" t="s">
        <v>35</v>
      </c>
    </row>
    <row r="407">
      <c r="A407" s="10" t="s">
        <v>1267</v>
      </c>
      <c r="B407" s="11">
        <v>23.0</v>
      </c>
      <c r="C407" s="11" t="s">
        <v>38</v>
      </c>
      <c r="D407" s="11" t="s">
        <v>46</v>
      </c>
      <c r="E407" s="11" t="s">
        <v>88</v>
      </c>
      <c r="F407" s="12">
        <v>44549.0</v>
      </c>
      <c r="G407" s="11" t="s">
        <v>1268</v>
      </c>
      <c r="H407" s="11" t="s">
        <v>1269</v>
      </c>
      <c r="I407" s="11" t="s">
        <v>22</v>
      </c>
      <c r="J407" s="11">
        <v>40065.3388929749</v>
      </c>
      <c r="K407" s="11">
        <v>360.0</v>
      </c>
      <c r="L407" s="11" t="s">
        <v>50</v>
      </c>
      <c r="M407" s="12">
        <v>44560.0</v>
      </c>
      <c r="N407" s="11" t="s">
        <v>24</v>
      </c>
      <c r="O407" s="11" t="s">
        <v>25</v>
      </c>
    </row>
    <row r="408">
      <c r="A408" s="10" t="s">
        <v>1270</v>
      </c>
      <c r="B408" s="11">
        <v>24.0</v>
      </c>
      <c r="C408" s="11" t="s">
        <v>17</v>
      </c>
      <c r="D408" s="11" t="s">
        <v>119</v>
      </c>
      <c r="E408" s="11" t="s">
        <v>47</v>
      </c>
      <c r="F408" s="12">
        <v>44397.0</v>
      </c>
      <c r="G408" s="11" t="s">
        <v>1271</v>
      </c>
      <c r="H408" s="11" t="s">
        <v>1272</v>
      </c>
      <c r="I408" s="11" t="s">
        <v>63</v>
      </c>
      <c r="J408" s="11">
        <v>41997.354559282</v>
      </c>
      <c r="K408" s="11">
        <v>252.0</v>
      </c>
      <c r="L408" s="11" t="s">
        <v>50</v>
      </c>
      <c r="M408" s="12">
        <v>44415.0</v>
      </c>
      <c r="N408" s="11" t="s">
        <v>91</v>
      </c>
      <c r="O408" s="11" t="s">
        <v>51</v>
      </c>
    </row>
    <row r="409">
      <c r="A409" s="10" t="s">
        <v>1273</v>
      </c>
      <c r="B409" s="11">
        <v>73.0</v>
      </c>
      <c r="C409" s="11" t="s">
        <v>38</v>
      </c>
      <c r="D409" s="11" t="s">
        <v>66</v>
      </c>
      <c r="E409" s="11" t="s">
        <v>19</v>
      </c>
      <c r="F409" s="12">
        <v>44922.0</v>
      </c>
      <c r="G409" s="11" t="s">
        <v>1274</v>
      </c>
      <c r="H409" s="11" t="s">
        <v>1275</v>
      </c>
      <c r="I409" s="11" t="s">
        <v>22</v>
      </c>
      <c r="J409" s="11">
        <v>22601.5674468481</v>
      </c>
      <c r="K409" s="11">
        <v>215.0</v>
      </c>
      <c r="L409" s="11" t="s">
        <v>50</v>
      </c>
      <c r="M409" s="12">
        <v>44945.0</v>
      </c>
      <c r="N409" s="11" t="s">
        <v>24</v>
      </c>
      <c r="O409" s="11" t="s">
        <v>51</v>
      </c>
    </row>
    <row r="410">
      <c r="A410" s="10" t="s">
        <v>1276</v>
      </c>
      <c r="B410" s="11">
        <v>56.0</v>
      </c>
      <c r="C410" s="11" t="s">
        <v>17</v>
      </c>
      <c r="D410" s="11" t="s">
        <v>141</v>
      </c>
      <c r="E410" s="11" t="s">
        <v>29</v>
      </c>
      <c r="F410" s="12">
        <v>44809.0</v>
      </c>
      <c r="G410" s="11" t="s">
        <v>1277</v>
      </c>
      <c r="H410" s="11" t="s">
        <v>998</v>
      </c>
      <c r="I410" s="11" t="s">
        <v>63</v>
      </c>
      <c r="J410" s="11">
        <v>36204.7323306432</v>
      </c>
      <c r="K410" s="11">
        <v>430.0</v>
      </c>
      <c r="L410" s="11" t="s">
        <v>23</v>
      </c>
      <c r="M410" s="12">
        <v>44838.0</v>
      </c>
      <c r="N410" s="11" t="s">
        <v>57</v>
      </c>
      <c r="O410" s="11" t="s">
        <v>25</v>
      </c>
    </row>
    <row r="411">
      <c r="A411" s="10" t="s">
        <v>1278</v>
      </c>
      <c r="B411" s="11">
        <v>36.0</v>
      </c>
      <c r="C411" s="11" t="s">
        <v>17</v>
      </c>
      <c r="D411" s="11" t="s">
        <v>119</v>
      </c>
      <c r="E411" s="11" t="s">
        <v>19</v>
      </c>
      <c r="F411" s="12">
        <v>44769.0</v>
      </c>
      <c r="G411" s="11" t="s">
        <v>1279</v>
      </c>
      <c r="H411" s="11" t="s">
        <v>1280</v>
      </c>
      <c r="I411" s="11" t="s">
        <v>73</v>
      </c>
      <c r="J411" s="11">
        <v>41311.2939011373</v>
      </c>
      <c r="K411" s="11">
        <v>434.0</v>
      </c>
      <c r="L411" s="11" t="s">
        <v>33</v>
      </c>
      <c r="M411" s="12">
        <v>44792.0</v>
      </c>
      <c r="N411" s="11" t="s">
        <v>91</v>
      </c>
      <c r="O411" s="11" t="s">
        <v>35</v>
      </c>
    </row>
    <row r="412">
      <c r="A412" s="10" t="s">
        <v>1281</v>
      </c>
      <c r="B412" s="11">
        <v>33.0</v>
      </c>
      <c r="C412" s="11" t="s">
        <v>17</v>
      </c>
      <c r="D412" s="11" t="s">
        <v>28</v>
      </c>
      <c r="E412" s="11" t="s">
        <v>19</v>
      </c>
      <c r="F412" s="12">
        <v>45415.0</v>
      </c>
      <c r="G412" s="11" t="s">
        <v>1282</v>
      </c>
      <c r="H412" s="11" t="s">
        <v>1283</v>
      </c>
      <c r="I412" s="11" t="s">
        <v>42</v>
      </c>
      <c r="J412" s="11">
        <v>36890.2690549742</v>
      </c>
      <c r="K412" s="11">
        <v>374.0</v>
      </c>
      <c r="L412" s="11" t="s">
        <v>50</v>
      </c>
      <c r="M412" s="12">
        <v>45427.0</v>
      </c>
      <c r="N412" s="11" t="s">
        <v>91</v>
      </c>
      <c r="O412" s="11" t="s">
        <v>25</v>
      </c>
    </row>
    <row r="413">
      <c r="A413" s="10" t="s">
        <v>1284</v>
      </c>
      <c r="B413" s="11">
        <v>21.0</v>
      </c>
      <c r="C413" s="11" t="s">
        <v>17</v>
      </c>
      <c r="D413" s="11" t="s">
        <v>46</v>
      </c>
      <c r="E413" s="11" t="s">
        <v>109</v>
      </c>
      <c r="F413" s="12">
        <v>43705.0</v>
      </c>
      <c r="G413" s="11" t="s">
        <v>1285</v>
      </c>
      <c r="H413" s="11" t="s">
        <v>1286</v>
      </c>
      <c r="I413" s="11" t="s">
        <v>42</v>
      </c>
      <c r="J413" s="11">
        <v>5716.10420761612</v>
      </c>
      <c r="K413" s="11">
        <v>293.0</v>
      </c>
      <c r="L413" s="11" t="s">
        <v>33</v>
      </c>
      <c r="M413" s="12">
        <v>43724.0</v>
      </c>
      <c r="N413" s="11" t="s">
        <v>43</v>
      </c>
      <c r="O413" s="11" t="s">
        <v>51</v>
      </c>
    </row>
    <row r="414">
      <c r="A414" s="10" t="s">
        <v>1287</v>
      </c>
      <c r="B414" s="11">
        <v>80.0</v>
      </c>
      <c r="C414" s="11" t="s">
        <v>17</v>
      </c>
      <c r="D414" s="11" t="s">
        <v>18</v>
      </c>
      <c r="E414" s="11" t="s">
        <v>47</v>
      </c>
      <c r="F414" s="12">
        <v>45403.0</v>
      </c>
      <c r="G414" s="11" t="s">
        <v>1288</v>
      </c>
      <c r="H414" s="11" t="s">
        <v>1289</v>
      </c>
      <c r="I414" s="11" t="s">
        <v>22</v>
      </c>
      <c r="J414" s="11">
        <v>10461.9806850176</v>
      </c>
      <c r="K414" s="11">
        <v>481.0</v>
      </c>
      <c r="L414" s="11" t="s">
        <v>33</v>
      </c>
      <c r="M414" s="12">
        <v>45419.0</v>
      </c>
      <c r="N414" s="11" t="s">
        <v>43</v>
      </c>
      <c r="O414" s="11" t="s">
        <v>51</v>
      </c>
    </row>
    <row r="415">
      <c r="A415" s="10" t="s">
        <v>1290</v>
      </c>
      <c r="B415" s="11">
        <v>79.0</v>
      </c>
      <c r="C415" s="11" t="s">
        <v>38</v>
      </c>
      <c r="D415" s="11" t="s">
        <v>46</v>
      </c>
      <c r="E415" s="11" t="s">
        <v>109</v>
      </c>
      <c r="F415" s="12">
        <v>45363.0</v>
      </c>
      <c r="G415" s="11" t="s">
        <v>1291</v>
      </c>
      <c r="H415" s="11" t="s">
        <v>1292</v>
      </c>
      <c r="I415" s="11" t="s">
        <v>22</v>
      </c>
      <c r="J415" s="11">
        <v>37879.9790316402</v>
      </c>
      <c r="K415" s="11">
        <v>110.0</v>
      </c>
      <c r="L415" s="11" t="s">
        <v>23</v>
      </c>
      <c r="M415" s="12">
        <v>45386.0</v>
      </c>
      <c r="N415" s="11" t="s">
        <v>43</v>
      </c>
      <c r="O415" s="11" t="s">
        <v>51</v>
      </c>
    </row>
    <row r="416">
      <c r="A416" s="10" t="s">
        <v>1293</v>
      </c>
      <c r="B416" s="11">
        <v>44.0</v>
      </c>
      <c r="C416" s="11" t="s">
        <v>17</v>
      </c>
      <c r="D416" s="11" t="s">
        <v>28</v>
      </c>
      <c r="E416" s="11" t="s">
        <v>29</v>
      </c>
      <c r="F416" s="12">
        <v>43737.0</v>
      </c>
      <c r="G416" s="11" t="s">
        <v>1294</v>
      </c>
      <c r="H416" s="11" t="s">
        <v>1295</v>
      </c>
      <c r="I416" s="11" t="s">
        <v>63</v>
      </c>
      <c r="J416" s="11">
        <v>44355.2041501939</v>
      </c>
      <c r="K416" s="11">
        <v>177.0</v>
      </c>
      <c r="L416" s="11" t="s">
        <v>50</v>
      </c>
      <c r="M416" s="12">
        <v>43743.0</v>
      </c>
      <c r="N416" s="11" t="s">
        <v>43</v>
      </c>
      <c r="O416" s="11" t="s">
        <v>35</v>
      </c>
    </row>
    <row r="417">
      <c r="A417" s="10" t="s">
        <v>1296</v>
      </c>
      <c r="B417" s="11">
        <v>23.0</v>
      </c>
      <c r="C417" s="11" t="s">
        <v>17</v>
      </c>
      <c r="D417" s="11" t="s">
        <v>54</v>
      </c>
      <c r="E417" s="11" t="s">
        <v>29</v>
      </c>
      <c r="F417" s="12">
        <v>44792.0</v>
      </c>
      <c r="G417" s="11" t="s">
        <v>1297</v>
      </c>
      <c r="H417" s="11" t="s">
        <v>1298</v>
      </c>
      <c r="I417" s="11" t="s">
        <v>32</v>
      </c>
      <c r="J417" s="11">
        <v>28355.4524572653</v>
      </c>
      <c r="K417" s="11">
        <v>327.0</v>
      </c>
      <c r="L417" s="11" t="s">
        <v>23</v>
      </c>
      <c r="M417" s="12">
        <v>44797.0</v>
      </c>
      <c r="N417" s="11" t="s">
        <v>57</v>
      </c>
      <c r="O417" s="11" t="s">
        <v>25</v>
      </c>
    </row>
    <row r="418">
      <c r="A418" s="10" t="s">
        <v>1299</v>
      </c>
      <c r="B418" s="11">
        <v>75.0</v>
      </c>
      <c r="C418" s="11" t="s">
        <v>17</v>
      </c>
      <c r="D418" s="11" t="s">
        <v>39</v>
      </c>
      <c r="E418" s="11" t="s">
        <v>19</v>
      </c>
      <c r="F418" s="12">
        <v>44487.0</v>
      </c>
      <c r="G418" s="11" t="s">
        <v>1300</v>
      </c>
      <c r="H418" s="11" t="s">
        <v>1301</v>
      </c>
      <c r="I418" s="11" t="s">
        <v>22</v>
      </c>
      <c r="J418" s="11">
        <v>22935.4117080103</v>
      </c>
      <c r="K418" s="11">
        <v>217.0</v>
      </c>
      <c r="L418" s="11" t="s">
        <v>50</v>
      </c>
      <c r="M418" s="12">
        <v>44501.0</v>
      </c>
      <c r="N418" s="11" t="s">
        <v>34</v>
      </c>
      <c r="O418" s="11" t="s">
        <v>25</v>
      </c>
    </row>
    <row r="419">
      <c r="A419" s="10" t="s">
        <v>1302</v>
      </c>
      <c r="B419" s="11">
        <v>60.0</v>
      </c>
      <c r="C419" s="11" t="s">
        <v>17</v>
      </c>
      <c r="D419" s="11" t="s">
        <v>39</v>
      </c>
      <c r="E419" s="11" t="s">
        <v>88</v>
      </c>
      <c r="F419" s="12">
        <v>45023.0</v>
      </c>
      <c r="G419" s="11" t="s">
        <v>1303</v>
      </c>
      <c r="H419" s="11" t="s">
        <v>1304</v>
      </c>
      <c r="I419" s="11" t="s">
        <v>32</v>
      </c>
      <c r="J419" s="11">
        <v>42605.6353407704</v>
      </c>
      <c r="K419" s="11">
        <v>366.0</v>
      </c>
      <c r="L419" s="11" t="s">
        <v>50</v>
      </c>
      <c r="M419" s="12">
        <v>45051.0</v>
      </c>
      <c r="N419" s="11" t="s">
        <v>91</v>
      </c>
      <c r="O419" s="11" t="s">
        <v>25</v>
      </c>
    </row>
    <row r="420">
      <c r="A420" s="10" t="s">
        <v>1305</v>
      </c>
      <c r="B420" s="11">
        <v>83.0</v>
      </c>
      <c r="C420" s="11" t="s">
        <v>17</v>
      </c>
      <c r="D420" s="11" t="s">
        <v>66</v>
      </c>
      <c r="E420" s="11" t="s">
        <v>60</v>
      </c>
      <c r="F420" s="12">
        <v>43766.0</v>
      </c>
      <c r="G420" s="11" t="s">
        <v>1306</v>
      </c>
      <c r="H420" s="11" t="s">
        <v>1307</v>
      </c>
      <c r="I420" s="11" t="s">
        <v>63</v>
      </c>
      <c r="J420" s="11">
        <v>24023.9561228201</v>
      </c>
      <c r="K420" s="11">
        <v>118.0</v>
      </c>
      <c r="L420" s="11" t="s">
        <v>50</v>
      </c>
      <c r="M420" s="12">
        <v>43793.0</v>
      </c>
      <c r="N420" s="11" t="s">
        <v>34</v>
      </c>
      <c r="O420" s="11" t="s">
        <v>35</v>
      </c>
    </row>
    <row r="421">
      <c r="A421" s="10" t="s">
        <v>1308</v>
      </c>
      <c r="B421" s="11">
        <v>61.0</v>
      </c>
      <c r="C421" s="11" t="s">
        <v>38</v>
      </c>
      <c r="D421" s="11" t="s">
        <v>54</v>
      </c>
      <c r="E421" s="11" t="s">
        <v>88</v>
      </c>
      <c r="F421" s="12">
        <v>44011.0</v>
      </c>
      <c r="G421" s="11" t="s">
        <v>1309</v>
      </c>
      <c r="H421" s="11" t="s">
        <v>1310</v>
      </c>
      <c r="I421" s="11" t="s">
        <v>63</v>
      </c>
      <c r="J421" s="11">
        <v>20577.7089266596</v>
      </c>
      <c r="K421" s="11">
        <v>387.0</v>
      </c>
      <c r="L421" s="11" t="s">
        <v>50</v>
      </c>
      <c r="M421" s="12">
        <v>44038.0</v>
      </c>
      <c r="N421" s="11" t="s">
        <v>57</v>
      </c>
      <c r="O421" s="11" t="s">
        <v>25</v>
      </c>
    </row>
    <row r="422">
      <c r="A422" s="10" t="s">
        <v>1311</v>
      </c>
      <c r="B422" s="11">
        <v>82.0</v>
      </c>
      <c r="C422" s="11" t="s">
        <v>38</v>
      </c>
      <c r="D422" s="11" t="s">
        <v>54</v>
      </c>
      <c r="E422" s="11" t="s">
        <v>47</v>
      </c>
      <c r="F422" s="12">
        <v>44825.0</v>
      </c>
      <c r="G422" s="11" t="s">
        <v>1312</v>
      </c>
      <c r="H422" s="11" t="s">
        <v>1313</v>
      </c>
      <c r="I422" s="11" t="s">
        <v>42</v>
      </c>
      <c r="J422" s="11">
        <v>7264.88503735054</v>
      </c>
      <c r="K422" s="11">
        <v>237.0</v>
      </c>
      <c r="L422" s="11" t="s">
        <v>33</v>
      </c>
      <c r="M422" s="12">
        <v>44837.0</v>
      </c>
      <c r="N422" s="11" t="s">
        <v>43</v>
      </c>
      <c r="O422" s="11" t="s">
        <v>25</v>
      </c>
    </row>
    <row r="423">
      <c r="A423" s="10" t="s">
        <v>1314</v>
      </c>
      <c r="B423" s="11">
        <v>40.0</v>
      </c>
      <c r="C423" s="11" t="s">
        <v>17</v>
      </c>
      <c r="D423" s="11" t="s">
        <v>39</v>
      </c>
      <c r="E423" s="11" t="s">
        <v>109</v>
      </c>
      <c r="F423" s="12">
        <v>45148.0</v>
      </c>
      <c r="G423" s="11" t="s">
        <v>1315</v>
      </c>
      <c r="H423" s="11" t="s">
        <v>1316</v>
      </c>
      <c r="I423" s="11" t="s">
        <v>73</v>
      </c>
      <c r="J423" s="11">
        <v>29913.8493301869</v>
      </c>
      <c r="K423" s="11">
        <v>317.0</v>
      </c>
      <c r="L423" s="11" t="s">
        <v>23</v>
      </c>
      <c r="M423" s="12">
        <v>45153.0</v>
      </c>
      <c r="N423" s="11" t="s">
        <v>34</v>
      </c>
      <c r="O423" s="11" t="s">
        <v>25</v>
      </c>
    </row>
    <row r="424">
      <c r="A424" s="10" t="s">
        <v>1317</v>
      </c>
      <c r="B424" s="11">
        <v>70.0</v>
      </c>
      <c r="C424" s="11" t="s">
        <v>38</v>
      </c>
      <c r="D424" s="11" t="s">
        <v>119</v>
      </c>
      <c r="E424" s="11" t="s">
        <v>88</v>
      </c>
      <c r="F424" s="12">
        <v>44697.0</v>
      </c>
      <c r="G424" s="11" t="s">
        <v>1318</v>
      </c>
      <c r="H424" s="11" t="s">
        <v>1319</v>
      </c>
      <c r="I424" s="11" t="s">
        <v>73</v>
      </c>
      <c r="J424" s="11">
        <v>43353.4039523194</v>
      </c>
      <c r="K424" s="11">
        <v>266.0</v>
      </c>
      <c r="L424" s="11" t="s">
        <v>50</v>
      </c>
      <c r="M424" s="12">
        <v>44707.0</v>
      </c>
      <c r="N424" s="11" t="s">
        <v>91</v>
      </c>
      <c r="O424" s="11" t="s">
        <v>25</v>
      </c>
    </row>
    <row r="425">
      <c r="A425" s="10" t="s">
        <v>1320</v>
      </c>
      <c r="B425" s="11">
        <v>68.0</v>
      </c>
      <c r="C425" s="11" t="s">
        <v>38</v>
      </c>
      <c r="D425" s="11" t="s">
        <v>46</v>
      </c>
      <c r="E425" s="11" t="s">
        <v>19</v>
      </c>
      <c r="F425" s="12">
        <v>44068.0</v>
      </c>
      <c r="G425" s="11" t="s">
        <v>1321</v>
      </c>
      <c r="H425" s="11" t="s">
        <v>1322</v>
      </c>
      <c r="I425" s="11" t="s">
        <v>22</v>
      </c>
      <c r="J425" s="11">
        <v>18382.6640546501</v>
      </c>
      <c r="K425" s="11">
        <v>355.0</v>
      </c>
      <c r="L425" s="11" t="s">
        <v>50</v>
      </c>
      <c r="M425" s="12">
        <v>44089.0</v>
      </c>
      <c r="N425" s="11" t="s">
        <v>91</v>
      </c>
      <c r="O425" s="11" t="s">
        <v>51</v>
      </c>
    </row>
    <row r="426">
      <c r="A426" s="10" t="s">
        <v>1323</v>
      </c>
      <c r="B426" s="11">
        <v>31.0</v>
      </c>
      <c r="C426" s="11" t="s">
        <v>38</v>
      </c>
      <c r="D426" s="11" t="s">
        <v>18</v>
      </c>
      <c r="E426" s="11" t="s">
        <v>19</v>
      </c>
      <c r="F426" s="12">
        <v>45203.0</v>
      </c>
      <c r="G426" s="11" t="s">
        <v>1324</v>
      </c>
      <c r="H426" s="11" t="s">
        <v>1325</v>
      </c>
      <c r="I426" s="11" t="s">
        <v>22</v>
      </c>
      <c r="J426" s="11">
        <v>49419.8680145578</v>
      </c>
      <c r="K426" s="11">
        <v>328.0</v>
      </c>
      <c r="L426" s="11" t="s">
        <v>50</v>
      </c>
      <c r="M426" s="12">
        <v>45210.0</v>
      </c>
      <c r="N426" s="11" t="s">
        <v>34</v>
      </c>
      <c r="O426" s="11" t="s">
        <v>35</v>
      </c>
    </row>
    <row r="427">
      <c r="A427" s="10" t="s">
        <v>1326</v>
      </c>
      <c r="B427" s="11">
        <v>28.0</v>
      </c>
      <c r="C427" s="11" t="s">
        <v>17</v>
      </c>
      <c r="D427" s="11" t="s">
        <v>46</v>
      </c>
      <c r="E427" s="11" t="s">
        <v>60</v>
      </c>
      <c r="F427" s="12">
        <v>44679.0</v>
      </c>
      <c r="G427" s="11" t="s">
        <v>1327</v>
      </c>
      <c r="H427" s="11" t="s">
        <v>1328</v>
      </c>
      <c r="I427" s="11" t="s">
        <v>42</v>
      </c>
      <c r="J427" s="11">
        <v>9958.02390082405</v>
      </c>
      <c r="K427" s="11">
        <v>364.0</v>
      </c>
      <c r="L427" s="11" t="s">
        <v>33</v>
      </c>
      <c r="M427" s="12">
        <v>44708.0</v>
      </c>
      <c r="N427" s="11" t="s">
        <v>57</v>
      </c>
      <c r="O427" s="11" t="s">
        <v>35</v>
      </c>
    </row>
    <row r="428">
      <c r="A428" s="10" t="s">
        <v>1329</v>
      </c>
      <c r="B428" s="11">
        <v>84.0</v>
      </c>
      <c r="C428" s="11" t="s">
        <v>17</v>
      </c>
      <c r="D428" s="11" t="s">
        <v>46</v>
      </c>
      <c r="E428" s="11" t="s">
        <v>88</v>
      </c>
      <c r="F428" s="12">
        <v>43614.0</v>
      </c>
      <c r="G428" s="11" t="s">
        <v>266</v>
      </c>
      <c r="H428" s="11" t="s">
        <v>1330</v>
      </c>
      <c r="I428" s="11" t="s">
        <v>22</v>
      </c>
      <c r="J428" s="11">
        <v>21438.2789859338</v>
      </c>
      <c r="K428" s="11">
        <v>217.0</v>
      </c>
      <c r="L428" s="11" t="s">
        <v>50</v>
      </c>
      <c r="M428" s="12">
        <v>43633.0</v>
      </c>
      <c r="N428" s="11" t="s">
        <v>43</v>
      </c>
      <c r="O428" s="11" t="s">
        <v>51</v>
      </c>
    </row>
    <row r="429">
      <c r="A429" s="10" t="s">
        <v>1331</v>
      </c>
      <c r="B429" s="11">
        <v>34.0</v>
      </c>
      <c r="C429" s="11" t="s">
        <v>38</v>
      </c>
      <c r="D429" s="11" t="s">
        <v>54</v>
      </c>
      <c r="E429" s="11" t="s">
        <v>109</v>
      </c>
      <c r="F429" s="12">
        <v>45360.0</v>
      </c>
      <c r="G429" s="11" t="s">
        <v>1332</v>
      </c>
      <c r="H429" s="11" t="s">
        <v>1333</v>
      </c>
      <c r="I429" s="11" t="s">
        <v>42</v>
      </c>
      <c r="J429" s="11">
        <v>1820.01582071994</v>
      </c>
      <c r="K429" s="11">
        <v>356.0</v>
      </c>
      <c r="L429" s="11" t="s">
        <v>33</v>
      </c>
      <c r="M429" s="12">
        <v>45374.0</v>
      </c>
      <c r="N429" s="11" t="s">
        <v>43</v>
      </c>
      <c r="O429" s="11" t="s">
        <v>51</v>
      </c>
    </row>
    <row r="430">
      <c r="A430" s="10" t="s">
        <v>220</v>
      </c>
      <c r="B430" s="11">
        <v>25.0</v>
      </c>
      <c r="C430" s="11" t="s">
        <v>38</v>
      </c>
      <c r="D430" s="11" t="s">
        <v>119</v>
      </c>
      <c r="E430" s="11" t="s">
        <v>88</v>
      </c>
      <c r="F430" s="12">
        <v>43837.0</v>
      </c>
      <c r="G430" s="11" t="s">
        <v>1334</v>
      </c>
      <c r="H430" s="11" t="s">
        <v>1335</v>
      </c>
      <c r="I430" s="11" t="s">
        <v>73</v>
      </c>
      <c r="J430" s="11">
        <v>32760.4687598798</v>
      </c>
      <c r="K430" s="11">
        <v>476.0</v>
      </c>
      <c r="L430" s="11" t="s">
        <v>23</v>
      </c>
      <c r="M430" s="12">
        <v>43862.0</v>
      </c>
      <c r="N430" s="11" t="s">
        <v>43</v>
      </c>
      <c r="O430" s="11" t="s">
        <v>25</v>
      </c>
    </row>
    <row r="431">
      <c r="A431" s="10" t="s">
        <v>1336</v>
      </c>
      <c r="B431" s="11">
        <v>58.0</v>
      </c>
      <c r="C431" s="11" t="s">
        <v>38</v>
      </c>
      <c r="D431" s="11" t="s">
        <v>119</v>
      </c>
      <c r="E431" s="11" t="s">
        <v>60</v>
      </c>
      <c r="F431" s="12">
        <v>43779.0</v>
      </c>
      <c r="G431" s="11" t="s">
        <v>1337</v>
      </c>
      <c r="H431" s="11" t="s">
        <v>1338</v>
      </c>
      <c r="I431" s="11" t="s">
        <v>32</v>
      </c>
      <c r="J431" s="11">
        <v>35421.8258254822</v>
      </c>
      <c r="K431" s="11">
        <v>134.0</v>
      </c>
      <c r="L431" s="11" t="s">
        <v>50</v>
      </c>
      <c r="M431" s="12">
        <v>43805.0</v>
      </c>
      <c r="N431" s="11" t="s">
        <v>24</v>
      </c>
      <c r="O431" s="11" t="s">
        <v>51</v>
      </c>
    </row>
    <row r="432">
      <c r="A432" s="10" t="s">
        <v>1339</v>
      </c>
      <c r="B432" s="11">
        <v>78.0</v>
      </c>
      <c r="C432" s="11" t="s">
        <v>38</v>
      </c>
      <c r="D432" s="11" t="s">
        <v>46</v>
      </c>
      <c r="E432" s="11" t="s">
        <v>47</v>
      </c>
      <c r="F432" s="12">
        <v>44950.0</v>
      </c>
      <c r="G432" s="11" t="s">
        <v>1340</v>
      </c>
      <c r="H432" s="11" t="s">
        <v>1341</v>
      </c>
      <c r="I432" s="11" t="s">
        <v>32</v>
      </c>
      <c r="J432" s="11">
        <v>44393.1805276552</v>
      </c>
      <c r="K432" s="11">
        <v>169.0</v>
      </c>
      <c r="L432" s="11" t="s">
        <v>50</v>
      </c>
      <c r="M432" s="12">
        <v>44958.0</v>
      </c>
      <c r="N432" s="11" t="s">
        <v>43</v>
      </c>
      <c r="O432" s="11" t="s">
        <v>35</v>
      </c>
    </row>
    <row r="433">
      <c r="A433" s="10" t="s">
        <v>1342</v>
      </c>
      <c r="B433" s="11">
        <v>56.0</v>
      </c>
      <c r="C433" s="11" t="s">
        <v>17</v>
      </c>
      <c r="D433" s="11" t="s">
        <v>54</v>
      </c>
      <c r="E433" s="11" t="s">
        <v>47</v>
      </c>
      <c r="F433" s="12">
        <v>43674.0</v>
      </c>
      <c r="G433" s="11" t="s">
        <v>1343</v>
      </c>
      <c r="H433" s="11" t="s">
        <v>1344</v>
      </c>
      <c r="I433" s="11" t="s">
        <v>22</v>
      </c>
      <c r="J433" s="11">
        <v>16578.9058365789</v>
      </c>
      <c r="K433" s="11">
        <v>282.0</v>
      </c>
      <c r="L433" s="11" t="s">
        <v>23</v>
      </c>
      <c r="M433" s="12">
        <v>43703.0</v>
      </c>
      <c r="N433" s="11" t="s">
        <v>57</v>
      </c>
      <c r="O433" s="11" t="s">
        <v>35</v>
      </c>
    </row>
    <row r="434">
      <c r="A434" s="10" t="s">
        <v>1345</v>
      </c>
      <c r="B434" s="11">
        <v>77.0</v>
      </c>
      <c r="C434" s="11" t="s">
        <v>17</v>
      </c>
      <c r="D434" s="11" t="s">
        <v>66</v>
      </c>
      <c r="E434" s="11" t="s">
        <v>109</v>
      </c>
      <c r="F434" s="12">
        <v>44760.0</v>
      </c>
      <c r="G434" s="11" t="s">
        <v>1346</v>
      </c>
      <c r="H434" s="11" t="s">
        <v>1347</v>
      </c>
      <c r="I434" s="11" t="s">
        <v>32</v>
      </c>
      <c r="J434" s="11">
        <v>33749.8587685578</v>
      </c>
      <c r="K434" s="11">
        <v>112.0</v>
      </c>
      <c r="L434" s="11" t="s">
        <v>33</v>
      </c>
      <c r="M434" s="12">
        <v>44780.0</v>
      </c>
      <c r="N434" s="11" t="s">
        <v>24</v>
      </c>
      <c r="O434" s="11" t="s">
        <v>51</v>
      </c>
    </row>
    <row r="435">
      <c r="A435" s="10" t="s">
        <v>1348</v>
      </c>
      <c r="B435" s="11">
        <v>61.0</v>
      </c>
      <c r="C435" s="11" t="s">
        <v>38</v>
      </c>
      <c r="D435" s="11" t="s">
        <v>28</v>
      </c>
      <c r="E435" s="11" t="s">
        <v>60</v>
      </c>
      <c r="F435" s="12">
        <v>43989.0</v>
      </c>
      <c r="G435" s="11" t="s">
        <v>1349</v>
      </c>
      <c r="H435" s="11" t="s">
        <v>1350</v>
      </c>
      <c r="I435" s="11" t="s">
        <v>63</v>
      </c>
      <c r="J435" s="11">
        <v>3903.75624349977</v>
      </c>
      <c r="K435" s="11">
        <v>301.0</v>
      </c>
      <c r="L435" s="11" t="s">
        <v>23</v>
      </c>
      <c r="M435" s="12">
        <v>44013.0</v>
      </c>
      <c r="N435" s="11" t="s">
        <v>57</v>
      </c>
      <c r="O435" s="11" t="s">
        <v>51</v>
      </c>
    </row>
    <row r="436">
      <c r="A436" s="10" t="s">
        <v>1351</v>
      </c>
      <c r="B436" s="11">
        <v>40.0</v>
      </c>
      <c r="C436" s="11" t="s">
        <v>38</v>
      </c>
      <c r="D436" s="11" t="s">
        <v>18</v>
      </c>
      <c r="E436" s="11" t="s">
        <v>19</v>
      </c>
      <c r="F436" s="12">
        <v>44172.0</v>
      </c>
      <c r="G436" s="11" t="s">
        <v>1352</v>
      </c>
      <c r="H436" s="11" t="s">
        <v>1353</v>
      </c>
      <c r="I436" s="11" t="s">
        <v>32</v>
      </c>
      <c r="J436" s="11">
        <v>22720.3337033833</v>
      </c>
      <c r="K436" s="11">
        <v>463.0</v>
      </c>
      <c r="L436" s="11" t="s">
        <v>33</v>
      </c>
      <c r="M436" s="12">
        <v>44185.0</v>
      </c>
      <c r="N436" s="11" t="s">
        <v>91</v>
      </c>
      <c r="O436" s="11" t="s">
        <v>51</v>
      </c>
    </row>
    <row r="437">
      <c r="A437" s="10" t="s">
        <v>1354</v>
      </c>
      <c r="B437" s="11">
        <v>80.0</v>
      </c>
      <c r="C437" s="11" t="s">
        <v>17</v>
      </c>
      <c r="D437" s="11" t="s">
        <v>66</v>
      </c>
      <c r="E437" s="11" t="s">
        <v>47</v>
      </c>
      <c r="F437" s="12">
        <v>43931.0</v>
      </c>
      <c r="G437" s="11" t="s">
        <v>1355</v>
      </c>
      <c r="H437" s="11" t="s">
        <v>1356</v>
      </c>
      <c r="I437" s="11" t="s">
        <v>32</v>
      </c>
      <c r="J437" s="11">
        <v>35411.4713737896</v>
      </c>
      <c r="K437" s="11">
        <v>282.0</v>
      </c>
      <c r="L437" s="11" t="s">
        <v>50</v>
      </c>
      <c r="M437" s="12">
        <v>43951.0</v>
      </c>
      <c r="N437" s="11" t="s">
        <v>24</v>
      </c>
      <c r="O437" s="11" t="s">
        <v>51</v>
      </c>
    </row>
    <row r="438">
      <c r="A438" s="10" t="s">
        <v>1357</v>
      </c>
      <c r="B438" s="11">
        <v>35.0</v>
      </c>
      <c r="C438" s="11" t="s">
        <v>17</v>
      </c>
      <c r="D438" s="11" t="s">
        <v>39</v>
      </c>
      <c r="E438" s="11" t="s">
        <v>88</v>
      </c>
      <c r="F438" s="12">
        <v>45119.0</v>
      </c>
      <c r="G438" s="11" t="s">
        <v>1358</v>
      </c>
      <c r="H438" s="11" t="s">
        <v>1359</v>
      </c>
      <c r="I438" s="11" t="s">
        <v>32</v>
      </c>
      <c r="J438" s="11">
        <v>27342.2267434525</v>
      </c>
      <c r="K438" s="11">
        <v>279.0</v>
      </c>
      <c r="L438" s="11" t="s">
        <v>23</v>
      </c>
      <c r="M438" s="12">
        <v>45129.0</v>
      </c>
      <c r="N438" s="11" t="s">
        <v>43</v>
      </c>
      <c r="O438" s="11" t="s">
        <v>25</v>
      </c>
    </row>
    <row r="439">
      <c r="A439" s="10" t="s">
        <v>1360</v>
      </c>
      <c r="B439" s="11">
        <v>85.0</v>
      </c>
      <c r="C439" s="11" t="s">
        <v>38</v>
      </c>
      <c r="D439" s="11" t="s">
        <v>28</v>
      </c>
      <c r="E439" s="11" t="s">
        <v>19</v>
      </c>
      <c r="F439" s="12">
        <v>44814.0</v>
      </c>
      <c r="G439" s="11" t="s">
        <v>1361</v>
      </c>
      <c r="H439" s="11" t="s">
        <v>718</v>
      </c>
      <c r="I439" s="11" t="s">
        <v>22</v>
      </c>
      <c r="J439" s="11">
        <v>27971.2803607663</v>
      </c>
      <c r="K439" s="11">
        <v>120.0</v>
      </c>
      <c r="L439" s="11" t="s">
        <v>33</v>
      </c>
      <c r="M439" s="12">
        <v>44818.0</v>
      </c>
      <c r="N439" s="11" t="s">
        <v>91</v>
      </c>
      <c r="O439" s="11" t="s">
        <v>51</v>
      </c>
    </row>
    <row r="440">
      <c r="A440" s="10" t="s">
        <v>1362</v>
      </c>
      <c r="B440" s="11">
        <v>64.0</v>
      </c>
      <c r="C440" s="11" t="s">
        <v>17</v>
      </c>
      <c r="D440" s="11" t="s">
        <v>66</v>
      </c>
      <c r="E440" s="11" t="s">
        <v>88</v>
      </c>
      <c r="F440" s="12">
        <v>44301.0</v>
      </c>
      <c r="G440" s="11" t="s">
        <v>1363</v>
      </c>
      <c r="H440" s="11" t="s">
        <v>1364</v>
      </c>
      <c r="I440" s="11" t="s">
        <v>73</v>
      </c>
      <c r="J440" s="11">
        <v>26894.074932347</v>
      </c>
      <c r="K440" s="11">
        <v>208.0</v>
      </c>
      <c r="L440" s="11" t="s">
        <v>33</v>
      </c>
      <c r="M440" s="12">
        <v>44323.0</v>
      </c>
      <c r="N440" s="11" t="s">
        <v>43</v>
      </c>
      <c r="O440" s="11" t="s">
        <v>25</v>
      </c>
    </row>
    <row r="441">
      <c r="A441" s="10" t="s">
        <v>1365</v>
      </c>
      <c r="B441" s="11">
        <v>30.0</v>
      </c>
      <c r="C441" s="11" t="s">
        <v>38</v>
      </c>
      <c r="D441" s="11" t="s">
        <v>141</v>
      </c>
      <c r="E441" s="11" t="s">
        <v>19</v>
      </c>
      <c r="F441" s="12">
        <v>44063.0</v>
      </c>
      <c r="G441" s="11" t="s">
        <v>1366</v>
      </c>
      <c r="H441" s="11" t="s">
        <v>1367</v>
      </c>
      <c r="I441" s="11" t="s">
        <v>32</v>
      </c>
      <c r="J441" s="11">
        <v>36551.0547516079</v>
      </c>
      <c r="K441" s="11">
        <v>111.0</v>
      </c>
      <c r="L441" s="11" t="s">
        <v>33</v>
      </c>
      <c r="M441" s="12">
        <v>44066.0</v>
      </c>
      <c r="N441" s="11" t="s">
        <v>34</v>
      </c>
      <c r="O441" s="11" t="s">
        <v>51</v>
      </c>
    </row>
    <row r="442">
      <c r="A442" s="10" t="s">
        <v>1368</v>
      </c>
      <c r="B442" s="11">
        <v>19.0</v>
      </c>
      <c r="C442" s="11" t="s">
        <v>38</v>
      </c>
      <c r="D442" s="11" t="s">
        <v>28</v>
      </c>
      <c r="E442" s="11" t="s">
        <v>109</v>
      </c>
      <c r="F442" s="12">
        <v>44057.0</v>
      </c>
      <c r="G442" s="11" t="s">
        <v>1369</v>
      </c>
      <c r="H442" s="11" t="s">
        <v>1370</v>
      </c>
      <c r="I442" s="11" t="s">
        <v>32</v>
      </c>
      <c r="J442" s="11">
        <v>10693.3892640976</v>
      </c>
      <c r="K442" s="11">
        <v>435.0</v>
      </c>
      <c r="L442" s="11" t="s">
        <v>50</v>
      </c>
      <c r="M442" s="12">
        <v>44071.0</v>
      </c>
      <c r="N442" s="11" t="s">
        <v>34</v>
      </c>
      <c r="O442" s="11" t="s">
        <v>51</v>
      </c>
    </row>
    <row r="443">
      <c r="A443" s="10" t="s">
        <v>1371</v>
      </c>
      <c r="B443" s="11">
        <v>64.0</v>
      </c>
      <c r="C443" s="11" t="s">
        <v>17</v>
      </c>
      <c r="D443" s="11" t="s">
        <v>28</v>
      </c>
      <c r="E443" s="11" t="s">
        <v>47</v>
      </c>
      <c r="F443" s="12">
        <v>44394.0</v>
      </c>
      <c r="G443" s="11" t="s">
        <v>1372</v>
      </c>
      <c r="H443" s="11" t="s">
        <v>1373</v>
      </c>
      <c r="I443" s="11" t="s">
        <v>63</v>
      </c>
      <c r="J443" s="11">
        <v>28835.4411907577</v>
      </c>
      <c r="K443" s="11">
        <v>270.0</v>
      </c>
      <c r="L443" s="11" t="s">
        <v>23</v>
      </c>
      <c r="M443" s="12">
        <v>44411.0</v>
      </c>
      <c r="N443" s="11" t="s">
        <v>91</v>
      </c>
      <c r="O443" s="11" t="s">
        <v>35</v>
      </c>
    </row>
    <row r="444">
      <c r="A444" s="10" t="s">
        <v>1374</v>
      </c>
      <c r="B444" s="11">
        <v>44.0</v>
      </c>
      <c r="C444" s="11" t="s">
        <v>17</v>
      </c>
      <c r="D444" s="11" t="s">
        <v>119</v>
      </c>
      <c r="E444" s="11" t="s">
        <v>47</v>
      </c>
      <c r="F444" s="12">
        <v>44953.0</v>
      </c>
      <c r="G444" s="11" t="s">
        <v>1375</v>
      </c>
      <c r="H444" s="11" t="s">
        <v>1376</v>
      </c>
      <c r="I444" s="11" t="s">
        <v>32</v>
      </c>
      <c r="J444" s="11">
        <v>7083.61426633701</v>
      </c>
      <c r="K444" s="11">
        <v>317.0</v>
      </c>
      <c r="L444" s="11" t="s">
        <v>50</v>
      </c>
      <c r="M444" s="12">
        <v>44959.0</v>
      </c>
      <c r="N444" s="11" t="s">
        <v>91</v>
      </c>
      <c r="O444" s="11" t="s">
        <v>35</v>
      </c>
    </row>
    <row r="445">
      <c r="A445" s="10" t="s">
        <v>1377</v>
      </c>
      <c r="B445" s="11">
        <v>66.0</v>
      </c>
      <c r="C445" s="11" t="s">
        <v>38</v>
      </c>
      <c r="D445" s="11" t="s">
        <v>141</v>
      </c>
      <c r="E445" s="11" t="s">
        <v>60</v>
      </c>
      <c r="F445" s="12">
        <v>44078.0</v>
      </c>
      <c r="G445" s="11" t="s">
        <v>1378</v>
      </c>
      <c r="H445" s="11" t="s">
        <v>1379</v>
      </c>
      <c r="I445" s="11" t="s">
        <v>32</v>
      </c>
      <c r="J445" s="11">
        <v>2068.42920362951</v>
      </c>
      <c r="K445" s="11">
        <v>302.0</v>
      </c>
      <c r="L445" s="11" t="s">
        <v>23</v>
      </c>
      <c r="M445" s="12">
        <v>44094.0</v>
      </c>
      <c r="N445" s="11" t="s">
        <v>57</v>
      </c>
      <c r="O445" s="11" t="s">
        <v>35</v>
      </c>
    </row>
    <row r="446">
      <c r="A446" s="10" t="s">
        <v>1380</v>
      </c>
      <c r="B446" s="11">
        <v>79.0</v>
      </c>
      <c r="C446" s="11" t="s">
        <v>38</v>
      </c>
      <c r="D446" s="11" t="s">
        <v>54</v>
      </c>
      <c r="E446" s="11" t="s">
        <v>88</v>
      </c>
      <c r="F446" s="12">
        <v>43869.0</v>
      </c>
      <c r="G446" s="11" t="s">
        <v>1381</v>
      </c>
      <c r="H446" s="11" t="s">
        <v>1382</v>
      </c>
      <c r="I446" s="11" t="s">
        <v>22</v>
      </c>
      <c r="J446" s="11">
        <v>42956.1289529578</v>
      </c>
      <c r="K446" s="11">
        <v>382.0</v>
      </c>
      <c r="L446" s="11" t="s">
        <v>50</v>
      </c>
      <c r="M446" s="12">
        <v>43882.0</v>
      </c>
      <c r="N446" s="11" t="s">
        <v>43</v>
      </c>
      <c r="O446" s="11" t="s">
        <v>25</v>
      </c>
    </row>
    <row r="447">
      <c r="A447" s="10" t="s">
        <v>1383</v>
      </c>
      <c r="B447" s="11">
        <v>59.0</v>
      </c>
      <c r="C447" s="11" t="s">
        <v>38</v>
      </c>
      <c r="D447" s="11" t="s">
        <v>46</v>
      </c>
      <c r="E447" s="11" t="s">
        <v>47</v>
      </c>
      <c r="F447" s="12">
        <v>43647.0</v>
      </c>
      <c r="G447" s="11" t="s">
        <v>1384</v>
      </c>
      <c r="H447" s="11" t="s">
        <v>1385</v>
      </c>
      <c r="I447" s="11" t="s">
        <v>42</v>
      </c>
      <c r="J447" s="11">
        <v>17307.366222435</v>
      </c>
      <c r="K447" s="11">
        <v>255.0</v>
      </c>
      <c r="L447" s="11" t="s">
        <v>23</v>
      </c>
      <c r="M447" s="12">
        <v>43651.0</v>
      </c>
      <c r="N447" s="11" t="s">
        <v>57</v>
      </c>
      <c r="O447" s="11" t="s">
        <v>51</v>
      </c>
    </row>
    <row r="448">
      <c r="A448" s="10" t="s">
        <v>1386</v>
      </c>
      <c r="B448" s="11">
        <v>47.0</v>
      </c>
      <c r="C448" s="11" t="s">
        <v>17</v>
      </c>
      <c r="D448" s="11" t="s">
        <v>46</v>
      </c>
      <c r="E448" s="11" t="s">
        <v>60</v>
      </c>
      <c r="F448" s="12">
        <v>45292.0</v>
      </c>
      <c r="G448" s="11" t="s">
        <v>1387</v>
      </c>
      <c r="H448" s="11" t="s">
        <v>1388</v>
      </c>
      <c r="I448" s="11" t="s">
        <v>42</v>
      </c>
      <c r="J448" s="11">
        <v>41492.1275888982</v>
      </c>
      <c r="K448" s="11">
        <v>388.0</v>
      </c>
      <c r="L448" s="11" t="s">
        <v>50</v>
      </c>
      <c r="M448" s="12">
        <v>45303.0</v>
      </c>
      <c r="N448" s="11" t="s">
        <v>43</v>
      </c>
      <c r="O448" s="11" t="s">
        <v>25</v>
      </c>
    </row>
    <row r="449">
      <c r="A449" s="10" t="s">
        <v>1389</v>
      </c>
      <c r="B449" s="11">
        <v>49.0</v>
      </c>
      <c r="C449" s="11" t="s">
        <v>17</v>
      </c>
      <c r="D449" s="11" t="s">
        <v>54</v>
      </c>
      <c r="E449" s="11" t="s">
        <v>29</v>
      </c>
      <c r="F449" s="12">
        <v>44265.0</v>
      </c>
      <c r="G449" s="11" t="s">
        <v>1390</v>
      </c>
      <c r="H449" s="11" t="s">
        <v>1391</v>
      </c>
      <c r="I449" s="11" t="s">
        <v>63</v>
      </c>
      <c r="J449" s="11">
        <v>16097.762164349</v>
      </c>
      <c r="K449" s="11">
        <v>310.0</v>
      </c>
      <c r="L449" s="11" t="s">
        <v>33</v>
      </c>
      <c r="M449" s="12">
        <v>44293.0</v>
      </c>
      <c r="N449" s="11" t="s">
        <v>24</v>
      </c>
      <c r="O449" s="11" t="s">
        <v>25</v>
      </c>
    </row>
    <row r="450">
      <c r="A450" s="10" t="s">
        <v>1392</v>
      </c>
      <c r="B450" s="11">
        <v>35.0</v>
      </c>
      <c r="C450" s="11" t="s">
        <v>17</v>
      </c>
      <c r="D450" s="11" t="s">
        <v>54</v>
      </c>
      <c r="E450" s="11" t="s">
        <v>19</v>
      </c>
      <c r="F450" s="12">
        <v>43727.0</v>
      </c>
      <c r="G450" s="11" t="s">
        <v>1393</v>
      </c>
      <c r="H450" s="11" t="s">
        <v>1394</v>
      </c>
      <c r="I450" s="11" t="s">
        <v>22</v>
      </c>
      <c r="J450" s="11">
        <v>44495.7310384766</v>
      </c>
      <c r="K450" s="11">
        <v>469.0</v>
      </c>
      <c r="L450" s="11" t="s">
        <v>50</v>
      </c>
      <c r="M450" s="12">
        <v>43754.0</v>
      </c>
      <c r="N450" s="11" t="s">
        <v>24</v>
      </c>
      <c r="O450" s="11" t="s">
        <v>35</v>
      </c>
    </row>
    <row r="451">
      <c r="A451" s="10" t="s">
        <v>1395</v>
      </c>
      <c r="B451" s="11">
        <v>69.0</v>
      </c>
      <c r="C451" s="11" t="s">
        <v>38</v>
      </c>
      <c r="D451" s="11" t="s">
        <v>119</v>
      </c>
      <c r="E451" s="11" t="s">
        <v>29</v>
      </c>
      <c r="F451" s="12">
        <v>44981.0</v>
      </c>
      <c r="G451" s="11" t="s">
        <v>1396</v>
      </c>
      <c r="H451" s="11" t="s">
        <v>1397</v>
      </c>
      <c r="I451" s="11" t="s">
        <v>22</v>
      </c>
      <c r="J451" s="11">
        <v>2936.89449862293</v>
      </c>
      <c r="K451" s="11">
        <v>223.0</v>
      </c>
      <c r="L451" s="11" t="s">
        <v>33</v>
      </c>
      <c r="M451" s="12">
        <v>44982.0</v>
      </c>
      <c r="N451" s="11" t="s">
        <v>43</v>
      </c>
      <c r="O451" s="11" t="s">
        <v>51</v>
      </c>
    </row>
    <row r="452">
      <c r="A452" s="10" t="s">
        <v>1398</v>
      </c>
      <c r="B452" s="11">
        <v>57.0</v>
      </c>
      <c r="C452" s="11" t="s">
        <v>17</v>
      </c>
      <c r="D452" s="11" t="s">
        <v>46</v>
      </c>
      <c r="E452" s="11" t="s">
        <v>29</v>
      </c>
      <c r="F452" s="12">
        <v>44650.0</v>
      </c>
      <c r="G452" s="11" t="s">
        <v>1399</v>
      </c>
      <c r="H452" s="11" t="s">
        <v>1400</v>
      </c>
      <c r="I452" s="11" t="s">
        <v>63</v>
      </c>
      <c r="J452" s="11">
        <v>43374.0114646903</v>
      </c>
      <c r="K452" s="11">
        <v>232.0</v>
      </c>
      <c r="L452" s="11" t="s">
        <v>33</v>
      </c>
      <c r="M452" s="12">
        <v>44665.0</v>
      </c>
      <c r="N452" s="11" t="s">
        <v>91</v>
      </c>
      <c r="O452" s="11" t="s">
        <v>35</v>
      </c>
    </row>
    <row r="453">
      <c r="A453" s="10" t="s">
        <v>1401</v>
      </c>
      <c r="B453" s="11">
        <v>51.0</v>
      </c>
      <c r="C453" s="11" t="s">
        <v>38</v>
      </c>
      <c r="D453" s="11" t="s">
        <v>28</v>
      </c>
      <c r="E453" s="11" t="s">
        <v>60</v>
      </c>
      <c r="F453" s="12">
        <v>43707.0</v>
      </c>
      <c r="G453" s="11" t="s">
        <v>1402</v>
      </c>
      <c r="H453" s="11" t="s">
        <v>1403</v>
      </c>
      <c r="I453" s="11" t="s">
        <v>42</v>
      </c>
      <c r="J453" s="11">
        <v>6949.87564499535</v>
      </c>
      <c r="K453" s="11">
        <v>366.0</v>
      </c>
      <c r="L453" s="11" t="s">
        <v>23</v>
      </c>
      <c r="M453" s="12">
        <v>43725.0</v>
      </c>
      <c r="N453" s="11" t="s">
        <v>24</v>
      </c>
      <c r="O453" s="11" t="s">
        <v>35</v>
      </c>
    </row>
    <row r="454">
      <c r="A454" s="10" t="s">
        <v>1404</v>
      </c>
      <c r="B454" s="11">
        <v>31.0</v>
      </c>
      <c r="C454" s="11" t="s">
        <v>38</v>
      </c>
      <c r="D454" s="11" t="s">
        <v>46</v>
      </c>
      <c r="E454" s="11" t="s">
        <v>109</v>
      </c>
      <c r="F454" s="12">
        <v>43820.0</v>
      </c>
      <c r="G454" s="11" t="s">
        <v>1405</v>
      </c>
      <c r="H454" s="11" t="s">
        <v>1406</v>
      </c>
      <c r="I454" s="11" t="s">
        <v>22</v>
      </c>
      <c r="J454" s="11">
        <v>15449.0639737078</v>
      </c>
      <c r="K454" s="11">
        <v>384.0</v>
      </c>
      <c r="L454" s="11" t="s">
        <v>50</v>
      </c>
      <c r="M454" s="12">
        <v>43830.0</v>
      </c>
      <c r="N454" s="11" t="s">
        <v>91</v>
      </c>
      <c r="O454" s="11" t="s">
        <v>51</v>
      </c>
    </row>
    <row r="455">
      <c r="A455" s="10" t="s">
        <v>1407</v>
      </c>
      <c r="B455" s="11">
        <v>34.0</v>
      </c>
      <c r="C455" s="11" t="s">
        <v>38</v>
      </c>
      <c r="D455" s="11" t="s">
        <v>39</v>
      </c>
      <c r="E455" s="11" t="s">
        <v>29</v>
      </c>
      <c r="F455" s="12">
        <v>43708.0</v>
      </c>
      <c r="G455" s="11" t="s">
        <v>1408</v>
      </c>
      <c r="H455" s="11" t="s">
        <v>1409</v>
      </c>
      <c r="I455" s="11" t="s">
        <v>22</v>
      </c>
      <c r="J455" s="11">
        <v>37458.159278941</v>
      </c>
      <c r="K455" s="11">
        <v>184.0</v>
      </c>
      <c r="L455" s="11" t="s">
        <v>50</v>
      </c>
      <c r="M455" s="12">
        <v>43736.0</v>
      </c>
      <c r="N455" s="11" t="s">
        <v>24</v>
      </c>
      <c r="O455" s="11" t="s">
        <v>51</v>
      </c>
    </row>
    <row r="456">
      <c r="A456" s="10" t="s">
        <v>1410</v>
      </c>
      <c r="B456" s="11">
        <v>57.0</v>
      </c>
      <c r="C456" s="11" t="s">
        <v>17</v>
      </c>
      <c r="D456" s="11" t="s">
        <v>46</v>
      </c>
      <c r="E456" s="11" t="s">
        <v>19</v>
      </c>
      <c r="F456" s="12">
        <v>44650.0</v>
      </c>
      <c r="G456" s="11" t="s">
        <v>1411</v>
      </c>
      <c r="H456" s="11" t="s">
        <v>1412</v>
      </c>
      <c r="I456" s="11" t="s">
        <v>32</v>
      </c>
      <c r="J456" s="11">
        <v>5919.30008439826</v>
      </c>
      <c r="K456" s="11">
        <v>455.0</v>
      </c>
      <c r="L456" s="11" t="s">
        <v>50</v>
      </c>
      <c r="M456" s="12">
        <v>44662.0</v>
      </c>
      <c r="N456" s="11" t="s">
        <v>34</v>
      </c>
      <c r="O456" s="11" t="s">
        <v>25</v>
      </c>
    </row>
    <row r="457">
      <c r="A457" s="10" t="s">
        <v>1413</v>
      </c>
      <c r="B457" s="11">
        <v>51.0</v>
      </c>
      <c r="C457" s="11" t="s">
        <v>38</v>
      </c>
      <c r="D457" s="11" t="s">
        <v>46</v>
      </c>
      <c r="E457" s="11" t="s">
        <v>109</v>
      </c>
      <c r="F457" s="12">
        <v>45149.0</v>
      </c>
      <c r="G457" s="11" t="s">
        <v>1414</v>
      </c>
      <c r="H457" s="11" t="s">
        <v>1415</v>
      </c>
      <c r="I457" s="11" t="s">
        <v>73</v>
      </c>
      <c r="J457" s="11">
        <v>21534.7155699147</v>
      </c>
      <c r="K457" s="11">
        <v>198.0</v>
      </c>
      <c r="L457" s="11" t="s">
        <v>33</v>
      </c>
      <c r="M457" s="12">
        <v>45158.0</v>
      </c>
      <c r="N457" s="11" t="s">
        <v>57</v>
      </c>
      <c r="O457" s="11" t="s">
        <v>25</v>
      </c>
    </row>
    <row r="458">
      <c r="A458" s="10" t="s">
        <v>1416</v>
      </c>
      <c r="B458" s="11">
        <v>85.0</v>
      </c>
      <c r="C458" s="11" t="s">
        <v>17</v>
      </c>
      <c r="D458" s="11" t="s">
        <v>119</v>
      </c>
      <c r="E458" s="11" t="s">
        <v>60</v>
      </c>
      <c r="F458" s="12">
        <v>44498.0</v>
      </c>
      <c r="G458" s="11" t="s">
        <v>1417</v>
      </c>
      <c r="H458" s="11" t="s">
        <v>1418</v>
      </c>
      <c r="I458" s="11" t="s">
        <v>73</v>
      </c>
      <c r="J458" s="11">
        <v>43393.9229151478</v>
      </c>
      <c r="K458" s="11">
        <v>123.0</v>
      </c>
      <c r="L458" s="11" t="s">
        <v>50</v>
      </c>
      <c r="M458" s="12">
        <v>44525.0</v>
      </c>
      <c r="N458" s="11" t="s">
        <v>57</v>
      </c>
      <c r="O458" s="11" t="s">
        <v>35</v>
      </c>
    </row>
    <row r="459">
      <c r="A459" s="10" t="s">
        <v>1419</v>
      </c>
      <c r="B459" s="11">
        <v>51.0</v>
      </c>
      <c r="C459" s="11" t="s">
        <v>17</v>
      </c>
      <c r="D459" s="11" t="s">
        <v>39</v>
      </c>
      <c r="E459" s="11" t="s">
        <v>19</v>
      </c>
      <c r="F459" s="12">
        <v>44092.0</v>
      </c>
      <c r="G459" s="11" t="s">
        <v>1420</v>
      </c>
      <c r="H459" s="11" t="s">
        <v>1421</v>
      </c>
      <c r="I459" s="11" t="s">
        <v>32</v>
      </c>
      <c r="J459" s="11">
        <v>50332.9324112066</v>
      </c>
      <c r="K459" s="11">
        <v>394.0</v>
      </c>
      <c r="L459" s="11" t="s">
        <v>33</v>
      </c>
      <c r="M459" s="12">
        <v>44116.0</v>
      </c>
      <c r="N459" s="11" t="s">
        <v>43</v>
      </c>
      <c r="O459" s="11" t="s">
        <v>51</v>
      </c>
    </row>
    <row r="460">
      <c r="A460" s="10" t="s">
        <v>1422</v>
      </c>
      <c r="B460" s="11">
        <v>39.0</v>
      </c>
      <c r="C460" s="11" t="s">
        <v>17</v>
      </c>
      <c r="D460" s="11" t="s">
        <v>54</v>
      </c>
      <c r="E460" s="11" t="s">
        <v>19</v>
      </c>
      <c r="F460" s="12">
        <v>44251.0</v>
      </c>
      <c r="G460" s="11" t="s">
        <v>1423</v>
      </c>
      <c r="H460" s="11" t="s">
        <v>1424</v>
      </c>
      <c r="I460" s="11" t="s">
        <v>42</v>
      </c>
      <c r="J460" s="11">
        <v>18062.5968435067</v>
      </c>
      <c r="K460" s="11">
        <v>140.0</v>
      </c>
      <c r="L460" s="11" t="s">
        <v>23</v>
      </c>
      <c r="M460" s="12">
        <v>44272.0</v>
      </c>
      <c r="N460" s="11" t="s">
        <v>24</v>
      </c>
      <c r="O460" s="11" t="s">
        <v>35</v>
      </c>
    </row>
    <row r="461">
      <c r="A461" s="10" t="s">
        <v>1425</v>
      </c>
      <c r="B461" s="11">
        <v>75.0</v>
      </c>
      <c r="C461" s="11" t="s">
        <v>17</v>
      </c>
      <c r="D461" s="11" t="s">
        <v>66</v>
      </c>
      <c r="E461" s="11" t="s">
        <v>88</v>
      </c>
      <c r="F461" s="12">
        <v>45114.0</v>
      </c>
      <c r="G461" s="11" t="s">
        <v>1426</v>
      </c>
      <c r="H461" s="11" t="s">
        <v>1427</v>
      </c>
      <c r="I461" s="11" t="s">
        <v>63</v>
      </c>
      <c r="J461" s="11">
        <v>30064.1807902165</v>
      </c>
      <c r="K461" s="11">
        <v>110.0</v>
      </c>
      <c r="L461" s="11" t="s">
        <v>23</v>
      </c>
      <c r="M461" s="12">
        <v>45120.0</v>
      </c>
      <c r="N461" s="11" t="s">
        <v>24</v>
      </c>
      <c r="O461" s="11" t="s">
        <v>25</v>
      </c>
    </row>
    <row r="462">
      <c r="A462" s="10" t="s">
        <v>1428</v>
      </c>
      <c r="B462" s="11">
        <v>46.0</v>
      </c>
      <c r="C462" s="11" t="s">
        <v>38</v>
      </c>
      <c r="D462" s="11" t="s">
        <v>46</v>
      </c>
      <c r="E462" s="11" t="s">
        <v>88</v>
      </c>
      <c r="F462" s="12">
        <v>45103.0</v>
      </c>
      <c r="G462" s="11" t="s">
        <v>1429</v>
      </c>
      <c r="H462" s="11" t="s">
        <v>1430</v>
      </c>
      <c r="I462" s="11" t="s">
        <v>22</v>
      </c>
      <c r="J462" s="11">
        <v>45440.7928096698</v>
      </c>
      <c r="K462" s="11">
        <v>462.0</v>
      </c>
      <c r="L462" s="11" t="s">
        <v>50</v>
      </c>
      <c r="M462" s="12">
        <v>45130.0</v>
      </c>
      <c r="N462" s="11" t="s">
        <v>34</v>
      </c>
      <c r="O462" s="11" t="s">
        <v>35</v>
      </c>
    </row>
    <row r="463">
      <c r="A463" s="10" t="s">
        <v>1431</v>
      </c>
      <c r="B463" s="11">
        <v>47.0</v>
      </c>
      <c r="C463" s="11" t="s">
        <v>17</v>
      </c>
      <c r="D463" s="11" t="s">
        <v>141</v>
      </c>
      <c r="E463" s="11" t="s">
        <v>29</v>
      </c>
      <c r="F463" s="12">
        <v>44512.0</v>
      </c>
      <c r="G463" s="11" t="s">
        <v>1432</v>
      </c>
      <c r="H463" s="11" t="s">
        <v>1433</v>
      </c>
      <c r="I463" s="11" t="s">
        <v>42</v>
      </c>
      <c r="J463" s="11">
        <v>12073.0672653691</v>
      </c>
      <c r="K463" s="11">
        <v>400.0</v>
      </c>
      <c r="L463" s="11" t="s">
        <v>23</v>
      </c>
      <c r="M463" s="12">
        <v>44534.0</v>
      </c>
      <c r="N463" s="11" t="s">
        <v>24</v>
      </c>
      <c r="O463" s="11" t="s">
        <v>25</v>
      </c>
    </row>
    <row r="464">
      <c r="A464" s="10" t="s">
        <v>1434</v>
      </c>
      <c r="B464" s="11">
        <v>38.0</v>
      </c>
      <c r="C464" s="11" t="s">
        <v>38</v>
      </c>
      <c r="D464" s="11" t="s">
        <v>46</v>
      </c>
      <c r="E464" s="11" t="s">
        <v>109</v>
      </c>
      <c r="F464" s="12">
        <v>44492.0</v>
      </c>
      <c r="G464" s="11" t="s">
        <v>1435</v>
      </c>
      <c r="H464" s="11" t="s">
        <v>1436</v>
      </c>
      <c r="I464" s="11" t="s">
        <v>63</v>
      </c>
      <c r="J464" s="11">
        <v>48065.4623931538</v>
      </c>
      <c r="K464" s="11">
        <v>147.0</v>
      </c>
      <c r="L464" s="11" t="s">
        <v>23</v>
      </c>
      <c r="M464" s="12">
        <v>44508.0</v>
      </c>
      <c r="N464" s="11" t="s">
        <v>24</v>
      </c>
      <c r="O464" s="11" t="s">
        <v>51</v>
      </c>
    </row>
    <row r="465">
      <c r="A465" s="10" t="s">
        <v>1437</v>
      </c>
      <c r="B465" s="11">
        <v>25.0</v>
      </c>
      <c r="C465" s="11" t="s">
        <v>38</v>
      </c>
      <c r="D465" s="11" t="s">
        <v>46</v>
      </c>
      <c r="E465" s="11" t="s">
        <v>109</v>
      </c>
      <c r="F465" s="12">
        <v>43799.0</v>
      </c>
      <c r="G465" s="11" t="s">
        <v>1438</v>
      </c>
      <c r="H465" s="11" t="s">
        <v>1439</v>
      </c>
      <c r="I465" s="11" t="s">
        <v>42</v>
      </c>
      <c r="J465" s="11">
        <v>16342.3637333576</v>
      </c>
      <c r="K465" s="11">
        <v>255.0</v>
      </c>
      <c r="L465" s="11" t="s">
        <v>33</v>
      </c>
      <c r="M465" s="12">
        <v>43819.0</v>
      </c>
      <c r="N465" s="11" t="s">
        <v>91</v>
      </c>
      <c r="O465" s="11" t="s">
        <v>35</v>
      </c>
    </row>
    <row r="466">
      <c r="A466" s="10" t="s">
        <v>1440</v>
      </c>
      <c r="B466" s="11">
        <v>65.0</v>
      </c>
      <c r="C466" s="11" t="s">
        <v>17</v>
      </c>
      <c r="D466" s="11" t="s">
        <v>54</v>
      </c>
      <c r="E466" s="11" t="s">
        <v>88</v>
      </c>
      <c r="F466" s="12">
        <v>45004.0</v>
      </c>
      <c r="G466" s="11" t="s">
        <v>1441</v>
      </c>
      <c r="H466" s="11" t="s">
        <v>1442</v>
      </c>
      <c r="I466" s="11" t="s">
        <v>73</v>
      </c>
      <c r="J466" s="11">
        <v>21767.2316749422</v>
      </c>
      <c r="K466" s="11">
        <v>410.0</v>
      </c>
      <c r="L466" s="11" t="s">
        <v>50</v>
      </c>
      <c r="M466" s="12">
        <v>45032.0</v>
      </c>
      <c r="N466" s="11" t="s">
        <v>91</v>
      </c>
      <c r="O466" s="11" t="s">
        <v>25</v>
      </c>
    </row>
    <row r="467">
      <c r="A467" s="10" t="s">
        <v>1443</v>
      </c>
      <c r="B467" s="11">
        <v>50.0</v>
      </c>
      <c r="C467" s="11" t="s">
        <v>38</v>
      </c>
      <c r="D467" s="11" t="s">
        <v>141</v>
      </c>
      <c r="E467" s="11" t="s">
        <v>88</v>
      </c>
      <c r="F467" s="12">
        <v>44594.0</v>
      </c>
      <c r="G467" s="11" t="s">
        <v>1444</v>
      </c>
      <c r="H467" s="11" t="s">
        <v>1445</v>
      </c>
      <c r="I467" s="11" t="s">
        <v>22</v>
      </c>
      <c r="J467" s="11">
        <v>16055.9303954196</v>
      </c>
      <c r="K467" s="11">
        <v>393.0</v>
      </c>
      <c r="L467" s="11" t="s">
        <v>33</v>
      </c>
      <c r="M467" s="12">
        <v>44597.0</v>
      </c>
      <c r="N467" s="11" t="s">
        <v>43</v>
      </c>
      <c r="O467" s="11" t="s">
        <v>35</v>
      </c>
    </row>
    <row r="468">
      <c r="A468" s="10" t="s">
        <v>1446</v>
      </c>
      <c r="B468" s="11">
        <v>40.0</v>
      </c>
      <c r="C468" s="11" t="s">
        <v>17</v>
      </c>
      <c r="D468" s="11" t="s">
        <v>54</v>
      </c>
      <c r="E468" s="11" t="s">
        <v>29</v>
      </c>
      <c r="F468" s="12">
        <v>45194.0</v>
      </c>
      <c r="G468" s="11" t="s">
        <v>1447</v>
      </c>
      <c r="H468" s="11" t="s">
        <v>1448</v>
      </c>
      <c r="I468" s="11" t="s">
        <v>63</v>
      </c>
      <c r="J468" s="11">
        <v>30123.538567926</v>
      </c>
      <c r="K468" s="11">
        <v>423.0</v>
      </c>
      <c r="L468" s="11" t="s">
        <v>23</v>
      </c>
      <c r="M468" s="12">
        <v>45204.0</v>
      </c>
      <c r="N468" s="11" t="s">
        <v>43</v>
      </c>
      <c r="O468" s="11" t="s">
        <v>25</v>
      </c>
    </row>
    <row r="469">
      <c r="A469" s="10" t="s">
        <v>1449</v>
      </c>
      <c r="B469" s="11">
        <v>70.0</v>
      </c>
      <c r="C469" s="11" t="s">
        <v>17</v>
      </c>
      <c r="D469" s="11" t="s">
        <v>119</v>
      </c>
      <c r="E469" s="11" t="s">
        <v>109</v>
      </c>
      <c r="F469" s="12">
        <v>44497.0</v>
      </c>
      <c r="G469" s="11" t="s">
        <v>1450</v>
      </c>
      <c r="H469" s="11" t="s">
        <v>1451</v>
      </c>
      <c r="I469" s="11" t="s">
        <v>63</v>
      </c>
      <c r="J469" s="11">
        <v>38572.1694779157</v>
      </c>
      <c r="K469" s="11">
        <v>123.0</v>
      </c>
      <c r="L469" s="11" t="s">
        <v>33</v>
      </c>
      <c r="M469" s="12">
        <v>44500.0</v>
      </c>
      <c r="N469" s="11" t="s">
        <v>34</v>
      </c>
      <c r="O469" s="11" t="s">
        <v>35</v>
      </c>
    </row>
    <row r="470">
      <c r="A470" s="10" t="s">
        <v>1452</v>
      </c>
      <c r="B470" s="11">
        <v>56.0</v>
      </c>
      <c r="C470" s="11" t="s">
        <v>38</v>
      </c>
      <c r="D470" s="11" t="s">
        <v>66</v>
      </c>
      <c r="E470" s="11" t="s">
        <v>88</v>
      </c>
      <c r="F470" s="12">
        <v>43998.0</v>
      </c>
      <c r="G470" s="11" t="s">
        <v>1453</v>
      </c>
      <c r="H470" s="11" t="s">
        <v>1454</v>
      </c>
      <c r="I470" s="11" t="s">
        <v>22</v>
      </c>
      <c r="J470" s="11">
        <v>37798.9505878379</v>
      </c>
      <c r="K470" s="11">
        <v>392.0</v>
      </c>
      <c r="L470" s="11" t="s">
        <v>23</v>
      </c>
      <c r="M470" s="12">
        <v>44026.0</v>
      </c>
      <c r="N470" s="11" t="s">
        <v>34</v>
      </c>
      <c r="O470" s="11" t="s">
        <v>51</v>
      </c>
    </row>
    <row r="471">
      <c r="A471" s="10" t="s">
        <v>1455</v>
      </c>
      <c r="B471" s="11">
        <v>25.0</v>
      </c>
      <c r="C471" s="11" t="s">
        <v>17</v>
      </c>
      <c r="D471" s="11" t="s">
        <v>46</v>
      </c>
      <c r="E471" s="11" t="s">
        <v>47</v>
      </c>
      <c r="F471" s="12">
        <v>44476.0</v>
      </c>
      <c r="G471" s="11" t="s">
        <v>1456</v>
      </c>
      <c r="H471" s="11" t="s">
        <v>1457</v>
      </c>
      <c r="I471" s="11" t="s">
        <v>32</v>
      </c>
      <c r="J471" s="11">
        <v>38716.3559348625</v>
      </c>
      <c r="K471" s="11">
        <v>283.0</v>
      </c>
      <c r="L471" s="11" t="s">
        <v>33</v>
      </c>
      <c r="M471" s="12">
        <v>44506.0</v>
      </c>
      <c r="N471" s="11" t="s">
        <v>34</v>
      </c>
      <c r="O471" s="11" t="s">
        <v>25</v>
      </c>
    </row>
    <row r="472">
      <c r="A472" s="10" t="s">
        <v>1458</v>
      </c>
      <c r="B472" s="11">
        <v>20.0</v>
      </c>
      <c r="C472" s="11" t="s">
        <v>17</v>
      </c>
      <c r="D472" s="11" t="s">
        <v>39</v>
      </c>
      <c r="E472" s="11" t="s">
        <v>47</v>
      </c>
      <c r="F472" s="12">
        <v>44315.0</v>
      </c>
      <c r="G472" s="11" t="s">
        <v>1459</v>
      </c>
      <c r="H472" s="11" t="s">
        <v>1460</v>
      </c>
      <c r="I472" s="11" t="s">
        <v>42</v>
      </c>
      <c r="J472" s="11">
        <v>13666.2833707318</v>
      </c>
      <c r="K472" s="11">
        <v>471.0</v>
      </c>
      <c r="L472" s="11" t="s">
        <v>50</v>
      </c>
      <c r="M472" s="12">
        <v>44333.0</v>
      </c>
      <c r="N472" s="11" t="s">
        <v>24</v>
      </c>
      <c r="O472" s="11" t="s">
        <v>35</v>
      </c>
    </row>
    <row r="473">
      <c r="A473" s="10" t="s">
        <v>1461</v>
      </c>
      <c r="B473" s="11">
        <v>73.0</v>
      </c>
      <c r="C473" s="11" t="s">
        <v>38</v>
      </c>
      <c r="D473" s="11" t="s">
        <v>66</v>
      </c>
      <c r="E473" s="11" t="s">
        <v>47</v>
      </c>
      <c r="F473" s="12">
        <v>43597.0</v>
      </c>
      <c r="G473" s="11" t="s">
        <v>1462</v>
      </c>
      <c r="H473" s="11" t="s">
        <v>1463</v>
      </c>
      <c r="I473" s="11" t="s">
        <v>73</v>
      </c>
      <c r="J473" s="11">
        <v>30753.6888233077</v>
      </c>
      <c r="K473" s="11">
        <v>236.0</v>
      </c>
      <c r="L473" s="11" t="s">
        <v>50</v>
      </c>
      <c r="M473" s="12">
        <v>43623.0</v>
      </c>
      <c r="N473" s="11" t="s">
        <v>91</v>
      </c>
      <c r="O473" s="11" t="s">
        <v>51</v>
      </c>
    </row>
    <row r="474">
      <c r="A474" s="10" t="s">
        <v>1464</v>
      </c>
      <c r="B474" s="11">
        <v>82.0</v>
      </c>
      <c r="C474" s="11" t="s">
        <v>17</v>
      </c>
      <c r="D474" s="11" t="s">
        <v>18</v>
      </c>
      <c r="E474" s="11" t="s">
        <v>29</v>
      </c>
      <c r="F474" s="12">
        <v>44451.0</v>
      </c>
      <c r="G474" s="11" t="s">
        <v>1465</v>
      </c>
      <c r="H474" s="11" t="s">
        <v>1466</v>
      </c>
      <c r="I474" s="11" t="s">
        <v>63</v>
      </c>
      <c r="J474" s="11">
        <v>44278.2316567763</v>
      </c>
      <c r="K474" s="11">
        <v>295.0</v>
      </c>
      <c r="L474" s="11" t="s">
        <v>50</v>
      </c>
      <c r="M474" s="12">
        <v>44456.0</v>
      </c>
      <c r="N474" s="11" t="s">
        <v>43</v>
      </c>
      <c r="O474" s="11" t="s">
        <v>35</v>
      </c>
    </row>
    <row r="475">
      <c r="A475" s="10" t="s">
        <v>1467</v>
      </c>
      <c r="B475" s="11">
        <v>31.0</v>
      </c>
      <c r="C475" s="11" t="s">
        <v>17</v>
      </c>
      <c r="D475" s="11" t="s">
        <v>119</v>
      </c>
      <c r="E475" s="11" t="s">
        <v>47</v>
      </c>
      <c r="F475" s="12">
        <v>44221.0</v>
      </c>
      <c r="G475" s="11" t="s">
        <v>1468</v>
      </c>
      <c r="H475" s="11" t="s">
        <v>1469</v>
      </c>
      <c r="I475" s="11" t="s">
        <v>42</v>
      </c>
      <c r="J475" s="11">
        <v>6267.54056171807</v>
      </c>
      <c r="K475" s="11">
        <v>140.0</v>
      </c>
      <c r="L475" s="11" t="s">
        <v>23</v>
      </c>
      <c r="M475" s="12">
        <v>44223.0</v>
      </c>
      <c r="N475" s="11" t="s">
        <v>34</v>
      </c>
      <c r="O475" s="11" t="s">
        <v>25</v>
      </c>
    </row>
    <row r="476">
      <c r="A476" s="10" t="s">
        <v>1470</v>
      </c>
      <c r="B476" s="11">
        <v>74.0</v>
      </c>
      <c r="C476" s="11" t="s">
        <v>17</v>
      </c>
      <c r="D476" s="11" t="s">
        <v>141</v>
      </c>
      <c r="E476" s="11" t="s">
        <v>19</v>
      </c>
      <c r="F476" s="12">
        <v>43973.0</v>
      </c>
      <c r="G476" s="11" t="s">
        <v>1471</v>
      </c>
      <c r="H476" s="11" t="s">
        <v>1472</v>
      </c>
      <c r="I476" s="11" t="s">
        <v>42</v>
      </c>
      <c r="J476" s="11">
        <v>26276.7926635246</v>
      </c>
      <c r="K476" s="11">
        <v>242.0</v>
      </c>
      <c r="L476" s="11" t="s">
        <v>50</v>
      </c>
      <c r="M476" s="12">
        <v>43999.0</v>
      </c>
      <c r="N476" s="11" t="s">
        <v>34</v>
      </c>
      <c r="O476" s="11" t="s">
        <v>25</v>
      </c>
    </row>
    <row r="477">
      <c r="A477" s="10" t="s">
        <v>1473</v>
      </c>
      <c r="B477" s="11">
        <v>38.0</v>
      </c>
      <c r="C477" s="11" t="s">
        <v>38</v>
      </c>
      <c r="D477" s="11" t="s">
        <v>18</v>
      </c>
      <c r="E477" s="11" t="s">
        <v>60</v>
      </c>
      <c r="F477" s="12">
        <v>44732.0</v>
      </c>
      <c r="G477" s="11" t="s">
        <v>1474</v>
      </c>
      <c r="H477" s="11" t="s">
        <v>1475</v>
      </c>
      <c r="I477" s="11" t="s">
        <v>22</v>
      </c>
      <c r="J477" s="11">
        <v>33171.0300887571</v>
      </c>
      <c r="K477" s="11">
        <v>319.0</v>
      </c>
      <c r="L477" s="11" t="s">
        <v>50</v>
      </c>
      <c r="M477" s="12">
        <v>44756.0</v>
      </c>
      <c r="N477" s="11" t="s">
        <v>43</v>
      </c>
      <c r="O477" s="11" t="s">
        <v>35</v>
      </c>
    </row>
    <row r="478">
      <c r="A478" s="10" t="s">
        <v>1476</v>
      </c>
      <c r="B478" s="11">
        <v>63.0</v>
      </c>
      <c r="C478" s="11" t="s">
        <v>38</v>
      </c>
      <c r="D478" s="11" t="s">
        <v>66</v>
      </c>
      <c r="E478" s="11" t="s">
        <v>19</v>
      </c>
      <c r="F478" s="12">
        <v>44151.0</v>
      </c>
      <c r="G478" s="11" t="s">
        <v>1477</v>
      </c>
      <c r="H478" s="11" t="s">
        <v>1478</v>
      </c>
      <c r="I478" s="11" t="s">
        <v>63</v>
      </c>
      <c r="J478" s="11">
        <v>44984.2415562503</v>
      </c>
      <c r="K478" s="11">
        <v>124.0</v>
      </c>
      <c r="L478" s="11" t="s">
        <v>50</v>
      </c>
      <c r="M478" s="12">
        <v>44171.0</v>
      </c>
      <c r="N478" s="11" t="s">
        <v>24</v>
      </c>
      <c r="O478" s="11" t="s">
        <v>25</v>
      </c>
    </row>
    <row r="479">
      <c r="A479" s="10" t="s">
        <v>1479</v>
      </c>
      <c r="B479" s="11">
        <v>62.0</v>
      </c>
      <c r="C479" s="11" t="s">
        <v>38</v>
      </c>
      <c r="D479" s="11" t="s">
        <v>18</v>
      </c>
      <c r="E479" s="11" t="s">
        <v>29</v>
      </c>
      <c r="F479" s="12">
        <v>44113.0</v>
      </c>
      <c r="G479" s="11" t="s">
        <v>1480</v>
      </c>
      <c r="H479" s="11" t="s">
        <v>1481</v>
      </c>
      <c r="I479" s="11" t="s">
        <v>73</v>
      </c>
      <c r="J479" s="11">
        <v>27091.8603731937</v>
      </c>
      <c r="K479" s="11">
        <v>315.0</v>
      </c>
      <c r="L479" s="11" t="s">
        <v>23</v>
      </c>
      <c r="M479" s="12">
        <v>44118.0</v>
      </c>
      <c r="N479" s="11" t="s">
        <v>34</v>
      </c>
      <c r="O479" s="11" t="s">
        <v>35</v>
      </c>
    </row>
    <row r="480">
      <c r="A480" s="10" t="s">
        <v>1482</v>
      </c>
      <c r="B480" s="11">
        <v>80.0</v>
      </c>
      <c r="C480" s="11" t="s">
        <v>17</v>
      </c>
      <c r="D480" s="11" t="s">
        <v>46</v>
      </c>
      <c r="E480" s="11" t="s">
        <v>29</v>
      </c>
      <c r="F480" s="12">
        <v>45272.0</v>
      </c>
      <c r="G480" s="11" t="s">
        <v>1483</v>
      </c>
      <c r="H480" s="11" t="s">
        <v>1484</v>
      </c>
      <c r="I480" s="11" t="s">
        <v>63</v>
      </c>
      <c r="J480" s="11">
        <v>32387.9251486023</v>
      </c>
      <c r="K480" s="11">
        <v>264.0</v>
      </c>
      <c r="L480" s="11" t="s">
        <v>23</v>
      </c>
      <c r="M480" s="12">
        <v>45287.0</v>
      </c>
      <c r="N480" s="11" t="s">
        <v>34</v>
      </c>
      <c r="O480" s="11" t="s">
        <v>25</v>
      </c>
    </row>
    <row r="481">
      <c r="A481" s="10" t="s">
        <v>1485</v>
      </c>
      <c r="B481" s="11">
        <v>25.0</v>
      </c>
      <c r="C481" s="11" t="s">
        <v>38</v>
      </c>
      <c r="D481" s="11" t="s">
        <v>66</v>
      </c>
      <c r="E481" s="11" t="s">
        <v>19</v>
      </c>
      <c r="F481" s="12">
        <v>44726.0</v>
      </c>
      <c r="G481" s="11" t="s">
        <v>1486</v>
      </c>
      <c r="H481" s="11" t="s">
        <v>1487</v>
      </c>
      <c r="I481" s="11" t="s">
        <v>73</v>
      </c>
      <c r="J481" s="11">
        <v>32905.4767938012</v>
      </c>
      <c r="K481" s="11">
        <v>289.0</v>
      </c>
      <c r="L481" s="11" t="s">
        <v>33</v>
      </c>
      <c r="M481" s="12">
        <v>44745.0</v>
      </c>
      <c r="N481" s="11" t="s">
        <v>91</v>
      </c>
      <c r="O481" s="11" t="s">
        <v>51</v>
      </c>
    </row>
    <row r="482">
      <c r="A482" s="10" t="s">
        <v>1488</v>
      </c>
      <c r="B482" s="11">
        <v>51.0</v>
      </c>
      <c r="C482" s="11" t="s">
        <v>17</v>
      </c>
      <c r="D482" s="11" t="s">
        <v>39</v>
      </c>
      <c r="E482" s="11" t="s">
        <v>47</v>
      </c>
      <c r="F482" s="12">
        <v>44980.0</v>
      </c>
      <c r="G482" s="11" t="s">
        <v>1489</v>
      </c>
      <c r="H482" s="11" t="s">
        <v>1490</v>
      </c>
      <c r="I482" s="11" t="s">
        <v>22</v>
      </c>
      <c r="J482" s="11">
        <v>1332.33843284689</v>
      </c>
      <c r="K482" s="11">
        <v>489.0</v>
      </c>
      <c r="L482" s="11" t="s">
        <v>33</v>
      </c>
      <c r="M482" s="12">
        <v>45003.0</v>
      </c>
      <c r="N482" s="11" t="s">
        <v>43</v>
      </c>
      <c r="O482" s="11" t="s">
        <v>51</v>
      </c>
    </row>
    <row r="483">
      <c r="A483" s="10" t="s">
        <v>1491</v>
      </c>
      <c r="B483" s="11">
        <v>46.0</v>
      </c>
      <c r="C483" s="11" t="s">
        <v>38</v>
      </c>
      <c r="D483" s="11" t="s">
        <v>54</v>
      </c>
      <c r="E483" s="11" t="s">
        <v>29</v>
      </c>
      <c r="F483" s="12">
        <v>45407.0</v>
      </c>
      <c r="G483" s="11" t="s">
        <v>1492</v>
      </c>
      <c r="H483" s="11" t="s">
        <v>1493</v>
      </c>
      <c r="I483" s="11" t="s">
        <v>42</v>
      </c>
      <c r="J483" s="11">
        <v>17702.5693860183</v>
      </c>
      <c r="K483" s="11">
        <v>385.0</v>
      </c>
      <c r="L483" s="11" t="s">
        <v>23</v>
      </c>
      <c r="M483" s="12">
        <v>45424.0</v>
      </c>
      <c r="N483" s="11" t="s">
        <v>34</v>
      </c>
      <c r="O483" s="11" t="s">
        <v>35</v>
      </c>
    </row>
    <row r="484">
      <c r="A484" s="10" t="s">
        <v>1494</v>
      </c>
      <c r="B484" s="11">
        <v>18.0</v>
      </c>
      <c r="C484" s="11" t="s">
        <v>38</v>
      </c>
      <c r="D484" s="11" t="s">
        <v>28</v>
      </c>
      <c r="E484" s="11" t="s">
        <v>60</v>
      </c>
      <c r="F484" s="12">
        <v>44720.0</v>
      </c>
      <c r="G484" s="11" t="s">
        <v>1495</v>
      </c>
      <c r="H484" s="11" t="s">
        <v>1496</v>
      </c>
      <c r="I484" s="11" t="s">
        <v>63</v>
      </c>
      <c r="J484" s="11">
        <v>33443.5524861501</v>
      </c>
      <c r="K484" s="11">
        <v>342.0</v>
      </c>
      <c r="L484" s="11" t="s">
        <v>33</v>
      </c>
      <c r="M484" s="12">
        <v>44734.0</v>
      </c>
      <c r="N484" s="11" t="s">
        <v>57</v>
      </c>
      <c r="O484" s="11" t="s">
        <v>25</v>
      </c>
    </row>
    <row r="485">
      <c r="A485" s="10" t="s">
        <v>1497</v>
      </c>
      <c r="B485" s="11">
        <v>30.0</v>
      </c>
      <c r="C485" s="11" t="s">
        <v>38</v>
      </c>
      <c r="D485" s="11" t="s">
        <v>18</v>
      </c>
      <c r="E485" s="11" t="s">
        <v>19</v>
      </c>
      <c r="F485" s="12">
        <v>45267.0</v>
      </c>
      <c r="G485" s="11" t="s">
        <v>1498</v>
      </c>
      <c r="H485" s="11" t="s">
        <v>1499</v>
      </c>
      <c r="I485" s="11" t="s">
        <v>73</v>
      </c>
      <c r="J485" s="11">
        <v>23175.4970285953</v>
      </c>
      <c r="K485" s="11">
        <v>326.0</v>
      </c>
      <c r="L485" s="11" t="s">
        <v>33</v>
      </c>
      <c r="M485" s="12">
        <v>45284.0</v>
      </c>
      <c r="N485" s="11" t="s">
        <v>34</v>
      </c>
      <c r="O485" s="11" t="s">
        <v>25</v>
      </c>
    </row>
    <row r="486">
      <c r="A486" s="10" t="s">
        <v>1500</v>
      </c>
      <c r="B486" s="11">
        <v>43.0</v>
      </c>
      <c r="C486" s="11" t="s">
        <v>17</v>
      </c>
      <c r="D486" s="11" t="s">
        <v>66</v>
      </c>
      <c r="E486" s="11" t="s">
        <v>19</v>
      </c>
      <c r="F486" s="12">
        <v>44138.0</v>
      </c>
      <c r="G486" s="11" t="s">
        <v>1501</v>
      </c>
      <c r="H486" s="11" t="s">
        <v>1502</v>
      </c>
      <c r="I486" s="11" t="s">
        <v>32</v>
      </c>
      <c r="J486" s="11">
        <v>14224.3122929117</v>
      </c>
      <c r="K486" s="11">
        <v>426.0</v>
      </c>
      <c r="L486" s="11" t="s">
        <v>33</v>
      </c>
      <c r="M486" s="12">
        <v>44166.0</v>
      </c>
      <c r="N486" s="11" t="s">
        <v>24</v>
      </c>
      <c r="O486" s="11" t="s">
        <v>51</v>
      </c>
    </row>
    <row r="487">
      <c r="A487" s="10" t="s">
        <v>1503</v>
      </c>
      <c r="B487" s="11">
        <v>21.0</v>
      </c>
      <c r="C487" s="11" t="s">
        <v>17</v>
      </c>
      <c r="D487" s="11" t="s">
        <v>54</v>
      </c>
      <c r="E487" s="11" t="s">
        <v>88</v>
      </c>
      <c r="F487" s="12">
        <v>45202.0</v>
      </c>
      <c r="G487" s="11" t="s">
        <v>1504</v>
      </c>
      <c r="H487" s="11" t="s">
        <v>1505</v>
      </c>
      <c r="I487" s="11" t="s">
        <v>32</v>
      </c>
      <c r="J487" s="11">
        <v>23483.4968438774</v>
      </c>
      <c r="K487" s="11">
        <v>357.0</v>
      </c>
      <c r="L487" s="11" t="s">
        <v>23</v>
      </c>
      <c r="M487" s="12">
        <v>45217.0</v>
      </c>
      <c r="N487" s="11" t="s">
        <v>24</v>
      </c>
      <c r="O487" s="11" t="s">
        <v>25</v>
      </c>
    </row>
    <row r="488">
      <c r="A488" s="10" t="s">
        <v>1506</v>
      </c>
      <c r="B488" s="11">
        <v>28.0</v>
      </c>
      <c r="C488" s="11" t="s">
        <v>38</v>
      </c>
      <c r="D488" s="11" t="s">
        <v>18</v>
      </c>
      <c r="E488" s="11" t="s">
        <v>88</v>
      </c>
      <c r="F488" s="12">
        <v>44723.0</v>
      </c>
      <c r="G488" s="11" t="s">
        <v>1507</v>
      </c>
      <c r="H488" s="11" t="s">
        <v>1508</v>
      </c>
      <c r="I488" s="11" t="s">
        <v>63</v>
      </c>
      <c r="J488" s="11">
        <v>31326.7267172123</v>
      </c>
      <c r="K488" s="11">
        <v>299.0</v>
      </c>
      <c r="L488" s="11" t="s">
        <v>33</v>
      </c>
      <c r="M488" s="12">
        <v>44740.0</v>
      </c>
      <c r="N488" s="11" t="s">
        <v>24</v>
      </c>
      <c r="O488" s="11" t="s">
        <v>51</v>
      </c>
    </row>
    <row r="489">
      <c r="A489" s="10" t="s">
        <v>1509</v>
      </c>
      <c r="B489" s="11">
        <v>26.0</v>
      </c>
      <c r="C489" s="11" t="s">
        <v>38</v>
      </c>
      <c r="D489" s="11" t="s">
        <v>141</v>
      </c>
      <c r="E489" s="11" t="s">
        <v>88</v>
      </c>
      <c r="F489" s="12">
        <v>44380.0</v>
      </c>
      <c r="G489" s="11" t="s">
        <v>1510</v>
      </c>
      <c r="H489" s="11" t="s">
        <v>1511</v>
      </c>
      <c r="I489" s="11" t="s">
        <v>42</v>
      </c>
      <c r="J489" s="11">
        <v>48651.7366550091</v>
      </c>
      <c r="K489" s="11">
        <v>124.0</v>
      </c>
      <c r="L489" s="11" t="s">
        <v>23</v>
      </c>
      <c r="M489" s="12">
        <v>44406.0</v>
      </c>
      <c r="N489" s="11" t="s">
        <v>57</v>
      </c>
      <c r="O489" s="11" t="s">
        <v>35</v>
      </c>
    </row>
    <row r="490">
      <c r="A490" s="10" t="s">
        <v>1512</v>
      </c>
      <c r="B490" s="11">
        <v>24.0</v>
      </c>
      <c r="C490" s="11" t="s">
        <v>17</v>
      </c>
      <c r="D490" s="11" t="s">
        <v>39</v>
      </c>
      <c r="E490" s="11" t="s">
        <v>60</v>
      </c>
      <c r="F490" s="12">
        <v>45370.0</v>
      </c>
      <c r="G490" s="11" t="s">
        <v>1513</v>
      </c>
      <c r="H490" s="11" t="s">
        <v>1514</v>
      </c>
      <c r="I490" s="11" t="s">
        <v>42</v>
      </c>
      <c r="J490" s="11">
        <v>18932.3146670255</v>
      </c>
      <c r="K490" s="11">
        <v>115.0</v>
      </c>
      <c r="L490" s="11" t="s">
        <v>50</v>
      </c>
      <c r="M490" s="12">
        <v>45384.0</v>
      </c>
      <c r="N490" s="11" t="s">
        <v>57</v>
      </c>
      <c r="O490" s="11" t="s">
        <v>35</v>
      </c>
    </row>
    <row r="491">
      <c r="A491" s="10" t="s">
        <v>1515</v>
      </c>
      <c r="B491" s="11">
        <v>55.0</v>
      </c>
      <c r="C491" s="11" t="s">
        <v>38</v>
      </c>
      <c r="D491" s="11" t="s">
        <v>66</v>
      </c>
      <c r="E491" s="11" t="s">
        <v>47</v>
      </c>
      <c r="F491" s="12">
        <v>45302.0</v>
      </c>
      <c r="G491" s="11" t="s">
        <v>1516</v>
      </c>
      <c r="H491" s="11" t="s">
        <v>1517</v>
      </c>
      <c r="I491" s="11" t="s">
        <v>22</v>
      </c>
      <c r="J491" s="11">
        <v>22063.2290316512</v>
      </c>
      <c r="K491" s="11">
        <v>147.0</v>
      </c>
      <c r="L491" s="11" t="s">
        <v>50</v>
      </c>
      <c r="M491" s="12">
        <v>45321.0</v>
      </c>
      <c r="N491" s="11" t="s">
        <v>24</v>
      </c>
      <c r="O491" s="11" t="s">
        <v>35</v>
      </c>
    </row>
    <row r="492">
      <c r="A492" s="10" t="s">
        <v>1518</v>
      </c>
      <c r="B492" s="11">
        <v>41.0</v>
      </c>
      <c r="C492" s="11" t="s">
        <v>38</v>
      </c>
      <c r="D492" s="11" t="s">
        <v>28</v>
      </c>
      <c r="E492" s="11" t="s">
        <v>19</v>
      </c>
      <c r="F492" s="12">
        <v>44373.0</v>
      </c>
      <c r="G492" s="11" t="s">
        <v>1519</v>
      </c>
      <c r="H492" s="11" t="s">
        <v>1520</v>
      </c>
      <c r="I492" s="11" t="s">
        <v>32</v>
      </c>
      <c r="J492" s="11">
        <v>20714.7067340701</v>
      </c>
      <c r="K492" s="11">
        <v>234.0</v>
      </c>
      <c r="L492" s="11" t="s">
        <v>23</v>
      </c>
      <c r="M492" s="12">
        <v>44398.0</v>
      </c>
      <c r="N492" s="11" t="s">
        <v>91</v>
      </c>
      <c r="O492" s="11" t="s">
        <v>35</v>
      </c>
    </row>
    <row r="493">
      <c r="A493" s="10" t="s">
        <v>1521</v>
      </c>
      <c r="B493" s="11">
        <v>85.0</v>
      </c>
      <c r="C493" s="11" t="s">
        <v>17</v>
      </c>
      <c r="D493" s="11" t="s">
        <v>46</v>
      </c>
      <c r="E493" s="11" t="s">
        <v>60</v>
      </c>
      <c r="F493" s="12">
        <v>45310.0</v>
      </c>
      <c r="G493" s="11" t="s">
        <v>1522</v>
      </c>
      <c r="H493" s="11" t="s">
        <v>1523</v>
      </c>
      <c r="I493" s="11" t="s">
        <v>63</v>
      </c>
      <c r="J493" s="11">
        <v>34510.884904131</v>
      </c>
      <c r="K493" s="11">
        <v>292.0</v>
      </c>
      <c r="L493" s="11" t="s">
        <v>50</v>
      </c>
      <c r="M493" s="12">
        <v>45327.0</v>
      </c>
      <c r="N493" s="11" t="s">
        <v>34</v>
      </c>
      <c r="O493" s="11" t="s">
        <v>35</v>
      </c>
    </row>
    <row r="494">
      <c r="A494" s="10" t="s">
        <v>1524</v>
      </c>
      <c r="B494" s="11">
        <v>45.0</v>
      </c>
      <c r="C494" s="11" t="s">
        <v>17</v>
      </c>
      <c r="D494" s="11" t="s">
        <v>141</v>
      </c>
      <c r="E494" s="11" t="s">
        <v>88</v>
      </c>
      <c r="F494" s="12">
        <v>44180.0</v>
      </c>
      <c r="G494" s="11" t="s">
        <v>1525</v>
      </c>
      <c r="H494" s="11" t="s">
        <v>1526</v>
      </c>
      <c r="I494" s="11" t="s">
        <v>22</v>
      </c>
      <c r="J494" s="11">
        <v>42200.51465496</v>
      </c>
      <c r="K494" s="11">
        <v>115.0</v>
      </c>
      <c r="L494" s="11" t="s">
        <v>50</v>
      </c>
      <c r="M494" s="12">
        <v>44209.0</v>
      </c>
      <c r="N494" s="11" t="s">
        <v>91</v>
      </c>
      <c r="O494" s="11" t="s">
        <v>35</v>
      </c>
    </row>
    <row r="495">
      <c r="A495" s="10" t="s">
        <v>1527</v>
      </c>
      <c r="B495" s="11">
        <v>22.0</v>
      </c>
      <c r="C495" s="11" t="s">
        <v>38</v>
      </c>
      <c r="D495" s="11" t="s">
        <v>119</v>
      </c>
      <c r="E495" s="11" t="s">
        <v>88</v>
      </c>
      <c r="F495" s="12">
        <v>44330.0</v>
      </c>
      <c r="G495" s="11" t="s">
        <v>1528</v>
      </c>
      <c r="H495" s="11" t="s">
        <v>1529</v>
      </c>
      <c r="I495" s="11" t="s">
        <v>73</v>
      </c>
      <c r="J495" s="11">
        <v>24451.289481048</v>
      </c>
      <c r="K495" s="11">
        <v>413.0</v>
      </c>
      <c r="L495" s="11" t="s">
        <v>33</v>
      </c>
      <c r="M495" s="12">
        <v>44344.0</v>
      </c>
      <c r="N495" s="11" t="s">
        <v>24</v>
      </c>
      <c r="O495" s="11" t="s">
        <v>51</v>
      </c>
    </row>
    <row r="496">
      <c r="A496" s="10" t="s">
        <v>1530</v>
      </c>
      <c r="B496" s="11">
        <v>18.0</v>
      </c>
      <c r="C496" s="11" t="s">
        <v>17</v>
      </c>
      <c r="D496" s="11" t="s">
        <v>119</v>
      </c>
      <c r="E496" s="11" t="s">
        <v>47</v>
      </c>
      <c r="F496" s="12">
        <v>44387.0</v>
      </c>
      <c r="G496" s="11" t="s">
        <v>1531</v>
      </c>
      <c r="H496" s="11" t="s">
        <v>1532</v>
      </c>
      <c r="I496" s="11" t="s">
        <v>63</v>
      </c>
      <c r="J496" s="11">
        <v>30289.7049088163</v>
      </c>
      <c r="K496" s="11">
        <v>165.0</v>
      </c>
      <c r="L496" s="11" t="s">
        <v>33</v>
      </c>
      <c r="M496" s="12">
        <v>44389.0</v>
      </c>
      <c r="N496" s="11" t="s">
        <v>24</v>
      </c>
      <c r="O496" s="11" t="s">
        <v>25</v>
      </c>
    </row>
    <row r="497">
      <c r="A497" s="10" t="s">
        <v>1533</v>
      </c>
      <c r="B497" s="11">
        <v>60.0</v>
      </c>
      <c r="C497" s="11" t="s">
        <v>17</v>
      </c>
      <c r="D497" s="11" t="s">
        <v>18</v>
      </c>
      <c r="E497" s="11" t="s">
        <v>47</v>
      </c>
      <c r="F497" s="12">
        <v>44037.0</v>
      </c>
      <c r="G497" s="11" t="s">
        <v>1534</v>
      </c>
      <c r="H497" s="11" t="s">
        <v>1535</v>
      </c>
      <c r="I497" s="11" t="s">
        <v>32</v>
      </c>
      <c r="J497" s="11">
        <v>35317.4930397506</v>
      </c>
      <c r="K497" s="11">
        <v>431.0</v>
      </c>
      <c r="L497" s="11" t="s">
        <v>23</v>
      </c>
      <c r="M497" s="12">
        <v>44041.0</v>
      </c>
      <c r="N497" s="11" t="s">
        <v>91</v>
      </c>
      <c r="O497" s="11" t="s">
        <v>25</v>
      </c>
    </row>
    <row r="498">
      <c r="A498" s="10" t="s">
        <v>1536</v>
      </c>
      <c r="B498" s="11">
        <v>22.0</v>
      </c>
      <c r="C498" s="11" t="s">
        <v>38</v>
      </c>
      <c r="D498" s="11" t="s">
        <v>54</v>
      </c>
      <c r="E498" s="11" t="s">
        <v>29</v>
      </c>
      <c r="F498" s="12">
        <v>43725.0</v>
      </c>
      <c r="G498" s="11" t="s">
        <v>1537</v>
      </c>
      <c r="H498" s="11" t="s">
        <v>1538</v>
      </c>
      <c r="I498" s="11" t="s">
        <v>73</v>
      </c>
      <c r="J498" s="11">
        <v>8033.61165471249</v>
      </c>
      <c r="K498" s="11">
        <v>293.0</v>
      </c>
      <c r="L498" s="11" t="s">
        <v>50</v>
      </c>
      <c r="M498" s="12">
        <v>43739.0</v>
      </c>
      <c r="N498" s="11" t="s">
        <v>91</v>
      </c>
      <c r="O498" s="11" t="s">
        <v>35</v>
      </c>
    </row>
    <row r="499">
      <c r="A499" s="10" t="s">
        <v>1539</v>
      </c>
      <c r="B499" s="11">
        <v>65.0</v>
      </c>
      <c r="C499" s="11" t="s">
        <v>38</v>
      </c>
      <c r="D499" s="11" t="s">
        <v>28</v>
      </c>
      <c r="E499" s="11" t="s">
        <v>29</v>
      </c>
      <c r="F499" s="12">
        <v>43599.0</v>
      </c>
      <c r="G499" s="11" t="s">
        <v>1540</v>
      </c>
      <c r="H499" s="11" t="s">
        <v>1541</v>
      </c>
      <c r="I499" s="11" t="s">
        <v>32</v>
      </c>
      <c r="J499" s="11">
        <v>7391.53474543665</v>
      </c>
      <c r="K499" s="11">
        <v>270.0</v>
      </c>
      <c r="L499" s="11" t="s">
        <v>50</v>
      </c>
      <c r="M499" s="12">
        <v>43605.0</v>
      </c>
      <c r="N499" s="11" t="s">
        <v>43</v>
      </c>
      <c r="O499" s="11" t="s">
        <v>35</v>
      </c>
    </row>
    <row r="500">
      <c r="A500" s="10" t="s">
        <v>1542</v>
      </c>
      <c r="B500" s="11">
        <v>73.0</v>
      </c>
      <c r="C500" s="11" t="s">
        <v>38</v>
      </c>
      <c r="D500" s="11" t="s">
        <v>119</v>
      </c>
      <c r="E500" s="11" t="s">
        <v>60</v>
      </c>
      <c r="F500" s="12">
        <v>43982.0</v>
      </c>
      <c r="G500" s="11" t="s">
        <v>1543</v>
      </c>
      <c r="H500" s="11" t="s">
        <v>1544</v>
      </c>
      <c r="I500" s="11" t="s">
        <v>42</v>
      </c>
      <c r="J500" s="11">
        <v>35945.8844741879</v>
      </c>
      <c r="K500" s="11">
        <v>146.0</v>
      </c>
      <c r="L500" s="11" t="s">
        <v>33</v>
      </c>
      <c r="M500" s="12">
        <v>44010.0</v>
      </c>
      <c r="N500" s="11" t="s">
        <v>34</v>
      </c>
      <c r="O500" s="11" t="s">
        <v>35</v>
      </c>
    </row>
    <row r="501">
      <c r="A501" s="10" t="s">
        <v>1545</v>
      </c>
      <c r="B501" s="11">
        <v>82.0</v>
      </c>
      <c r="C501" s="11" t="s">
        <v>38</v>
      </c>
      <c r="D501" s="11" t="s">
        <v>54</v>
      </c>
      <c r="E501" s="11" t="s">
        <v>88</v>
      </c>
      <c r="F501" s="12">
        <v>43917.0</v>
      </c>
      <c r="G501" s="11" t="s">
        <v>1546</v>
      </c>
      <c r="H501" s="11" t="s">
        <v>1547</v>
      </c>
      <c r="I501" s="11" t="s">
        <v>32</v>
      </c>
      <c r="J501" s="11">
        <v>10780.7420078347</v>
      </c>
      <c r="K501" s="11">
        <v>472.0</v>
      </c>
      <c r="L501" s="11" t="s">
        <v>33</v>
      </c>
      <c r="M501" s="12">
        <v>43925.0</v>
      </c>
      <c r="N501" s="11" t="s">
        <v>34</v>
      </c>
      <c r="O501" s="11" t="s">
        <v>35</v>
      </c>
    </row>
    <row r="502">
      <c r="A502" s="10" t="s">
        <v>1548</v>
      </c>
      <c r="B502" s="11">
        <v>32.0</v>
      </c>
      <c r="C502" s="11" t="s">
        <v>38</v>
      </c>
      <c r="D502" s="11" t="s">
        <v>141</v>
      </c>
      <c r="E502" s="11" t="s">
        <v>109</v>
      </c>
      <c r="F502" s="12">
        <v>43822.0</v>
      </c>
      <c r="G502" s="11" t="s">
        <v>1549</v>
      </c>
      <c r="H502" s="11" t="s">
        <v>1550</v>
      </c>
      <c r="I502" s="11" t="s">
        <v>42</v>
      </c>
      <c r="J502" s="11">
        <v>28743.0038378898</v>
      </c>
      <c r="K502" s="11">
        <v>493.0</v>
      </c>
      <c r="L502" s="11" t="s">
        <v>50</v>
      </c>
      <c r="M502" s="12">
        <v>43829.0</v>
      </c>
      <c r="N502" s="11" t="s">
        <v>57</v>
      </c>
      <c r="O502" s="11" t="s">
        <v>25</v>
      </c>
    </row>
    <row r="503">
      <c r="A503" s="10" t="s">
        <v>1551</v>
      </c>
      <c r="B503" s="11">
        <v>76.0</v>
      </c>
      <c r="C503" s="11" t="s">
        <v>17</v>
      </c>
      <c r="D503" s="11" t="s">
        <v>39</v>
      </c>
      <c r="E503" s="11" t="s">
        <v>29</v>
      </c>
      <c r="F503" s="12">
        <v>45330.0</v>
      </c>
      <c r="G503" s="11" t="s">
        <v>1552</v>
      </c>
      <c r="H503" s="11" t="s">
        <v>1553</v>
      </c>
      <c r="I503" s="11" t="s">
        <v>22</v>
      </c>
      <c r="J503" s="11">
        <v>47270.245739139</v>
      </c>
      <c r="K503" s="11">
        <v>373.0</v>
      </c>
      <c r="L503" s="11" t="s">
        <v>50</v>
      </c>
      <c r="M503" s="12">
        <v>45338.0</v>
      </c>
      <c r="N503" s="11" t="s">
        <v>43</v>
      </c>
      <c r="O503" s="11" t="s">
        <v>51</v>
      </c>
    </row>
    <row r="504">
      <c r="A504" s="10" t="s">
        <v>1554</v>
      </c>
      <c r="B504" s="11">
        <v>61.0</v>
      </c>
      <c r="C504" s="11" t="s">
        <v>38</v>
      </c>
      <c r="D504" s="11" t="s">
        <v>39</v>
      </c>
      <c r="E504" s="11" t="s">
        <v>60</v>
      </c>
      <c r="F504" s="12">
        <v>45192.0</v>
      </c>
      <c r="G504" s="11" t="s">
        <v>1555</v>
      </c>
      <c r="H504" s="11" t="s">
        <v>1556</v>
      </c>
      <c r="I504" s="11" t="s">
        <v>42</v>
      </c>
      <c r="J504" s="11">
        <v>37846.3522067483</v>
      </c>
      <c r="K504" s="11">
        <v>407.0</v>
      </c>
      <c r="L504" s="11" t="s">
        <v>33</v>
      </c>
      <c r="M504" s="12">
        <v>45193.0</v>
      </c>
      <c r="N504" s="11" t="s">
        <v>34</v>
      </c>
      <c r="O504" s="11" t="s">
        <v>51</v>
      </c>
    </row>
    <row r="505">
      <c r="A505" s="10" t="s">
        <v>1557</v>
      </c>
      <c r="B505" s="11">
        <v>63.0</v>
      </c>
      <c r="C505" s="11" t="s">
        <v>17</v>
      </c>
      <c r="D505" s="11" t="s">
        <v>54</v>
      </c>
      <c r="E505" s="11" t="s">
        <v>19</v>
      </c>
      <c r="F505" s="12">
        <v>43965.0</v>
      </c>
      <c r="G505" s="11" t="s">
        <v>1558</v>
      </c>
      <c r="H505" s="11" t="s">
        <v>1559</v>
      </c>
      <c r="I505" s="11" t="s">
        <v>42</v>
      </c>
      <c r="J505" s="11">
        <v>46502.765789587</v>
      </c>
      <c r="K505" s="11">
        <v>151.0</v>
      </c>
      <c r="L505" s="11" t="s">
        <v>50</v>
      </c>
      <c r="M505" s="12">
        <v>43971.0</v>
      </c>
      <c r="N505" s="11" t="s">
        <v>24</v>
      </c>
      <c r="O505" s="11" t="s">
        <v>35</v>
      </c>
    </row>
    <row r="506">
      <c r="A506" s="10" t="s">
        <v>1560</v>
      </c>
      <c r="B506" s="11">
        <v>54.0</v>
      </c>
      <c r="C506" s="11" t="s">
        <v>38</v>
      </c>
      <c r="D506" s="11" t="s">
        <v>119</v>
      </c>
      <c r="E506" s="11" t="s">
        <v>88</v>
      </c>
      <c r="F506" s="12">
        <v>43872.0</v>
      </c>
      <c r="G506" s="11" t="s">
        <v>1561</v>
      </c>
      <c r="H506" s="11" t="s">
        <v>1562</v>
      </c>
      <c r="I506" s="11" t="s">
        <v>42</v>
      </c>
      <c r="J506" s="11">
        <v>27660.2850475412</v>
      </c>
      <c r="K506" s="11">
        <v>193.0</v>
      </c>
      <c r="L506" s="11" t="s">
        <v>23</v>
      </c>
      <c r="M506" s="12">
        <v>43891.0</v>
      </c>
      <c r="N506" s="11" t="s">
        <v>91</v>
      </c>
      <c r="O506" s="11" t="s">
        <v>25</v>
      </c>
    </row>
    <row r="507">
      <c r="A507" s="10" t="s">
        <v>1563</v>
      </c>
      <c r="B507" s="11">
        <v>77.0</v>
      </c>
      <c r="C507" s="11" t="s">
        <v>17</v>
      </c>
      <c r="D507" s="11" t="s">
        <v>54</v>
      </c>
      <c r="E507" s="11" t="s">
        <v>88</v>
      </c>
      <c r="F507" s="12">
        <v>44452.0</v>
      </c>
      <c r="G507" s="11" t="s">
        <v>1564</v>
      </c>
      <c r="H507" s="11" t="s">
        <v>1565</v>
      </c>
      <c r="I507" s="11" t="s">
        <v>63</v>
      </c>
      <c r="J507" s="11">
        <v>36686.6559296173</v>
      </c>
      <c r="K507" s="11">
        <v>488.0</v>
      </c>
      <c r="L507" s="11" t="s">
        <v>23</v>
      </c>
      <c r="M507" s="12">
        <v>44478.0</v>
      </c>
      <c r="N507" s="11" t="s">
        <v>24</v>
      </c>
      <c r="O507" s="11" t="s">
        <v>25</v>
      </c>
    </row>
    <row r="508">
      <c r="A508" s="10" t="s">
        <v>1566</v>
      </c>
      <c r="B508" s="11">
        <v>64.0</v>
      </c>
      <c r="C508" s="11" t="s">
        <v>17</v>
      </c>
      <c r="D508" s="11" t="s">
        <v>119</v>
      </c>
      <c r="E508" s="11" t="s">
        <v>47</v>
      </c>
      <c r="F508" s="12">
        <v>44128.0</v>
      </c>
      <c r="G508" s="11" t="s">
        <v>1567</v>
      </c>
      <c r="H508" s="11" t="s">
        <v>1568</v>
      </c>
      <c r="I508" s="11" t="s">
        <v>42</v>
      </c>
      <c r="J508" s="11">
        <v>19563.2030302898</v>
      </c>
      <c r="K508" s="11">
        <v>148.0</v>
      </c>
      <c r="L508" s="11" t="s">
        <v>23</v>
      </c>
      <c r="M508" s="12">
        <v>44129.0</v>
      </c>
      <c r="N508" s="11" t="s">
        <v>57</v>
      </c>
      <c r="O508" s="11" t="s">
        <v>25</v>
      </c>
    </row>
    <row r="509">
      <c r="A509" s="10" t="s">
        <v>1569</v>
      </c>
      <c r="B509" s="11">
        <v>69.0</v>
      </c>
      <c r="C509" s="11" t="s">
        <v>17</v>
      </c>
      <c r="D509" s="11" t="s">
        <v>119</v>
      </c>
      <c r="E509" s="11" t="s">
        <v>109</v>
      </c>
      <c r="F509" s="12">
        <v>44194.0</v>
      </c>
      <c r="G509" s="11" t="s">
        <v>1570</v>
      </c>
      <c r="H509" s="11" t="s">
        <v>1571</v>
      </c>
      <c r="I509" s="11" t="s">
        <v>42</v>
      </c>
      <c r="J509" s="11">
        <v>23523.5968180127</v>
      </c>
      <c r="K509" s="11">
        <v>106.0</v>
      </c>
      <c r="L509" s="11" t="s">
        <v>50</v>
      </c>
      <c r="M509" s="12">
        <v>44217.0</v>
      </c>
      <c r="N509" s="11" t="s">
        <v>43</v>
      </c>
      <c r="O509" s="11" t="s">
        <v>35</v>
      </c>
    </row>
    <row r="510">
      <c r="A510" s="10" t="s">
        <v>1572</v>
      </c>
      <c r="B510" s="11">
        <v>31.0</v>
      </c>
      <c r="C510" s="11" t="s">
        <v>17</v>
      </c>
      <c r="D510" s="11" t="s">
        <v>46</v>
      </c>
      <c r="E510" s="11" t="s">
        <v>19</v>
      </c>
      <c r="F510" s="12">
        <v>45370.0</v>
      </c>
      <c r="G510" s="11" t="s">
        <v>1573</v>
      </c>
      <c r="H510" s="11" t="s">
        <v>1574</v>
      </c>
      <c r="I510" s="11" t="s">
        <v>73</v>
      </c>
      <c r="J510" s="11">
        <v>50563.7985846274</v>
      </c>
      <c r="K510" s="11">
        <v>441.0</v>
      </c>
      <c r="L510" s="11" t="s">
        <v>23</v>
      </c>
      <c r="M510" s="12">
        <v>45389.0</v>
      </c>
      <c r="N510" s="11" t="s">
        <v>57</v>
      </c>
      <c r="O510" s="11" t="s">
        <v>35</v>
      </c>
    </row>
    <row r="511">
      <c r="A511" s="10" t="s">
        <v>1575</v>
      </c>
      <c r="B511" s="11">
        <v>40.0</v>
      </c>
      <c r="C511" s="11" t="s">
        <v>17</v>
      </c>
      <c r="D511" s="11" t="s">
        <v>141</v>
      </c>
      <c r="E511" s="11" t="s">
        <v>109</v>
      </c>
      <c r="F511" s="12">
        <v>44543.0</v>
      </c>
      <c r="G511" s="11" t="s">
        <v>1576</v>
      </c>
      <c r="H511" s="11" t="s">
        <v>1577</v>
      </c>
      <c r="I511" s="11" t="s">
        <v>63</v>
      </c>
      <c r="J511" s="11">
        <v>15518.4577815678</v>
      </c>
      <c r="K511" s="11">
        <v>450.0</v>
      </c>
      <c r="L511" s="11" t="s">
        <v>33</v>
      </c>
      <c r="M511" s="12">
        <v>44549.0</v>
      </c>
      <c r="N511" s="11" t="s">
        <v>57</v>
      </c>
      <c r="O511" s="11" t="s">
        <v>51</v>
      </c>
    </row>
    <row r="512">
      <c r="A512" s="10" t="s">
        <v>1578</v>
      </c>
      <c r="B512" s="11">
        <v>50.0</v>
      </c>
      <c r="C512" s="11" t="s">
        <v>17</v>
      </c>
      <c r="D512" s="11" t="s">
        <v>141</v>
      </c>
      <c r="E512" s="11" t="s">
        <v>60</v>
      </c>
      <c r="F512" s="12">
        <v>44698.0</v>
      </c>
      <c r="G512" s="11" t="s">
        <v>1579</v>
      </c>
      <c r="H512" s="11" t="s">
        <v>1580</v>
      </c>
      <c r="I512" s="11" t="s">
        <v>73</v>
      </c>
      <c r="J512" s="11">
        <v>42150.7037862351</v>
      </c>
      <c r="K512" s="11">
        <v>388.0</v>
      </c>
      <c r="L512" s="11" t="s">
        <v>23</v>
      </c>
      <c r="M512" s="12">
        <v>44715.0</v>
      </c>
      <c r="N512" s="11" t="s">
        <v>24</v>
      </c>
      <c r="O512" s="11" t="s">
        <v>51</v>
      </c>
    </row>
    <row r="513">
      <c r="A513" s="10" t="s">
        <v>1581</v>
      </c>
      <c r="B513" s="11">
        <v>83.0</v>
      </c>
      <c r="C513" s="11" t="s">
        <v>38</v>
      </c>
      <c r="D513" s="11" t="s">
        <v>39</v>
      </c>
      <c r="E513" s="11" t="s">
        <v>109</v>
      </c>
      <c r="F513" s="12">
        <v>44896.0</v>
      </c>
      <c r="G513" s="11" t="s">
        <v>1582</v>
      </c>
      <c r="H513" s="11" t="s">
        <v>1583</v>
      </c>
      <c r="I513" s="11" t="s">
        <v>73</v>
      </c>
      <c r="J513" s="11">
        <v>42192.9868723336</v>
      </c>
      <c r="K513" s="11">
        <v>199.0</v>
      </c>
      <c r="L513" s="11" t="s">
        <v>33</v>
      </c>
      <c r="M513" s="12">
        <v>44912.0</v>
      </c>
      <c r="N513" s="11" t="s">
        <v>24</v>
      </c>
      <c r="O513" s="11" t="s">
        <v>51</v>
      </c>
    </row>
    <row r="514">
      <c r="A514" s="10" t="s">
        <v>1584</v>
      </c>
      <c r="B514" s="11">
        <v>23.0</v>
      </c>
      <c r="C514" s="11" t="s">
        <v>38</v>
      </c>
      <c r="D514" s="11" t="s">
        <v>141</v>
      </c>
      <c r="E514" s="11" t="s">
        <v>19</v>
      </c>
      <c r="F514" s="12">
        <v>43906.0</v>
      </c>
      <c r="G514" s="11" t="s">
        <v>1585</v>
      </c>
      <c r="H514" s="11" t="s">
        <v>1586</v>
      </c>
      <c r="I514" s="11" t="s">
        <v>22</v>
      </c>
      <c r="J514" s="11">
        <v>3925.93384060519</v>
      </c>
      <c r="K514" s="11">
        <v>333.0</v>
      </c>
      <c r="L514" s="11" t="s">
        <v>33</v>
      </c>
      <c r="M514" s="12">
        <v>43912.0</v>
      </c>
      <c r="N514" s="11" t="s">
        <v>91</v>
      </c>
      <c r="O514" s="11" t="s">
        <v>25</v>
      </c>
    </row>
    <row r="515">
      <c r="A515" s="10" t="s">
        <v>1587</v>
      </c>
      <c r="B515" s="11">
        <v>68.0</v>
      </c>
      <c r="C515" s="11" t="s">
        <v>38</v>
      </c>
      <c r="D515" s="11" t="s">
        <v>54</v>
      </c>
      <c r="E515" s="11" t="s">
        <v>109</v>
      </c>
      <c r="F515" s="12">
        <v>44124.0</v>
      </c>
      <c r="G515" s="11" t="s">
        <v>1588</v>
      </c>
      <c r="H515" s="11" t="s">
        <v>1589</v>
      </c>
      <c r="I515" s="11" t="s">
        <v>42</v>
      </c>
      <c r="J515" s="11">
        <v>12605.7474398212</v>
      </c>
      <c r="K515" s="11">
        <v>350.0</v>
      </c>
      <c r="L515" s="11" t="s">
        <v>33</v>
      </c>
      <c r="M515" s="12">
        <v>44131.0</v>
      </c>
      <c r="N515" s="11" t="s">
        <v>24</v>
      </c>
      <c r="O515" s="11" t="s">
        <v>35</v>
      </c>
    </row>
    <row r="516">
      <c r="A516" s="10" t="s">
        <v>1590</v>
      </c>
      <c r="B516" s="11">
        <v>37.0</v>
      </c>
      <c r="C516" s="11" t="s">
        <v>17</v>
      </c>
      <c r="D516" s="11" t="s">
        <v>66</v>
      </c>
      <c r="E516" s="11" t="s">
        <v>60</v>
      </c>
      <c r="F516" s="12">
        <v>45296.0</v>
      </c>
      <c r="G516" s="11" t="s">
        <v>1591</v>
      </c>
      <c r="H516" s="11" t="s">
        <v>1592</v>
      </c>
      <c r="I516" s="11" t="s">
        <v>22</v>
      </c>
      <c r="J516" s="11">
        <v>7421.1767319191</v>
      </c>
      <c r="K516" s="11">
        <v>154.0</v>
      </c>
      <c r="L516" s="11" t="s">
        <v>23</v>
      </c>
      <c r="M516" s="12">
        <v>45318.0</v>
      </c>
      <c r="N516" s="11" t="s">
        <v>57</v>
      </c>
      <c r="O516" s="11" t="s">
        <v>35</v>
      </c>
    </row>
    <row r="517">
      <c r="A517" s="10" t="s">
        <v>1593</v>
      </c>
      <c r="B517" s="11">
        <v>24.0</v>
      </c>
      <c r="C517" s="11" t="s">
        <v>38</v>
      </c>
      <c r="D517" s="11" t="s">
        <v>18</v>
      </c>
      <c r="E517" s="11" t="s">
        <v>109</v>
      </c>
      <c r="F517" s="12">
        <v>45155.0</v>
      </c>
      <c r="G517" s="11" t="s">
        <v>1594</v>
      </c>
      <c r="H517" s="11" t="s">
        <v>1595</v>
      </c>
      <c r="I517" s="11" t="s">
        <v>73</v>
      </c>
      <c r="J517" s="11">
        <v>24561.7371858171</v>
      </c>
      <c r="K517" s="11">
        <v>216.0</v>
      </c>
      <c r="L517" s="11" t="s">
        <v>33</v>
      </c>
      <c r="M517" s="12">
        <v>45170.0</v>
      </c>
      <c r="N517" s="11" t="s">
        <v>43</v>
      </c>
      <c r="O517" s="11" t="s">
        <v>51</v>
      </c>
    </row>
    <row r="518">
      <c r="A518" s="10" t="s">
        <v>1596</v>
      </c>
      <c r="B518" s="11">
        <v>21.0</v>
      </c>
      <c r="C518" s="11" t="s">
        <v>17</v>
      </c>
      <c r="D518" s="11" t="s">
        <v>18</v>
      </c>
      <c r="E518" s="11" t="s">
        <v>47</v>
      </c>
      <c r="F518" s="12">
        <v>45016.0</v>
      </c>
      <c r="G518" s="11" t="s">
        <v>1597</v>
      </c>
      <c r="H518" s="11" t="s">
        <v>1598</v>
      </c>
      <c r="I518" s="11" t="s">
        <v>73</v>
      </c>
      <c r="J518" s="11">
        <v>32854.1532647173</v>
      </c>
      <c r="K518" s="11">
        <v>132.0</v>
      </c>
      <c r="L518" s="11" t="s">
        <v>33</v>
      </c>
      <c r="M518" s="12">
        <v>45038.0</v>
      </c>
      <c r="N518" s="11" t="s">
        <v>91</v>
      </c>
      <c r="O518" s="11" t="s">
        <v>51</v>
      </c>
    </row>
    <row r="519">
      <c r="A519" s="10" t="s">
        <v>1599</v>
      </c>
      <c r="B519" s="11">
        <v>46.0</v>
      </c>
      <c r="C519" s="11" t="s">
        <v>38</v>
      </c>
      <c r="D519" s="11" t="s">
        <v>66</v>
      </c>
      <c r="E519" s="11" t="s">
        <v>47</v>
      </c>
      <c r="F519" s="12">
        <v>44886.0</v>
      </c>
      <c r="G519" s="11" t="s">
        <v>1600</v>
      </c>
      <c r="H519" s="11" t="s">
        <v>1601</v>
      </c>
      <c r="I519" s="11" t="s">
        <v>42</v>
      </c>
      <c r="J519" s="11">
        <v>18828.7641287865</v>
      </c>
      <c r="K519" s="11">
        <v>194.0</v>
      </c>
      <c r="L519" s="11" t="s">
        <v>50</v>
      </c>
      <c r="M519" s="12">
        <v>44887.0</v>
      </c>
      <c r="N519" s="11" t="s">
        <v>34</v>
      </c>
      <c r="O519" s="11" t="s">
        <v>51</v>
      </c>
    </row>
    <row r="520">
      <c r="A520" s="10" t="s">
        <v>1602</v>
      </c>
      <c r="B520" s="11">
        <v>61.0</v>
      </c>
      <c r="C520" s="11" t="s">
        <v>38</v>
      </c>
      <c r="D520" s="11" t="s">
        <v>119</v>
      </c>
      <c r="E520" s="11" t="s">
        <v>109</v>
      </c>
      <c r="F520" s="12">
        <v>44067.0</v>
      </c>
      <c r="G520" s="11" t="s">
        <v>1603</v>
      </c>
      <c r="H520" s="11" t="s">
        <v>1604</v>
      </c>
      <c r="I520" s="11" t="s">
        <v>42</v>
      </c>
      <c r="J520" s="11">
        <v>34381.6887121759</v>
      </c>
      <c r="K520" s="11">
        <v>330.0</v>
      </c>
      <c r="L520" s="11" t="s">
        <v>23</v>
      </c>
      <c r="M520" s="12">
        <v>44080.0</v>
      </c>
      <c r="N520" s="11" t="s">
        <v>91</v>
      </c>
      <c r="O520" s="11" t="s">
        <v>35</v>
      </c>
    </row>
    <row r="521">
      <c r="A521" s="10" t="s">
        <v>1605</v>
      </c>
      <c r="B521" s="11">
        <v>25.0</v>
      </c>
      <c r="C521" s="11" t="s">
        <v>17</v>
      </c>
      <c r="D521" s="11" t="s">
        <v>141</v>
      </c>
      <c r="E521" s="11" t="s">
        <v>109</v>
      </c>
      <c r="F521" s="12">
        <v>44604.0</v>
      </c>
      <c r="G521" s="11" t="s">
        <v>1606</v>
      </c>
      <c r="H521" s="11" t="s">
        <v>1607</v>
      </c>
      <c r="I521" s="11" t="s">
        <v>42</v>
      </c>
      <c r="J521" s="11">
        <v>31501.7198568013</v>
      </c>
      <c r="K521" s="11">
        <v>475.0</v>
      </c>
      <c r="L521" s="11" t="s">
        <v>50</v>
      </c>
      <c r="M521" s="12">
        <v>44623.0</v>
      </c>
      <c r="N521" s="11" t="s">
        <v>34</v>
      </c>
      <c r="O521" s="11" t="s">
        <v>35</v>
      </c>
    </row>
    <row r="522">
      <c r="A522" s="10" t="s">
        <v>1608</v>
      </c>
      <c r="B522" s="11">
        <v>75.0</v>
      </c>
      <c r="C522" s="11" t="s">
        <v>38</v>
      </c>
      <c r="D522" s="11" t="s">
        <v>39</v>
      </c>
      <c r="E522" s="11" t="s">
        <v>109</v>
      </c>
      <c r="F522" s="12">
        <v>45153.0</v>
      </c>
      <c r="G522" s="11" t="s">
        <v>1609</v>
      </c>
      <c r="H522" s="11" t="s">
        <v>1610</v>
      </c>
      <c r="I522" s="11" t="s">
        <v>32</v>
      </c>
      <c r="J522" s="11">
        <v>12098.0332199207</v>
      </c>
      <c r="K522" s="11">
        <v>387.0</v>
      </c>
      <c r="L522" s="11" t="s">
        <v>50</v>
      </c>
      <c r="M522" s="12">
        <v>45173.0</v>
      </c>
      <c r="N522" s="11" t="s">
        <v>91</v>
      </c>
      <c r="O522" s="11" t="s">
        <v>51</v>
      </c>
    </row>
    <row r="523">
      <c r="A523" s="10" t="s">
        <v>1611</v>
      </c>
      <c r="B523" s="11">
        <v>43.0</v>
      </c>
      <c r="C523" s="11" t="s">
        <v>38</v>
      </c>
      <c r="D523" s="11" t="s">
        <v>141</v>
      </c>
      <c r="E523" s="11" t="s">
        <v>47</v>
      </c>
      <c r="F523" s="12">
        <v>44939.0</v>
      </c>
      <c r="G523" s="11" t="s">
        <v>1612</v>
      </c>
      <c r="H523" s="11" t="s">
        <v>1613</v>
      </c>
      <c r="I523" s="11" t="s">
        <v>63</v>
      </c>
      <c r="J523" s="11">
        <v>39547.3811893456</v>
      </c>
      <c r="K523" s="11">
        <v>436.0</v>
      </c>
      <c r="L523" s="11" t="s">
        <v>50</v>
      </c>
      <c r="M523" s="12">
        <v>44958.0</v>
      </c>
      <c r="N523" s="11" t="s">
        <v>24</v>
      </c>
      <c r="O523" s="11" t="s">
        <v>35</v>
      </c>
    </row>
    <row r="524">
      <c r="A524" s="10" t="s">
        <v>1614</v>
      </c>
      <c r="B524" s="11">
        <v>38.0</v>
      </c>
      <c r="C524" s="11" t="s">
        <v>38</v>
      </c>
      <c r="D524" s="11" t="s">
        <v>18</v>
      </c>
      <c r="E524" s="11" t="s">
        <v>29</v>
      </c>
      <c r="F524" s="12">
        <v>43949.0</v>
      </c>
      <c r="G524" s="11" t="s">
        <v>1615</v>
      </c>
      <c r="H524" s="11" t="s">
        <v>1616</v>
      </c>
      <c r="I524" s="11" t="s">
        <v>42</v>
      </c>
      <c r="J524" s="11">
        <v>6486.23572598591</v>
      </c>
      <c r="K524" s="11">
        <v>283.0</v>
      </c>
      <c r="L524" s="11" t="s">
        <v>50</v>
      </c>
      <c r="M524" s="12">
        <v>43971.0</v>
      </c>
      <c r="N524" s="11" t="s">
        <v>43</v>
      </c>
      <c r="O524" s="11" t="s">
        <v>51</v>
      </c>
    </row>
    <row r="525">
      <c r="A525" s="10" t="s">
        <v>1617</v>
      </c>
      <c r="B525" s="11">
        <v>28.0</v>
      </c>
      <c r="C525" s="11" t="s">
        <v>17</v>
      </c>
      <c r="D525" s="11" t="s">
        <v>54</v>
      </c>
      <c r="E525" s="11" t="s">
        <v>109</v>
      </c>
      <c r="F525" s="12">
        <v>44855.0</v>
      </c>
      <c r="G525" s="11" t="s">
        <v>1618</v>
      </c>
      <c r="H525" s="11" t="s">
        <v>1619</v>
      </c>
      <c r="I525" s="11" t="s">
        <v>32</v>
      </c>
      <c r="J525" s="11">
        <v>46657.6860818914</v>
      </c>
      <c r="K525" s="11">
        <v>265.0</v>
      </c>
      <c r="L525" s="11" t="s">
        <v>23</v>
      </c>
      <c r="M525" s="12">
        <v>44856.0</v>
      </c>
      <c r="N525" s="11" t="s">
        <v>57</v>
      </c>
      <c r="O525" s="11" t="s">
        <v>35</v>
      </c>
    </row>
    <row r="526">
      <c r="A526" s="10" t="s">
        <v>1620</v>
      </c>
      <c r="B526" s="11">
        <v>80.0</v>
      </c>
      <c r="C526" s="11" t="s">
        <v>17</v>
      </c>
      <c r="D526" s="11" t="s">
        <v>46</v>
      </c>
      <c r="E526" s="11" t="s">
        <v>88</v>
      </c>
      <c r="F526" s="12">
        <v>44910.0</v>
      </c>
      <c r="G526" s="11" t="s">
        <v>1621</v>
      </c>
      <c r="H526" s="11" t="s">
        <v>1622</v>
      </c>
      <c r="I526" s="11" t="s">
        <v>42</v>
      </c>
      <c r="J526" s="11">
        <v>31709.4650284724</v>
      </c>
      <c r="K526" s="11">
        <v>168.0</v>
      </c>
      <c r="L526" s="11" t="s">
        <v>23</v>
      </c>
      <c r="M526" s="12">
        <v>44920.0</v>
      </c>
      <c r="N526" s="11" t="s">
        <v>24</v>
      </c>
      <c r="O526" s="11" t="s">
        <v>51</v>
      </c>
    </row>
    <row r="527">
      <c r="A527" s="10" t="s">
        <v>1623</v>
      </c>
      <c r="B527" s="11">
        <v>63.0</v>
      </c>
      <c r="C527" s="11" t="s">
        <v>38</v>
      </c>
      <c r="D527" s="11" t="s">
        <v>46</v>
      </c>
      <c r="E527" s="11" t="s">
        <v>60</v>
      </c>
      <c r="F527" s="12">
        <v>44075.0</v>
      </c>
      <c r="G527" s="11" t="s">
        <v>1624</v>
      </c>
      <c r="H527" s="11" t="s">
        <v>1625</v>
      </c>
      <c r="I527" s="11" t="s">
        <v>22</v>
      </c>
      <c r="J527" s="11">
        <v>9894.80940664036</v>
      </c>
      <c r="K527" s="11">
        <v>403.0</v>
      </c>
      <c r="L527" s="11" t="s">
        <v>33</v>
      </c>
      <c r="M527" s="12">
        <v>44105.0</v>
      </c>
      <c r="N527" s="11" t="s">
        <v>34</v>
      </c>
      <c r="O527" s="11" t="s">
        <v>35</v>
      </c>
    </row>
    <row r="528">
      <c r="A528" s="10" t="s">
        <v>1626</v>
      </c>
      <c r="B528" s="11">
        <v>75.0</v>
      </c>
      <c r="C528" s="11" t="s">
        <v>38</v>
      </c>
      <c r="D528" s="11" t="s">
        <v>66</v>
      </c>
      <c r="E528" s="11" t="s">
        <v>19</v>
      </c>
      <c r="F528" s="12">
        <v>43787.0</v>
      </c>
      <c r="G528" s="11" t="s">
        <v>1627</v>
      </c>
      <c r="H528" s="11" t="s">
        <v>1628</v>
      </c>
      <c r="I528" s="11" t="s">
        <v>22</v>
      </c>
      <c r="J528" s="11">
        <v>29995.4285638733</v>
      </c>
      <c r="K528" s="11">
        <v>433.0</v>
      </c>
      <c r="L528" s="11" t="s">
        <v>33</v>
      </c>
      <c r="M528" s="12">
        <v>43810.0</v>
      </c>
      <c r="N528" s="11" t="s">
        <v>24</v>
      </c>
      <c r="O528" s="11" t="s">
        <v>51</v>
      </c>
    </row>
    <row r="529">
      <c r="A529" s="10" t="s">
        <v>1629</v>
      </c>
      <c r="B529" s="11">
        <v>59.0</v>
      </c>
      <c r="C529" s="11" t="s">
        <v>38</v>
      </c>
      <c r="D529" s="11" t="s">
        <v>46</v>
      </c>
      <c r="E529" s="11" t="s">
        <v>109</v>
      </c>
      <c r="F529" s="12">
        <v>44795.0</v>
      </c>
      <c r="G529" s="11" t="s">
        <v>1630</v>
      </c>
      <c r="H529" s="11" t="s">
        <v>1631</v>
      </c>
      <c r="I529" s="11" t="s">
        <v>32</v>
      </c>
      <c r="J529" s="11">
        <v>7796.25961437667</v>
      </c>
      <c r="K529" s="11">
        <v>144.0</v>
      </c>
      <c r="L529" s="11" t="s">
        <v>23</v>
      </c>
      <c r="M529" s="12">
        <v>44803.0</v>
      </c>
      <c r="N529" s="11" t="s">
        <v>34</v>
      </c>
      <c r="O529" s="11" t="s">
        <v>35</v>
      </c>
    </row>
    <row r="530">
      <c r="A530" s="10" t="s">
        <v>1632</v>
      </c>
      <c r="B530" s="11">
        <v>27.0</v>
      </c>
      <c r="C530" s="11" t="s">
        <v>17</v>
      </c>
      <c r="D530" s="11" t="s">
        <v>28</v>
      </c>
      <c r="E530" s="11" t="s">
        <v>47</v>
      </c>
      <c r="F530" s="12">
        <v>44044.0</v>
      </c>
      <c r="G530" s="11" t="s">
        <v>1633</v>
      </c>
      <c r="H530" s="11" t="s">
        <v>1634</v>
      </c>
      <c r="I530" s="11" t="s">
        <v>22</v>
      </c>
      <c r="J530" s="11">
        <v>48965.1758027853</v>
      </c>
      <c r="K530" s="11">
        <v>251.0</v>
      </c>
      <c r="L530" s="11" t="s">
        <v>33</v>
      </c>
      <c r="M530" s="12">
        <v>44069.0</v>
      </c>
      <c r="N530" s="11" t="s">
        <v>43</v>
      </c>
      <c r="O530" s="11" t="s">
        <v>51</v>
      </c>
    </row>
    <row r="531">
      <c r="A531" s="10" t="s">
        <v>1635</v>
      </c>
      <c r="B531" s="11">
        <v>77.0</v>
      </c>
      <c r="C531" s="11" t="s">
        <v>17</v>
      </c>
      <c r="D531" s="11" t="s">
        <v>28</v>
      </c>
      <c r="E531" s="11" t="s">
        <v>109</v>
      </c>
      <c r="F531" s="12">
        <v>45309.0</v>
      </c>
      <c r="G531" s="11" t="s">
        <v>1636</v>
      </c>
      <c r="H531" s="11" t="s">
        <v>1637</v>
      </c>
      <c r="I531" s="11" t="s">
        <v>42</v>
      </c>
      <c r="J531" s="11">
        <v>16128.2526215832</v>
      </c>
      <c r="K531" s="11">
        <v>404.0</v>
      </c>
      <c r="L531" s="11" t="s">
        <v>33</v>
      </c>
      <c r="M531" s="12">
        <v>45337.0</v>
      </c>
      <c r="N531" s="11" t="s">
        <v>57</v>
      </c>
      <c r="O531" s="11" t="s">
        <v>35</v>
      </c>
    </row>
    <row r="532">
      <c r="A532" s="10" t="s">
        <v>1638</v>
      </c>
      <c r="B532" s="11">
        <v>19.0</v>
      </c>
      <c r="C532" s="11" t="s">
        <v>38</v>
      </c>
      <c r="D532" s="11" t="s">
        <v>18</v>
      </c>
      <c r="E532" s="11" t="s">
        <v>60</v>
      </c>
      <c r="F532" s="12">
        <v>43907.0</v>
      </c>
      <c r="G532" s="11" t="s">
        <v>1639</v>
      </c>
      <c r="H532" s="11" t="s">
        <v>1640</v>
      </c>
      <c r="I532" s="11" t="s">
        <v>32</v>
      </c>
      <c r="J532" s="11">
        <v>16920.1615337821</v>
      </c>
      <c r="K532" s="11">
        <v>206.0</v>
      </c>
      <c r="L532" s="11" t="s">
        <v>33</v>
      </c>
      <c r="M532" s="12">
        <v>43931.0</v>
      </c>
      <c r="N532" s="11" t="s">
        <v>91</v>
      </c>
      <c r="O532" s="11" t="s">
        <v>51</v>
      </c>
    </row>
    <row r="533">
      <c r="A533" s="10" t="s">
        <v>1641</v>
      </c>
      <c r="B533" s="11">
        <v>58.0</v>
      </c>
      <c r="C533" s="11" t="s">
        <v>17</v>
      </c>
      <c r="D533" s="11" t="s">
        <v>54</v>
      </c>
      <c r="E533" s="11" t="s">
        <v>109</v>
      </c>
      <c r="F533" s="12">
        <v>44788.0</v>
      </c>
      <c r="G533" s="11" t="s">
        <v>1642</v>
      </c>
      <c r="H533" s="11" t="s">
        <v>1643</v>
      </c>
      <c r="I533" s="11" t="s">
        <v>42</v>
      </c>
      <c r="J533" s="11">
        <v>49861.8742375614</v>
      </c>
      <c r="K533" s="11">
        <v>207.0</v>
      </c>
      <c r="L533" s="11" t="s">
        <v>33</v>
      </c>
      <c r="M533" s="12">
        <v>44805.0</v>
      </c>
      <c r="N533" s="11" t="s">
        <v>34</v>
      </c>
      <c r="O533" s="11" t="s">
        <v>51</v>
      </c>
    </row>
    <row r="534">
      <c r="A534" s="10" t="s">
        <v>1644</v>
      </c>
      <c r="B534" s="11">
        <v>57.0</v>
      </c>
      <c r="C534" s="11" t="s">
        <v>17</v>
      </c>
      <c r="D534" s="11" t="s">
        <v>54</v>
      </c>
      <c r="E534" s="11" t="s">
        <v>19</v>
      </c>
      <c r="F534" s="12">
        <v>45061.0</v>
      </c>
      <c r="G534" s="11" t="s">
        <v>1645</v>
      </c>
      <c r="H534" s="11" t="s">
        <v>1646</v>
      </c>
      <c r="I534" s="11" t="s">
        <v>22</v>
      </c>
      <c r="J534" s="11">
        <v>36287.3850642607</v>
      </c>
      <c r="K534" s="11">
        <v>263.0</v>
      </c>
      <c r="L534" s="11" t="s">
        <v>50</v>
      </c>
      <c r="M534" s="12">
        <v>45065.0</v>
      </c>
      <c r="N534" s="11" t="s">
        <v>91</v>
      </c>
      <c r="O534" s="11" t="s">
        <v>35</v>
      </c>
    </row>
    <row r="535">
      <c r="A535" s="10" t="s">
        <v>452</v>
      </c>
      <c r="B535" s="11">
        <v>59.0</v>
      </c>
      <c r="C535" s="11" t="s">
        <v>17</v>
      </c>
      <c r="D535" s="11" t="s">
        <v>28</v>
      </c>
      <c r="E535" s="11" t="s">
        <v>88</v>
      </c>
      <c r="F535" s="12">
        <v>43643.0</v>
      </c>
      <c r="G535" s="11" t="s">
        <v>1647</v>
      </c>
      <c r="H535" s="11" t="s">
        <v>1648</v>
      </c>
      <c r="I535" s="11" t="s">
        <v>32</v>
      </c>
      <c r="J535" s="11">
        <v>48035.3693345951</v>
      </c>
      <c r="K535" s="11">
        <v>414.0</v>
      </c>
      <c r="L535" s="11" t="s">
        <v>23</v>
      </c>
      <c r="M535" s="12">
        <v>43665.0</v>
      </c>
      <c r="N535" s="11" t="s">
        <v>34</v>
      </c>
      <c r="O535" s="11" t="s">
        <v>51</v>
      </c>
    </row>
    <row r="536">
      <c r="A536" s="10" t="s">
        <v>1649</v>
      </c>
      <c r="B536" s="11">
        <v>62.0</v>
      </c>
      <c r="C536" s="11" t="s">
        <v>17</v>
      </c>
      <c r="D536" s="11" t="s">
        <v>119</v>
      </c>
      <c r="E536" s="11" t="s">
        <v>88</v>
      </c>
      <c r="F536" s="12">
        <v>45228.0</v>
      </c>
      <c r="G536" s="11" t="s">
        <v>1650</v>
      </c>
      <c r="H536" s="11" t="s">
        <v>1651</v>
      </c>
      <c r="I536" s="11" t="s">
        <v>42</v>
      </c>
      <c r="J536" s="11">
        <v>22030.6933510678</v>
      </c>
      <c r="K536" s="11">
        <v>132.0</v>
      </c>
      <c r="L536" s="11" t="s">
        <v>23</v>
      </c>
      <c r="M536" s="12">
        <v>45244.0</v>
      </c>
      <c r="N536" s="11" t="s">
        <v>91</v>
      </c>
      <c r="O536" s="11" t="s">
        <v>25</v>
      </c>
    </row>
    <row r="537">
      <c r="A537" s="10" t="s">
        <v>1652</v>
      </c>
      <c r="B537" s="11">
        <v>71.0</v>
      </c>
      <c r="C537" s="11" t="s">
        <v>17</v>
      </c>
      <c r="D537" s="11" t="s">
        <v>66</v>
      </c>
      <c r="E537" s="11" t="s">
        <v>47</v>
      </c>
      <c r="F537" s="12">
        <v>45300.0</v>
      </c>
      <c r="G537" s="11" t="s">
        <v>1653</v>
      </c>
      <c r="H537" s="11" t="s">
        <v>1654</v>
      </c>
      <c r="I537" s="11" t="s">
        <v>63</v>
      </c>
      <c r="J537" s="11">
        <v>45665.8508918785</v>
      </c>
      <c r="K537" s="11">
        <v>387.0</v>
      </c>
      <c r="L537" s="11" t="s">
        <v>50</v>
      </c>
      <c r="M537" s="12">
        <v>45311.0</v>
      </c>
      <c r="N537" s="11" t="s">
        <v>57</v>
      </c>
      <c r="O537" s="11" t="s">
        <v>35</v>
      </c>
    </row>
    <row r="538">
      <c r="A538" s="10" t="s">
        <v>1655</v>
      </c>
      <c r="B538" s="11">
        <v>35.0</v>
      </c>
      <c r="C538" s="11" t="s">
        <v>38</v>
      </c>
      <c r="D538" s="11" t="s">
        <v>119</v>
      </c>
      <c r="E538" s="11" t="s">
        <v>19</v>
      </c>
      <c r="F538" s="12">
        <v>44066.0</v>
      </c>
      <c r="G538" s="11" t="s">
        <v>1656</v>
      </c>
      <c r="H538" s="11" t="s">
        <v>1657</v>
      </c>
      <c r="I538" s="11" t="s">
        <v>42</v>
      </c>
      <c r="J538" s="11">
        <v>4415.75486684084</v>
      </c>
      <c r="K538" s="11">
        <v>180.0</v>
      </c>
      <c r="L538" s="11" t="s">
        <v>33</v>
      </c>
      <c r="M538" s="12">
        <v>44072.0</v>
      </c>
      <c r="N538" s="11" t="s">
        <v>91</v>
      </c>
      <c r="O538" s="11" t="s">
        <v>35</v>
      </c>
    </row>
    <row r="539">
      <c r="A539" s="10" t="s">
        <v>1658</v>
      </c>
      <c r="B539" s="11">
        <v>34.0</v>
      </c>
      <c r="C539" s="11" t="s">
        <v>17</v>
      </c>
      <c r="D539" s="11" t="s">
        <v>54</v>
      </c>
      <c r="E539" s="11" t="s">
        <v>60</v>
      </c>
      <c r="F539" s="12">
        <v>43837.0</v>
      </c>
      <c r="G539" s="11" t="s">
        <v>1659</v>
      </c>
      <c r="H539" s="11" t="s">
        <v>1660</v>
      </c>
      <c r="I539" s="11" t="s">
        <v>22</v>
      </c>
      <c r="J539" s="11">
        <v>41122.2891368951</v>
      </c>
      <c r="K539" s="11">
        <v>440.0</v>
      </c>
      <c r="L539" s="11" t="s">
        <v>23</v>
      </c>
      <c r="M539" s="12">
        <v>43842.0</v>
      </c>
      <c r="N539" s="11" t="s">
        <v>24</v>
      </c>
      <c r="O539" s="11" t="s">
        <v>25</v>
      </c>
    </row>
    <row r="540">
      <c r="A540" s="10" t="s">
        <v>1661</v>
      </c>
      <c r="B540" s="11">
        <v>84.0</v>
      </c>
      <c r="C540" s="11" t="s">
        <v>38</v>
      </c>
      <c r="D540" s="11" t="s">
        <v>141</v>
      </c>
      <c r="E540" s="11" t="s">
        <v>109</v>
      </c>
      <c r="F540" s="12">
        <v>43763.0</v>
      </c>
      <c r="G540" s="11" t="s">
        <v>1662</v>
      </c>
      <c r="H540" s="11" t="s">
        <v>1663</v>
      </c>
      <c r="I540" s="11" t="s">
        <v>73</v>
      </c>
      <c r="J540" s="11">
        <v>28401.5569318716</v>
      </c>
      <c r="K540" s="11">
        <v>377.0</v>
      </c>
      <c r="L540" s="11" t="s">
        <v>50</v>
      </c>
      <c r="M540" s="12">
        <v>43784.0</v>
      </c>
      <c r="N540" s="11" t="s">
        <v>34</v>
      </c>
      <c r="O540" s="11" t="s">
        <v>35</v>
      </c>
    </row>
    <row r="541">
      <c r="A541" s="10" t="s">
        <v>1664</v>
      </c>
      <c r="B541" s="11">
        <v>77.0</v>
      </c>
      <c r="C541" s="11" t="s">
        <v>38</v>
      </c>
      <c r="D541" s="11" t="s">
        <v>54</v>
      </c>
      <c r="E541" s="11" t="s">
        <v>47</v>
      </c>
      <c r="F541" s="12">
        <v>45189.0</v>
      </c>
      <c r="G541" s="11" t="s">
        <v>1665</v>
      </c>
      <c r="H541" s="11" t="s">
        <v>1666</v>
      </c>
      <c r="I541" s="11" t="s">
        <v>63</v>
      </c>
      <c r="J541" s="11">
        <v>28228.6947224565</v>
      </c>
      <c r="K541" s="11">
        <v>277.0</v>
      </c>
      <c r="L541" s="11" t="s">
        <v>23</v>
      </c>
      <c r="M541" s="12">
        <v>45207.0</v>
      </c>
      <c r="N541" s="11" t="s">
        <v>24</v>
      </c>
      <c r="O541" s="11" t="s">
        <v>35</v>
      </c>
    </row>
    <row r="542">
      <c r="A542" s="10" t="s">
        <v>1667</v>
      </c>
      <c r="B542" s="11">
        <v>85.0</v>
      </c>
      <c r="C542" s="11" t="s">
        <v>17</v>
      </c>
      <c r="D542" s="11" t="s">
        <v>119</v>
      </c>
      <c r="E542" s="11" t="s">
        <v>109</v>
      </c>
      <c r="F542" s="12">
        <v>43842.0</v>
      </c>
      <c r="G542" s="11" t="s">
        <v>1668</v>
      </c>
      <c r="H542" s="11" t="s">
        <v>1669</v>
      </c>
      <c r="I542" s="11" t="s">
        <v>63</v>
      </c>
      <c r="J542" s="11">
        <v>2106.3937567995</v>
      </c>
      <c r="K542" s="11">
        <v>375.0</v>
      </c>
      <c r="L542" s="11" t="s">
        <v>23</v>
      </c>
      <c r="M542" s="12">
        <v>43853.0</v>
      </c>
      <c r="N542" s="11" t="s">
        <v>57</v>
      </c>
      <c r="O542" s="11" t="s">
        <v>35</v>
      </c>
    </row>
    <row r="543">
      <c r="A543" s="10" t="s">
        <v>1670</v>
      </c>
      <c r="B543" s="11">
        <v>34.0</v>
      </c>
      <c r="C543" s="11" t="s">
        <v>38</v>
      </c>
      <c r="D543" s="11" t="s">
        <v>119</v>
      </c>
      <c r="E543" s="11" t="s">
        <v>60</v>
      </c>
      <c r="F543" s="12">
        <v>43620.0</v>
      </c>
      <c r="G543" s="11" t="s">
        <v>1671</v>
      </c>
      <c r="H543" s="11" t="s">
        <v>1672</v>
      </c>
      <c r="I543" s="11" t="s">
        <v>22</v>
      </c>
      <c r="J543" s="11">
        <v>47398.5862071371</v>
      </c>
      <c r="K543" s="11">
        <v>431.0</v>
      </c>
      <c r="L543" s="11" t="s">
        <v>23</v>
      </c>
      <c r="M543" s="12">
        <v>43623.0</v>
      </c>
      <c r="N543" s="11" t="s">
        <v>34</v>
      </c>
      <c r="O543" s="11" t="s">
        <v>25</v>
      </c>
    </row>
    <row r="544">
      <c r="A544" s="10" t="s">
        <v>1673</v>
      </c>
      <c r="B544" s="11">
        <v>72.0</v>
      </c>
      <c r="C544" s="11" t="s">
        <v>38</v>
      </c>
      <c r="D544" s="11" t="s">
        <v>66</v>
      </c>
      <c r="E544" s="11" t="s">
        <v>60</v>
      </c>
      <c r="F544" s="12">
        <v>44544.0</v>
      </c>
      <c r="G544" s="11" t="s">
        <v>1674</v>
      </c>
      <c r="H544" s="11" t="s">
        <v>1675</v>
      </c>
      <c r="I544" s="11" t="s">
        <v>42</v>
      </c>
      <c r="J544" s="11">
        <v>47454.5946751323</v>
      </c>
      <c r="K544" s="11">
        <v>293.0</v>
      </c>
      <c r="L544" s="11" t="s">
        <v>33</v>
      </c>
      <c r="M544" s="12">
        <v>44554.0</v>
      </c>
      <c r="N544" s="11" t="s">
        <v>43</v>
      </c>
      <c r="O544" s="11" t="s">
        <v>51</v>
      </c>
    </row>
    <row r="545">
      <c r="A545" s="10" t="s">
        <v>1676</v>
      </c>
      <c r="B545" s="11">
        <v>33.0</v>
      </c>
      <c r="C545" s="11" t="s">
        <v>38</v>
      </c>
      <c r="D545" s="11" t="s">
        <v>39</v>
      </c>
      <c r="E545" s="11" t="s">
        <v>47</v>
      </c>
      <c r="F545" s="12">
        <v>45076.0</v>
      </c>
      <c r="G545" s="11" t="s">
        <v>1677</v>
      </c>
      <c r="H545" s="11" t="s">
        <v>1678</v>
      </c>
      <c r="I545" s="11" t="s">
        <v>73</v>
      </c>
      <c r="J545" s="11">
        <v>22257.6093737339</v>
      </c>
      <c r="K545" s="11">
        <v>243.0</v>
      </c>
      <c r="L545" s="11" t="s">
        <v>23</v>
      </c>
      <c r="M545" s="12">
        <v>45078.0</v>
      </c>
      <c r="N545" s="11" t="s">
        <v>34</v>
      </c>
      <c r="O545" s="11" t="s">
        <v>51</v>
      </c>
    </row>
    <row r="546">
      <c r="A546" s="10" t="s">
        <v>1679</v>
      </c>
      <c r="B546" s="11">
        <v>80.0</v>
      </c>
      <c r="C546" s="11" t="s">
        <v>38</v>
      </c>
      <c r="D546" s="11" t="s">
        <v>66</v>
      </c>
      <c r="E546" s="11" t="s">
        <v>109</v>
      </c>
      <c r="F546" s="12">
        <v>43703.0</v>
      </c>
      <c r="G546" s="11" t="s">
        <v>1680</v>
      </c>
      <c r="H546" s="11" t="s">
        <v>1681</v>
      </c>
      <c r="I546" s="11" t="s">
        <v>22</v>
      </c>
      <c r="J546" s="11">
        <v>30324.0659777306</v>
      </c>
      <c r="K546" s="11">
        <v>159.0</v>
      </c>
      <c r="L546" s="11" t="s">
        <v>23</v>
      </c>
      <c r="M546" s="12">
        <v>43723.0</v>
      </c>
      <c r="N546" s="11" t="s">
        <v>57</v>
      </c>
      <c r="O546" s="11" t="s">
        <v>51</v>
      </c>
    </row>
    <row r="547">
      <c r="A547" s="10" t="s">
        <v>1682</v>
      </c>
      <c r="B547" s="11">
        <v>24.0</v>
      </c>
      <c r="C547" s="11" t="s">
        <v>38</v>
      </c>
      <c r="D547" s="11" t="s">
        <v>141</v>
      </c>
      <c r="E547" s="11" t="s">
        <v>109</v>
      </c>
      <c r="F547" s="12">
        <v>43785.0</v>
      </c>
      <c r="G547" s="11" t="s">
        <v>1683</v>
      </c>
      <c r="H547" s="11" t="s">
        <v>1684</v>
      </c>
      <c r="I547" s="11" t="s">
        <v>32</v>
      </c>
      <c r="J547" s="11">
        <v>10053.9245846758</v>
      </c>
      <c r="K547" s="11">
        <v>371.0</v>
      </c>
      <c r="L547" s="11" t="s">
        <v>33</v>
      </c>
      <c r="M547" s="12">
        <v>43801.0</v>
      </c>
      <c r="N547" s="11" t="s">
        <v>43</v>
      </c>
      <c r="O547" s="11" t="s">
        <v>51</v>
      </c>
    </row>
    <row r="548">
      <c r="A548" s="10" t="s">
        <v>1685</v>
      </c>
      <c r="B548" s="11">
        <v>44.0</v>
      </c>
      <c r="C548" s="11" t="s">
        <v>38</v>
      </c>
      <c r="D548" s="11" t="s">
        <v>39</v>
      </c>
      <c r="E548" s="11" t="s">
        <v>109</v>
      </c>
      <c r="F548" s="12">
        <v>44674.0</v>
      </c>
      <c r="G548" s="11" t="s">
        <v>1686</v>
      </c>
      <c r="H548" s="11" t="s">
        <v>1687</v>
      </c>
      <c r="I548" s="11" t="s">
        <v>32</v>
      </c>
      <c r="J548" s="11">
        <v>9823.30343284717</v>
      </c>
      <c r="K548" s="11">
        <v>304.0</v>
      </c>
      <c r="L548" s="11" t="s">
        <v>50</v>
      </c>
      <c r="M548" s="12">
        <v>44700.0</v>
      </c>
      <c r="N548" s="11" t="s">
        <v>91</v>
      </c>
      <c r="O548" s="11" t="s">
        <v>25</v>
      </c>
    </row>
    <row r="549">
      <c r="A549" s="10" t="s">
        <v>1688</v>
      </c>
      <c r="B549" s="11">
        <v>32.0</v>
      </c>
      <c r="C549" s="11" t="s">
        <v>38</v>
      </c>
      <c r="D549" s="11" t="s">
        <v>119</v>
      </c>
      <c r="E549" s="11" t="s">
        <v>60</v>
      </c>
      <c r="F549" s="12">
        <v>43881.0</v>
      </c>
      <c r="G549" s="11" t="s">
        <v>1689</v>
      </c>
      <c r="H549" s="11" t="s">
        <v>1690</v>
      </c>
      <c r="I549" s="11" t="s">
        <v>32</v>
      </c>
      <c r="J549" s="11">
        <v>17862.6922498934</v>
      </c>
      <c r="K549" s="11">
        <v>482.0</v>
      </c>
      <c r="L549" s="11" t="s">
        <v>50</v>
      </c>
      <c r="M549" s="12">
        <v>43882.0</v>
      </c>
      <c r="N549" s="11" t="s">
        <v>24</v>
      </c>
      <c r="O549" s="11" t="s">
        <v>35</v>
      </c>
    </row>
    <row r="550">
      <c r="A550" s="10" t="s">
        <v>1691</v>
      </c>
      <c r="B550" s="11">
        <v>83.0</v>
      </c>
      <c r="C550" s="11" t="s">
        <v>17</v>
      </c>
      <c r="D550" s="11" t="s">
        <v>119</v>
      </c>
      <c r="E550" s="11" t="s">
        <v>29</v>
      </c>
      <c r="F550" s="12">
        <v>44853.0</v>
      </c>
      <c r="G550" s="11" t="s">
        <v>1692</v>
      </c>
      <c r="H550" s="11" t="s">
        <v>1693</v>
      </c>
      <c r="I550" s="11" t="s">
        <v>22</v>
      </c>
      <c r="J550" s="11">
        <v>17855.8010677628</v>
      </c>
      <c r="K550" s="11">
        <v>349.0</v>
      </c>
      <c r="L550" s="11" t="s">
        <v>33</v>
      </c>
      <c r="M550" s="12">
        <v>44875.0</v>
      </c>
      <c r="N550" s="11" t="s">
        <v>34</v>
      </c>
      <c r="O550" s="11" t="s">
        <v>35</v>
      </c>
    </row>
    <row r="551">
      <c r="A551" s="10" t="s">
        <v>1694</v>
      </c>
      <c r="B551" s="11">
        <v>80.0</v>
      </c>
      <c r="C551" s="11" t="s">
        <v>17</v>
      </c>
      <c r="D551" s="11" t="s">
        <v>141</v>
      </c>
      <c r="E551" s="11" t="s">
        <v>109</v>
      </c>
      <c r="F551" s="12">
        <v>44597.0</v>
      </c>
      <c r="G551" s="11" t="s">
        <v>1695</v>
      </c>
      <c r="H551" s="11" t="s">
        <v>1696</v>
      </c>
      <c r="I551" s="11" t="s">
        <v>73</v>
      </c>
      <c r="J551" s="11">
        <v>40178.4632943695</v>
      </c>
      <c r="K551" s="11">
        <v>396.0</v>
      </c>
      <c r="L551" s="11" t="s">
        <v>50</v>
      </c>
      <c r="M551" s="12">
        <v>44610.0</v>
      </c>
      <c r="N551" s="11" t="s">
        <v>57</v>
      </c>
      <c r="O551" s="11" t="s">
        <v>35</v>
      </c>
    </row>
    <row r="552">
      <c r="A552" s="10" t="s">
        <v>1697</v>
      </c>
      <c r="B552" s="11">
        <v>41.0</v>
      </c>
      <c r="C552" s="11" t="s">
        <v>38</v>
      </c>
      <c r="D552" s="11" t="s">
        <v>119</v>
      </c>
      <c r="E552" s="11" t="s">
        <v>19</v>
      </c>
      <c r="F552" s="12">
        <v>43678.0</v>
      </c>
      <c r="G552" s="11" t="s">
        <v>1698</v>
      </c>
      <c r="H552" s="11" t="s">
        <v>1699</v>
      </c>
      <c r="I552" s="11" t="s">
        <v>73</v>
      </c>
      <c r="J552" s="11">
        <v>24690.2221766802</v>
      </c>
      <c r="K552" s="11">
        <v>320.0</v>
      </c>
      <c r="L552" s="11" t="s">
        <v>33</v>
      </c>
      <c r="M552" s="12">
        <v>43686.0</v>
      </c>
      <c r="N552" s="11" t="s">
        <v>34</v>
      </c>
      <c r="O552" s="11" t="s">
        <v>51</v>
      </c>
    </row>
    <row r="553">
      <c r="A553" s="10" t="s">
        <v>1700</v>
      </c>
      <c r="B553" s="11">
        <v>39.0</v>
      </c>
      <c r="C553" s="11" t="s">
        <v>17</v>
      </c>
      <c r="D553" s="11" t="s">
        <v>141</v>
      </c>
      <c r="E553" s="11" t="s">
        <v>109</v>
      </c>
      <c r="F553" s="12">
        <v>44366.0</v>
      </c>
      <c r="G553" s="11" t="s">
        <v>1701</v>
      </c>
      <c r="H553" s="11" t="s">
        <v>1702</v>
      </c>
      <c r="I553" s="11" t="s">
        <v>63</v>
      </c>
      <c r="J553" s="11">
        <v>21862.0563570798</v>
      </c>
      <c r="K553" s="11">
        <v>497.0</v>
      </c>
      <c r="L553" s="11" t="s">
        <v>50</v>
      </c>
      <c r="M553" s="12">
        <v>44393.0</v>
      </c>
      <c r="N553" s="11" t="s">
        <v>43</v>
      </c>
      <c r="O553" s="11" t="s">
        <v>25</v>
      </c>
    </row>
    <row r="554">
      <c r="A554" s="10" t="s">
        <v>1703</v>
      </c>
      <c r="B554" s="11">
        <v>55.0</v>
      </c>
      <c r="C554" s="11" t="s">
        <v>17</v>
      </c>
      <c r="D554" s="11" t="s">
        <v>141</v>
      </c>
      <c r="E554" s="11" t="s">
        <v>60</v>
      </c>
      <c r="F554" s="12">
        <v>44010.0</v>
      </c>
      <c r="G554" s="11" t="s">
        <v>1704</v>
      </c>
      <c r="H554" s="11" t="s">
        <v>1705</v>
      </c>
      <c r="I554" s="11" t="s">
        <v>42</v>
      </c>
      <c r="J554" s="11">
        <v>29790.846838577</v>
      </c>
      <c r="K554" s="11">
        <v>142.0</v>
      </c>
      <c r="L554" s="11" t="s">
        <v>23</v>
      </c>
      <c r="M554" s="12">
        <v>44036.0</v>
      </c>
      <c r="N554" s="11" t="s">
        <v>34</v>
      </c>
      <c r="O554" s="11" t="s">
        <v>25</v>
      </c>
    </row>
    <row r="555">
      <c r="A555" s="10" t="s">
        <v>1706</v>
      </c>
      <c r="B555" s="11">
        <v>59.0</v>
      </c>
      <c r="C555" s="11" t="s">
        <v>17</v>
      </c>
      <c r="D555" s="11" t="s">
        <v>39</v>
      </c>
      <c r="E555" s="11" t="s">
        <v>60</v>
      </c>
      <c r="F555" s="12">
        <v>43744.0</v>
      </c>
      <c r="G555" s="11" t="s">
        <v>1707</v>
      </c>
      <c r="H555" s="11" t="s">
        <v>1708</v>
      </c>
      <c r="I555" s="11" t="s">
        <v>73</v>
      </c>
      <c r="J555" s="11">
        <v>6539.76033221272</v>
      </c>
      <c r="K555" s="11">
        <v>270.0</v>
      </c>
      <c r="L555" s="11" t="s">
        <v>23</v>
      </c>
      <c r="M555" s="12">
        <v>43762.0</v>
      </c>
      <c r="N555" s="11" t="s">
        <v>43</v>
      </c>
      <c r="O555" s="11" t="s">
        <v>51</v>
      </c>
    </row>
    <row r="556">
      <c r="A556" s="10" t="s">
        <v>1709</v>
      </c>
      <c r="B556" s="11">
        <v>34.0</v>
      </c>
      <c r="C556" s="11" t="s">
        <v>38</v>
      </c>
      <c r="D556" s="11" t="s">
        <v>39</v>
      </c>
      <c r="E556" s="11" t="s">
        <v>60</v>
      </c>
      <c r="F556" s="12">
        <v>44759.0</v>
      </c>
      <c r="G556" s="11" t="s">
        <v>1710</v>
      </c>
      <c r="H556" s="11" t="s">
        <v>1711</v>
      </c>
      <c r="I556" s="11" t="s">
        <v>42</v>
      </c>
      <c r="J556" s="11">
        <v>20453.3174993412</v>
      </c>
      <c r="K556" s="11">
        <v>445.0</v>
      </c>
      <c r="L556" s="11" t="s">
        <v>23</v>
      </c>
      <c r="M556" s="12">
        <v>44765.0</v>
      </c>
      <c r="N556" s="11" t="s">
        <v>24</v>
      </c>
      <c r="O556" s="11" t="s">
        <v>35</v>
      </c>
    </row>
    <row r="557">
      <c r="A557" s="10" t="s">
        <v>1712</v>
      </c>
      <c r="B557" s="11">
        <v>27.0</v>
      </c>
      <c r="C557" s="11" t="s">
        <v>38</v>
      </c>
      <c r="D557" s="11" t="s">
        <v>46</v>
      </c>
      <c r="E557" s="11" t="s">
        <v>88</v>
      </c>
      <c r="F557" s="12">
        <v>44338.0</v>
      </c>
      <c r="G557" s="11" t="s">
        <v>1713</v>
      </c>
      <c r="H557" s="11" t="s">
        <v>1714</v>
      </c>
      <c r="I557" s="11" t="s">
        <v>73</v>
      </c>
      <c r="J557" s="11">
        <v>6827.6979545314</v>
      </c>
      <c r="K557" s="11">
        <v>119.0</v>
      </c>
      <c r="L557" s="11" t="s">
        <v>23</v>
      </c>
      <c r="M557" s="12">
        <v>44356.0</v>
      </c>
      <c r="N557" s="11" t="s">
        <v>24</v>
      </c>
      <c r="O557" s="11" t="s">
        <v>25</v>
      </c>
    </row>
    <row r="558">
      <c r="A558" s="10" t="s">
        <v>1715</v>
      </c>
      <c r="B558" s="11">
        <v>56.0</v>
      </c>
      <c r="C558" s="11" t="s">
        <v>38</v>
      </c>
      <c r="D558" s="11" t="s">
        <v>46</v>
      </c>
      <c r="E558" s="11" t="s">
        <v>47</v>
      </c>
      <c r="F558" s="12">
        <v>44789.0</v>
      </c>
      <c r="G558" s="11" t="s">
        <v>1716</v>
      </c>
      <c r="H558" s="11" t="s">
        <v>1717</v>
      </c>
      <c r="I558" s="11" t="s">
        <v>73</v>
      </c>
      <c r="J558" s="11">
        <v>7557.59914996845</v>
      </c>
      <c r="K558" s="11">
        <v>264.0</v>
      </c>
      <c r="L558" s="11" t="s">
        <v>23</v>
      </c>
      <c r="M558" s="12">
        <v>44808.0</v>
      </c>
      <c r="N558" s="11" t="s">
        <v>43</v>
      </c>
      <c r="O558" s="11" t="s">
        <v>35</v>
      </c>
    </row>
    <row r="559">
      <c r="A559" s="10" t="s">
        <v>1718</v>
      </c>
      <c r="B559" s="11">
        <v>60.0</v>
      </c>
      <c r="C559" s="11" t="s">
        <v>38</v>
      </c>
      <c r="D559" s="11" t="s">
        <v>28</v>
      </c>
      <c r="E559" s="11" t="s">
        <v>19</v>
      </c>
      <c r="F559" s="12">
        <v>44286.0</v>
      </c>
      <c r="G559" s="11" t="s">
        <v>1719</v>
      </c>
      <c r="H559" s="11" t="s">
        <v>1720</v>
      </c>
      <c r="I559" s="11" t="s">
        <v>42</v>
      </c>
      <c r="J559" s="11">
        <v>15364.4847852978</v>
      </c>
      <c r="K559" s="11">
        <v>181.0</v>
      </c>
      <c r="L559" s="11" t="s">
        <v>33</v>
      </c>
      <c r="M559" s="12">
        <v>44304.0</v>
      </c>
      <c r="N559" s="11" t="s">
        <v>34</v>
      </c>
      <c r="O559" s="11" t="s">
        <v>51</v>
      </c>
    </row>
    <row r="560">
      <c r="A560" s="10" t="s">
        <v>1721</v>
      </c>
      <c r="B560" s="11">
        <v>71.0</v>
      </c>
      <c r="C560" s="11" t="s">
        <v>38</v>
      </c>
      <c r="D560" s="11" t="s">
        <v>141</v>
      </c>
      <c r="E560" s="11" t="s">
        <v>29</v>
      </c>
      <c r="F560" s="12">
        <v>44445.0</v>
      </c>
      <c r="G560" s="11" t="s">
        <v>1722</v>
      </c>
      <c r="H560" s="11" t="s">
        <v>1723</v>
      </c>
      <c r="I560" s="11" t="s">
        <v>42</v>
      </c>
      <c r="J560" s="11">
        <v>6664.21691671733</v>
      </c>
      <c r="K560" s="11">
        <v>228.0</v>
      </c>
      <c r="L560" s="11" t="s">
        <v>50</v>
      </c>
      <c r="M560" s="12">
        <v>44456.0</v>
      </c>
      <c r="N560" s="11" t="s">
        <v>91</v>
      </c>
      <c r="O560" s="11" t="s">
        <v>51</v>
      </c>
    </row>
    <row r="561">
      <c r="A561" s="10" t="s">
        <v>1724</v>
      </c>
      <c r="B561" s="11">
        <v>20.0</v>
      </c>
      <c r="C561" s="11" t="s">
        <v>17</v>
      </c>
      <c r="D561" s="11" t="s">
        <v>66</v>
      </c>
      <c r="E561" s="11" t="s">
        <v>47</v>
      </c>
      <c r="F561" s="12">
        <v>45164.0</v>
      </c>
      <c r="G561" s="11" t="s">
        <v>1725</v>
      </c>
      <c r="H561" s="11" t="s">
        <v>1726</v>
      </c>
      <c r="I561" s="11" t="s">
        <v>73</v>
      </c>
      <c r="J561" s="11">
        <v>7235.1906901877</v>
      </c>
      <c r="K561" s="11">
        <v>197.0</v>
      </c>
      <c r="L561" s="11" t="s">
        <v>23</v>
      </c>
      <c r="M561" s="12">
        <v>45165.0</v>
      </c>
      <c r="N561" s="11" t="s">
        <v>57</v>
      </c>
      <c r="O561" s="11" t="s">
        <v>35</v>
      </c>
    </row>
    <row r="562">
      <c r="A562" s="10" t="s">
        <v>1727</v>
      </c>
      <c r="B562" s="11">
        <v>75.0</v>
      </c>
      <c r="C562" s="11" t="s">
        <v>17</v>
      </c>
      <c r="D562" s="11" t="s">
        <v>28</v>
      </c>
      <c r="E562" s="11" t="s">
        <v>60</v>
      </c>
      <c r="F562" s="12">
        <v>43796.0</v>
      </c>
      <c r="G562" s="11" t="s">
        <v>1728</v>
      </c>
      <c r="H562" s="11" t="s">
        <v>998</v>
      </c>
      <c r="I562" s="11" t="s">
        <v>42</v>
      </c>
      <c r="J562" s="11">
        <v>20336.4929220005</v>
      </c>
      <c r="K562" s="11">
        <v>316.0</v>
      </c>
      <c r="L562" s="11" t="s">
        <v>33</v>
      </c>
      <c r="M562" s="12">
        <v>43806.0</v>
      </c>
      <c r="N562" s="11" t="s">
        <v>57</v>
      </c>
      <c r="O562" s="11" t="s">
        <v>25</v>
      </c>
    </row>
    <row r="563">
      <c r="A563" s="10" t="s">
        <v>1729</v>
      </c>
      <c r="B563" s="11">
        <v>32.0</v>
      </c>
      <c r="C563" s="11" t="s">
        <v>38</v>
      </c>
      <c r="D563" s="11" t="s">
        <v>28</v>
      </c>
      <c r="E563" s="11" t="s">
        <v>29</v>
      </c>
      <c r="F563" s="12">
        <v>44992.0</v>
      </c>
      <c r="G563" s="11" t="s">
        <v>1730</v>
      </c>
      <c r="H563" s="11" t="s">
        <v>1731</v>
      </c>
      <c r="I563" s="11" t="s">
        <v>63</v>
      </c>
      <c r="J563" s="11">
        <v>38668.6945886764</v>
      </c>
      <c r="K563" s="11">
        <v>462.0</v>
      </c>
      <c r="L563" s="11" t="s">
        <v>23</v>
      </c>
      <c r="M563" s="12">
        <v>44997.0</v>
      </c>
      <c r="N563" s="11" t="s">
        <v>91</v>
      </c>
      <c r="O563" s="11" t="s">
        <v>25</v>
      </c>
    </row>
    <row r="564">
      <c r="A564" s="10" t="s">
        <v>1732</v>
      </c>
      <c r="B564" s="11">
        <v>66.0</v>
      </c>
      <c r="C564" s="11" t="s">
        <v>38</v>
      </c>
      <c r="D564" s="11" t="s">
        <v>39</v>
      </c>
      <c r="E564" s="11" t="s">
        <v>47</v>
      </c>
      <c r="F564" s="12">
        <v>44837.0</v>
      </c>
      <c r="G564" s="11" t="s">
        <v>1733</v>
      </c>
      <c r="H564" s="11" t="s">
        <v>1734</v>
      </c>
      <c r="I564" s="11" t="s">
        <v>42</v>
      </c>
      <c r="J564" s="11">
        <v>41222.0058713676</v>
      </c>
      <c r="K564" s="11">
        <v>255.0</v>
      </c>
      <c r="L564" s="11" t="s">
        <v>50</v>
      </c>
      <c r="M564" s="12">
        <v>44848.0</v>
      </c>
      <c r="N564" s="11" t="s">
        <v>91</v>
      </c>
      <c r="O564" s="11" t="s">
        <v>51</v>
      </c>
    </row>
    <row r="565">
      <c r="A565" s="10" t="s">
        <v>1735</v>
      </c>
      <c r="B565" s="11">
        <v>78.0</v>
      </c>
      <c r="C565" s="11" t="s">
        <v>38</v>
      </c>
      <c r="D565" s="11" t="s">
        <v>141</v>
      </c>
      <c r="E565" s="11" t="s">
        <v>47</v>
      </c>
      <c r="F565" s="12">
        <v>44936.0</v>
      </c>
      <c r="G565" s="11" t="s">
        <v>1736</v>
      </c>
      <c r="H565" s="11" t="s">
        <v>1737</v>
      </c>
      <c r="I565" s="11" t="s">
        <v>32</v>
      </c>
      <c r="J565" s="11">
        <v>38520.0111936996</v>
      </c>
      <c r="K565" s="11">
        <v>211.0</v>
      </c>
      <c r="L565" s="11" t="s">
        <v>23</v>
      </c>
      <c r="M565" s="12">
        <v>44956.0</v>
      </c>
      <c r="N565" s="11" t="s">
        <v>91</v>
      </c>
      <c r="O565" s="11" t="s">
        <v>51</v>
      </c>
    </row>
    <row r="566">
      <c r="A566" s="10" t="s">
        <v>1738</v>
      </c>
      <c r="B566" s="11">
        <v>49.0</v>
      </c>
      <c r="C566" s="11" t="s">
        <v>17</v>
      </c>
      <c r="D566" s="11" t="s">
        <v>141</v>
      </c>
      <c r="E566" s="11" t="s">
        <v>19</v>
      </c>
      <c r="F566" s="12">
        <v>43933.0</v>
      </c>
      <c r="G566" s="11" t="s">
        <v>1739</v>
      </c>
      <c r="H566" s="11" t="s">
        <v>1740</v>
      </c>
      <c r="I566" s="11" t="s">
        <v>73</v>
      </c>
      <c r="J566" s="11">
        <v>44411.1245270808</v>
      </c>
      <c r="K566" s="11">
        <v>103.0</v>
      </c>
      <c r="L566" s="11" t="s">
        <v>23</v>
      </c>
      <c r="M566" s="12">
        <v>43955.0</v>
      </c>
      <c r="N566" s="11" t="s">
        <v>43</v>
      </c>
      <c r="O566" s="11" t="s">
        <v>25</v>
      </c>
    </row>
    <row r="567">
      <c r="A567" s="10" t="s">
        <v>1741</v>
      </c>
      <c r="B567" s="11">
        <v>73.0</v>
      </c>
      <c r="C567" s="11" t="s">
        <v>17</v>
      </c>
      <c r="D567" s="11" t="s">
        <v>18</v>
      </c>
      <c r="E567" s="11" t="s">
        <v>109</v>
      </c>
      <c r="F567" s="12">
        <v>44155.0</v>
      </c>
      <c r="G567" s="11" t="s">
        <v>1742</v>
      </c>
      <c r="H567" s="11" t="s">
        <v>1743</v>
      </c>
      <c r="I567" s="11" t="s">
        <v>42</v>
      </c>
      <c r="J567" s="11">
        <v>26044.2509380988</v>
      </c>
      <c r="K567" s="11">
        <v>101.0</v>
      </c>
      <c r="L567" s="11" t="s">
        <v>23</v>
      </c>
      <c r="M567" s="12">
        <v>44180.0</v>
      </c>
      <c r="N567" s="11" t="s">
        <v>43</v>
      </c>
      <c r="O567" s="11" t="s">
        <v>35</v>
      </c>
    </row>
    <row r="568">
      <c r="A568" s="10" t="s">
        <v>1744</v>
      </c>
      <c r="B568" s="11">
        <v>69.0</v>
      </c>
      <c r="C568" s="11" t="s">
        <v>17</v>
      </c>
      <c r="D568" s="11" t="s">
        <v>66</v>
      </c>
      <c r="E568" s="11" t="s">
        <v>88</v>
      </c>
      <c r="F568" s="12">
        <v>45408.0</v>
      </c>
      <c r="G568" s="11" t="s">
        <v>1745</v>
      </c>
      <c r="H568" s="11" t="s">
        <v>1746</v>
      </c>
      <c r="I568" s="11" t="s">
        <v>42</v>
      </c>
      <c r="J568" s="11">
        <v>7902.42048279919</v>
      </c>
      <c r="K568" s="11">
        <v>419.0</v>
      </c>
      <c r="L568" s="11" t="s">
        <v>33</v>
      </c>
      <c r="M568" s="12">
        <v>45436.0</v>
      </c>
      <c r="N568" s="11" t="s">
        <v>34</v>
      </c>
      <c r="O568" s="11" t="s">
        <v>51</v>
      </c>
    </row>
    <row r="569">
      <c r="A569" s="10" t="s">
        <v>1747</v>
      </c>
      <c r="B569" s="11">
        <v>51.0</v>
      </c>
      <c r="C569" s="11" t="s">
        <v>38</v>
      </c>
      <c r="D569" s="11" t="s">
        <v>28</v>
      </c>
      <c r="E569" s="11" t="s">
        <v>88</v>
      </c>
      <c r="F569" s="12">
        <v>45106.0</v>
      </c>
      <c r="G569" s="11" t="s">
        <v>1748</v>
      </c>
      <c r="H569" s="11" t="s">
        <v>1749</v>
      </c>
      <c r="I569" s="11" t="s">
        <v>32</v>
      </c>
      <c r="J569" s="11">
        <v>46245.5839522965</v>
      </c>
      <c r="K569" s="11">
        <v>455.0</v>
      </c>
      <c r="L569" s="11" t="s">
        <v>23</v>
      </c>
      <c r="M569" s="12">
        <v>45114.0</v>
      </c>
      <c r="N569" s="11" t="s">
        <v>24</v>
      </c>
      <c r="O569" s="11" t="s">
        <v>51</v>
      </c>
    </row>
    <row r="570">
      <c r="A570" s="10" t="s">
        <v>1750</v>
      </c>
      <c r="B570" s="11">
        <v>66.0</v>
      </c>
      <c r="C570" s="11" t="s">
        <v>17</v>
      </c>
      <c r="D570" s="11" t="s">
        <v>46</v>
      </c>
      <c r="E570" s="11" t="s">
        <v>47</v>
      </c>
      <c r="F570" s="12">
        <v>43841.0</v>
      </c>
      <c r="G570" s="11" t="s">
        <v>1751</v>
      </c>
      <c r="H570" s="11" t="s">
        <v>1752</v>
      </c>
      <c r="I570" s="11" t="s">
        <v>42</v>
      </c>
      <c r="J570" s="11">
        <v>40448.9691728188</v>
      </c>
      <c r="K570" s="11">
        <v>497.0</v>
      </c>
      <c r="L570" s="11" t="s">
        <v>33</v>
      </c>
      <c r="M570" s="12">
        <v>43868.0</v>
      </c>
      <c r="N570" s="11" t="s">
        <v>24</v>
      </c>
      <c r="O570" s="11" t="s">
        <v>51</v>
      </c>
    </row>
    <row r="571">
      <c r="A571" s="10" t="s">
        <v>1753</v>
      </c>
      <c r="B571" s="11">
        <v>38.0</v>
      </c>
      <c r="C571" s="11" t="s">
        <v>38</v>
      </c>
      <c r="D571" s="11" t="s">
        <v>141</v>
      </c>
      <c r="E571" s="11" t="s">
        <v>109</v>
      </c>
      <c r="F571" s="12">
        <v>44717.0</v>
      </c>
      <c r="G571" s="11" t="s">
        <v>1754</v>
      </c>
      <c r="H571" s="11" t="s">
        <v>1755</v>
      </c>
      <c r="I571" s="11" t="s">
        <v>32</v>
      </c>
      <c r="J571" s="11">
        <v>20914.9474082277</v>
      </c>
      <c r="K571" s="11">
        <v>276.0</v>
      </c>
      <c r="L571" s="11" t="s">
        <v>50</v>
      </c>
      <c r="M571" s="12">
        <v>44727.0</v>
      </c>
      <c r="N571" s="11" t="s">
        <v>24</v>
      </c>
      <c r="O571" s="11" t="s">
        <v>25</v>
      </c>
    </row>
    <row r="572">
      <c r="A572" s="10" t="s">
        <v>1756</v>
      </c>
      <c r="B572" s="11">
        <v>33.0</v>
      </c>
      <c r="C572" s="11" t="s">
        <v>17</v>
      </c>
      <c r="D572" s="11" t="s">
        <v>46</v>
      </c>
      <c r="E572" s="11" t="s">
        <v>60</v>
      </c>
      <c r="F572" s="12">
        <v>45319.0</v>
      </c>
      <c r="G572" s="11" t="s">
        <v>1757</v>
      </c>
      <c r="H572" s="11" t="s">
        <v>1758</v>
      </c>
      <c r="I572" s="11" t="s">
        <v>32</v>
      </c>
      <c r="J572" s="11">
        <v>46682.4467916861</v>
      </c>
      <c r="K572" s="11">
        <v>385.0</v>
      </c>
      <c r="L572" s="11" t="s">
        <v>50</v>
      </c>
      <c r="M572" s="12">
        <v>45344.0</v>
      </c>
      <c r="N572" s="11" t="s">
        <v>24</v>
      </c>
      <c r="O572" s="11" t="s">
        <v>35</v>
      </c>
    </row>
    <row r="573">
      <c r="A573" s="10" t="s">
        <v>1759</v>
      </c>
      <c r="B573" s="11">
        <v>27.0</v>
      </c>
      <c r="C573" s="11" t="s">
        <v>17</v>
      </c>
      <c r="D573" s="11" t="s">
        <v>18</v>
      </c>
      <c r="E573" s="11" t="s">
        <v>19</v>
      </c>
      <c r="F573" s="12">
        <v>44506.0</v>
      </c>
      <c r="G573" s="11" t="s">
        <v>1760</v>
      </c>
      <c r="H573" s="11" t="s">
        <v>1761</v>
      </c>
      <c r="I573" s="11" t="s">
        <v>63</v>
      </c>
      <c r="J573" s="11">
        <v>10965.6957491788</v>
      </c>
      <c r="K573" s="11">
        <v>298.0</v>
      </c>
      <c r="L573" s="11" t="s">
        <v>50</v>
      </c>
      <c r="M573" s="12">
        <v>44507.0</v>
      </c>
      <c r="N573" s="11" t="s">
        <v>57</v>
      </c>
      <c r="O573" s="11" t="s">
        <v>25</v>
      </c>
    </row>
    <row r="574">
      <c r="A574" s="10" t="s">
        <v>1762</v>
      </c>
      <c r="B574" s="11">
        <v>36.0</v>
      </c>
      <c r="C574" s="11" t="s">
        <v>17</v>
      </c>
      <c r="D574" s="11" t="s">
        <v>18</v>
      </c>
      <c r="E574" s="11" t="s">
        <v>19</v>
      </c>
      <c r="F574" s="12">
        <v>44398.0</v>
      </c>
      <c r="G574" s="11" t="s">
        <v>1763</v>
      </c>
      <c r="H574" s="11" t="s">
        <v>1764</v>
      </c>
      <c r="I574" s="11" t="s">
        <v>42</v>
      </c>
      <c r="J574" s="11">
        <v>27507.0429833041</v>
      </c>
      <c r="K574" s="11">
        <v>286.0</v>
      </c>
      <c r="L574" s="11" t="s">
        <v>33</v>
      </c>
      <c r="M574" s="12">
        <v>44408.0</v>
      </c>
      <c r="N574" s="11" t="s">
        <v>34</v>
      </c>
      <c r="O574" s="11" t="s">
        <v>25</v>
      </c>
    </row>
    <row r="575">
      <c r="A575" s="10" t="s">
        <v>1765</v>
      </c>
      <c r="B575" s="11">
        <v>41.0</v>
      </c>
      <c r="C575" s="11" t="s">
        <v>17</v>
      </c>
      <c r="D575" s="11" t="s">
        <v>39</v>
      </c>
      <c r="E575" s="11" t="s">
        <v>19</v>
      </c>
      <c r="F575" s="12">
        <v>43792.0</v>
      </c>
      <c r="G575" s="11" t="s">
        <v>1766</v>
      </c>
      <c r="H575" s="11" t="s">
        <v>1767</v>
      </c>
      <c r="I575" s="11" t="s">
        <v>63</v>
      </c>
      <c r="J575" s="11">
        <v>12678.0962276415</v>
      </c>
      <c r="K575" s="11">
        <v>141.0</v>
      </c>
      <c r="L575" s="11" t="s">
        <v>23</v>
      </c>
      <c r="M575" s="12">
        <v>43805.0</v>
      </c>
      <c r="N575" s="11" t="s">
        <v>57</v>
      </c>
      <c r="O575" s="11" t="s">
        <v>25</v>
      </c>
    </row>
    <row r="576">
      <c r="A576" s="10" t="s">
        <v>1768</v>
      </c>
      <c r="B576" s="11">
        <v>33.0</v>
      </c>
      <c r="C576" s="11" t="s">
        <v>17</v>
      </c>
      <c r="D576" s="11" t="s">
        <v>66</v>
      </c>
      <c r="E576" s="11" t="s">
        <v>60</v>
      </c>
      <c r="F576" s="12">
        <v>43615.0</v>
      </c>
      <c r="G576" s="11" t="s">
        <v>1769</v>
      </c>
      <c r="H576" s="11" t="s">
        <v>1770</v>
      </c>
      <c r="I576" s="11" t="s">
        <v>42</v>
      </c>
      <c r="J576" s="11">
        <v>38395.5299572771</v>
      </c>
      <c r="K576" s="11">
        <v>215.0</v>
      </c>
      <c r="L576" s="11" t="s">
        <v>33</v>
      </c>
      <c r="M576" s="12">
        <v>43645.0</v>
      </c>
      <c r="N576" s="11" t="s">
        <v>34</v>
      </c>
      <c r="O576" s="11" t="s">
        <v>35</v>
      </c>
    </row>
    <row r="577">
      <c r="A577" s="10" t="s">
        <v>1771</v>
      </c>
      <c r="B577" s="11">
        <v>56.0</v>
      </c>
      <c r="C577" s="11" t="s">
        <v>38</v>
      </c>
      <c r="D577" s="11" t="s">
        <v>66</v>
      </c>
      <c r="E577" s="11" t="s">
        <v>60</v>
      </c>
      <c r="F577" s="12">
        <v>45374.0</v>
      </c>
      <c r="G577" s="11" t="s">
        <v>1772</v>
      </c>
      <c r="H577" s="11" t="s">
        <v>1773</v>
      </c>
      <c r="I577" s="11" t="s">
        <v>32</v>
      </c>
      <c r="J577" s="11">
        <v>28510.80721545</v>
      </c>
      <c r="K577" s="11">
        <v>185.0</v>
      </c>
      <c r="L577" s="11" t="s">
        <v>33</v>
      </c>
      <c r="M577" s="12">
        <v>45396.0</v>
      </c>
      <c r="N577" s="11" t="s">
        <v>91</v>
      </c>
      <c r="O577" s="11" t="s">
        <v>35</v>
      </c>
    </row>
    <row r="578">
      <c r="A578" s="10" t="s">
        <v>1774</v>
      </c>
      <c r="B578" s="11">
        <v>25.0</v>
      </c>
      <c r="C578" s="11" t="s">
        <v>17</v>
      </c>
      <c r="D578" s="11" t="s">
        <v>46</v>
      </c>
      <c r="E578" s="11" t="s">
        <v>29</v>
      </c>
      <c r="F578" s="12">
        <v>43639.0</v>
      </c>
      <c r="G578" s="11" t="s">
        <v>1775</v>
      </c>
      <c r="H578" s="11" t="s">
        <v>1776</v>
      </c>
      <c r="I578" s="11" t="s">
        <v>32</v>
      </c>
      <c r="J578" s="11">
        <v>43400.666588542</v>
      </c>
      <c r="K578" s="11">
        <v>300.0</v>
      </c>
      <c r="L578" s="11" t="s">
        <v>33</v>
      </c>
      <c r="M578" s="12">
        <v>43658.0</v>
      </c>
      <c r="N578" s="11" t="s">
        <v>43</v>
      </c>
      <c r="O578" s="11" t="s">
        <v>51</v>
      </c>
    </row>
    <row r="579">
      <c r="A579" s="10" t="s">
        <v>1777</v>
      </c>
      <c r="B579" s="11">
        <v>21.0</v>
      </c>
      <c r="C579" s="11" t="s">
        <v>38</v>
      </c>
      <c r="D579" s="11" t="s">
        <v>141</v>
      </c>
      <c r="E579" s="11" t="s">
        <v>60</v>
      </c>
      <c r="F579" s="12">
        <v>44591.0</v>
      </c>
      <c r="G579" s="11" t="s">
        <v>1778</v>
      </c>
      <c r="H579" s="11" t="s">
        <v>1779</v>
      </c>
      <c r="I579" s="11" t="s">
        <v>42</v>
      </c>
      <c r="J579" s="11">
        <v>46890.4260126925</v>
      </c>
      <c r="K579" s="11">
        <v>307.0</v>
      </c>
      <c r="L579" s="11" t="s">
        <v>50</v>
      </c>
      <c r="M579" s="12">
        <v>44618.0</v>
      </c>
      <c r="N579" s="11" t="s">
        <v>43</v>
      </c>
      <c r="O579" s="11" t="s">
        <v>51</v>
      </c>
    </row>
    <row r="580">
      <c r="A580" s="10" t="s">
        <v>1780</v>
      </c>
      <c r="B580" s="11">
        <v>57.0</v>
      </c>
      <c r="C580" s="11" t="s">
        <v>17</v>
      </c>
      <c r="D580" s="11" t="s">
        <v>18</v>
      </c>
      <c r="E580" s="11" t="s">
        <v>19</v>
      </c>
      <c r="F580" s="12">
        <v>44877.0</v>
      </c>
      <c r="G580" s="11" t="s">
        <v>1781</v>
      </c>
      <c r="H580" s="11" t="s">
        <v>1782</v>
      </c>
      <c r="I580" s="11" t="s">
        <v>73</v>
      </c>
      <c r="J580" s="11">
        <v>48491.6432100851</v>
      </c>
      <c r="K580" s="11">
        <v>129.0</v>
      </c>
      <c r="L580" s="11" t="s">
        <v>50</v>
      </c>
      <c r="M580" s="12">
        <v>44887.0</v>
      </c>
      <c r="N580" s="11" t="s">
        <v>57</v>
      </c>
      <c r="O580" s="11" t="s">
        <v>25</v>
      </c>
    </row>
    <row r="581">
      <c r="A581" s="10" t="s">
        <v>1783</v>
      </c>
      <c r="B581" s="11">
        <v>39.0</v>
      </c>
      <c r="C581" s="11" t="s">
        <v>38</v>
      </c>
      <c r="D581" s="11" t="s">
        <v>46</v>
      </c>
      <c r="E581" s="11" t="s">
        <v>19</v>
      </c>
      <c r="F581" s="12">
        <v>44187.0</v>
      </c>
      <c r="G581" s="11" t="s">
        <v>1784</v>
      </c>
      <c r="H581" s="11" t="s">
        <v>1785</v>
      </c>
      <c r="I581" s="11" t="s">
        <v>22</v>
      </c>
      <c r="J581" s="11">
        <v>13643.730851835</v>
      </c>
      <c r="K581" s="11">
        <v>380.0</v>
      </c>
      <c r="L581" s="11" t="s">
        <v>50</v>
      </c>
      <c r="M581" s="12">
        <v>44192.0</v>
      </c>
      <c r="N581" s="11" t="s">
        <v>91</v>
      </c>
      <c r="O581" s="11" t="s">
        <v>25</v>
      </c>
    </row>
    <row r="582">
      <c r="A582" s="10" t="s">
        <v>1786</v>
      </c>
      <c r="B582" s="11">
        <v>51.0</v>
      </c>
      <c r="C582" s="11" t="s">
        <v>38</v>
      </c>
      <c r="D582" s="11" t="s">
        <v>39</v>
      </c>
      <c r="E582" s="11" t="s">
        <v>47</v>
      </c>
      <c r="F582" s="12">
        <v>44703.0</v>
      </c>
      <c r="G582" s="11" t="s">
        <v>1787</v>
      </c>
      <c r="H582" s="11" t="s">
        <v>1788</v>
      </c>
      <c r="I582" s="11" t="s">
        <v>73</v>
      </c>
      <c r="J582" s="11">
        <v>5415.28351014421</v>
      </c>
      <c r="K582" s="11">
        <v>209.0</v>
      </c>
      <c r="L582" s="11" t="s">
        <v>33</v>
      </c>
      <c r="M582" s="12">
        <v>44720.0</v>
      </c>
      <c r="N582" s="11" t="s">
        <v>43</v>
      </c>
      <c r="O582" s="11" t="s">
        <v>35</v>
      </c>
    </row>
    <row r="583">
      <c r="A583" s="10" t="s">
        <v>1789</v>
      </c>
      <c r="B583" s="11">
        <v>31.0</v>
      </c>
      <c r="C583" s="11" t="s">
        <v>17</v>
      </c>
      <c r="D583" s="11" t="s">
        <v>119</v>
      </c>
      <c r="E583" s="11" t="s">
        <v>88</v>
      </c>
      <c r="F583" s="12">
        <v>44282.0</v>
      </c>
      <c r="G583" s="11" t="s">
        <v>1790</v>
      </c>
      <c r="H583" s="11" t="s">
        <v>1791</v>
      </c>
      <c r="I583" s="11" t="s">
        <v>42</v>
      </c>
      <c r="J583" s="11">
        <v>44008.050211625</v>
      </c>
      <c r="K583" s="11">
        <v>392.0</v>
      </c>
      <c r="L583" s="11" t="s">
        <v>50</v>
      </c>
      <c r="M583" s="12">
        <v>44309.0</v>
      </c>
      <c r="N583" s="11" t="s">
        <v>91</v>
      </c>
      <c r="O583" s="11" t="s">
        <v>51</v>
      </c>
    </row>
    <row r="584">
      <c r="A584" s="10" t="s">
        <v>1792</v>
      </c>
      <c r="B584" s="11">
        <v>85.0</v>
      </c>
      <c r="C584" s="11" t="s">
        <v>17</v>
      </c>
      <c r="D584" s="11" t="s">
        <v>66</v>
      </c>
      <c r="E584" s="11" t="s">
        <v>60</v>
      </c>
      <c r="F584" s="12">
        <v>44734.0</v>
      </c>
      <c r="G584" s="11" t="s">
        <v>1793</v>
      </c>
      <c r="H584" s="11" t="s">
        <v>1794</v>
      </c>
      <c r="I584" s="11" t="s">
        <v>63</v>
      </c>
      <c r="J584" s="11">
        <v>43866.6584759829</v>
      </c>
      <c r="K584" s="11">
        <v>420.0</v>
      </c>
      <c r="L584" s="11" t="s">
        <v>23</v>
      </c>
      <c r="M584" s="12">
        <v>44764.0</v>
      </c>
      <c r="N584" s="11" t="s">
        <v>43</v>
      </c>
      <c r="O584" s="11" t="s">
        <v>25</v>
      </c>
    </row>
    <row r="585">
      <c r="A585" s="10" t="s">
        <v>1795</v>
      </c>
      <c r="B585" s="11">
        <v>76.0</v>
      </c>
      <c r="C585" s="11" t="s">
        <v>17</v>
      </c>
      <c r="D585" s="11" t="s">
        <v>46</v>
      </c>
      <c r="E585" s="11" t="s">
        <v>47</v>
      </c>
      <c r="F585" s="12">
        <v>44757.0</v>
      </c>
      <c r="G585" s="11" t="s">
        <v>1796</v>
      </c>
      <c r="H585" s="11" t="s">
        <v>1797</v>
      </c>
      <c r="I585" s="11" t="s">
        <v>22</v>
      </c>
      <c r="J585" s="11">
        <v>45242.8569927816</v>
      </c>
      <c r="K585" s="11">
        <v>174.0</v>
      </c>
      <c r="L585" s="11" t="s">
        <v>33</v>
      </c>
      <c r="M585" s="12">
        <v>44761.0</v>
      </c>
      <c r="N585" s="11" t="s">
        <v>57</v>
      </c>
      <c r="O585" s="11" t="s">
        <v>51</v>
      </c>
    </row>
    <row r="586">
      <c r="A586" s="10" t="s">
        <v>1798</v>
      </c>
      <c r="B586" s="11">
        <v>59.0</v>
      </c>
      <c r="C586" s="11" t="s">
        <v>17</v>
      </c>
      <c r="D586" s="11" t="s">
        <v>28</v>
      </c>
      <c r="E586" s="11" t="s">
        <v>60</v>
      </c>
      <c r="F586" s="12">
        <v>44718.0</v>
      </c>
      <c r="G586" s="11" t="s">
        <v>1799</v>
      </c>
      <c r="H586" s="11" t="s">
        <v>1800</v>
      </c>
      <c r="I586" s="11" t="s">
        <v>42</v>
      </c>
      <c r="J586" s="11">
        <v>13550.1244871951</v>
      </c>
      <c r="K586" s="11">
        <v>250.0</v>
      </c>
      <c r="L586" s="11" t="s">
        <v>50</v>
      </c>
      <c r="M586" s="12">
        <v>44742.0</v>
      </c>
      <c r="N586" s="11" t="s">
        <v>24</v>
      </c>
      <c r="O586" s="11" t="s">
        <v>25</v>
      </c>
    </row>
    <row r="587">
      <c r="A587" s="10" t="s">
        <v>1801</v>
      </c>
      <c r="B587" s="11">
        <v>64.0</v>
      </c>
      <c r="C587" s="11" t="s">
        <v>17</v>
      </c>
      <c r="D587" s="11" t="s">
        <v>141</v>
      </c>
      <c r="E587" s="11" t="s">
        <v>47</v>
      </c>
      <c r="F587" s="12">
        <v>44194.0</v>
      </c>
      <c r="G587" s="11" t="s">
        <v>1802</v>
      </c>
      <c r="H587" s="11" t="s">
        <v>1803</v>
      </c>
      <c r="I587" s="11" t="s">
        <v>22</v>
      </c>
      <c r="J587" s="11">
        <v>34963.6389845688</v>
      </c>
      <c r="K587" s="11">
        <v>277.0</v>
      </c>
      <c r="L587" s="11" t="s">
        <v>23</v>
      </c>
      <c r="M587" s="12">
        <v>44203.0</v>
      </c>
      <c r="N587" s="11" t="s">
        <v>43</v>
      </c>
      <c r="O587" s="11" t="s">
        <v>35</v>
      </c>
    </row>
    <row r="588">
      <c r="A588" s="10" t="s">
        <v>1804</v>
      </c>
      <c r="B588" s="11">
        <v>28.0</v>
      </c>
      <c r="C588" s="11" t="s">
        <v>17</v>
      </c>
      <c r="D588" s="11" t="s">
        <v>28</v>
      </c>
      <c r="E588" s="11" t="s">
        <v>109</v>
      </c>
      <c r="F588" s="12">
        <v>43974.0</v>
      </c>
      <c r="G588" s="11" t="s">
        <v>1805</v>
      </c>
      <c r="H588" s="11" t="s">
        <v>1806</v>
      </c>
      <c r="I588" s="11" t="s">
        <v>63</v>
      </c>
      <c r="J588" s="11">
        <v>48890.4478160298</v>
      </c>
      <c r="K588" s="11">
        <v>324.0</v>
      </c>
      <c r="L588" s="11" t="s">
        <v>50</v>
      </c>
      <c r="M588" s="12">
        <v>43994.0</v>
      </c>
      <c r="N588" s="11" t="s">
        <v>57</v>
      </c>
      <c r="O588" s="11" t="s">
        <v>51</v>
      </c>
    </row>
    <row r="589">
      <c r="A589" s="10" t="s">
        <v>1807</v>
      </c>
      <c r="B589" s="11">
        <v>63.0</v>
      </c>
      <c r="C589" s="11" t="s">
        <v>17</v>
      </c>
      <c r="D589" s="11" t="s">
        <v>39</v>
      </c>
      <c r="E589" s="11" t="s">
        <v>29</v>
      </c>
      <c r="F589" s="12">
        <v>44767.0</v>
      </c>
      <c r="G589" s="11" t="s">
        <v>1808</v>
      </c>
      <c r="H589" s="11" t="s">
        <v>1809</v>
      </c>
      <c r="I589" s="11" t="s">
        <v>32</v>
      </c>
      <c r="J589" s="11">
        <v>17159.5815315142</v>
      </c>
      <c r="K589" s="11">
        <v>330.0</v>
      </c>
      <c r="L589" s="11" t="s">
        <v>33</v>
      </c>
      <c r="M589" s="12">
        <v>44795.0</v>
      </c>
      <c r="N589" s="11" t="s">
        <v>34</v>
      </c>
      <c r="O589" s="11" t="s">
        <v>25</v>
      </c>
    </row>
    <row r="590">
      <c r="A590" s="10" t="s">
        <v>1810</v>
      </c>
      <c r="B590" s="11">
        <v>24.0</v>
      </c>
      <c r="C590" s="11" t="s">
        <v>17</v>
      </c>
      <c r="D590" s="11" t="s">
        <v>39</v>
      </c>
      <c r="E590" s="11" t="s">
        <v>109</v>
      </c>
      <c r="F590" s="12">
        <v>44287.0</v>
      </c>
      <c r="G590" s="11" t="s">
        <v>1811</v>
      </c>
      <c r="H590" s="11" t="s">
        <v>475</v>
      </c>
      <c r="I590" s="11" t="s">
        <v>73</v>
      </c>
      <c r="J590" s="11">
        <v>7192.62817823795</v>
      </c>
      <c r="K590" s="11">
        <v>443.0</v>
      </c>
      <c r="L590" s="11" t="s">
        <v>33</v>
      </c>
      <c r="M590" s="12">
        <v>44305.0</v>
      </c>
      <c r="N590" s="11" t="s">
        <v>57</v>
      </c>
      <c r="O590" s="11" t="s">
        <v>51</v>
      </c>
    </row>
    <row r="591">
      <c r="A591" s="10" t="s">
        <v>1812</v>
      </c>
      <c r="B591" s="11">
        <v>81.0</v>
      </c>
      <c r="C591" s="11" t="s">
        <v>17</v>
      </c>
      <c r="D591" s="11" t="s">
        <v>119</v>
      </c>
      <c r="E591" s="11" t="s">
        <v>109</v>
      </c>
      <c r="F591" s="12">
        <v>44032.0</v>
      </c>
      <c r="G591" s="11" t="s">
        <v>1813</v>
      </c>
      <c r="H591" s="11" t="s">
        <v>1814</v>
      </c>
      <c r="I591" s="11" t="s">
        <v>32</v>
      </c>
      <c r="J591" s="11">
        <v>44982.8524720549</v>
      </c>
      <c r="K591" s="11">
        <v>121.0</v>
      </c>
      <c r="L591" s="11" t="s">
        <v>50</v>
      </c>
      <c r="M591" s="12">
        <v>44041.0</v>
      </c>
      <c r="N591" s="11" t="s">
        <v>91</v>
      </c>
      <c r="O591" s="11" t="s">
        <v>25</v>
      </c>
    </row>
    <row r="592">
      <c r="A592" s="10" t="s">
        <v>1815</v>
      </c>
      <c r="B592" s="11">
        <v>74.0</v>
      </c>
      <c r="C592" s="11" t="s">
        <v>17</v>
      </c>
      <c r="D592" s="11" t="s">
        <v>28</v>
      </c>
      <c r="E592" s="11" t="s">
        <v>47</v>
      </c>
      <c r="F592" s="12">
        <v>43889.0</v>
      </c>
      <c r="G592" s="11" t="s">
        <v>1816</v>
      </c>
      <c r="H592" s="11" t="s">
        <v>1817</v>
      </c>
      <c r="I592" s="11" t="s">
        <v>32</v>
      </c>
      <c r="J592" s="11">
        <v>16004.4690772289</v>
      </c>
      <c r="K592" s="11">
        <v>254.0</v>
      </c>
      <c r="L592" s="11" t="s">
        <v>33</v>
      </c>
      <c r="M592" s="12">
        <v>43918.0</v>
      </c>
      <c r="N592" s="11" t="s">
        <v>34</v>
      </c>
      <c r="O592" s="11" t="s">
        <v>35</v>
      </c>
    </row>
    <row r="593">
      <c r="A593" s="10" t="s">
        <v>1818</v>
      </c>
      <c r="B593" s="11">
        <v>28.0</v>
      </c>
      <c r="C593" s="11" t="s">
        <v>17</v>
      </c>
      <c r="D593" s="11" t="s">
        <v>54</v>
      </c>
      <c r="E593" s="11" t="s">
        <v>19</v>
      </c>
      <c r="F593" s="12">
        <v>45168.0</v>
      </c>
      <c r="G593" s="11" t="s">
        <v>1819</v>
      </c>
      <c r="H593" s="11" t="s">
        <v>1820</v>
      </c>
      <c r="I593" s="11" t="s">
        <v>63</v>
      </c>
      <c r="J593" s="11">
        <v>7320.04261708616</v>
      </c>
      <c r="K593" s="11">
        <v>458.0</v>
      </c>
      <c r="L593" s="11" t="s">
        <v>50</v>
      </c>
      <c r="M593" s="12">
        <v>45186.0</v>
      </c>
      <c r="N593" s="11" t="s">
        <v>34</v>
      </c>
      <c r="O593" s="11" t="s">
        <v>25</v>
      </c>
    </row>
    <row r="594">
      <c r="A594" s="10" t="s">
        <v>1821</v>
      </c>
      <c r="B594" s="11">
        <v>27.0</v>
      </c>
      <c r="C594" s="11" t="s">
        <v>17</v>
      </c>
      <c r="D594" s="11" t="s">
        <v>66</v>
      </c>
      <c r="E594" s="11" t="s">
        <v>29</v>
      </c>
      <c r="F594" s="12">
        <v>44039.0</v>
      </c>
      <c r="G594" s="11" t="s">
        <v>1822</v>
      </c>
      <c r="H594" s="11" t="s">
        <v>1823</v>
      </c>
      <c r="I594" s="11" t="s">
        <v>22</v>
      </c>
      <c r="J594" s="11">
        <v>28329.8240693788</v>
      </c>
      <c r="K594" s="11">
        <v>470.0</v>
      </c>
      <c r="L594" s="11" t="s">
        <v>33</v>
      </c>
      <c r="M594" s="12">
        <v>44067.0</v>
      </c>
      <c r="N594" s="11" t="s">
        <v>43</v>
      </c>
      <c r="O594" s="11" t="s">
        <v>25</v>
      </c>
    </row>
    <row r="595">
      <c r="A595" s="10" t="s">
        <v>1824</v>
      </c>
      <c r="B595" s="11">
        <v>24.0</v>
      </c>
      <c r="C595" s="11" t="s">
        <v>17</v>
      </c>
      <c r="D595" s="11" t="s">
        <v>66</v>
      </c>
      <c r="E595" s="11" t="s">
        <v>47</v>
      </c>
      <c r="F595" s="12">
        <v>44283.0</v>
      </c>
      <c r="G595" s="11" t="s">
        <v>1825</v>
      </c>
      <c r="H595" s="11" t="s">
        <v>1826</v>
      </c>
      <c r="I595" s="11" t="s">
        <v>63</v>
      </c>
      <c r="J595" s="11">
        <v>24130.5167546293</v>
      </c>
      <c r="K595" s="11">
        <v>214.0</v>
      </c>
      <c r="L595" s="11" t="s">
        <v>23</v>
      </c>
      <c r="M595" s="12">
        <v>44291.0</v>
      </c>
      <c r="N595" s="11" t="s">
        <v>24</v>
      </c>
      <c r="O595" s="11" t="s">
        <v>35</v>
      </c>
    </row>
    <row r="596">
      <c r="A596" s="10" t="s">
        <v>1827</v>
      </c>
      <c r="B596" s="11">
        <v>63.0</v>
      </c>
      <c r="C596" s="11" t="s">
        <v>17</v>
      </c>
      <c r="D596" s="11" t="s">
        <v>39</v>
      </c>
      <c r="E596" s="11" t="s">
        <v>47</v>
      </c>
      <c r="F596" s="12">
        <v>44689.0</v>
      </c>
      <c r="G596" s="11" t="s">
        <v>1771</v>
      </c>
      <c r="H596" s="11" t="s">
        <v>1828</v>
      </c>
      <c r="I596" s="11" t="s">
        <v>73</v>
      </c>
      <c r="J596" s="11">
        <v>22361.1475965662</v>
      </c>
      <c r="K596" s="11">
        <v>445.0</v>
      </c>
      <c r="L596" s="11" t="s">
        <v>33</v>
      </c>
      <c r="M596" s="12">
        <v>44691.0</v>
      </c>
      <c r="N596" s="11" t="s">
        <v>24</v>
      </c>
      <c r="O596" s="11" t="s">
        <v>25</v>
      </c>
    </row>
    <row r="597">
      <c r="A597" s="10" t="s">
        <v>1829</v>
      </c>
      <c r="B597" s="11">
        <v>46.0</v>
      </c>
      <c r="C597" s="11" t="s">
        <v>38</v>
      </c>
      <c r="D597" s="11" t="s">
        <v>46</v>
      </c>
      <c r="E597" s="11" t="s">
        <v>29</v>
      </c>
      <c r="F597" s="12">
        <v>44363.0</v>
      </c>
      <c r="G597" s="11" t="s">
        <v>1830</v>
      </c>
      <c r="H597" s="11" t="s">
        <v>1831</v>
      </c>
      <c r="I597" s="11" t="s">
        <v>22</v>
      </c>
      <c r="J597" s="11">
        <v>19650.0017865913</v>
      </c>
      <c r="K597" s="11">
        <v>108.0</v>
      </c>
      <c r="L597" s="11" t="s">
        <v>33</v>
      </c>
      <c r="M597" s="12">
        <v>44383.0</v>
      </c>
      <c r="N597" s="11" t="s">
        <v>91</v>
      </c>
      <c r="O597" s="11" t="s">
        <v>35</v>
      </c>
    </row>
    <row r="598">
      <c r="A598" s="10" t="s">
        <v>1832</v>
      </c>
      <c r="B598" s="11">
        <v>35.0</v>
      </c>
      <c r="C598" s="11" t="s">
        <v>38</v>
      </c>
      <c r="D598" s="11" t="s">
        <v>54</v>
      </c>
      <c r="E598" s="11" t="s">
        <v>109</v>
      </c>
      <c r="F598" s="12">
        <v>45230.0</v>
      </c>
      <c r="G598" s="11" t="s">
        <v>1833</v>
      </c>
      <c r="H598" s="11" t="s">
        <v>1834</v>
      </c>
      <c r="I598" s="11" t="s">
        <v>42</v>
      </c>
      <c r="J598" s="11">
        <v>30986.9325169354</v>
      </c>
      <c r="K598" s="11">
        <v>346.0</v>
      </c>
      <c r="L598" s="11" t="s">
        <v>23</v>
      </c>
      <c r="M598" s="12">
        <v>45251.0</v>
      </c>
      <c r="N598" s="11" t="s">
        <v>24</v>
      </c>
      <c r="O598" s="11" t="s">
        <v>51</v>
      </c>
    </row>
    <row r="599">
      <c r="A599" s="10" t="s">
        <v>1835</v>
      </c>
      <c r="B599" s="11">
        <v>28.0</v>
      </c>
      <c r="C599" s="11" t="s">
        <v>38</v>
      </c>
      <c r="D599" s="11" t="s">
        <v>119</v>
      </c>
      <c r="E599" s="11" t="s">
        <v>47</v>
      </c>
      <c r="F599" s="12">
        <v>44674.0</v>
      </c>
      <c r="G599" s="11" t="s">
        <v>1836</v>
      </c>
      <c r="H599" s="11" t="s">
        <v>1837</v>
      </c>
      <c r="I599" s="11" t="s">
        <v>63</v>
      </c>
      <c r="J599" s="11">
        <v>45987.1567795129</v>
      </c>
      <c r="K599" s="11">
        <v>293.0</v>
      </c>
      <c r="L599" s="11" t="s">
        <v>50</v>
      </c>
      <c r="M599" s="12">
        <v>44692.0</v>
      </c>
      <c r="N599" s="11" t="s">
        <v>57</v>
      </c>
      <c r="O599" s="11" t="s">
        <v>25</v>
      </c>
    </row>
    <row r="600">
      <c r="A600" s="10" t="s">
        <v>1838</v>
      </c>
      <c r="B600" s="11">
        <v>80.0</v>
      </c>
      <c r="C600" s="11" t="s">
        <v>38</v>
      </c>
      <c r="D600" s="11" t="s">
        <v>119</v>
      </c>
      <c r="E600" s="11" t="s">
        <v>29</v>
      </c>
      <c r="F600" s="12">
        <v>44539.0</v>
      </c>
      <c r="G600" s="11" t="s">
        <v>1839</v>
      </c>
      <c r="H600" s="11" t="s">
        <v>1840</v>
      </c>
      <c r="I600" s="11" t="s">
        <v>32</v>
      </c>
      <c r="J600" s="11">
        <v>11086.7304763579</v>
      </c>
      <c r="K600" s="11">
        <v>482.0</v>
      </c>
      <c r="L600" s="11" t="s">
        <v>23</v>
      </c>
      <c r="M600" s="12">
        <v>44542.0</v>
      </c>
      <c r="N600" s="11" t="s">
        <v>91</v>
      </c>
      <c r="O600" s="11" t="s">
        <v>35</v>
      </c>
    </row>
    <row r="601">
      <c r="A601" s="10" t="s">
        <v>1841</v>
      </c>
      <c r="B601" s="11">
        <v>31.0</v>
      </c>
      <c r="C601" s="11" t="s">
        <v>17</v>
      </c>
      <c r="D601" s="11" t="s">
        <v>141</v>
      </c>
      <c r="E601" s="11" t="s">
        <v>29</v>
      </c>
      <c r="F601" s="12">
        <v>45301.0</v>
      </c>
      <c r="G601" s="11" t="s">
        <v>1842</v>
      </c>
      <c r="H601" s="11" t="s">
        <v>1843</v>
      </c>
      <c r="I601" s="11" t="s">
        <v>32</v>
      </c>
      <c r="J601" s="11">
        <v>28483.8769366598</v>
      </c>
      <c r="K601" s="11">
        <v>265.0</v>
      </c>
      <c r="L601" s="11" t="s">
        <v>23</v>
      </c>
      <c r="M601" s="12">
        <v>45324.0</v>
      </c>
      <c r="N601" s="11" t="s">
        <v>91</v>
      </c>
      <c r="O601" s="11" t="s">
        <v>51</v>
      </c>
    </row>
    <row r="602">
      <c r="A602" s="10" t="s">
        <v>1844</v>
      </c>
      <c r="B602" s="11">
        <v>69.0</v>
      </c>
      <c r="C602" s="11" t="s">
        <v>38</v>
      </c>
      <c r="D602" s="11" t="s">
        <v>46</v>
      </c>
      <c r="E602" s="11" t="s">
        <v>47</v>
      </c>
      <c r="F602" s="12">
        <v>43786.0</v>
      </c>
      <c r="G602" s="11" t="s">
        <v>1845</v>
      </c>
      <c r="H602" s="11" t="s">
        <v>1846</v>
      </c>
      <c r="I602" s="11" t="s">
        <v>73</v>
      </c>
      <c r="J602" s="11">
        <v>37905.9551783242</v>
      </c>
      <c r="K602" s="11">
        <v>368.0</v>
      </c>
      <c r="L602" s="11" t="s">
        <v>33</v>
      </c>
      <c r="M602" s="12">
        <v>43814.0</v>
      </c>
      <c r="N602" s="11" t="s">
        <v>91</v>
      </c>
      <c r="O602" s="11" t="s">
        <v>35</v>
      </c>
    </row>
    <row r="603">
      <c r="A603" s="10" t="s">
        <v>1847</v>
      </c>
      <c r="B603" s="11">
        <v>82.0</v>
      </c>
      <c r="C603" s="11" t="s">
        <v>17</v>
      </c>
      <c r="D603" s="11" t="s">
        <v>54</v>
      </c>
      <c r="E603" s="11" t="s">
        <v>60</v>
      </c>
      <c r="F603" s="12">
        <v>44566.0</v>
      </c>
      <c r="G603" s="11" t="s">
        <v>1848</v>
      </c>
      <c r="H603" s="11" t="s">
        <v>1849</v>
      </c>
      <c r="I603" s="11" t="s">
        <v>32</v>
      </c>
      <c r="J603" s="11">
        <v>27878.8508377759</v>
      </c>
      <c r="K603" s="11">
        <v>472.0</v>
      </c>
      <c r="L603" s="11" t="s">
        <v>50</v>
      </c>
      <c r="M603" s="12">
        <v>44572.0</v>
      </c>
      <c r="N603" s="11" t="s">
        <v>34</v>
      </c>
      <c r="O603" s="11" t="s">
        <v>25</v>
      </c>
    </row>
    <row r="604">
      <c r="A604" s="10" t="s">
        <v>1850</v>
      </c>
      <c r="B604" s="11">
        <v>64.0</v>
      </c>
      <c r="C604" s="11" t="s">
        <v>38</v>
      </c>
      <c r="D604" s="11" t="s">
        <v>119</v>
      </c>
      <c r="E604" s="11" t="s">
        <v>109</v>
      </c>
      <c r="F604" s="12">
        <v>45306.0</v>
      </c>
      <c r="G604" s="11" t="s">
        <v>1851</v>
      </c>
      <c r="H604" s="11" t="s">
        <v>1852</v>
      </c>
      <c r="I604" s="11" t="s">
        <v>42</v>
      </c>
      <c r="J604" s="11">
        <v>13900.0542630552</v>
      </c>
      <c r="K604" s="11">
        <v>442.0</v>
      </c>
      <c r="L604" s="11" t="s">
        <v>23</v>
      </c>
      <c r="M604" s="12">
        <v>45332.0</v>
      </c>
      <c r="N604" s="11" t="s">
        <v>34</v>
      </c>
      <c r="O604" s="11" t="s">
        <v>35</v>
      </c>
    </row>
    <row r="605">
      <c r="A605" s="10" t="s">
        <v>1853</v>
      </c>
      <c r="B605" s="11">
        <v>77.0</v>
      </c>
      <c r="C605" s="11" t="s">
        <v>38</v>
      </c>
      <c r="D605" s="11" t="s">
        <v>46</v>
      </c>
      <c r="E605" s="11" t="s">
        <v>109</v>
      </c>
      <c r="F605" s="12">
        <v>44882.0</v>
      </c>
      <c r="G605" s="11" t="s">
        <v>1854</v>
      </c>
      <c r="H605" s="11" t="s">
        <v>1855</v>
      </c>
      <c r="I605" s="11" t="s">
        <v>42</v>
      </c>
      <c r="J605" s="11">
        <v>30575.7646027089</v>
      </c>
      <c r="K605" s="11">
        <v>116.0</v>
      </c>
      <c r="L605" s="11" t="s">
        <v>23</v>
      </c>
      <c r="M605" s="12">
        <v>44910.0</v>
      </c>
      <c r="N605" s="11" t="s">
        <v>24</v>
      </c>
      <c r="O605" s="11" t="s">
        <v>51</v>
      </c>
    </row>
    <row r="606">
      <c r="A606" s="10" t="s">
        <v>1856</v>
      </c>
      <c r="B606" s="11">
        <v>32.0</v>
      </c>
      <c r="C606" s="11" t="s">
        <v>17</v>
      </c>
      <c r="D606" s="11" t="s">
        <v>46</v>
      </c>
      <c r="E606" s="11" t="s">
        <v>29</v>
      </c>
      <c r="F606" s="12">
        <v>44410.0</v>
      </c>
      <c r="G606" s="11" t="s">
        <v>1857</v>
      </c>
      <c r="H606" s="11" t="s">
        <v>1858</v>
      </c>
      <c r="I606" s="11" t="s">
        <v>32</v>
      </c>
      <c r="J606" s="11">
        <v>11941.6312985532</v>
      </c>
      <c r="K606" s="11">
        <v>478.0</v>
      </c>
      <c r="L606" s="11" t="s">
        <v>23</v>
      </c>
      <c r="M606" s="12">
        <v>44434.0</v>
      </c>
      <c r="N606" s="11" t="s">
        <v>91</v>
      </c>
      <c r="O606" s="11" t="s">
        <v>25</v>
      </c>
    </row>
    <row r="607">
      <c r="A607" s="10" t="s">
        <v>1859</v>
      </c>
      <c r="B607" s="11">
        <v>70.0</v>
      </c>
      <c r="C607" s="11" t="s">
        <v>38</v>
      </c>
      <c r="D607" s="11" t="s">
        <v>28</v>
      </c>
      <c r="E607" s="11" t="s">
        <v>47</v>
      </c>
      <c r="F607" s="12">
        <v>43941.0</v>
      </c>
      <c r="G607" s="11" t="s">
        <v>1860</v>
      </c>
      <c r="H607" s="11" t="s">
        <v>1861</v>
      </c>
      <c r="I607" s="11" t="s">
        <v>32</v>
      </c>
      <c r="J607" s="11">
        <v>7422.72525994882</v>
      </c>
      <c r="K607" s="11">
        <v>496.0</v>
      </c>
      <c r="L607" s="11" t="s">
        <v>50</v>
      </c>
      <c r="M607" s="12">
        <v>43944.0</v>
      </c>
      <c r="N607" s="11" t="s">
        <v>91</v>
      </c>
      <c r="O607" s="11" t="s">
        <v>51</v>
      </c>
    </row>
    <row r="608">
      <c r="A608" s="10" t="s">
        <v>1862</v>
      </c>
      <c r="B608" s="11">
        <v>50.0</v>
      </c>
      <c r="C608" s="11" t="s">
        <v>38</v>
      </c>
      <c r="D608" s="11" t="s">
        <v>141</v>
      </c>
      <c r="E608" s="11" t="s">
        <v>88</v>
      </c>
      <c r="F608" s="12">
        <v>45105.0</v>
      </c>
      <c r="G608" s="11" t="s">
        <v>1863</v>
      </c>
      <c r="H608" s="11" t="s">
        <v>1864</v>
      </c>
      <c r="I608" s="11" t="s">
        <v>32</v>
      </c>
      <c r="J608" s="11">
        <v>34005.5469985236</v>
      </c>
      <c r="K608" s="11">
        <v>368.0</v>
      </c>
      <c r="L608" s="11" t="s">
        <v>23</v>
      </c>
      <c r="M608" s="12">
        <v>45107.0</v>
      </c>
      <c r="N608" s="11" t="s">
        <v>34</v>
      </c>
      <c r="O608" s="11" t="s">
        <v>35</v>
      </c>
    </row>
    <row r="609">
      <c r="A609" s="10" t="s">
        <v>1865</v>
      </c>
      <c r="B609" s="11">
        <v>29.0</v>
      </c>
      <c r="C609" s="11" t="s">
        <v>17</v>
      </c>
      <c r="D609" s="11" t="s">
        <v>46</v>
      </c>
      <c r="E609" s="11" t="s">
        <v>60</v>
      </c>
      <c r="F609" s="12">
        <v>44657.0</v>
      </c>
      <c r="G609" s="11" t="s">
        <v>1866</v>
      </c>
      <c r="H609" s="11" t="s">
        <v>1867</v>
      </c>
      <c r="I609" s="11" t="s">
        <v>63</v>
      </c>
      <c r="J609" s="11">
        <v>48574.8324380657</v>
      </c>
      <c r="K609" s="11">
        <v>448.0</v>
      </c>
      <c r="L609" s="11" t="s">
        <v>50</v>
      </c>
      <c r="M609" s="12">
        <v>44681.0</v>
      </c>
      <c r="N609" s="11" t="s">
        <v>57</v>
      </c>
      <c r="O609" s="11" t="s">
        <v>35</v>
      </c>
    </row>
    <row r="610">
      <c r="A610" s="10" t="s">
        <v>1868</v>
      </c>
      <c r="B610" s="11">
        <v>66.0</v>
      </c>
      <c r="C610" s="11" t="s">
        <v>38</v>
      </c>
      <c r="D610" s="11" t="s">
        <v>54</v>
      </c>
      <c r="E610" s="11" t="s">
        <v>19</v>
      </c>
      <c r="F610" s="12">
        <v>44286.0</v>
      </c>
      <c r="G610" s="11" t="s">
        <v>1869</v>
      </c>
      <c r="H610" s="11" t="s">
        <v>1870</v>
      </c>
      <c r="I610" s="11" t="s">
        <v>73</v>
      </c>
      <c r="J610" s="11">
        <v>45010.7976390251</v>
      </c>
      <c r="K610" s="11">
        <v>302.0</v>
      </c>
      <c r="L610" s="11" t="s">
        <v>23</v>
      </c>
      <c r="M610" s="12">
        <v>44302.0</v>
      </c>
      <c r="N610" s="11" t="s">
        <v>91</v>
      </c>
      <c r="O610" s="11" t="s">
        <v>51</v>
      </c>
    </row>
    <row r="611">
      <c r="A611" s="10" t="s">
        <v>1871</v>
      </c>
      <c r="B611" s="11">
        <v>70.0</v>
      </c>
      <c r="C611" s="11" t="s">
        <v>17</v>
      </c>
      <c r="D611" s="11" t="s">
        <v>54</v>
      </c>
      <c r="E611" s="11" t="s">
        <v>29</v>
      </c>
      <c r="F611" s="12">
        <v>43897.0</v>
      </c>
      <c r="G611" s="11" t="s">
        <v>1872</v>
      </c>
      <c r="H611" s="11" t="s">
        <v>1873</v>
      </c>
      <c r="I611" s="11" t="s">
        <v>63</v>
      </c>
      <c r="J611" s="11">
        <v>7409.33654636802</v>
      </c>
      <c r="K611" s="11">
        <v>418.0</v>
      </c>
      <c r="L611" s="11" t="s">
        <v>50</v>
      </c>
      <c r="M611" s="12">
        <v>43919.0</v>
      </c>
      <c r="N611" s="11" t="s">
        <v>43</v>
      </c>
      <c r="O611" s="11" t="s">
        <v>25</v>
      </c>
    </row>
    <row r="612">
      <c r="A612" s="10" t="s">
        <v>1874</v>
      </c>
      <c r="B612" s="11">
        <v>56.0</v>
      </c>
      <c r="C612" s="11" t="s">
        <v>38</v>
      </c>
      <c r="D612" s="11" t="s">
        <v>18</v>
      </c>
      <c r="E612" s="11" t="s">
        <v>19</v>
      </c>
      <c r="F612" s="12">
        <v>43985.0</v>
      </c>
      <c r="G612" s="11" t="s">
        <v>1875</v>
      </c>
      <c r="H612" s="11" t="s">
        <v>1876</v>
      </c>
      <c r="I612" s="11" t="s">
        <v>73</v>
      </c>
      <c r="J612" s="11">
        <v>34968.0764504074</v>
      </c>
      <c r="K612" s="11">
        <v>280.0</v>
      </c>
      <c r="L612" s="11" t="s">
        <v>23</v>
      </c>
      <c r="M612" s="12">
        <v>44003.0</v>
      </c>
      <c r="N612" s="11" t="s">
        <v>24</v>
      </c>
      <c r="O612" s="11" t="s">
        <v>51</v>
      </c>
    </row>
    <row r="613">
      <c r="A613" s="10" t="s">
        <v>1877</v>
      </c>
      <c r="B613" s="11">
        <v>85.0</v>
      </c>
      <c r="C613" s="11" t="s">
        <v>17</v>
      </c>
      <c r="D613" s="11" t="s">
        <v>18</v>
      </c>
      <c r="E613" s="11" t="s">
        <v>60</v>
      </c>
      <c r="F613" s="12">
        <v>44439.0</v>
      </c>
      <c r="G613" s="11" t="s">
        <v>1878</v>
      </c>
      <c r="H613" s="11" t="s">
        <v>1879</v>
      </c>
      <c r="I613" s="11" t="s">
        <v>42</v>
      </c>
      <c r="J613" s="11">
        <v>5648.17552608592</v>
      </c>
      <c r="K613" s="11">
        <v>113.0</v>
      </c>
      <c r="L613" s="11" t="s">
        <v>50</v>
      </c>
      <c r="M613" s="12">
        <v>44456.0</v>
      </c>
      <c r="N613" s="11" t="s">
        <v>43</v>
      </c>
      <c r="O613" s="11" t="s">
        <v>35</v>
      </c>
    </row>
    <row r="614">
      <c r="A614" s="10" t="s">
        <v>1880</v>
      </c>
      <c r="B614" s="11">
        <v>67.0</v>
      </c>
      <c r="C614" s="11" t="s">
        <v>17</v>
      </c>
      <c r="D614" s="11" t="s">
        <v>54</v>
      </c>
      <c r="E614" s="11" t="s">
        <v>19</v>
      </c>
      <c r="F614" s="12">
        <v>44826.0</v>
      </c>
      <c r="G614" s="11" t="s">
        <v>1881</v>
      </c>
      <c r="H614" s="11" t="s">
        <v>1882</v>
      </c>
      <c r="I614" s="11" t="s">
        <v>63</v>
      </c>
      <c r="J614" s="11">
        <v>14227.3211583074</v>
      </c>
      <c r="K614" s="11">
        <v>484.0</v>
      </c>
      <c r="L614" s="11" t="s">
        <v>50</v>
      </c>
      <c r="M614" s="12">
        <v>44845.0</v>
      </c>
      <c r="N614" s="11" t="s">
        <v>24</v>
      </c>
      <c r="O614" s="11" t="s">
        <v>25</v>
      </c>
    </row>
    <row r="615">
      <c r="A615" s="10" t="s">
        <v>1883</v>
      </c>
      <c r="B615" s="11">
        <v>50.0</v>
      </c>
      <c r="C615" s="11" t="s">
        <v>38</v>
      </c>
      <c r="D615" s="11" t="s">
        <v>119</v>
      </c>
      <c r="E615" s="11" t="s">
        <v>109</v>
      </c>
      <c r="F615" s="12">
        <v>44744.0</v>
      </c>
      <c r="G615" s="11" t="s">
        <v>1884</v>
      </c>
      <c r="H615" s="11" t="s">
        <v>1885</v>
      </c>
      <c r="I615" s="11" t="s">
        <v>32</v>
      </c>
      <c r="J615" s="11">
        <v>47551.5701425301</v>
      </c>
      <c r="K615" s="11">
        <v>179.0</v>
      </c>
      <c r="L615" s="11" t="s">
        <v>50</v>
      </c>
      <c r="M615" s="12">
        <v>44757.0</v>
      </c>
      <c r="N615" s="11" t="s">
        <v>34</v>
      </c>
      <c r="O615" s="11" t="s">
        <v>35</v>
      </c>
    </row>
    <row r="616">
      <c r="A616" s="10" t="s">
        <v>1886</v>
      </c>
      <c r="B616" s="11">
        <v>52.0</v>
      </c>
      <c r="C616" s="11" t="s">
        <v>38</v>
      </c>
      <c r="D616" s="11" t="s">
        <v>46</v>
      </c>
      <c r="E616" s="11" t="s">
        <v>60</v>
      </c>
      <c r="F616" s="12">
        <v>43634.0</v>
      </c>
      <c r="G616" s="11" t="s">
        <v>1887</v>
      </c>
      <c r="H616" s="11" t="s">
        <v>1888</v>
      </c>
      <c r="I616" s="11" t="s">
        <v>42</v>
      </c>
      <c r="J616" s="11">
        <v>42301.9146193397</v>
      </c>
      <c r="K616" s="11">
        <v>132.0</v>
      </c>
      <c r="L616" s="11" t="s">
        <v>50</v>
      </c>
      <c r="M616" s="12">
        <v>43654.0</v>
      </c>
      <c r="N616" s="11" t="s">
        <v>43</v>
      </c>
      <c r="O616" s="11" t="s">
        <v>51</v>
      </c>
    </row>
    <row r="617">
      <c r="A617" s="10" t="s">
        <v>1889</v>
      </c>
      <c r="B617" s="11">
        <v>84.0</v>
      </c>
      <c r="C617" s="11" t="s">
        <v>17</v>
      </c>
      <c r="D617" s="11" t="s">
        <v>18</v>
      </c>
      <c r="E617" s="11" t="s">
        <v>88</v>
      </c>
      <c r="F617" s="12">
        <v>43665.0</v>
      </c>
      <c r="G617" s="11" t="s">
        <v>1890</v>
      </c>
      <c r="H617" s="11" t="s">
        <v>1891</v>
      </c>
      <c r="I617" s="11" t="s">
        <v>42</v>
      </c>
      <c r="J617" s="11">
        <v>2275.63663182883</v>
      </c>
      <c r="K617" s="11">
        <v>335.0</v>
      </c>
      <c r="L617" s="11" t="s">
        <v>23</v>
      </c>
      <c r="M617" s="12">
        <v>43685.0</v>
      </c>
      <c r="N617" s="11" t="s">
        <v>43</v>
      </c>
      <c r="O617" s="11" t="s">
        <v>25</v>
      </c>
    </row>
    <row r="618">
      <c r="A618" s="10" t="s">
        <v>1892</v>
      </c>
      <c r="B618" s="11">
        <v>70.0</v>
      </c>
      <c r="C618" s="11" t="s">
        <v>17</v>
      </c>
      <c r="D618" s="11" t="s">
        <v>39</v>
      </c>
      <c r="E618" s="11" t="s">
        <v>19</v>
      </c>
      <c r="F618" s="12">
        <v>44567.0</v>
      </c>
      <c r="G618" s="11" t="s">
        <v>1893</v>
      </c>
      <c r="H618" s="11" t="s">
        <v>1894</v>
      </c>
      <c r="I618" s="11" t="s">
        <v>73</v>
      </c>
      <c r="J618" s="11">
        <v>10003.6710273817</v>
      </c>
      <c r="K618" s="11">
        <v>169.0</v>
      </c>
      <c r="L618" s="11" t="s">
        <v>50</v>
      </c>
      <c r="M618" s="12">
        <v>44588.0</v>
      </c>
      <c r="N618" s="11" t="s">
        <v>24</v>
      </c>
      <c r="O618" s="11" t="s">
        <v>25</v>
      </c>
    </row>
    <row r="619">
      <c r="A619" s="10" t="s">
        <v>1895</v>
      </c>
      <c r="B619" s="11">
        <v>66.0</v>
      </c>
      <c r="C619" s="11" t="s">
        <v>17</v>
      </c>
      <c r="D619" s="11" t="s">
        <v>66</v>
      </c>
      <c r="E619" s="11" t="s">
        <v>47</v>
      </c>
      <c r="F619" s="12">
        <v>44600.0</v>
      </c>
      <c r="G619" s="11" t="s">
        <v>1896</v>
      </c>
      <c r="H619" s="11" t="s">
        <v>1897</v>
      </c>
      <c r="I619" s="11" t="s">
        <v>42</v>
      </c>
      <c r="J619" s="11">
        <v>42653.7653446395</v>
      </c>
      <c r="K619" s="11">
        <v>263.0</v>
      </c>
      <c r="L619" s="11" t="s">
        <v>23</v>
      </c>
      <c r="M619" s="12">
        <v>44620.0</v>
      </c>
      <c r="N619" s="11" t="s">
        <v>91</v>
      </c>
      <c r="O619" s="11" t="s">
        <v>25</v>
      </c>
    </row>
    <row r="620">
      <c r="A620" s="10" t="s">
        <v>1898</v>
      </c>
      <c r="B620" s="11">
        <v>74.0</v>
      </c>
      <c r="C620" s="11" t="s">
        <v>17</v>
      </c>
      <c r="D620" s="11" t="s">
        <v>66</v>
      </c>
      <c r="E620" s="11" t="s">
        <v>88</v>
      </c>
      <c r="F620" s="12">
        <v>44904.0</v>
      </c>
      <c r="G620" s="11" t="s">
        <v>1899</v>
      </c>
      <c r="H620" s="11" t="s">
        <v>1900</v>
      </c>
      <c r="I620" s="11" t="s">
        <v>73</v>
      </c>
      <c r="J620" s="11">
        <v>10722.4950696961</v>
      </c>
      <c r="K620" s="11">
        <v>206.0</v>
      </c>
      <c r="L620" s="11" t="s">
        <v>50</v>
      </c>
      <c r="M620" s="12">
        <v>44923.0</v>
      </c>
      <c r="N620" s="11" t="s">
        <v>57</v>
      </c>
      <c r="O620" s="11" t="s">
        <v>35</v>
      </c>
    </row>
    <row r="621">
      <c r="A621" s="10" t="s">
        <v>1901</v>
      </c>
      <c r="B621" s="11">
        <v>75.0</v>
      </c>
      <c r="C621" s="11" t="s">
        <v>38</v>
      </c>
      <c r="D621" s="11" t="s">
        <v>46</v>
      </c>
      <c r="E621" s="11" t="s">
        <v>29</v>
      </c>
      <c r="F621" s="12">
        <v>43996.0</v>
      </c>
      <c r="G621" s="11" t="s">
        <v>1902</v>
      </c>
      <c r="H621" s="11" t="s">
        <v>1903</v>
      </c>
      <c r="I621" s="11" t="s">
        <v>22</v>
      </c>
      <c r="J621" s="11">
        <v>47516.5205464284</v>
      </c>
      <c r="K621" s="11">
        <v>356.0</v>
      </c>
      <c r="L621" s="11" t="s">
        <v>23</v>
      </c>
      <c r="M621" s="12">
        <v>44002.0</v>
      </c>
      <c r="N621" s="11" t="s">
        <v>91</v>
      </c>
      <c r="O621" s="11" t="s">
        <v>25</v>
      </c>
    </row>
    <row r="622">
      <c r="A622" s="10" t="s">
        <v>172</v>
      </c>
      <c r="B622" s="11">
        <v>61.0</v>
      </c>
      <c r="C622" s="11" t="s">
        <v>17</v>
      </c>
      <c r="D622" s="11" t="s">
        <v>119</v>
      </c>
      <c r="E622" s="11" t="s">
        <v>29</v>
      </c>
      <c r="F622" s="12">
        <v>44267.0</v>
      </c>
      <c r="G622" s="11" t="s">
        <v>1904</v>
      </c>
      <c r="H622" s="11" t="s">
        <v>1905</v>
      </c>
      <c r="I622" s="11" t="s">
        <v>73</v>
      </c>
      <c r="J622" s="11">
        <v>41379.3826148664</v>
      </c>
      <c r="K622" s="11">
        <v>354.0</v>
      </c>
      <c r="L622" s="11" t="s">
        <v>23</v>
      </c>
      <c r="M622" s="12">
        <v>44280.0</v>
      </c>
      <c r="N622" s="11" t="s">
        <v>91</v>
      </c>
      <c r="O622" s="11" t="s">
        <v>35</v>
      </c>
    </row>
    <row r="623">
      <c r="A623" s="10" t="s">
        <v>1906</v>
      </c>
      <c r="B623" s="11">
        <v>82.0</v>
      </c>
      <c r="C623" s="11" t="s">
        <v>17</v>
      </c>
      <c r="D623" s="11" t="s">
        <v>54</v>
      </c>
      <c r="E623" s="11" t="s">
        <v>60</v>
      </c>
      <c r="F623" s="12">
        <v>44922.0</v>
      </c>
      <c r="G623" s="11" t="s">
        <v>1907</v>
      </c>
      <c r="H623" s="11" t="s">
        <v>1908</v>
      </c>
      <c r="I623" s="11" t="s">
        <v>63</v>
      </c>
      <c r="J623" s="11">
        <v>27481.3314784849</v>
      </c>
      <c r="K623" s="11">
        <v>411.0</v>
      </c>
      <c r="L623" s="11" t="s">
        <v>50</v>
      </c>
      <c r="M623" s="12">
        <v>44938.0</v>
      </c>
      <c r="N623" s="11" t="s">
        <v>24</v>
      </c>
      <c r="O623" s="11" t="s">
        <v>51</v>
      </c>
    </row>
    <row r="624">
      <c r="A624" s="10" t="s">
        <v>1909</v>
      </c>
      <c r="B624" s="11">
        <v>51.0</v>
      </c>
      <c r="C624" s="11" t="s">
        <v>38</v>
      </c>
      <c r="D624" s="11" t="s">
        <v>39</v>
      </c>
      <c r="E624" s="11" t="s">
        <v>29</v>
      </c>
      <c r="F624" s="12">
        <v>43807.0</v>
      </c>
      <c r="G624" s="11" t="s">
        <v>1910</v>
      </c>
      <c r="H624" s="11" t="s">
        <v>517</v>
      </c>
      <c r="I624" s="11" t="s">
        <v>73</v>
      </c>
      <c r="J624" s="11">
        <v>32006.031565888</v>
      </c>
      <c r="K624" s="11">
        <v>200.0</v>
      </c>
      <c r="L624" s="11" t="s">
        <v>23</v>
      </c>
      <c r="M624" s="12">
        <v>43835.0</v>
      </c>
      <c r="N624" s="11" t="s">
        <v>57</v>
      </c>
      <c r="O624" s="11" t="s">
        <v>25</v>
      </c>
    </row>
    <row r="625">
      <c r="A625" s="10" t="s">
        <v>1911</v>
      </c>
      <c r="B625" s="11">
        <v>37.0</v>
      </c>
      <c r="C625" s="11" t="s">
        <v>38</v>
      </c>
      <c r="D625" s="11" t="s">
        <v>39</v>
      </c>
      <c r="E625" s="11" t="s">
        <v>109</v>
      </c>
      <c r="F625" s="12">
        <v>45096.0</v>
      </c>
      <c r="G625" s="11" t="s">
        <v>1912</v>
      </c>
      <c r="H625" s="11" t="s">
        <v>1913</v>
      </c>
      <c r="I625" s="11" t="s">
        <v>63</v>
      </c>
      <c r="J625" s="11">
        <v>14405.939243142</v>
      </c>
      <c r="K625" s="11">
        <v>312.0</v>
      </c>
      <c r="L625" s="11" t="s">
        <v>50</v>
      </c>
      <c r="M625" s="12">
        <v>45121.0</v>
      </c>
      <c r="N625" s="11" t="s">
        <v>91</v>
      </c>
      <c r="O625" s="11" t="s">
        <v>35</v>
      </c>
    </row>
    <row r="626">
      <c r="A626" s="10" t="s">
        <v>1914</v>
      </c>
      <c r="B626" s="11">
        <v>51.0</v>
      </c>
      <c r="C626" s="11" t="s">
        <v>17</v>
      </c>
      <c r="D626" s="11" t="s">
        <v>119</v>
      </c>
      <c r="E626" s="11" t="s">
        <v>88</v>
      </c>
      <c r="F626" s="12">
        <v>43595.0</v>
      </c>
      <c r="G626" s="11" t="s">
        <v>1915</v>
      </c>
      <c r="H626" s="11" t="s">
        <v>1916</v>
      </c>
      <c r="I626" s="11" t="s">
        <v>63</v>
      </c>
      <c r="J626" s="11">
        <v>24691.2490509144</v>
      </c>
      <c r="K626" s="11">
        <v>484.0</v>
      </c>
      <c r="L626" s="11" t="s">
        <v>23</v>
      </c>
      <c r="M626" s="12">
        <v>43623.0</v>
      </c>
      <c r="N626" s="11" t="s">
        <v>57</v>
      </c>
      <c r="O626" s="11" t="s">
        <v>25</v>
      </c>
    </row>
    <row r="627">
      <c r="A627" s="10" t="s">
        <v>1917</v>
      </c>
      <c r="B627" s="11">
        <v>23.0</v>
      </c>
      <c r="C627" s="11" t="s">
        <v>17</v>
      </c>
      <c r="D627" s="11" t="s">
        <v>39</v>
      </c>
      <c r="E627" s="11" t="s">
        <v>60</v>
      </c>
      <c r="F627" s="12">
        <v>44358.0</v>
      </c>
      <c r="G627" s="11" t="s">
        <v>1918</v>
      </c>
      <c r="H627" s="11" t="s">
        <v>1919</v>
      </c>
      <c r="I627" s="11" t="s">
        <v>22</v>
      </c>
      <c r="J627" s="11">
        <v>47491.3923868091</v>
      </c>
      <c r="K627" s="11">
        <v>305.0</v>
      </c>
      <c r="L627" s="11" t="s">
        <v>50</v>
      </c>
      <c r="M627" s="12">
        <v>44374.0</v>
      </c>
      <c r="N627" s="11" t="s">
        <v>34</v>
      </c>
      <c r="O627" s="11" t="s">
        <v>51</v>
      </c>
    </row>
    <row r="628">
      <c r="A628" s="10" t="s">
        <v>1920</v>
      </c>
      <c r="B628" s="11">
        <v>70.0</v>
      </c>
      <c r="C628" s="11" t="s">
        <v>17</v>
      </c>
      <c r="D628" s="11" t="s">
        <v>18</v>
      </c>
      <c r="E628" s="11" t="s">
        <v>60</v>
      </c>
      <c r="F628" s="12">
        <v>43765.0</v>
      </c>
      <c r="G628" s="11" t="s">
        <v>1921</v>
      </c>
      <c r="H628" s="11" t="s">
        <v>1922</v>
      </c>
      <c r="I628" s="11" t="s">
        <v>22</v>
      </c>
      <c r="J628" s="11">
        <v>37861.5091105963</v>
      </c>
      <c r="K628" s="11">
        <v>428.0</v>
      </c>
      <c r="L628" s="11" t="s">
        <v>33</v>
      </c>
      <c r="M628" s="12">
        <v>43781.0</v>
      </c>
      <c r="N628" s="11" t="s">
        <v>91</v>
      </c>
      <c r="O628" s="11" t="s">
        <v>25</v>
      </c>
    </row>
    <row r="629">
      <c r="A629" s="10" t="s">
        <v>1923</v>
      </c>
      <c r="B629" s="11">
        <v>60.0</v>
      </c>
      <c r="C629" s="11" t="s">
        <v>38</v>
      </c>
      <c r="D629" s="11" t="s">
        <v>119</v>
      </c>
      <c r="E629" s="11" t="s">
        <v>19</v>
      </c>
      <c r="F629" s="12">
        <v>44800.0</v>
      </c>
      <c r="G629" s="11" t="s">
        <v>1924</v>
      </c>
      <c r="H629" s="11" t="s">
        <v>1925</v>
      </c>
      <c r="I629" s="11" t="s">
        <v>42</v>
      </c>
      <c r="J629" s="11">
        <v>22952.729823687</v>
      </c>
      <c r="K629" s="11">
        <v>342.0</v>
      </c>
      <c r="L629" s="11" t="s">
        <v>50</v>
      </c>
      <c r="M629" s="12">
        <v>44819.0</v>
      </c>
      <c r="N629" s="11" t="s">
        <v>57</v>
      </c>
      <c r="O629" s="11" t="s">
        <v>25</v>
      </c>
    </row>
    <row r="630">
      <c r="A630" s="10" t="s">
        <v>1926</v>
      </c>
      <c r="B630" s="11">
        <v>45.0</v>
      </c>
      <c r="C630" s="11" t="s">
        <v>38</v>
      </c>
      <c r="D630" s="11" t="s">
        <v>28</v>
      </c>
      <c r="E630" s="11" t="s">
        <v>109</v>
      </c>
      <c r="F630" s="12">
        <v>43685.0</v>
      </c>
      <c r="G630" s="11" t="s">
        <v>1927</v>
      </c>
      <c r="H630" s="11" t="s">
        <v>1928</v>
      </c>
      <c r="I630" s="11" t="s">
        <v>63</v>
      </c>
      <c r="J630" s="11">
        <v>2735.03157490237</v>
      </c>
      <c r="K630" s="11">
        <v>497.0</v>
      </c>
      <c r="L630" s="11" t="s">
        <v>33</v>
      </c>
      <c r="M630" s="12">
        <v>43691.0</v>
      </c>
      <c r="N630" s="11" t="s">
        <v>57</v>
      </c>
      <c r="O630" s="11" t="s">
        <v>35</v>
      </c>
    </row>
    <row r="631">
      <c r="A631" s="10" t="s">
        <v>1929</v>
      </c>
      <c r="B631" s="11">
        <v>30.0</v>
      </c>
      <c r="C631" s="11" t="s">
        <v>17</v>
      </c>
      <c r="D631" s="11" t="s">
        <v>39</v>
      </c>
      <c r="E631" s="11" t="s">
        <v>109</v>
      </c>
      <c r="F631" s="12">
        <v>44969.0</v>
      </c>
      <c r="G631" s="11" t="s">
        <v>1930</v>
      </c>
      <c r="H631" s="11" t="s">
        <v>1931</v>
      </c>
      <c r="I631" s="11" t="s">
        <v>32</v>
      </c>
      <c r="J631" s="11">
        <v>37755.4807776757</v>
      </c>
      <c r="K631" s="11">
        <v>128.0</v>
      </c>
      <c r="L631" s="11" t="s">
        <v>50</v>
      </c>
      <c r="M631" s="12">
        <v>44974.0</v>
      </c>
      <c r="N631" s="11" t="s">
        <v>24</v>
      </c>
      <c r="O631" s="11" t="s">
        <v>25</v>
      </c>
    </row>
    <row r="632">
      <c r="A632" s="10" t="s">
        <v>1932</v>
      </c>
      <c r="B632" s="11">
        <v>35.0</v>
      </c>
      <c r="C632" s="11" t="s">
        <v>17</v>
      </c>
      <c r="D632" s="11" t="s">
        <v>28</v>
      </c>
      <c r="E632" s="11" t="s">
        <v>88</v>
      </c>
      <c r="F632" s="12">
        <v>44320.0</v>
      </c>
      <c r="G632" s="11" t="s">
        <v>1933</v>
      </c>
      <c r="H632" s="11" t="s">
        <v>1934</v>
      </c>
      <c r="I632" s="11" t="s">
        <v>32</v>
      </c>
      <c r="J632" s="11">
        <v>2691.04906433409</v>
      </c>
      <c r="K632" s="11">
        <v>338.0</v>
      </c>
      <c r="L632" s="11" t="s">
        <v>50</v>
      </c>
      <c r="M632" s="12">
        <v>44326.0</v>
      </c>
      <c r="N632" s="11" t="s">
        <v>57</v>
      </c>
      <c r="O632" s="11" t="s">
        <v>35</v>
      </c>
    </row>
    <row r="633">
      <c r="A633" s="10" t="s">
        <v>1935</v>
      </c>
      <c r="B633" s="11">
        <v>51.0</v>
      </c>
      <c r="C633" s="11" t="s">
        <v>38</v>
      </c>
      <c r="D633" s="11" t="s">
        <v>46</v>
      </c>
      <c r="E633" s="11" t="s">
        <v>29</v>
      </c>
      <c r="F633" s="12">
        <v>44388.0</v>
      </c>
      <c r="G633" s="11" t="s">
        <v>1936</v>
      </c>
      <c r="H633" s="11" t="s">
        <v>1937</v>
      </c>
      <c r="I633" s="11" t="s">
        <v>42</v>
      </c>
      <c r="J633" s="11">
        <v>7897.28748490567</v>
      </c>
      <c r="K633" s="11">
        <v>335.0</v>
      </c>
      <c r="L633" s="11" t="s">
        <v>50</v>
      </c>
      <c r="M633" s="12">
        <v>44405.0</v>
      </c>
      <c r="N633" s="11" t="s">
        <v>91</v>
      </c>
      <c r="O633" s="11" t="s">
        <v>25</v>
      </c>
    </row>
    <row r="634">
      <c r="A634" s="10" t="s">
        <v>1938</v>
      </c>
      <c r="B634" s="11">
        <v>61.0</v>
      </c>
      <c r="C634" s="11" t="s">
        <v>17</v>
      </c>
      <c r="D634" s="11" t="s">
        <v>28</v>
      </c>
      <c r="E634" s="11" t="s">
        <v>47</v>
      </c>
      <c r="F634" s="12">
        <v>44237.0</v>
      </c>
      <c r="G634" s="11" t="s">
        <v>1939</v>
      </c>
      <c r="H634" s="11" t="s">
        <v>1940</v>
      </c>
      <c r="I634" s="11" t="s">
        <v>32</v>
      </c>
      <c r="J634" s="11">
        <v>4446.34291682973</v>
      </c>
      <c r="K634" s="11">
        <v>345.0</v>
      </c>
      <c r="L634" s="11" t="s">
        <v>33</v>
      </c>
      <c r="M634" s="12">
        <v>44245.0</v>
      </c>
      <c r="N634" s="11" t="s">
        <v>91</v>
      </c>
      <c r="O634" s="11" t="s">
        <v>35</v>
      </c>
    </row>
    <row r="635">
      <c r="A635" s="10" t="s">
        <v>1941</v>
      </c>
      <c r="B635" s="11">
        <v>52.0</v>
      </c>
      <c r="C635" s="11" t="s">
        <v>38</v>
      </c>
      <c r="D635" s="11" t="s">
        <v>54</v>
      </c>
      <c r="E635" s="11" t="s">
        <v>47</v>
      </c>
      <c r="F635" s="12">
        <v>44485.0</v>
      </c>
      <c r="G635" s="11" t="s">
        <v>1942</v>
      </c>
      <c r="H635" s="11" t="s">
        <v>1943</v>
      </c>
      <c r="I635" s="11" t="s">
        <v>22</v>
      </c>
      <c r="J635" s="11">
        <v>20852.1463661622</v>
      </c>
      <c r="K635" s="11">
        <v>380.0</v>
      </c>
      <c r="L635" s="11" t="s">
        <v>50</v>
      </c>
      <c r="M635" s="12">
        <v>44504.0</v>
      </c>
      <c r="N635" s="11" t="s">
        <v>57</v>
      </c>
      <c r="O635" s="11" t="s">
        <v>25</v>
      </c>
    </row>
    <row r="636">
      <c r="A636" s="10" t="s">
        <v>1944</v>
      </c>
      <c r="B636" s="11">
        <v>64.0</v>
      </c>
      <c r="C636" s="11" t="s">
        <v>38</v>
      </c>
      <c r="D636" s="11" t="s">
        <v>119</v>
      </c>
      <c r="E636" s="11" t="s">
        <v>47</v>
      </c>
      <c r="F636" s="12">
        <v>43741.0</v>
      </c>
      <c r="G636" s="11" t="s">
        <v>1945</v>
      </c>
      <c r="H636" s="11" t="s">
        <v>1946</v>
      </c>
      <c r="I636" s="11" t="s">
        <v>63</v>
      </c>
      <c r="J636" s="11">
        <v>47701.4774328691</v>
      </c>
      <c r="K636" s="11">
        <v>109.0</v>
      </c>
      <c r="L636" s="11" t="s">
        <v>23</v>
      </c>
      <c r="M636" s="12">
        <v>43763.0</v>
      </c>
      <c r="N636" s="11" t="s">
        <v>91</v>
      </c>
      <c r="O636" s="11" t="s">
        <v>35</v>
      </c>
    </row>
    <row r="637">
      <c r="A637" s="10" t="s">
        <v>1947</v>
      </c>
      <c r="B637" s="11">
        <v>25.0</v>
      </c>
      <c r="C637" s="11" t="s">
        <v>17</v>
      </c>
      <c r="D637" s="11" t="s">
        <v>28</v>
      </c>
      <c r="E637" s="11" t="s">
        <v>29</v>
      </c>
      <c r="F637" s="12">
        <v>43947.0</v>
      </c>
      <c r="G637" s="11" t="s">
        <v>1948</v>
      </c>
      <c r="H637" s="11" t="s">
        <v>1949</v>
      </c>
      <c r="I637" s="11" t="s">
        <v>42</v>
      </c>
      <c r="J637" s="11">
        <v>49934.1379634404</v>
      </c>
      <c r="K637" s="11">
        <v>258.0</v>
      </c>
      <c r="L637" s="11" t="s">
        <v>50</v>
      </c>
      <c r="M637" s="12">
        <v>43953.0</v>
      </c>
      <c r="N637" s="11" t="s">
        <v>43</v>
      </c>
      <c r="O637" s="11" t="s">
        <v>51</v>
      </c>
    </row>
    <row r="638">
      <c r="A638" s="10" t="s">
        <v>1950</v>
      </c>
      <c r="B638" s="11">
        <v>76.0</v>
      </c>
      <c r="C638" s="11" t="s">
        <v>38</v>
      </c>
      <c r="D638" s="11" t="s">
        <v>18</v>
      </c>
      <c r="E638" s="11" t="s">
        <v>29</v>
      </c>
      <c r="F638" s="12">
        <v>43721.0</v>
      </c>
      <c r="G638" s="11" t="s">
        <v>1951</v>
      </c>
      <c r="H638" s="11" t="s">
        <v>1952</v>
      </c>
      <c r="I638" s="11" t="s">
        <v>32</v>
      </c>
      <c r="J638" s="11">
        <v>17263.9489788308</v>
      </c>
      <c r="K638" s="11">
        <v>394.0</v>
      </c>
      <c r="L638" s="11" t="s">
        <v>33</v>
      </c>
      <c r="M638" s="12">
        <v>43727.0</v>
      </c>
      <c r="N638" s="11" t="s">
        <v>57</v>
      </c>
      <c r="O638" s="11" t="s">
        <v>51</v>
      </c>
    </row>
    <row r="639">
      <c r="A639" s="10" t="s">
        <v>1953</v>
      </c>
      <c r="B639" s="11">
        <v>52.0</v>
      </c>
      <c r="C639" s="11" t="s">
        <v>38</v>
      </c>
      <c r="D639" s="11" t="s">
        <v>18</v>
      </c>
      <c r="E639" s="11" t="s">
        <v>47</v>
      </c>
      <c r="F639" s="12">
        <v>44581.0</v>
      </c>
      <c r="G639" s="11" t="s">
        <v>1954</v>
      </c>
      <c r="H639" s="11" t="s">
        <v>1955</v>
      </c>
      <c r="I639" s="11" t="s">
        <v>42</v>
      </c>
      <c r="J639" s="11">
        <v>45274.3965606017</v>
      </c>
      <c r="K639" s="11">
        <v>102.0</v>
      </c>
      <c r="L639" s="11" t="s">
        <v>33</v>
      </c>
      <c r="M639" s="12">
        <v>44598.0</v>
      </c>
      <c r="N639" s="11" t="s">
        <v>57</v>
      </c>
      <c r="O639" s="11" t="s">
        <v>35</v>
      </c>
    </row>
    <row r="640">
      <c r="A640" s="10" t="s">
        <v>1956</v>
      </c>
      <c r="B640" s="11">
        <v>77.0</v>
      </c>
      <c r="C640" s="11" t="s">
        <v>17</v>
      </c>
      <c r="D640" s="11" t="s">
        <v>119</v>
      </c>
      <c r="E640" s="11" t="s">
        <v>29</v>
      </c>
      <c r="F640" s="12">
        <v>45213.0</v>
      </c>
      <c r="G640" s="11" t="s">
        <v>1957</v>
      </c>
      <c r="H640" s="11" t="s">
        <v>1958</v>
      </c>
      <c r="I640" s="11" t="s">
        <v>32</v>
      </c>
      <c r="J640" s="11">
        <v>10057.9155776424</v>
      </c>
      <c r="K640" s="11">
        <v>130.0</v>
      </c>
      <c r="L640" s="11" t="s">
        <v>50</v>
      </c>
      <c r="M640" s="12">
        <v>45234.0</v>
      </c>
      <c r="N640" s="11" t="s">
        <v>24</v>
      </c>
      <c r="O640" s="11" t="s">
        <v>51</v>
      </c>
    </row>
    <row r="641">
      <c r="A641" s="10" t="s">
        <v>1959</v>
      </c>
      <c r="B641" s="11">
        <v>83.0</v>
      </c>
      <c r="C641" s="11" t="s">
        <v>17</v>
      </c>
      <c r="D641" s="11" t="s">
        <v>28</v>
      </c>
      <c r="E641" s="11" t="s">
        <v>47</v>
      </c>
      <c r="F641" s="12">
        <v>43792.0</v>
      </c>
      <c r="G641" s="11" t="s">
        <v>1960</v>
      </c>
      <c r="H641" s="11" t="s">
        <v>1961</v>
      </c>
      <c r="I641" s="11" t="s">
        <v>32</v>
      </c>
      <c r="J641" s="11">
        <v>36369.0911707809</v>
      </c>
      <c r="K641" s="11">
        <v>148.0</v>
      </c>
      <c r="L641" s="11" t="s">
        <v>23</v>
      </c>
      <c r="M641" s="12">
        <v>43795.0</v>
      </c>
      <c r="N641" s="11" t="s">
        <v>43</v>
      </c>
      <c r="O641" s="11" t="s">
        <v>25</v>
      </c>
    </row>
    <row r="642">
      <c r="A642" s="10" t="s">
        <v>1962</v>
      </c>
      <c r="B642" s="11">
        <v>57.0</v>
      </c>
      <c r="C642" s="11" t="s">
        <v>38</v>
      </c>
      <c r="D642" s="11" t="s">
        <v>18</v>
      </c>
      <c r="E642" s="11" t="s">
        <v>19</v>
      </c>
      <c r="F642" s="12">
        <v>45265.0</v>
      </c>
      <c r="G642" s="11" t="s">
        <v>1963</v>
      </c>
      <c r="H642" s="11" t="s">
        <v>1964</v>
      </c>
      <c r="I642" s="11" t="s">
        <v>22</v>
      </c>
      <c r="J642" s="11">
        <v>3548.05164823374</v>
      </c>
      <c r="K642" s="11">
        <v>431.0</v>
      </c>
      <c r="L642" s="11" t="s">
        <v>50</v>
      </c>
      <c r="M642" s="12">
        <v>45291.0</v>
      </c>
      <c r="N642" s="11" t="s">
        <v>91</v>
      </c>
      <c r="O642" s="11" t="s">
        <v>51</v>
      </c>
    </row>
    <row r="643">
      <c r="A643" s="10" t="s">
        <v>1965</v>
      </c>
      <c r="B643" s="11">
        <v>54.0</v>
      </c>
      <c r="C643" s="11" t="s">
        <v>17</v>
      </c>
      <c r="D643" s="11" t="s">
        <v>119</v>
      </c>
      <c r="E643" s="11" t="s">
        <v>109</v>
      </c>
      <c r="F643" s="12">
        <v>44228.0</v>
      </c>
      <c r="G643" s="11" t="s">
        <v>1966</v>
      </c>
      <c r="H643" s="11" t="s">
        <v>1967</v>
      </c>
      <c r="I643" s="11" t="s">
        <v>63</v>
      </c>
      <c r="J643" s="11">
        <v>10011.2907450053</v>
      </c>
      <c r="K643" s="11">
        <v>145.0</v>
      </c>
      <c r="L643" s="11" t="s">
        <v>33</v>
      </c>
      <c r="M643" s="12">
        <v>44234.0</v>
      </c>
      <c r="N643" s="11" t="s">
        <v>91</v>
      </c>
      <c r="O643" s="11" t="s">
        <v>35</v>
      </c>
    </row>
    <row r="644">
      <c r="A644" s="10" t="s">
        <v>1968</v>
      </c>
      <c r="B644" s="11">
        <v>62.0</v>
      </c>
      <c r="C644" s="11" t="s">
        <v>17</v>
      </c>
      <c r="D644" s="11" t="s">
        <v>39</v>
      </c>
      <c r="E644" s="11" t="s">
        <v>19</v>
      </c>
      <c r="F644" s="12">
        <v>44742.0</v>
      </c>
      <c r="G644" s="11" t="s">
        <v>1969</v>
      </c>
      <c r="H644" s="11" t="s">
        <v>1970</v>
      </c>
      <c r="I644" s="11" t="s">
        <v>22</v>
      </c>
      <c r="J644" s="11">
        <v>14876.3342210964</v>
      </c>
      <c r="K644" s="11">
        <v>396.0</v>
      </c>
      <c r="L644" s="11" t="s">
        <v>23</v>
      </c>
      <c r="M644" s="12">
        <v>44743.0</v>
      </c>
      <c r="N644" s="11" t="s">
        <v>91</v>
      </c>
      <c r="O644" s="11" t="s">
        <v>35</v>
      </c>
    </row>
    <row r="645">
      <c r="A645" s="10" t="s">
        <v>1971</v>
      </c>
      <c r="B645" s="11">
        <v>37.0</v>
      </c>
      <c r="C645" s="11" t="s">
        <v>17</v>
      </c>
      <c r="D645" s="11" t="s">
        <v>18</v>
      </c>
      <c r="E645" s="11" t="s">
        <v>109</v>
      </c>
      <c r="F645" s="12">
        <v>45239.0</v>
      </c>
      <c r="G645" s="11" t="s">
        <v>1972</v>
      </c>
      <c r="H645" s="11" t="s">
        <v>1973</v>
      </c>
      <c r="I645" s="11" t="s">
        <v>32</v>
      </c>
      <c r="J645" s="11">
        <v>30294.6513804586</v>
      </c>
      <c r="K645" s="11">
        <v>216.0</v>
      </c>
      <c r="L645" s="11" t="s">
        <v>50</v>
      </c>
      <c r="M645" s="12">
        <v>45259.0</v>
      </c>
      <c r="N645" s="11" t="s">
        <v>57</v>
      </c>
      <c r="O645" s="11" t="s">
        <v>25</v>
      </c>
    </row>
    <row r="646">
      <c r="A646" s="10" t="s">
        <v>1974</v>
      </c>
      <c r="B646" s="11">
        <v>56.0</v>
      </c>
      <c r="C646" s="11" t="s">
        <v>38</v>
      </c>
      <c r="D646" s="11" t="s">
        <v>119</v>
      </c>
      <c r="E646" s="11" t="s">
        <v>88</v>
      </c>
      <c r="F646" s="12">
        <v>44042.0</v>
      </c>
      <c r="G646" s="11" t="s">
        <v>1975</v>
      </c>
      <c r="H646" s="11" t="s">
        <v>1976</v>
      </c>
      <c r="I646" s="11" t="s">
        <v>22</v>
      </c>
      <c r="J646" s="11">
        <v>45888.7048579736</v>
      </c>
      <c r="K646" s="11">
        <v>365.0</v>
      </c>
      <c r="L646" s="11" t="s">
        <v>50</v>
      </c>
      <c r="M646" s="12">
        <v>44053.0</v>
      </c>
      <c r="N646" s="11" t="s">
        <v>24</v>
      </c>
      <c r="O646" s="11" t="s">
        <v>51</v>
      </c>
    </row>
    <row r="647">
      <c r="A647" s="10" t="s">
        <v>1977</v>
      </c>
      <c r="B647" s="11">
        <v>68.0</v>
      </c>
      <c r="C647" s="11" t="s">
        <v>38</v>
      </c>
      <c r="D647" s="11" t="s">
        <v>46</v>
      </c>
      <c r="E647" s="11" t="s">
        <v>109</v>
      </c>
      <c r="F647" s="12">
        <v>44661.0</v>
      </c>
      <c r="G647" s="11" t="s">
        <v>1978</v>
      </c>
      <c r="H647" s="11" t="s">
        <v>1979</v>
      </c>
      <c r="I647" s="11" t="s">
        <v>63</v>
      </c>
      <c r="J647" s="11">
        <v>31958.396616157</v>
      </c>
      <c r="K647" s="11">
        <v>203.0</v>
      </c>
      <c r="L647" s="11" t="s">
        <v>50</v>
      </c>
      <c r="M647" s="12">
        <v>44670.0</v>
      </c>
      <c r="N647" s="11" t="s">
        <v>91</v>
      </c>
      <c r="O647" s="11" t="s">
        <v>25</v>
      </c>
    </row>
    <row r="648">
      <c r="A648" s="10" t="s">
        <v>1980</v>
      </c>
      <c r="B648" s="11">
        <v>46.0</v>
      </c>
      <c r="C648" s="11" t="s">
        <v>17</v>
      </c>
      <c r="D648" s="11" t="s">
        <v>39</v>
      </c>
      <c r="E648" s="11" t="s">
        <v>29</v>
      </c>
      <c r="F648" s="12">
        <v>43832.0</v>
      </c>
      <c r="G648" s="11" t="s">
        <v>1981</v>
      </c>
      <c r="H648" s="11" t="s">
        <v>1982</v>
      </c>
      <c r="I648" s="11" t="s">
        <v>32</v>
      </c>
      <c r="J648" s="11">
        <v>22645.7861009959</v>
      </c>
      <c r="K648" s="11">
        <v>169.0</v>
      </c>
      <c r="L648" s="11" t="s">
        <v>23</v>
      </c>
      <c r="M648" s="12">
        <v>43846.0</v>
      </c>
      <c r="N648" s="11" t="s">
        <v>24</v>
      </c>
      <c r="O648" s="11" t="s">
        <v>25</v>
      </c>
    </row>
    <row r="649">
      <c r="A649" s="10" t="s">
        <v>1983</v>
      </c>
      <c r="B649" s="11">
        <v>62.0</v>
      </c>
      <c r="C649" s="11" t="s">
        <v>17</v>
      </c>
      <c r="D649" s="11" t="s">
        <v>18</v>
      </c>
      <c r="E649" s="11" t="s">
        <v>88</v>
      </c>
      <c r="F649" s="12">
        <v>45240.0</v>
      </c>
      <c r="G649" s="11" t="s">
        <v>1984</v>
      </c>
      <c r="H649" s="11" t="s">
        <v>1985</v>
      </c>
      <c r="I649" s="11" t="s">
        <v>32</v>
      </c>
      <c r="J649" s="11">
        <v>21297.4065119635</v>
      </c>
      <c r="K649" s="11">
        <v>362.0</v>
      </c>
      <c r="L649" s="11" t="s">
        <v>33</v>
      </c>
      <c r="M649" s="12">
        <v>45261.0</v>
      </c>
      <c r="N649" s="11" t="s">
        <v>24</v>
      </c>
      <c r="O649" s="11" t="s">
        <v>51</v>
      </c>
    </row>
    <row r="650">
      <c r="A650" s="10" t="s">
        <v>1986</v>
      </c>
      <c r="B650" s="11">
        <v>49.0</v>
      </c>
      <c r="C650" s="11" t="s">
        <v>38</v>
      </c>
      <c r="D650" s="11" t="s">
        <v>66</v>
      </c>
      <c r="E650" s="11" t="s">
        <v>47</v>
      </c>
      <c r="F650" s="12">
        <v>44241.0</v>
      </c>
      <c r="G650" s="11" t="s">
        <v>1987</v>
      </c>
      <c r="H650" s="11" t="s">
        <v>1988</v>
      </c>
      <c r="I650" s="11" t="s">
        <v>73</v>
      </c>
      <c r="J650" s="11">
        <v>26432.160988256</v>
      </c>
      <c r="K650" s="11">
        <v>402.0</v>
      </c>
      <c r="L650" s="11" t="s">
        <v>23</v>
      </c>
      <c r="M650" s="12">
        <v>44245.0</v>
      </c>
      <c r="N650" s="11" t="s">
        <v>43</v>
      </c>
      <c r="O650" s="11" t="s">
        <v>35</v>
      </c>
    </row>
    <row r="651">
      <c r="A651" s="10" t="s">
        <v>1989</v>
      </c>
      <c r="B651" s="11">
        <v>75.0</v>
      </c>
      <c r="C651" s="11" t="s">
        <v>17</v>
      </c>
      <c r="D651" s="11" t="s">
        <v>18</v>
      </c>
      <c r="E651" s="11" t="s">
        <v>88</v>
      </c>
      <c r="F651" s="12">
        <v>44758.0</v>
      </c>
      <c r="G651" s="11" t="s">
        <v>1990</v>
      </c>
      <c r="H651" s="11" t="s">
        <v>1991</v>
      </c>
      <c r="I651" s="11" t="s">
        <v>73</v>
      </c>
      <c r="J651" s="11">
        <v>6336.70801377606</v>
      </c>
      <c r="K651" s="11">
        <v>428.0</v>
      </c>
      <c r="L651" s="11" t="s">
        <v>33</v>
      </c>
      <c r="M651" s="12">
        <v>44786.0</v>
      </c>
      <c r="N651" s="11" t="s">
        <v>34</v>
      </c>
      <c r="O651" s="11" t="s">
        <v>25</v>
      </c>
    </row>
    <row r="652">
      <c r="A652" s="10" t="s">
        <v>1992</v>
      </c>
      <c r="B652" s="11">
        <v>40.0</v>
      </c>
      <c r="C652" s="11" t="s">
        <v>38</v>
      </c>
      <c r="D652" s="11" t="s">
        <v>46</v>
      </c>
      <c r="E652" s="11" t="s">
        <v>47</v>
      </c>
      <c r="F652" s="12">
        <v>45061.0</v>
      </c>
      <c r="G652" s="11" t="s">
        <v>1993</v>
      </c>
      <c r="H652" s="11" t="s">
        <v>1994</v>
      </c>
      <c r="I652" s="11" t="s">
        <v>32</v>
      </c>
      <c r="J652" s="11">
        <v>31063.5567895567</v>
      </c>
      <c r="K652" s="11">
        <v>345.0</v>
      </c>
      <c r="L652" s="11" t="s">
        <v>50</v>
      </c>
      <c r="M652" s="12">
        <v>45073.0</v>
      </c>
      <c r="N652" s="11" t="s">
        <v>57</v>
      </c>
      <c r="O652" s="11" t="s">
        <v>25</v>
      </c>
    </row>
    <row r="653">
      <c r="A653" s="10" t="s">
        <v>1995</v>
      </c>
      <c r="B653" s="11">
        <v>51.0</v>
      </c>
      <c r="C653" s="11" t="s">
        <v>38</v>
      </c>
      <c r="D653" s="11" t="s">
        <v>54</v>
      </c>
      <c r="E653" s="11" t="s">
        <v>109</v>
      </c>
      <c r="F653" s="12">
        <v>43951.0</v>
      </c>
      <c r="G653" s="11" t="s">
        <v>1996</v>
      </c>
      <c r="H653" s="11" t="s">
        <v>1997</v>
      </c>
      <c r="I653" s="11" t="s">
        <v>63</v>
      </c>
      <c r="J653" s="11">
        <v>10710.3257208337</v>
      </c>
      <c r="K653" s="11">
        <v>461.0</v>
      </c>
      <c r="L653" s="11" t="s">
        <v>23</v>
      </c>
      <c r="M653" s="12">
        <v>43973.0</v>
      </c>
      <c r="N653" s="11" t="s">
        <v>57</v>
      </c>
      <c r="O653" s="11" t="s">
        <v>51</v>
      </c>
    </row>
    <row r="654">
      <c r="A654" s="10" t="s">
        <v>1998</v>
      </c>
      <c r="B654" s="11">
        <v>64.0</v>
      </c>
      <c r="C654" s="11" t="s">
        <v>17</v>
      </c>
      <c r="D654" s="11" t="s">
        <v>54</v>
      </c>
      <c r="E654" s="11" t="s">
        <v>60</v>
      </c>
      <c r="F654" s="12">
        <v>44208.0</v>
      </c>
      <c r="G654" s="11" t="s">
        <v>1999</v>
      </c>
      <c r="H654" s="11" t="s">
        <v>2000</v>
      </c>
      <c r="I654" s="11" t="s">
        <v>22</v>
      </c>
      <c r="J654" s="11">
        <v>25066.5214502494</v>
      </c>
      <c r="K654" s="11">
        <v>454.0</v>
      </c>
      <c r="L654" s="11" t="s">
        <v>23</v>
      </c>
      <c r="M654" s="12">
        <v>44221.0</v>
      </c>
      <c r="N654" s="11" t="s">
        <v>34</v>
      </c>
      <c r="O654" s="11" t="s">
        <v>51</v>
      </c>
    </row>
    <row r="655">
      <c r="A655" s="10" t="s">
        <v>2001</v>
      </c>
      <c r="B655" s="11">
        <v>49.0</v>
      </c>
      <c r="C655" s="11" t="s">
        <v>38</v>
      </c>
      <c r="D655" s="11" t="s">
        <v>141</v>
      </c>
      <c r="E655" s="11" t="s">
        <v>109</v>
      </c>
      <c r="F655" s="12">
        <v>43608.0</v>
      </c>
      <c r="G655" s="11" t="s">
        <v>2002</v>
      </c>
      <c r="H655" s="11" t="s">
        <v>2003</v>
      </c>
      <c r="I655" s="11" t="s">
        <v>73</v>
      </c>
      <c r="J655" s="11">
        <v>13396.9001693978</v>
      </c>
      <c r="K655" s="11">
        <v>273.0</v>
      </c>
      <c r="L655" s="11" t="s">
        <v>33</v>
      </c>
      <c r="M655" s="12">
        <v>43618.0</v>
      </c>
      <c r="N655" s="11" t="s">
        <v>24</v>
      </c>
      <c r="O655" s="11" t="s">
        <v>25</v>
      </c>
    </row>
    <row r="656">
      <c r="A656" s="10" t="s">
        <v>2004</v>
      </c>
      <c r="B656" s="11">
        <v>74.0</v>
      </c>
      <c r="C656" s="11" t="s">
        <v>17</v>
      </c>
      <c r="D656" s="11" t="s">
        <v>28</v>
      </c>
      <c r="E656" s="11" t="s">
        <v>29</v>
      </c>
      <c r="F656" s="12">
        <v>45039.0</v>
      </c>
      <c r="G656" s="11" t="s">
        <v>2005</v>
      </c>
      <c r="H656" s="11" t="s">
        <v>2006</v>
      </c>
      <c r="I656" s="11" t="s">
        <v>22</v>
      </c>
      <c r="J656" s="11">
        <v>29822.097860118</v>
      </c>
      <c r="K656" s="11">
        <v>231.0</v>
      </c>
      <c r="L656" s="11" t="s">
        <v>33</v>
      </c>
      <c r="M656" s="12">
        <v>45055.0</v>
      </c>
      <c r="N656" s="11" t="s">
        <v>91</v>
      </c>
      <c r="O656" s="11" t="s">
        <v>25</v>
      </c>
    </row>
    <row r="657">
      <c r="A657" s="10" t="s">
        <v>2007</v>
      </c>
      <c r="B657" s="11">
        <v>66.0</v>
      </c>
      <c r="C657" s="11" t="s">
        <v>38</v>
      </c>
      <c r="D657" s="11" t="s">
        <v>39</v>
      </c>
      <c r="E657" s="11" t="s">
        <v>88</v>
      </c>
      <c r="F657" s="12">
        <v>44902.0</v>
      </c>
      <c r="G657" s="11" t="s">
        <v>2008</v>
      </c>
      <c r="H657" s="11" t="s">
        <v>2009</v>
      </c>
      <c r="I657" s="11" t="s">
        <v>32</v>
      </c>
      <c r="J657" s="11">
        <v>12025.3472972076</v>
      </c>
      <c r="K657" s="11">
        <v>434.0</v>
      </c>
      <c r="L657" s="11" t="s">
        <v>23</v>
      </c>
      <c r="M657" s="12">
        <v>44927.0</v>
      </c>
      <c r="N657" s="11" t="s">
        <v>43</v>
      </c>
      <c r="O657" s="11" t="s">
        <v>51</v>
      </c>
    </row>
    <row r="658">
      <c r="A658" s="10" t="s">
        <v>2010</v>
      </c>
      <c r="B658" s="11">
        <v>52.0</v>
      </c>
      <c r="C658" s="11" t="s">
        <v>38</v>
      </c>
      <c r="D658" s="11" t="s">
        <v>39</v>
      </c>
      <c r="E658" s="11" t="s">
        <v>109</v>
      </c>
      <c r="F658" s="12">
        <v>44129.0</v>
      </c>
      <c r="G658" s="11" t="s">
        <v>2011</v>
      </c>
      <c r="H658" s="11" t="s">
        <v>2012</v>
      </c>
      <c r="I658" s="11" t="s">
        <v>42</v>
      </c>
      <c r="J658" s="11">
        <v>33708.8575442648</v>
      </c>
      <c r="K658" s="11">
        <v>191.0</v>
      </c>
      <c r="L658" s="11" t="s">
        <v>50</v>
      </c>
      <c r="M658" s="12">
        <v>44139.0</v>
      </c>
      <c r="N658" s="11" t="s">
        <v>91</v>
      </c>
      <c r="O658" s="11" t="s">
        <v>51</v>
      </c>
    </row>
    <row r="659">
      <c r="A659" s="10" t="s">
        <v>2013</v>
      </c>
      <c r="B659" s="11">
        <v>58.0</v>
      </c>
      <c r="C659" s="11" t="s">
        <v>38</v>
      </c>
      <c r="D659" s="11" t="s">
        <v>18</v>
      </c>
      <c r="E659" s="11" t="s">
        <v>29</v>
      </c>
      <c r="F659" s="12">
        <v>44294.0</v>
      </c>
      <c r="G659" s="11" t="s">
        <v>2014</v>
      </c>
      <c r="H659" s="11" t="s">
        <v>2015</v>
      </c>
      <c r="I659" s="11" t="s">
        <v>73</v>
      </c>
      <c r="J659" s="11">
        <v>40825.0846667644</v>
      </c>
      <c r="K659" s="11">
        <v>231.0</v>
      </c>
      <c r="L659" s="11" t="s">
        <v>50</v>
      </c>
      <c r="M659" s="12">
        <v>44317.0</v>
      </c>
      <c r="N659" s="11" t="s">
        <v>34</v>
      </c>
      <c r="O659" s="11" t="s">
        <v>25</v>
      </c>
    </row>
    <row r="660">
      <c r="A660" s="10" t="s">
        <v>2016</v>
      </c>
      <c r="B660" s="11">
        <v>21.0</v>
      </c>
      <c r="C660" s="11" t="s">
        <v>17</v>
      </c>
      <c r="D660" s="11" t="s">
        <v>18</v>
      </c>
      <c r="E660" s="11" t="s">
        <v>109</v>
      </c>
      <c r="F660" s="12">
        <v>44083.0</v>
      </c>
      <c r="G660" s="11" t="s">
        <v>2017</v>
      </c>
      <c r="H660" s="11" t="s">
        <v>2018</v>
      </c>
      <c r="I660" s="11" t="s">
        <v>42</v>
      </c>
      <c r="J660" s="11">
        <v>27345.4552019319</v>
      </c>
      <c r="K660" s="11">
        <v>371.0</v>
      </c>
      <c r="L660" s="11" t="s">
        <v>33</v>
      </c>
      <c r="M660" s="12">
        <v>44108.0</v>
      </c>
      <c r="N660" s="11" t="s">
        <v>43</v>
      </c>
      <c r="O660" s="11" t="s">
        <v>35</v>
      </c>
    </row>
    <row r="661">
      <c r="A661" s="10" t="s">
        <v>2019</v>
      </c>
      <c r="B661" s="11">
        <v>69.0</v>
      </c>
      <c r="C661" s="11" t="s">
        <v>17</v>
      </c>
      <c r="D661" s="11" t="s">
        <v>54</v>
      </c>
      <c r="E661" s="11" t="s">
        <v>109</v>
      </c>
      <c r="F661" s="12">
        <v>43805.0</v>
      </c>
      <c r="G661" s="11" t="s">
        <v>2020</v>
      </c>
      <c r="H661" s="11" t="s">
        <v>2021</v>
      </c>
      <c r="I661" s="11" t="s">
        <v>42</v>
      </c>
      <c r="J661" s="11">
        <v>38751.7965205473</v>
      </c>
      <c r="K661" s="11">
        <v>439.0</v>
      </c>
      <c r="L661" s="11" t="s">
        <v>33</v>
      </c>
      <c r="M661" s="12">
        <v>43807.0</v>
      </c>
      <c r="N661" s="11" t="s">
        <v>34</v>
      </c>
      <c r="O661" s="11" t="s">
        <v>35</v>
      </c>
    </row>
    <row r="662">
      <c r="A662" s="10" t="s">
        <v>2022</v>
      </c>
      <c r="B662" s="11">
        <v>47.0</v>
      </c>
      <c r="C662" s="11" t="s">
        <v>38</v>
      </c>
      <c r="D662" s="11" t="s">
        <v>66</v>
      </c>
      <c r="E662" s="11" t="s">
        <v>60</v>
      </c>
      <c r="F662" s="12">
        <v>44973.0</v>
      </c>
      <c r="G662" s="11" t="s">
        <v>2023</v>
      </c>
      <c r="H662" s="11" t="s">
        <v>2024</v>
      </c>
      <c r="I662" s="11" t="s">
        <v>42</v>
      </c>
      <c r="J662" s="11">
        <v>6252.08355653657</v>
      </c>
      <c r="K662" s="11">
        <v>365.0</v>
      </c>
      <c r="L662" s="11" t="s">
        <v>50</v>
      </c>
      <c r="M662" s="12">
        <v>44991.0</v>
      </c>
      <c r="N662" s="11" t="s">
        <v>57</v>
      </c>
      <c r="O662" s="11" t="s">
        <v>35</v>
      </c>
    </row>
    <row r="663">
      <c r="A663" s="10" t="s">
        <v>2025</v>
      </c>
      <c r="B663" s="11">
        <v>51.0</v>
      </c>
      <c r="C663" s="11" t="s">
        <v>38</v>
      </c>
      <c r="D663" s="11" t="s">
        <v>141</v>
      </c>
      <c r="E663" s="11" t="s">
        <v>88</v>
      </c>
      <c r="F663" s="12">
        <v>45181.0</v>
      </c>
      <c r="G663" s="11" t="s">
        <v>2026</v>
      </c>
      <c r="H663" s="11" t="s">
        <v>2027</v>
      </c>
      <c r="I663" s="11" t="s">
        <v>63</v>
      </c>
      <c r="J663" s="11">
        <v>18714.3369974197</v>
      </c>
      <c r="K663" s="11">
        <v>270.0</v>
      </c>
      <c r="L663" s="11" t="s">
        <v>33</v>
      </c>
      <c r="M663" s="12">
        <v>45211.0</v>
      </c>
      <c r="N663" s="11" t="s">
        <v>57</v>
      </c>
      <c r="O663" s="11" t="s">
        <v>51</v>
      </c>
    </row>
    <row r="664">
      <c r="A664" s="10" t="s">
        <v>2028</v>
      </c>
      <c r="B664" s="11">
        <v>20.0</v>
      </c>
      <c r="C664" s="11" t="s">
        <v>38</v>
      </c>
      <c r="D664" s="11" t="s">
        <v>28</v>
      </c>
      <c r="E664" s="11" t="s">
        <v>19</v>
      </c>
      <c r="F664" s="12">
        <v>43790.0</v>
      </c>
      <c r="G664" s="11" t="s">
        <v>2029</v>
      </c>
      <c r="H664" s="11" t="s">
        <v>2030</v>
      </c>
      <c r="I664" s="11" t="s">
        <v>22</v>
      </c>
      <c r="J664" s="11">
        <v>14291.6989156958</v>
      </c>
      <c r="K664" s="11">
        <v>436.0</v>
      </c>
      <c r="L664" s="11" t="s">
        <v>50</v>
      </c>
      <c r="M664" s="12">
        <v>43810.0</v>
      </c>
      <c r="N664" s="11" t="s">
        <v>34</v>
      </c>
      <c r="O664" s="11" t="s">
        <v>35</v>
      </c>
    </row>
    <row r="665">
      <c r="A665" s="10" t="s">
        <v>2031</v>
      </c>
      <c r="B665" s="11">
        <v>38.0</v>
      </c>
      <c r="C665" s="11" t="s">
        <v>38</v>
      </c>
      <c r="D665" s="11" t="s">
        <v>18</v>
      </c>
      <c r="E665" s="11" t="s">
        <v>88</v>
      </c>
      <c r="F665" s="12">
        <v>43660.0</v>
      </c>
      <c r="G665" s="11" t="s">
        <v>2032</v>
      </c>
      <c r="H665" s="11" t="s">
        <v>2033</v>
      </c>
      <c r="I665" s="11" t="s">
        <v>22</v>
      </c>
      <c r="J665" s="11">
        <v>38210.9649530357</v>
      </c>
      <c r="K665" s="11">
        <v>413.0</v>
      </c>
      <c r="L665" s="11" t="s">
        <v>50</v>
      </c>
      <c r="M665" s="12">
        <v>43665.0</v>
      </c>
      <c r="N665" s="11" t="s">
        <v>91</v>
      </c>
      <c r="O665" s="11" t="s">
        <v>35</v>
      </c>
    </row>
    <row r="666">
      <c r="A666" s="10" t="s">
        <v>2034</v>
      </c>
      <c r="B666" s="11">
        <v>70.0</v>
      </c>
      <c r="C666" s="11" t="s">
        <v>38</v>
      </c>
      <c r="D666" s="11" t="s">
        <v>54</v>
      </c>
      <c r="E666" s="11" t="s">
        <v>29</v>
      </c>
      <c r="F666" s="12">
        <v>43741.0</v>
      </c>
      <c r="G666" s="11" t="s">
        <v>2035</v>
      </c>
      <c r="H666" s="11" t="s">
        <v>2036</v>
      </c>
      <c r="I666" s="11" t="s">
        <v>42</v>
      </c>
      <c r="J666" s="11">
        <v>7074.7927092645</v>
      </c>
      <c r="K666" s="11">
        <v>339.0</v>
      </c>
      <c r="L666" s="11" t="s">
        <v>33</v>
      </c>
      <c r="M666" s="12">
        <v>43771.0</v>
      </c>
      <c r="N666" s="11" t="s">
        <v>24</v>
      </c>
      <c r="O666" s="11" t="s">
        <v>35</v>
      </c>
    </row>
    <row r="667">
      <c r="A667" s="10" t="s">
        <v>2037</v>
      </c>
      <c r="B667" s="11">
        <v>73.0</v>
      </c>
      <c r="C667" s="11" t="s">
        <v>17</v>
      </c>
      <c r="D667" s="11" t="s">
        <v>141</v>
      </c>
      <c r="E667" s="11" t="s">
        <v>109</v>
      </c>
      <c r="F667" s="12">
        <v>43650.0</v>
      </c>
      <c r="G667" s="11" t="s">
        <v>2038</v>
      </c>
      <c r="H667" s="11" t="s">
        <v>2039</v>
      </c>
      <c r="I667" s="11" t="s">
        <v>63</v>
      </c>
      <c r="J667" s="11">
        <v>35419.5129658162</v>
      </c>
      <c r="K667" s="11">
        <v>500.0</v>
      </c>
      <c r="L667" s="11" t="s">
        <v>50</v>
      </c>
      <c r="M667" s="12">
        <v>43652.0</v>
      </c>
      <c r="N667" s="11" t="s">
        <v>57</v>
      </c>
      <c r="O667" s="11" t="s">
        <v>51</v>
      </c>
    </row>
    <row r="668">
      <c r="A668" s="10" t="s">
        <v>2040</v>
      </c>
      <c r="B668" s="11">
        <v>44.0</v>
      </c>
      <c r="C668" s="11" t="s">
        <v>17</v>
      </c>
      <c r="D668" s="11" t="s">
        <v>54</v>
      </c>
      <c r="E668" s="11" t="s">
        <v>88</v>
      </c>
      <c r="F668" s="12">
        <v>43611.0</v>
      </c>
      <c r="G668" s="11" t="s">
        <v>2041</v>
      </c>
      <c r="H668" s="11" t="s">
        <v>2042</v>
      </c>
      <c r="I668" s="11" t="s">
        <v>32</v>
      </c>
      <c r="J668" s="11">
        <v>3852.94711182208</v>
      </c>
      <c r="K668" s="11">
        <v>328.0</v>
      </c>
      <c r="L668" s="11" t="s">
        <v>33</v>
      </c>
      <c r="M668" s="12">
        <v>43624.0</v>
      </c>
      <c r="N668" s="11" t="s">
        <v>24</v>
      </c>
      <c r="O668" s="11" t="s">
        <v>51</v>
      </c>
    </row>
    <row r="669">
      <c r="A669" s="10" t="s">
        <v>2043</v>
      </c>
      <c r="B669" s="11">
        <v>44.0</v>
      </c>
      <c r="C669" s="11" t="s">
        <v>38</v>
      </c>
      <c r="D669" s="11" t="s">
        <v>28</v>
      </c>
      <c r="E669" s="11" t="s">
        <v>29</v>
      </c>
      <c r="F669" s="12">
        <v>44542.0</v>
      </c>
      <c r="G669" s="11" t="s">
        <v>2044</v>
      </c>
      <c r="H669" s="11" t="s">
        <v>2045</v>
      </c>
      <c r="I669" s="11" t="s">
        <v>73</v>
      </c>
      <c r="J669" s="11">
        <v>48747.5451856328</v>
      </c>
      <c r="K669" s="11">
        <v>321.0</v>
      </c>
      <c r="L669" s="11" t="s">
        <v>50</v>
      </c>
      <c r="M669" s="12">
        <v>44548.0</v>
      </c>
      <c r="N669" s="11" t="s">
        <v>24</v>
      </c>
      <c r="O669" s="11" t="s">
        <v>25</v>
      </c>
    </row>
    <row r="670">
      <c r="A670" s="10" t="s">
        <v>2046</v>
      </c>
      <c r="B670" s="11">
        <v>54.0</v>
      </c>
      <c r="C670" s="11" t="s">
        <v>17</v>
      </c>
      <c r="D670" s="11" t="s">
        <v>66</v>
      </c>
      <c r="E670" s="11" t="s">
        <v>88</v>
      </c>
      <c r="F670" s="12">
        <v>44338.0</v>
      </c>
      <c r="G670" s="11" t="s">
        <v>2047</v>
      </c>
      <c r="H670" s="11" t="s">
        <v>2048</v>
      </c>
      <c r="I670" s="11" t="s">
        <v>42</v>
      </c>
      <c r="J670" s="11">
        <v>40577.6011966936</v>
      </c>
      <c r="K670" s="11">
        <v>101.0</v>
      </c>
      <c r="L670" s="11" t="s">
        <v>23</v>
      </c>
      <c r="M670" s="12">
        <v>44348.0</v>
      </c>
      <c r="N670" s="11" t="s">
        <v>57</v>
      </c>
      <c r="O670" s="11" t="s">
        <v>51</v>
      </c>
    </row>
    <row r="671">
      <c r="A671" s="10" t="s">
        <v>2049</v>
      </c>
      <c r="B671" s="11">
        <v>45.0</v>
      </c>
      <c r="C671" s="11" t="s">
        <v>17</v>
      </c>
      <c r="D671" s="11" t="s">
        <v>66</v>
      </c>
      <c r="E671" s="11" t="s">
        <v>47</v>
      </c>
      <c r="F671" s="12">
        <v>44077.0</v>
      </c>
      <c r="G671" s="11" t="s">
        <v>2050</v>
      </c>
      <c r="H671" s="11" t="s">
        <v>2051</v>
      </c>
      <c r="I671" s="11" t="s">
        <v>63</v>
      </c>
      <c r="J671" s="11">
        <v>16648.5473987106</v>
      </c>
      <c r="K671" s="11">
        <v>424.0</v>
      </c>
      <c r="L671" s="11" t="s">
        <v>33</v>
      </c>
      <c r="M671" s="12">
        <v>44089.0</v>
      </c>
      <c r="N671" s="11" t="s">
        <v>43</v>
      </c>
      <c r="O671" s="11" t="s">
        <v>25</v>
      </c>
    </row>
    <row r="672">
      <c r="A672" s="10" t="s">
        <v>2052</v>
      </c>
      <c r="B672" s="11">
        <v>18.0</v>
      </c>
      <c r="C672" s="11" t="s">
        <v>38</v>
      </c>
      <c r="D672" s="11" t="s">
        <v>18</v>
      </c>
      <c r="E672" s="11" t="s">
        <v>109</v>
      </c>
      <c r="F672" s="12">
        <v>44650.0</v>
      </c>
      <c r="G672" s="11" t="s">
        <v>2053</v>
      </c>
      <c r="H672" s="11" t="s">
        <v>2054</v>
      </c>
      <c r="I672" s="11" t="s">
        <v>63</v>
      </c>
      <c r="J672" s="11">
        <v>38588.9725626125</v>
      </c>
      <c r="K672" s="11">
        <v>449.0</v>
      </c>
      <c r="L672" s="11" t="s">
        <v>23</v>
      </c>
      <c r="M672" s="12">
        <v>44664.0</v>
      </c>
      <c r="N672" s="11" t="s">
        <v>57</v>
      </c>
      <c r="O672" s="11" t="s">
        <v>51</v>
      </c>
    </row>
    <row r="673">
      <c r="A673" s="10" t="s">
        <v>2055</v>
      </c>
      <c r="B673" s="11">
        <v>44.0</v>
      </c>
      <c r="C673" s="11" t="s">
        <v>17</v>
      </c>
      <c r="D673" s="11" t="s">
        <v>119</v>
      </c>
      <c r="E673" s="11" t="s">
        <v>88</v>
      </c>
      <c r="F673" s="12">
        <v>43819.0</v>
      </c>
      <c r="G673" s="11" t="s">
        <v>2056</v>
      </c>
      <c r="H673" s="11" t="s">
        <v>2057</v>
      </c>
      <c r="I673" s="11" t="s">
        <v>73</v>
      </c>
      <c r="J673" s="11">
        <v>32990.1943869582</v>
      </c>
      <c r="K673" s="11">
        <v>486.0</v>
      </c>
      <c r="L673" s="11" t="s">
        <v>50</v>
      </c>
      <c r="M673" s="12">
        <v>43848.0</v>
      </c>
      <c r="N673" s="11" t="s">
        <v>34</v>
      </c>
      <c r="O673" s="11" t="s">
        <v>25</v>
      </c>
    </row>
    <row r="674">
      <c r="A674" s="10" t="s">
        <v>2058</v>
      </c>
      <c r="B674" s="11">
        <v>28.0</v>
      </c>
      <c r="C674" s="11" t="s">
        <v>38</v>
      </c>
      <c r="D674" s="11" t="s">
        <v>28</v>
      </c>
      <c r="E674" s="11" t="s">
        <v>29</v>
      </c>
      <c r="F674" s="12">
        <v>44582.0</v>
      </c>
      <c r="G674" s="11" t="s">
        <v>2059</v>
      </c>
      <c r="H674" s="11" t="s">
        <v>2060</v>
      </c>
      <c r="I674" s="11" t="s">
        <v>32</v>
      </c>
      <c r="J674" s="11">
        <v>20115.7558719145</v>
      </c>
      <c r="K674" s="11">
        <v>236.0</v>
      </c>
      <c r="L674" s="11" t="s">
        <v>23</v>
      </c>
      <c r="M674" s="12">
        <v>44612.0</v>
      </c>
      <c r="N674" s="11" t="s">
        <v>24</v>
      </c>
      <c r="O674" s="11" t="s">
        <v>51</v>
      </c>
    </row>
    <row r="675">
      <c r="A675" s="10" t="s">
        <v>2061</v>
      </c>
      <c r="B675" s="11">
        <v>42.0</v>
      </c>
      <c r="C675" s="11" t="s">
        <v>17</v>
      </c>
      <c r="D675" s="11" t="s">
        <v>28</v>
      </c>
      <c r="E675" s="11" t="s">
        <v>29</v>
      </c>
      <c r="F675" s="12">
        <v>43970.0</v>
      </c>
      <c r="G675" s="11" t="s">
        <v>2062</v>
      </c>
      <c r="H675" s="11" t="s">
        <v>2063</v>
      </c>
      <c r="I675" s="11" t="s">
        <v>32</v>
      </c>
      <c r="J675" s="11">
        <v>5947.68964965465</v>
      </c>
      <c r="K675" s="11">
        <v>196.0</v>
      </c>
      <c r="L675" s="11" t="s">
        <v>33</v>
      </c>
      <c r="M675" s="12">
        <v>43994.0</v>
      </c>
      <c r="N675" s="11" t="s">
        <v>43</v>
      </c>
      <c r="O675" s="11" t="s">
        <v>35</v>
      </c>
    </row>
    <row r="676">
      <c r="A676" s="10" t="s">
        <v>2064</v>
      </c>
      <c r="B676" s="11">
        <v>61.0</v>
      </c>
      <c r="C676" s="11" t="s">
        <v>38</v>
      </c>
      <c r="D676" s="11" t="s">
        <v>28</v>
      </c>
      <c r="E676" s="11" t="s">
        <v>47</v>
      </c>
      <c r="F676" s="12">
        <v>45342.0</v>
      </c>
      <c r="G676" s="11" t="s">
        <v>2065</v>
      </c>
      <c r="H676" s="11" t="s">
        <v>2066</v>
      </c>
      <c r="I676" s="11" t="s">
        <v>73</v>
      </c>
      <c r="J676" s="11">
        <v>28281.3483787897</v>
      </c>
      <c r="K676" s="11">
        <v>477.0</v>
      </c>
      <c r="L676" s="11" t="s">
        <v>33</v>
      </c>
      <c r="M676" s="12">
        <v>45359.0</v>
      </c>
      <c r="N676" s="11" t="s">
        <v>57</v>
      </c>
      <c r="O676" s="11" t="s">
        <v>51</v>
      </c>
    </row>
    <row r="677">
      <c r="A677" s="10" t="s">
        <v>2067</v>
      </c>
      <c r="B677" s="11">
        <v>75.0</v>
      </c>
      <c r="C677" s="11" t="s">
        <v>38</v>
      </c>
      <c r="D677" s="11" t="s">
        <v>66</v>
      </c>
      <c r="E677" s="11" t="s">
        <v>19</v>
      </c>
      <c r="F677" s="12">
        <v>45169.0</v>
      </c>
      <c r="G677" s="11" t="s">
        <v>2068</v>
      </c>
      <c r="H677" s="11" t="s">
        <v>2069</v>
      </c>
      <c r="I677" s="11" t="s">
        <v>32</v>
      </c>
      <c r="J677" s="11">
        <v>30873.6199091688</v>
      </c>
      <c r="K677" s="11">
        <v>252.0</v>
      </c>
      <c r="L677" s="11" t="s">
        <v>50</v>
      </c>
      <c r="M677" s="12">
        <v>45176.0</v>
      </c>
      <c r="N677" s="11" t="s">
        <v>34</v>
      </c>
      <c r="O677" s="11" t="s">
        <v>35</v>
      </c>
    </row>
    <row r="678">
      <c r="A678" s="10" t="s">
        <v>2070</v>
      </c>
      <c r="B678" s="11">
        <v>85.0</v>
      </c>
      <c r="C678" s="11" t="s">
        <v>17</v>
      </c>
      <c r="D678" s="11" t="s">
        <v>28</v>
      </c>
      <c r="E678" s="11" t="s">
        <v>88</v>
      </c>
      <c r="F678" s="12">
        <v>44945.0</v>
      </c>
      <c r="G678" s="11" t="s">
        <v>2071</v>
      </c>
      <c r="H678" s="11" t="s">
        <v>2072</v>
      </c>
      <c r="I678" s="11" t="s">
        <v>73</v>
      </c>
      <c r="J678" s="11">
        <v>9542.73970888546</v>
      </c>
      <c r="K678" s="11">
        <v>289.0</v>
      </c>
      <c r="L678" s="11" t="s">
        <v>33</v>
      </c>
      <c r="M678" s="12">
        <v>44954.0</v>
      </c>
      <c r="N678" s="11" t="s">
        <v>24</v>
      </c>
      <c r="O678" s="11" t="s">
        <v>51</v>
      </c>
    </row>
    <row r="679">
      <c r="A679" s="10" t="s">
        <v>2073</v>
      </c>
      <c r="B679" s="11">
        <v>74.0</v>
      </c>
      <c r="C679" s="11" t="s">
        <v>17</v>
      </c>
      <c r="D679" s="11" t="s">
        <v>141</v>
      </c>
      <c r="E679" s="11" t="s">
        <v>29</v>
      </c>
      <c r="F679" s="12">
        <v>45250.0</v>
      </c>
      <c r="G679" s="11" t="s">
        <v>2074</v>
      </c>
      <c r="H679" s="11" t="s">
        <v>2075</v>
      </c>
      <c r="I679" s="11" t="s">
        <v>22</v>
      </c>
      <c r="J679" s="11">
        <v>32429.6191269396</v>
      </c>
      <c r="K679" s="11">
        <v>191.0</v>
      </c>
      <c r="L679" s="11" t="s">
        <v>33</v>
      </c>
      <c r="M679" s="12">
        <v>45277.0</v>
      </c>
      <c r="N679" s="11" t="s">
        <v>34</v>
      </c>
      <c r="O679" s="11" t="s">
        <v>35</v>
      </c>
    </row>
    <row r="680">
      <c r="A680" s="10" t="s">
        <v>2076</v>
      </c>
      <c r="B680" s="11">
        <v>59.0</v>
      </c>
      <c r="C680" s="11" t="s">
        <v>17</v>
      </c>
      <c r="D680" s="11" t="s">
        <v>54</v>
      </c>
      <c r="E680" s="11" t="s">
        <v>29</v>
      </c>
      <c r="F680" s="12">
        <v>44405.0</v>
      </c>
      <c r="G680" s="11" t="s">
        <v>2077</v>
      </c>
      <c r="H680" s="11" t="s">
        <v>2078</v>
      </c>
      <c r="I680" s="11" t="s">
        <v>73</v>
      </c>
      <c r="J680" s="11">
        <v>5588.9938847347</v>
      </c>
      <c r="K680" s="11">
        <v>459.0</v>
      </c>
      <c r="L680" s="11" t="s">
        <v>23</v>
      </c>
      <c r="M680" s="12">
        <v>44411.0</v>
      </c>
      <c r="N680" s="11" t="s">
        <v>57</v>
      </c>
      <c r="O680" s="11" t="s">
        <v>25</v>
      </c>
    </row>
    <row r="681">
      <c r="A681" s="10" t="s">
        <v>2079</v>
      </c>
      <c r="B681" s="11">
        <v>49.0</v>
      </c>
      <c r="C681" s="11" t="s">
        <v>17</v>
      </c>
      <c r="D681" s="11" t="s">
        <v>39</v>
      </c>
      <c r="E681" s="11" t="s">
        <v>60</v>
      </c>
      <c r="F681" s="12">
        <v>45020.0</v>
      </c>
      <c r="G681" s="11" t="s">
        <v>2080</v>
      </c>
      <c r="H681" s="11" t="s">
        <v>2081</v>
      </c>
      <c r="I681" s="11" t="s">
        <v>63</v>
      </c>
      <c r="J681" s="11">
        <v>31497.5548751361</v>
      </c>
      <c r="K681" s="11">
        <v>265.0</v>
      </c>
      <c r="L681" s="11" t="s">
        <v>33</v>
      </c>
      <c r="M681" s="12">
        <v>45043.0</v>
      </c>
      <c r="N681" s="11" t="s">
        <v>91</v>
      </c>
      <c r="O681" s="11" t="s">
        <v>35</v>
      </c>
    </row>
    <row r="682">
      <c r="A682" s="10" t="s">
        <v>2082</v>
      </c>
      <c r="B682" s="11">
        <v>85.0</v>
      </c>
      <c r="C682" s="11" t="s">
        <v>38</v>
      </c>
      <c r="D682" s="11" t="s">
        <v>18</v>
      </c>
      <c r="E682" s="11" t="s">
        <v>29</v>
      </c>
      <c r="F682" s="12">
        <v>44054.0</v>
      </c>
      <c r="G682" s="11" t="s">
        <v>2083</v>
      </c>
      <c r="H682" s="11" t="s">
        <v>2084</v>
      </c>
      <c r="I682" s="11" t="s">
        <v>73</v>
      </c>
      <c r="J682" s="11">
        <v>14283.0159510098</v>
      </c>
      <c r="K682" s="11">
        <v>138.0</v>
      </c>
      <c r="L682" s="11" t="s">
        <v>50</v>
      </c>
      <c r="M682" s="12">
        <v>44067.0</v>
      </c>
      <c r="N682" s="11" t="s">
        <v>34</v>
      </c>
      <c r="O682" s="11" t="s">
        <v>35</v>
      </c>
    </row>
    <row r="683">
      <c r="A683" s="10" t="s">
        <v>2085</v>
      </c>
      <c r="B683" s="11">
        <v>51.0</v>
      </c>
      <c r="C683" s="11" t="s">
        <v>38</v>
      </c>
      <c r="D683" s="11" t="s">
        <v>119</v>
      </c>
      <c r="E683" s="11" t="s">
        <v>88</v>
      </c>
      <c r="F683" s="12">
        <v>43858.0</v>
      </c>
      <c r="G683" s="11" t="s">
        <v>2086</v>
      </c>
      <c r="H683" s="11" t="s">
        <v>2087</v>
      </c>
      <c r="I683" s="11" t="s">
        <v>73</v>
      </c>
      <c r="J683" s="11">
        <v>15422.042886846</v>
      </c>
      <c r="K683" s="11">
        <v>154.0</v>
      </c>
      <c r="L683" s="11" t="s">
        <v>23</v>
      </c>
      <c r="M683" s="12">
        <v>43882.0</v>
      </c>
      <c r="N683" s="11" t="s">
        <v>34</v>
      </c>
      <c r="O683" s="11" t="s">
        <v>35</v>
      </c>
    </row>
    <row r="684">
      <c r="A684" s="10" t="s">
        <v>2088</v>
      </c>
      <c r="B684" s="11">
        <v>23.0</v>
      </c>
      <c r="C684" s="11" t="s">
        <v>17</v>
      </c>
      <c r="D684" s="11" t="s">
        <v>54</v>
      </c>
      <c r="E684" s="11" t="s">
        <v>60</v>
      </c>
      <c r="F684" s="12">
        <v>43837.0</v>
      </c>
      <c r="G684" s="11" t="s">
        <v>2089</v>
      </c>
      <c r="H684" s="11" t="s">
        <v>2090</v>
      </c>
      <c r="I684" s="11" t="s">
        <v>73</v>
      </c>
      <c r="J684" s="11">
        <v>40309.277423601</v>
      </c>
      <c r="K684" s="11">
        <v>219.0</v>
      </c>
      <c r="L684" s="11" t="s">
        <v>33</v>
      </c>
      <c r="M684" s="12">
        <v>43866.0</v>
      </c>
      <c r="N684" s="11" t="s">
        <v>57</v>
      </c>
      <c r="O684" s="11" t="s">
        <v>35</v>
      </c>
    </row>
    <row r="685">
      <c r="A685" s="10" t="s">
        <v>2091</v>
      </c>
      <c r="B685" s="11">
        <v>26.0</v>
      </c>
      <c r="C685" s="11" t="s">
        <v>17</v>
      </c>
      <c r="D685" s="11" t="s">
        <v>141</v>
      </c>
      <c r="E685" s="11" t="s">
        <v>60</v>
      </c>
      <c r="F685" s="12">
        <v>43941.0</v>
      </c>
      <c r="G685" s="11" t="s">
        <v>2092</v>
      </c>
      <c r="H685" s="11" t="s">
        <v>136</v>
      </c>
      <c r="I685" s="11" t="s">
        <v>42</v>
      </c>
      <c r="J685" s="11">
        <v>45916.3248338652</v>
      </c>
      <c r="K685" s="11">
        <v>301.0</v>
      </c>
      <c r="L685" s="11" t="s">
        <v>50</v>
      </c>
      <c r="M685" s="12">
        <v>43968.0</v>
      </c>
      <c r="N685" s="11" t="s">
        <v>57</v>
      </c>
      <c r="O685" s="11" t="s">
        <v>51</v>
      </c>
    </row>
    <row r="686">
      <c r="A686" s="10" t="s">
        <v>2093</v>
      </c>
      <c r="B686" s="11">
        <v>59.0</v>
      </c>
      <c r="C686" s="11" t="s">
        <v>38</v>
      </c>
      <c r="D686" s="11" t="s">
        <v>54</v>
      </c>
      <c r="E686" s="11" t="s">
        <v>29</v>
      </c>
      <c r="F686" s="12">
        <v>43908.0</v>
      </c>
      <c r="G686" s="11" t="s">
        <v>2094</v>
      </c>
      <c r="H686" s="11" t="s">
        <v>2095</v>
      </c>
      <c r="I686" s="11" t="s">
        <v>22</v>
      </c>
      <c r="J686" s="11">
        <v>41632.5248481026</v>
      </c>
      <c r="K686" s="11">
        <v>395.0</v>
      </c>
      <c r="L686" s="11" t="s">
        <v>50</v>
      </c>
      <c r="M686" s="12">
        <v>43915.0</v>
      </c>
      <c r="N686" s="11" t="s">
        <v>57</v>
      </c>
      <c r="O686" s="11" t="s">
        <v>25</v>
      </c>
    </row>
    <row r="687">
      <c r="A687" s="10" t="s">
        <v>2096</v>
      </c>
      <c r="B687" s="11">
        <v>25.0</v>
      </c>
      <c r="C687" s="11" t="s">
        <v>38</v>
      </c>
      <c r="D687" s="11" t="s">
        <v>66</v>
      </c>
      <c r="E687" s="11" t="s">
        <v>47</v>
      </c>
      <c r="F687" s="12">
        <v>44000.0</v>
      </c>
      <c r="G687" s="11" t="s">
        <v>2097</v>
      </c>
      <c r="H687" s="11" t="s">
        <v>2098</v>
      </c>
      <c r="I687" s="11" t="s">
        <v>32</v>
      </c>
      <c r="J687" s="11">
        <v>7437.418707997</v>
      </c>
      <c r="K687" s="11">
        <v>412.0</v>
      </c>
      <c r="L687" s="11" t="s">
        <v>33</v>
      </c>
      <c r="M687" s="12">
        <v>44005.0</v>
      </c>
      <c r="N687" s="11" t="s">
        <v>24</v>
      </c>
      <c r="O687" s="11" t="s">
        <v>35</v>
      </c>
    </row>
    <row r="688">
      <c r="A688" s="10" t="s">
        <v>2099</v>
      </c>
      <c r="B688" s="11">
        <v>29.0</v>
      </c>
      <c r="C688" s="11" t="s">
        <v>17</v>
      </c>
      <c r="D688" s="11" t="s">
        <v>141</v>
      </c>
      <c r="E688" s="11" t="s">
        <v>19</v>
      </c>
      <c r="F688" s="12">
        <v>45122.0</v>
      </c>
      <c r="G688" s="11" t="s">
        <v>2100</v>
      </c>
      <c r="H688" s="11" t="s">
        <v>2101</v>
      </c>
      <c r="I688" s="11" t="s">
        <v>32</v>
      </c>
      <c r="J688" s="11">
        <v>38860.0208846444</v>
      </c>
      <c r="K688" s="11">
        <v>436.0</v>
      </c>
      <c r="L688" s="11" t="s">
        <v>50</v>
      </c>
      <c r="M688" s="12">
        <v>45134.0</v>
      </c>
      <c r="N688" s="11" t="s">
        <v>43</v>
      </c>
      <c r="O688" s="11" t="s">
        <v>51</v>
      </c>
    </row>
    <row r="689">
      <c r="A689" s="10" t="s">
        <v>2102</v>
      </c>
      <c r="B689" s="11">
        <v>25.0</v>
      </c>
      <c r="C689" s="11" t="s">
        <v>17</v>
      </c>
      <c r="D689" s="11" t="s">
        <v>39</v>
      </c>
      <c r="E689" s="11" t="s">
        <v>88</v>
      </c>
      <c r="F689" s="12">
        <v>45201.0</v>
      </c>
      <c r="G689" s="11" t="s">
        <v>2103</v>
      </c>
      <c r="H689" s="11" t="s">
        <v>2104</v>
      </c>
      <c r="I689" s="11" t="s">
        <v>73</v>
      </c>
      <c r="J689" s="11">
        <v>6662.24285394421</v>
      </c>
      <c r="K689" s="11">
        <v>249.0</v>
      </c>
      <c r="L689" s="11" t="s">
        <v>23</v>
      </c>
      <c r="M689" s="12">
        <v>45223.0</v>
      </c>
      <c r="N689" s="11" t="s">
        <v>34</v>
      </c>
      <c r="O689" s="11" t="s">
        <v>35</v>
      </c>
    </row>
    <row r="690">
      <c r="A690" s="10" t="s">
        <v>2105</v>
      </c>
      <c r="B690" s="11">
        <v>61.0</v>
      </c>
      <c r="C690" s="11" t="s">
        <v>17</v>
      </c>
      <c r="D690" s="11" t="s">
        <v>18</v>
      </c>
      <c r="E690" s="11" t="s">
        <v>47</v>
      </c>
      <c r="F690" s="12">
        <v>44209.0</v>
      </c>
      <c r="G690" s="11" t="s">
        <v>2106</v>
      </c>
      <c r="H690" s="11" t="s">
        <v>2107</v>
      </c>
      <c r="I690" s="11" t="s">
        <v>73</v>
      </c>
      <c r="J690" s="11">
        <v>13074.2152801333</v>
      </c>
      <c r="K690" s="11">
        <v>147.0</v>
      </c>
      <c r="L690" s="11" t="s">
        <v>23</v>
      </c>
      <c r="M690" s="12">
        <v>44232.0</v>
      </c>
      <c r="N690" s="11" t="s">
        <v>43</v>
      </c>
      <c r="O690" s="11" t="s">
        <v>35</v>
      </c>
    </row>
    <row r="691">
      <c r="A691" s="10" t="s">
        <v>2108</v>
      </c>
      <c r="B691" s="11">
        <v>46.0</v>
      </c>
      <c r="C691" s="11" t="s">
        <v>17</v>
      </c>
      <c r="D691" s="11" t="s">
        <v>28</v>
      </c>
      <c r="E691" s="11" t="s">
        <v>88</v>
      </c>
      <c r="F691" s="12">
        <v>44697.0</v>
      </c>
      <c r="G691" s="11" t="s">
        <v>2109</v>
      </c>
      <c r="H691" s="11" t="s">
        <v>2110</v>
      </c>
      <c r="I691" s="11" t="s">
        <v>42</v>
      </c>
      <c r="J691" s="11">
        <v>10443.2069030008</v>
      </c>
      <c r="K691" s="11">
        <v>408.0</v>
      </c>
      <c r="L691" s="11" t="s">
        <v>50</v>
      </c>
      <c r="M691" s="12">
        <v>44712.0</v>
      </c>
      <c r="N691" s="11" t="s">
        <v>43</v>
      </c>
      <c r="O691" s="11" t="s">
        <v>35</v>
      </c>
    </row>
    <row r="692">
      <c r="A692" s="10" t="s">
        <v>2111</v>
      </c>
      <c r="B692" s="11">
        <v>54.0</v>
      </c>
      <c r="C692" s="11" t="s">
        <v>17</v>
      </c>
      <c r="D692" s="11" t="s">
        <v>66</v>
      </c>
      <c r="E692" s="11" t="s">
        <v>88</v>
      </c>
      <c r="F692" s="12">
        <v>43760.0</v>
      </c>
      <c r="G692" s="11" t="s">
        <v>2112</v>
      </c>
      <c r="H692" s="11" t="s">
        <v>2113</v>
      </c>
      <c r="I692" s="11" t="s">
        <v>22</v>
      </c>
      <c r="J692" s="11">
        <v>20227.0394040116</v>
      </c>
      <c r="K692" s="11">
        <v>144.0</v>
      </c>
      <c r="L692" s="11" t="s">
        <v>33</v>
      </c>
      <c r="M692" s="12">
        <v>43770.0</v>
      </c>
      <c r="N692" s="11" t="s">
        <v>43</v>
      </c>
      <c r="O692" s="11" t="s">
        <v>51</v>
      </c>
    </row>
    <row r="693">
      <c r="A693" s="10" t="s">
        <v>2114</v>
      </c>
      <c r="B693" s="11">
        <v>41.0</v>
      </c>
      <c r="C693" s="11" t="s">
        <v>17</v>
      </c>
      <c r="D693" s="11" t="s">
        <v>28</v>
      </c>
      <c r="E693" s="11" t="s">
        <v>29</v>
      </c>
      <c r="F693" s="12">
        <v>43686.0</v>
      </c>
      <c r="G693" s="11" t="s">
        <v>2115</v>
      </c>
      <c r="H693" s="11" t="s">
        <v>2116</v>
      </c>
      <c r="I693" s="11" t="s">
        <v>32</v>
      </c>
      <c r="J693" s="11">
        <v>38779.2078746581</v>
      </c>
      <c r="K693" s="11">
        <v>268.0</v>
      </c>
      <c r="L693" s="11" t="s">
        <v>33</v>
      </c>
      <c r="M693" s="12">
        <v>43711.0</v>
      </c>
      <c r="N693" s="11" t="s">
        <v>24</v>
      </c>
      <c r="O693" s="11" t="s">
        <v>51</v>
      </c>
    </row>
    <row r="694">
      <c r="A694" s="10" t="s">
        <v>2117</v>
      </c>
      <c r="B694" s="11">
        <v>21.0</v>
      </c>
      <c r="C694" s="11" t="s">
        <v>38</v>
      </c>
      <c r="D694" s="11" t="s">
        <v>141</v>
      </c>
      <c r="E694" s="11" t="s">
        <v>60</v>
      </c>
      <c r="F694" s="12">
        <v>45290.0</v>
      </c>
      <c r="G694" s="11" t="s">
        <v>2118</v>
      </c>
      <c r="H694" s="11" t="s">
        <v>2119</v>
      </c>
      <c r="I694" s="11" t="s">
        <v>42</v>
      </c>
      <c r="J694" s="11">
        <v>4561.66420728556</v>
      </c>
      <c r="K694" s="11">
        <v>357.0</v>
      </c>
      <c r="L694" s="11" t="s">
        <v>50</v>
      </c>
      <c r="M694" s="12">
        <v>45318.0</v>
      </c>
      <c r="N694" s="11" t="s">
        <v>91</v>
      </c>
      <c r="O694" s="11" t="s">
        <v>51</v>
      </c>
    </row>
    <row r="695">
      <c r="A695" s="10" t="s">
        <v>2120</v>
      </c>
      <c r="B695" s="11">
        <v>38.0</v>
      </c>
      <c r="C695" s="11" t="s">
        <v>38</v>
      </c>
      <c r="D695" s="11" t="s">
        <v>54</v>
      </c>
      <c r="E695" s="11" t="s">
        <v>47</v>
      </c>
      <c r="F695" s="12">
        <v>44753.0</v>
      </c>
      <c r="G695" s="11" t="s">
        <v>2121</v>
      </c>
      <c r="H695" s="11" t="s">
        <v>2122</v>
      </c>
      <c r="I695" s="11" t="s">
        <v>32</v>
      </c>
      <c r="J695" s="11">
        <v>1656.54821705296</v>
      </c>
      <c r="K695" s="11">
        <v>176.0</v>
      </c>
      <c r="L695" s="11" t="s">
        <v>50</v>
      </c>
      <c r="M695" s="12">
        <v>44776.0</v>
      </c>
      <c r="N695" s="11" t="s">
        <v>91</v>
      </c>
      <c r="O695" s="11" t="s">
        <v>51</v>
      </c>
    </row>
    <row r="696">
      <c r="A696" s="10" t="s">
        <v>2123</v>
      </c>
      <c r="B696" s="11">
        <v>75.0</v>
      </c>
      <c r="C696" s="11" t="s">
        <v>17</v>
      </c>
      <c r="D696" s="11" t="s">
        <v>54</v>
      </c>
      <c r="E696" s="11" t="s">
        <v>29</v>
      </c>
      <c r="F696" s="12">
        <v>44093.0</v>
      </c>
      <c r="G696" s="11" t="s">
        <v>2124</v>
      </c>
      <c r="H696" s="11" t="s">
        <v>2125</v>
      </c>
      <c r="I696" s="11" t="s">
        <v>42</v>
      </c>
      <c r="J696" s="11">
        <v>28463.8609852708</v>
      </c>
      <c r="K696" s="11">
        <v>200.0</v>
      </c>
      <c r="L696" s="11" t="s">
        <v>33</v>
      </c>
      <c r="M696" s="12">
        <v>44110.0</v>
      </c>
      <c r="N696" s="11" t="s">
        <v>57</v>
      </c>
      <c r="O696" s="11" t="s">
        <v>35</v>
      </c>
    </row>
    <row r="697">
      <c r="A697" s="10" t="s">
        <v>2126</v>
      </c>
      <c r="B697" s="11">
        <v>44.0</v>
      </c>
      <c r="C697" s="11" t="s">
        <v>17</v>
      </c>
      <c r="D697" s="11" t="s">
        <v>119</v>
      </c>
      <c r="E697" s="11" t="s">
        <v>19</v>
      </c>
      <c r="F697" s="12">
        <v>43714.0</v>
      </c>
      <c r="G697" s="11" t="s">
        <v>2127</v>
      </c>
      <c r="H697" s="11" t="s">
        <v>2128</v>
      </c>
      <c r="I697" s="11" t="s">
        <v>63</v>
      </c>
      <c r="J697" s="11">
        <v>5268.69045746545</v>
      </c>
      <c r="K697" s="11">
        <v>142.0</v>
      </c>
      <c r="L697" s="11" t="s">
        <v>23</v>
      </c>
      <c r="M697" s="12">
        <v>43715.0</v>
      </c>
      <c r="N697" s="11" t="s">
        <v>34</v>
      </c>
      <c r="O697" s="11" t="s">
        <v>35</v>
      </c>
    </row>
    <row r="698">
      <c r="A698" s="10" t="s">
        <v>2129</v>
      </c>
      <c r="B698" s="11">
        <v>23.0</v>
      </c>
      <c r="C698" s="11" t="s">
        <v>17</v>
      </c>
      <c r="D698" s="11" t="s">
        <v>141</v>
      </c>
      <c r="E698" s="11" t="s">
        <v>29</v>
      </c>
      <c r="F698" s="12">
        <v>43791.0</v>
      </c>
      <c r="G698" s="11" t="s">
        <v>2130</v>
      </c>
      <c r="H698" s="11" t="s">
        <v>2131</v>
      </c>
      <c r="I698" s="11" t="s">
        <v>73</v>
      </c>
      <c r="J698" s="11">
        <v>24011.7022492557</v>
      </c>
      <c r="K698" s="11">
        <v>442.0</v>
      </c>
      <c r="L698" s="11" t="s">
        <v>33</v>
      </c>
      <c r="M698" s="12">
        <v>43821.0</v>
      </c>
      <c r="N698" s="11" t="s">
        <v>24</v>
      </c>
      <c r="O698" s="11" t="s">
        <v>35</v>
      </c>
    </row>
    <row r="699">
      <c r="A699" s="10" t="s">
        <v>2132</v>
      </c>
      <c r="B699" s="11">
        <v>45.0</v>
      </c>
      <c r="C699" s="11" t="s">
        <v>38</v>
      </c>
      <c r="D699" s="11" t="s">
        <v>18</v>
      </c>
      <c r="E699" s="11" t="s">
        <v>19</v>
      </c>
      <c r="F699" s="12">
        <v>44034.0</v>
      </c>
      <c r="G699" s="11" t="s">
        <v>2133</v>
      </c>
      <c r="H699" s="11" t="s">
        <v>2134</v>
      </c>
      <c r="I699" s="11" t="s">
        <v>32</v>
      </c>
      <c r="J699" s="11">
        <v>18467.0794491135</v>
      </c>
      <c r="K699" s="11">
        <v>177.0</v>
      </c>
      <c r="L699" s="11" t="s">
        <v>50</v>
      </c>
      <c r="M699" s="12">
        <v>44036.0</v>
      </c>
      <c r="N699" s="11" t="s">
        <v>57</v>
      </c>
      <c r="O699" s="11" t="s">
        <v>51</v>
      </c>
    </row>
    <row r="700">
      <c r="A700" s="10" t="s">
        <v>2135</v>
      </c>
      <c r="B700" s="11">
        <v>58.0</v>
      </c>
      <c r="C700" s="11" t="s">
        <v>17</v>
      </c>
      <c r="D700" s="11" t="s">
        <v>119</v>
      </c>
      <c r="E700" s="11" t="s">
        <v>19</v>
      </c>
      <c r="F700" s="12">
        <v>44621.0</v>
      </c>
      <c r="G700" s="11" t="s">
        <v>2136</v>
      </c>
      <c r="H700" s="11" t="s">
        <v>2137</v>
      </c>
      <c r="I700" s="11" t="s">
        <v>42</v>
      </c>
      <c r="J700" s="11">
        <v>3782.74141579085</v>
      </c>
      <c r="K700" s="11">
        <v>134.0</v>
      </c>
      <c r="L700" s="11" t="s">
        <v>23</v>
      </c>
      <c r="M700" s="12">
        <v>44639.0</v>
      </c>
      <c r="N700" s="11" t="s">
        <v>24</v>
      </c>
      <c r="O700" s="11" t="s">
        <v>51</v>
      </c>
    </row>
    <row r="701">
      <c r="A701" s="10" t="s">
        <v>2138</v>
      </c>
      <c r="B701" s="11">
        <v>34.0</v>
      </c>
      <c r="C701" s="11" t="s">
        <v>17</v>
      </c>
      <c r="D701" s="11" t="s">
        <v>18</v>
      </c>
      <c r="E701" s="11" t="s">
        <v>47</v>
      </c>
      <c r="F701" s="12">
        <v>44986.0</v>
      </c>
      <c r="G701" s="11" t="s">
        <v>2139</v>
      </c>
      <c r="H701" s="11" t="s">
        <v>2140</v>
      </c>
      <c r="I701" s="11" t="s">
        <v>42</v>
      </c>
      <c r="J701" s="11">
        <v>11921.6595106981</v>
      </c>
      <c r="K701" s="11">
        <v>355.0</v>
      </c>
      <c r="L701" s="11" t="s">
        <v>23</v>
      </c>
      <c r="M701" s="12">
        <v>45006.0</v>
      </c>
      <c r="N701" s="11" t="s">
        <v>34</v>
      </c>
      <c r="O701" s="11" t="s">
        <v>35</v>
      </c>
    </row>
    <row r="702">
      <c r="A702" s="10" t="s">
        <v>2141</v>
      </c>
      <c r="B702" s="11">
        <v>54.0</v>
      </c>
      <c r="C702" s="11" t="s">
        <v>38</v>
      </c>
      <c r="D702" s="11" t="s">
        <v>119</v>
      </c>
      <c r="E702" s="11" t="s">
        <v>29</v>
      </c>
      <c r="F702" s="12">
        <v>44308.0</v>
      </c>
      <c r="G702" s="11" t="s">
        <v>2142</v>
      </c>
      <c r="H702" s="11" t="s">
        <v>2143</v>
      </c>
      <c r="I702" s="11" t="s">
        <v>73</v>
      </c>
      <c r="J702" s="11">
        <v>16725.9795864969</v>
      </c>
      <c r="K702" s="11">
        <v>361.0</v>
      </c>
      <c r="L702" s="11" t="s">
        <v>23</v>
      </c>
      <c r="M702" s="12">
        <v>44327.0</v>
      </c>
      <c r="N702" s="11" t="s">
        <v>91</v>
      </c>
      <c r="O702" s="11" t="s">
        <v>51</v>
      </c>
    </row>
    <row r="703">
      <c r="A703" s="10" t="s">
        <v>2144</v>
      </c>
      <c r="B703" s="11">
        <v>29.0</v>
      </c>
      <c r="C703" s="11" t="s">
        <v>38</v>
      </c>
      <c r="D703" s="11" t="s">
        <v>28</v>
      </c>
      <c r="E703" s="11" t="s">
        <v>29</v>
      </c>
      <c r="F703" s="12">
        <v>44097.0</v>
      </c>
      <c r="G703" s="11" t="s">
        <v>2145</v>
      </c>
      <c r="H703" s="11" t="s">
        <v>2146</v>
      </c>
      <c r="I703" s="11" t="s">
        <v>73</v>
      </c>
      <c r="J703" s="11">
        <v>39700.8241233977</v>
      </c>
      <c r="K703" s="11">
        <v>421.0</v>
      </c>
      <c r="L703" s="11" t="s">
        <v>23</v>
      </c>
      <c r="M703" s="12">
        <v>44099.0</v>
      </c>
      <c r="N703" s="11" t="s">
        <v>24</v>
      </c>
      <c r="O703" s="11" t="s">
        <v>35</v>
      </c>
    </row>
    <row r="704">
      <c r="A704" s="10" t="s">
        <v>2147</v>
      </c>
      <c r="B704" s="11">
        <v>54.0</v>
      </c>
      <c r="C704" s="11" t="s">
        <v>38</v>
      </c>
      <c r="D704" s="11" t="s">
        <v>28</v>
      </c>
      <c r="E704" s="11" t="s">
        <v>19</v>
      </c>
      <c r="F704" s="12">
        <v>44934.0</v>
      </c>
      <c r="G704" s="11" t="s">
        <v>2148</v>
      </c>
      <c r="H704" s="11" t="s">
        <v>2149</v>
      </c>
      <c r="I704" s="11" t="s">
        <v>32</v>
      </c>
      <c r="J704" s="11">
        <v>2568.01196668098</v>
      </c>
      <c r="K704" s="11">
        <v>136.0</v>
      </c>
      <c r="L704" s="11" t="s">
        <v>33</v>
      </c>
      <c r="M704" s="12">
        <v>44945.0</v>
      </c>
      <c r="N704" s="11" t="s">
        <v>91</v>
      </c>
      <c r="O704" s="11" t="s">
        <v>51</v>
      </c>
    </row>
    <row r="705">
      <c r="A705" s="10" t="s">
        <v>2150</v>
      </c>
      <c r="B705" s="11">
        <v>46.0</v>
      </c>
      <c r="C705" s="11" t="s">
        <v>17</v>
      </c>
      <c r="D705" s="11" t="s">
        <v>66</v>
      </c>
      <c r="E705" s="11" t="s">
        <v>60</v>
      </c>
      <c r="F705" s="12">
        <v>44790.0</v>
      </c>
      <c r="G705" s="11" t="s">
        <v>2151</v>
      </c>
      <c r="H705" s="11" t="s">
        <v>2152</v>
      </c>
      <c r="I705" s="11" t="s">
        <v>32</v>
      </c>
      <c r="J705" s="11">
        <v>15242.3871789992</v>
      </c>
      <c r="K705" s="11">
        <v>203.0</v>
      </c>
      <c r="L705" s="11" t="s">
        <v>50</v>
      </c>
      <c r="M705" s="12">
        <v>44812.0</v>
      </c>
      <c r="N705" s="11" t="s">
        <v>24</v>
      </c>
      <c r="O705" s="11" t="s">
        <v>51</v>
      </c>
    </row>
    <row r="706">
      <c r="A706" s="10" t="s">
        <v>2153</v>
      </c>
      <c r="B706" s="11">
        <v>35.0</v>
      </c>
      <c r="C706" s="11" t="s">
        <v>38</v>
      </c>
      <c r="D706" s="11" t="s">
        <v>54</v>
      </c>
      <c r="E706" s="11" t="s">
        <v>88</v>
      </c>
      <c r="F706" s="12">
        <v>44362.0</v>
      </c>
      <c r="G706" s="11" t="s">
        <v>2154</v>
      </c>
      <c r="H706" s="11" t="s">
        <v>2155</v>
      </c>
      <c r="I706" s="11" t="s">
        <v>63</v>
      </c>
      <c r="J706" s="11">
        <v>31054.0460643255</v>
      </c>
      <c r="K706" s="11">
        <v>114.0</v>
      </c>
      <c r="L706" s="11" t="s">
        <v>23</v>
      </c>
      <c r="M706" s="12">
        <v>44372.0</v>
      </c>
      <c r="N706" s="11" t="s">
        <v>91</v>
      </c>
      <c r="O706" s="11" t="s">
        <v>25</v>
      </c>
    </row>
    <row r="707">
      <c r="A707" s="10" t="s">
        <v>2156</v>
      </c>
      <c r="B707" s="11">
        <v>58.0</v>
      </c>
      <c r="C707" s="11" t="s">
        <v>38</v>
      </c>
      <c r="D707" s="11" t="s">
        <v>54</v>
      </c>
      <c r="E707" s="11" t="s">
        <v>29</v>
      </c>
      <c r="F707" s="12">
        <v>45352.0</v>
      </c>
      <c r="G707" s="11" t="s">
        <v>2157</v>
      </c>
      <c r="H707" s="11" t="s">
        <v>2158</v>
      </c>
      <c r="I707" s="11" t="s">
        <v>22</v>
      </c>
      <c r="J707" s="11">
        <v>49118.5912615238</v>
      </c>
      <c r="K707" s="11">
        <v>114.0</v>
      </c>
      <c r="L707" s="11" t="s">
        <v>23</v>
      </c>
      <c r="M707" s="12">
        <v>45371.0</v>
      </c>
      <c r="N707" s="11" t="s">
        <v>91</v>
      </c>
      <c r="O707" s="11" t="s">
        <v>35</v>
      </c>
    </row>
    <row r="708">
      <c r="A708" s="10" t="s">
        <v>2159</v>
      </c>
      <c r="B708" s="11">
        <v>36.0</v>
      </c>
      <c r="C708" s="11" t="s">
        <v>38</v>
      </c>
      <c r="D708" s="11" t="s">
        <v>54</v>
      </c>
      <c r="E708" s="11" t="s">
        <v>88</v>
      </c>
      <c r="F708" s="12">
        <v>45271.0</v>
      </c>
      <c r="G708" s="11" t="s">
        <v>2160</v>
      </c>
      <c r="H708" s="11" t="s">
        <v>1717</v>
      </c>
      <c r="I708" s="11" t="s">
        <v>32</v>
      </c>
      <c r="J708" s="11">
        <v>3235.58115596155</v>
      </c>
      <c r="K708" s="11">
        <v>146.0</v>
      </c>
      <c r="L708" s="11" t="s">
        <v>50</v>
      </c>
      <c r="M708" s="12">
        <v>45299.0</v>
      </c>
      <c r="N708" s="11" t="s">
        <v>43</v>
      </c>
      <c r="O708" s="11" t="s">
        <v>25</v>
      </c>
    </row>
    <row r="709">
      <c r="A709" s="10" t="s">
        <v>2161</v>
      </c>
      <c r="B709" s="11">
        <v>80.0</v>
      </c>
      <c r="C709" s="11" t="s">
        <v>38</v>
      </c>
      <c r="D709" s="11" t="s">
        <v>119</v>
      </c>
      <c r="E709" s="11" t="s">
        <v>109</v>
      </c>
      <c r="F709" s="12">
        <v>44685.0</v>
      </c>
      <c r="G709" s="11" t="s">
        <v>2162</v>
      </c>
      <c r="H709" s="11" t="s">
        <v>2163</v>
      </c>
      <c r="I709" s="11" t="s">
        <v>32</v>
      </c>
      <c r="J709" s="11">
        <v>26052.0241648188</v>
      </c>
      <c r="K709" s="11">
        <v>379.0</v>
      </c>
      <c r="L709" s="11" t="s">
        <v>50</v>
      </c>
      <c r="M709" s="12">
        <v>44686.0</v>
      </c>
      <c r="N709" s="11" t="s">
        <v>43</v>
      </c>
      <c r="O709" s="11" t="s">
        <v>51</v>
      </c>
    </row>
    <row r="710">
      <c r="A710" s="10" t="s">
        <v>2164</v>
      </c>
      <c r="B710" s="11">
        <v>43.0</v>
      </c>
      <c r="C710" s="11" t="s">
        <v>17</v>
      </c>
      <c r="D710" s="11" t="s">
        <v>39</v>
      </c>
      <c r="E710" s="11" t="s">
        <v>109</v>
      </c>
      <c r="F710" s="12">
        <v>44531.0</v>
      </c>
      <c r="G710" s="11" t="s">
        <v>2165</v>
      </c>
      <c r="H710" s="11" t="s">
        <v>2166</v>
      </c>
      <c r="I710" s="11" t="s">
        <v>22</v>
      </c>
      <c r="J710" s="11">
        <v>11095.4018505941</v>
      </c>
      <c r="K710" s="11">
        <v>288.0</v>
      </c>
      <c r="L710" s="11" t="s">
        <v>33</v>
      </c>
      <c r="M710" s="12">
        <v>44559.0</v>
      </c>
      <c r="N710" s="11" t="s">
        <v>24</v>
      </c>
      <c r="O710" s="11" t="s">
        <v>35</v>
      </c>
    </row>
    <row r="711">
      <c r="A711" s="10" t="s">
        <v>2167</v>
      </c>
      <c r="B711" s="11">
        <v>47.0</v>
      </c>
      <c r="C711" s="11" t="s">
        <v>38</v>
      </c>
      <c r="D711" s="11" t="s">
        <v>119</v>
      </c>
      <c r="E711" s="11" t="s">
        <v>88</v>
      </c>
      <c r="F711" s="12">
        <v>44460.0</v>
      </c>
      <c r="G711" s="11" t="s">
        <v>2168</v>
      </c>
      <c r="H711" s="11" t="s">
        <v>2169</v>
      </c>
      <c r="I711" s="11" t="s">
        <v>42</v>
      </c>
      <c r="J711" s="11">
        <v>10725.8254626362</v>
      </c>
      <c r="K711" s="11">
        <v>355.0</v>
      </c>
      <c r="L711" s="11" t="s">
        <v>50</v>
      </c>
      <c r="M711" s="12">
        <v>44479.0</v>
      </c>
      <c r="N711" s="11" t="s">
        <v>34</v>
      </c>
      <c r="O711" s="11" t="s">
        <v>51</v>
      </c>
    </row>
    <row r="712">
      <c r="A712" s="10" t="s">
        <v>2170</v>
      </c>
      <c r="B712" s="11">
        <v>49.0</v>
      </c>
      <c r="C712" s="11" t="s">
        <v>38</v>
      </c>
      <c r="D712" s="11" t="s">
        <v>18</v>
      </c>
      <c r="E712" s="11" t="s">
        <v>88</v>
      </c>
      <c r="F712" s="12">
        <v>43910.0</v>
      </c>
      <c r="G712" s="11" t="s">
        <v>2171</v>
      </c>
      <c r="H712" s="11" t="s">
        <v>2172</v>
      </c>
      <c r="I712" s="11" t="s">
        <v>63</v>
      </c>
      <c r="J712" s="11">
        <v>30038.2759753759</v>
      </c>
      <c r="K712" s="11">
        <v>424.0</v>
      </c>
      <c r="L712" s="11" t="s">
        <v>50</v>
      </c>
      <c r="M712" s="12">
        <v>43930.0</v>
      </c>
      <c r="N712" s="11" t="s">
        <v>34</v>
      </c>
      <c r="O712" s="11" t="s">
        <v>51</v>
      </c>
    </row>
    <row r="713">
      <c r="A713" s="10" t="s">
        <v>2173</v>
      </c>
      <c r="B713" s="11">
        <v>58.0</v>
      </c>
      <c r="C713" s="11" t="s">
        <v>17</v>
      </c>
      <c r="D713" s="11" t="s">
        <v>66</v>
      </c>
      <c r="E713" s="11" t="s">
        <v>60</v>
      </c>
      <c r="F713" s="12">
        <v>45380.0</v>
      </c>
      <c r="G713" s="11" t="s">
        <v>2174</v>
      </c>
      <c r="H713" s="11" t="s">
        <v>2175</v>
      </c>
      <c r="I713" s="11" t="s">
        <v>63</v>
      </c>
      <c r="J713" s="11">
        <v>49446.4581793556</v>
      </c>
      <c r="K713" s="11">
        <v>108.0</v>
      </c>
      <c r="L713" s="11" t="s">
        <v>33</v>
      </c>
      <c r="M713" s="12">
        <v>45398.0</v>
      </c>
      <c r="N713" s="11" t="s">
        <v>91</v>
      </c>
      <c r="O713" s="11" t="s">
        <v>51</v>
      </c>
    </row>
    <row r="714">
      <c r="A714" s="10" t="s">
        <v>2176</v>
      </c>
      <c r="B714" s="11">
        <v>40.0</v>
      </c>
      <c r="C714" s="11" t="s">
        <v>38</v>
      </c>
      <c r="D714" s="11" t="s">
        <v>66</v>
      </c>
      <c r="E714" s="11" t="s">
        <v>29</v>
      </c>
      <c r="F714" s="12">
        <v>45363.0</v>
      </c>
      <c r="G714" s="11" t="s">
        <v>2177</v>
      </c>
      <c r="H714" s="11" t="s">
        <v>2178</v>
      </c>
      <c r="I714" s="11" t="s">
        <v>73</v>
      </c>
      <c r="J714" s="11">
        <v>5315.70561625656</v>
      </c>
      <c r="K714" s="11">
        <v>258.0</v>
      </c>
      <c r="L714" s="11" t="s">
        <v>33</v>
      </c>
      <c r="M714" s="12">
        <v>45376.0</v>
      </c>
      <c r="N714" s="11" t="s">
        <v>57</v>
      </c>
      <c r="O714" s="11" t="s">
        <v>51</v>
      </c>
    </row>
    <row r="715">
      <c r="A715" s="10" t="s">
        <v>2179</v>
      </c>
      <c r="B715" s="11">
        <v>44.0</v>
      </c>
      <c r="C715" s="11" t="s">
        <v>17</v>
      </c>
      <c r="D715" s="11" t="s">
        <v>39</v>
      </c>
      <c r="E715" s="11" t="s">
        <v>19</v>
      </c>
      <c r="F715" s="12">
        <v>44641.0</v>
      </c>
      <c r="G715" s="11" t="s">
        <v>2180</v>
      </c>
      <c r="H715" s="11" t="s">
        <v>2181</v>
      </c>
      <c r="I715" s="11" t="s">
        <v>22</v>
      </c>
      <c r="J715" s="11">
        <v>13928.2801338995</v>
      </c>
      <c r="K715" s="11">
        <v>113.0</v>
      </c>
      <c r="L715" s="11" t="s">
        <v>33</v>
      </c>
      <c r="M715" s="12">
        <v>44657.0</v>
      </c>
      <c r="N715" s="11" t="s">
        <v>57</v>
      </c>
      <c r="O715" s="11" t="s">
        <v>35</v>
      </c>
    </row>
    <row r="716">
      <c r="A716" s="10" t="s">
        <v>2182</v>
      </c>
      <c r="B716" s="11">
        <v>38.0</v>
      </c>
      <c r="C716" s="11" t="s">
        <v>17</v>
      </c>
      <c r="D716" s="11" t="s">
        <v>28</v>
      </c>
      <c r="E716" s="11" t="s">
        <v>47</v>
      </c>
      <c r="F716" s="12">
        <v>44035.0</v>
      </c>
      <c r="G716" s="11" t="s">
        <v>1707</v>
      </c>
      <c r="H716" s="11" t="s">
        <v>2183</v>
      </c>
      <c r="I716" s="11" t="s">
        <v>42</v>
      </c>
      <c r="J716" s="11">
        <v>2744.40891002426</v>
      </c>
      <c r="K716" s="11">
        <v>162.0</v>
      </c>
      <c r="L716" s="11" t="s">
        <v>33</v>
      </c>
      <c r="M716" s="12">
        <v>44052.0</v>
      </c>
      <c r="N716" s="11" t="s">
        <v>34</v>
      </c>
      <c r="O716" s="11" t="s">
        <v>51</v>
      </c>
    </row>
    <row r="717">
      <c r="A717" s="10" t="s">
        <v>2184</v>
      </c>
      <c r="B717" s="11">
        <v>82.0</v>
      </c>
      <c r="C717" s="11" t="s">
        <v>17</v>
      </c>
      <c r="D717" s="11" t="s">
        <v>28</v>
      </c>
      <c r="E717" s="11" t="s">
        <v>29</v>
      </c>
      <c r="F717" s="12">
        <v>45361.0</v>
      </c>
      <c r="G717" s="11" t="s">
        <v>2185</v>
      </c>
      <c r="H717" s="11" t="s">
        <v>2186</v>
      </c>
      <c r="I717" s="11" t="s">
        <v>73</v>
      </c>
      <c r="J717" s="11">
        <v>27512.913169434</v>
      </c>
      <c r="K717" s="11">
        <v>442.0</v>
      </c>
      <c r="L717" s="11" t="s">
        <v>33</v>
      </c>
      <c r="M717" s="12">
        <v>45389.0</v>
      </c>
      <c r="N717" s="11" t="s">
        <v>43</v>
      </c>
      <c r="O717" s="11" t="s">
        <v>25</v>
      </c>
    </row>
    <row r="718">
      <c r="A718" s="10" t="s">
        <v>2187</v>
      </c>
      <c r="B718" s="11">
        <v>71.0</v>
      </c>
      <c r="C718" s="11" t="s">
        <v>17</v>
      </c>
      <c r="D718" s="11" t="s">
        <v>39</v>
      </c>
      <c r="E718" s="11" t="s">
        <v>109</v>
      </c>
      <c r="F718" s="12">
        <v>43905.0</v>
      </c>
      <c r="G718" s="11" t="s">
        <v>2188</v>
      </c>
      <c r="H718" s="11" t="s">
        <v>2189</v>
      </c>
      <c r="I718" s="11" t="s">
        <v>22</v>
      </c>
      <c r="J718" s="11">
        <v>35854.0864225209</v>
      </c>
      <c r="K718" s="11">
        <v>172.0</v>
      </c>
      <c r="L718" s="11" t="s">
        <v>23</v>
      </c>
      <c r="M718" s="12">
        <v>43919.0</v>
      </c>
      <c r="N718" s="11" t="s">
        <v>91</v>
      </c>
      <c r="O718" s="11" t="s">
        <v>51</v>
      </c>
    </row>
    <row r="719">
      <c r="A719" s="10" t="s">
        <v>2190</v>
      </c>
      <c r="B719" s="11">
        <v>42.0</v>
      </c>
      <c r="C719" s="11" t="s">
        <v>17</v>
      </c>
      <c r="D719" s="11" t="s">
        <v>28</v>
      </c>
      <c r="E719" s="11" t="s">
        <v>47</v>
      </c>
      <c r="F719" s="12">
        <v>44326.0</v>
      </c>
      <c r="G719" s="11" t="s">
        <v>2191</v>
      </c>
      <c r="H719" s="11" t="s">
        <v>2192</v>
      </c>
      <c r="I719" s="11" t="s">
        <v>73</v>
      </c>
      <c r="J719" s="11">
        <v>2784.02053102635</v>
      </c>
      <c r="K719" s="11">
        <v>241.0</v>
      </c>
      <c r="L719" s="11" t="s">
        <v>23</v>
      </c>
      <c r="M719" s="12">
        <v>44332.0</v>
      </c>
      <c r="N719" s="11" t="s">
        <v>57</v>
      </c>
      <c r="O719" s="11" t="s">
        <v>51</v>
      </c>
    </row>
    <row r="720">
      <c r="A720" s="10" t="s">
        <v>2193</v>
      </c>
      <c r="B720" s="11">
        <v>38.0</v>
      </c>
      <c r="C720" s="11" t="s">
        <v>38</v>
      </c>
      <c r="D720" s="11" t="s">
        <v>46</v>
      </c>
      <c r="E720" s="11" t="s">
        <v>47</v>
      </c>
      <c r="F720" s="12">
        <v>44194.0</v>
      </c>
      <c r="G720" s="11" t="s">
        <v>2194</v>
      </c>
      <c r="H720" s="11" t="s">
        <v>2195</v>
      </c>
      <c r="I720" s="11" t="s">
        <v>63</v>
      </c>
      <c r="J720" s="11">
        <v>2547.91253142387</v>
      </c>
      <c r="K720" s="11">
        <v>322.0</v>
      </c>
      <c r="L720" s="11" t="s">
        <v>50</v>
      </c>
      <c r="M720" s="12">
        <v>44203.0</v>
      </c>
      <c r="N720" s="11" t="s">
        <v>57</v>
      </c>
      <c r="O720" s="11" t="s">
        <v>35</v>
      </c>
    </row>
    <row r="721">
      <c r="A721" s="10" t="s">
        <v>2196</v>
      </c>
      <c r="B721" s="11">
        <v>84.0</v>
      </c>
      <c r="C721" s="11" t="s">
        <v>17</v>
      </c>
      <c r="D721" s="11" t="s">
        <v>18</v>
      </c>
      <c r="E721" s="11" t="s">
        <v>109</v>
      </c>
      <c r="F721" s="12">
        <v>43913.0</v>
      </c>
      <c r="G721" s="11" t="s">
        <v>2197</v>
      </c>
      <c r="H721" s="11" t="s">
        <v>2198</v>
      </c>
      <c r="I721" s="11" t="s">
        <v>42</v>
      </c>
      <c r="J721" s="11">
        <v>29992.5361643446</v>
      </c>
      <c r="K721" s="11">
        <v>456.0</v>
      </c>
      <c r="L721" s="11" t="s">
        <v>23</v>
      </c>
      <c r="M721" s="12">
        <v>43919.0</v>
      </c>
      <c r="N721" s="11" t="s">
        <v>43</v>
      </c>
      <c r="O721" s="11" t="s">
        <v>25</v>
      </c>
    </row>
    <row r="722">
      <c r="A722" s="10" t="s">
        <v>2199</v>
      </c>
      <c r="B722" s="11">
        <v>64.0</v>
      </c>
      <c r="C722" s="11" t="s">
        <v>38</v>
      </c>
      <c r="D722" s="11" t="s">
        <v>141</v>
      </c>
      <c r="E722" s="11" t="s">
        <v>88</v>
      </c>
      <c r="F722" s="12">
        <v>45120.0</v>
      </c>
      <c r="G722" s="11" t="s">
        <v>2200</v>
      </c>
      <c r="H722" s="11" t="s">
        <v>2201</v>
      </c>
      <c r="I722" s="11" t="s">
        <v>42</v>
      </c>
      <c r="J722" s="11">
        <v>4018.01687632</v>
      </c>
      <c r="K722" s="11">
        <v>415.0</v>
      </c>
      <c r="L722" s="11" t="s">
        <v>33</v>
      </c>
      <c r="M722" s="12">
        <v>45132.0</v>
      </c>
      <c r="N722" s="11" t="s">
        <v>34</v>
      </c>
      <c r="O722" s="11" t="s">
        <v>51</v>
      </c>
    </row>
    <row r="723">
      <c r="A723" s="10" t="s">
        <v>2202</v>
      </c>
      <c r="B723" s="11">
        <v>57.0</v>
      </c>
      <c r="C723" s="11" t="s">
        <v>38</v>
      </c>
      <c r="D723" s="11" t="s">
        <v>66</v>
      </c>
      <c r="E723" s="11" t="s">
        <v>60</v>
      </c>
      <c r="F723" s="12">
        <v>45127.0</v>
      </c>
      <c r="G723" s="11" t="s">
        <v>2203</v>
      </c>
      <c r="H723" s="11" t="s">
        <v>2204</v>
      </c>
      <c r="I723" s="11" t="s">
        <v>42</v>
      </c>
      <c r="J723" s="11">
        <v>20508.5889565944</v>
      </c>
      <c r="K723" s="11">
        <v>261.0</v>
      </c>
      <c r="L723" s="11" t="s">
        <v>23</v>
      </c>
      <c r="M723" s="12">
        <v>45140.0</v>
      </c>
      <c r="N723" s="11" t="s">
        <v>34</v>
      </c>
      <c r="O723" s="11" t="s">
        <v>35</v>
      </c>
    </row>
    <row r="724">
      <c r="A724" s="10" t="s">
        <v>2205</v>
      </c>
      <c r="B724" s="11">
        <v>54.0</v>
      </c>
      <c r="C724" s="11" t="s">
        <v>17</v>
      </c>
      <c r="D724" s="11" t="s">
        <v>119</v>
      </c>
      <c r="E724" s="11" t="s">
        <v>47</v>
      </c>
      <c r="F724" s="12">
        <v>43875.0</v>
      </c>
      <c r="G724" s="11" t="s">
        <v>2206</v>
      </c>
      <c r="H724" s="11" t="s">
        <v>2207</v>
      </c>
      <c r="I724" s="11" t="s">
        <v>22</v>
      </c>
      <c r="J724" s="11">
        <v>25648.0437636094</v>
      </c>
      <c r="K724" s="11">
        <v>424.0</v>
      </c>
      <c r="L724" s="11" t="s">
        <v>23</v>
      </c>
      <c r="M724" s="12">
        <v>43891.0</v>
      </c>
      <c r="N724" s="11" t="s">
        <v>24</v>
      </c>
      <c r="O724" s="11" t="s">
        <v>25</v>
      </c>
    </row>
    <row r="725">
      <c r="A725" s="10" t="s">
        <v>2208</v>
      </c>
      <c r="B725" s="11">
        <v>44.0</v>
      </c>
      <c r="C725" s="11" t="s">
        <v>17</v>
      </c>
      <c r="D725" s="11" t="s">
        <v>18</v>
      </c>
      <c r="E725" s="11" t="s">
        <v>109</v>
      </c>
      <c r="F725" s="12">
        <v>45074.0</v>
      </c>
      <c r="G725" s="11" t="s">
        <v>2209</v>
      </c>
      <c r="H725" s="11" t="s">
        <v>2210</v>
      </c>
      <c r="I725" s="11" t="s">
        <v>22</v>
      </c>
      <c r="J725" s="11">
        <v>19691.4206855172</v>
      </c>
      <c r="K725" s="11">
        <v>264.0</v>
      </c>
      <c r="L725" s="11" t="s">
        <v>50</v>
      </c>
      <c r="M725" s="12">
        <v>45099.0</v>
      </c>
      <c r="N725" s="11" t="s">
        <v>43</v>
      </c>
      <c r="O725" s="11" t="s">
        <v>35</v>
      </c>
    </row>
    <row r="726">
      <c r="A726" s="10" t="s">
        <v>2211</v>
      </c>
      <c r="B726" s="11">
        <v>78.0</v>
      </c>
      <c r="C726" s="11" t="s">
        <v>38</v>
      </c>
      <c r="D726" s="11" t="s">
        <v>18</v>
      </c>
      <c r="E726" s="11" t="s">
        <v>19</v>
      </c>
      <c r="F726" s="12">
        <v>44724.0</v>
      </c>
      <c r="G726" s="11" t="s">
        <v>2212</v>
      </c>
      <c r="H726" s="11" t="s">
        <v>2213</v>
      </c>
      <c r="I726" s="11" t="s">
        <v>73</v>
      </c>
      <c r="J726" s="11">
        <v>10311.9361727306</v>
      </c>
      <c r="K726" s="11">
        <v>211.0</v>
      </c>
      <c r="L726" s="11" t="s">
        <v>23</v>
      </c>
      <c r="M726" s="12">
        <v>44739.0</v>
      </c>
      <c r="N726" s="11" t="s">
        <v>57</v>
      </c>
      <c r="O726" s="11" t="s">
        <v>35</v>
      </c>
    </row>
    <row r="727">
      <c r="A727" s="10" t="s">
        <v>2214</v>
      </c>
      <c r="B727" s="11">
        <v>63.0</v>
      </c>
      <c r="C727" s="11" t="s">
        <v>38</v>
      </c>
      <c r="D727" s="11" t="s">
        <v>28</v>
      </c>
      <c r="E727" s="11" t="s">
        <v>19</v>
      </c>
      <c r="F727" s="12">
        <v>45272.0</v>
      </c>
      <c r="G727" s="11" t="s">
        <v>2215</v>
      </c>
      <c r="H727" s="11" t="s">
        <v>2216</v>
      </c>
      <c r="I727" s="11" t="s">
        <v>32</v>
      </c>
      <c r="J727" s="11">
        <v>17733.9549923549</v>
      </c>
      <c r="K727" s="11">
        <v>114.0</v>
      </c>
      <c r="L727" s="11" t="s">
        <v>50</v>
      </c>
      <c r="M727" s="12">
        <v>45273.0</v>
      </c>
      <c r="N727" s="11" t="s">
        <v>91</v>
      </c>
      <c r="O727" s="11" t="s">
        <v>25</v>
      </c>
    </row>
    <row r="728">
      <c r="A728" s="10" t="s">
        <v>2217</v>
      </c>
      <c r="B728" s="11">
        <v>66.0</v>
      </c>
      <c r="C728" s="11" t="s">
        <v>38</v>
      </c>
      <c r="D728" s="11" t="s">
        <v>18</v>
      </c>
      <c r="E728" s="11" t="s">
        <v>88</v>
      </c>
      <c r="F728" s="12">
        <v>45236.0</v>
      </c>
      <c r="G728" s="11" t="s">
        <v>2218</v>
      </c>
      <c r="H728" s="11" t="s">
        <v>2219</v>
      </c>
      <c r="I728" s="11" t="s">
        <v>73</v>
      </c>
      <c r="J728" s="11">
        <v>10521.4719302488</v>
      </c>
      <c r="K728" s="11">
        <v>288.0</v>
      </c>
      <c r="L728" s="11" t="s">
        <v>33</v>
      </c>
      <c r="M728" s="12">
        <v>45242.0</v>
      </c>
      <c r="N728" s="11" t="s">
        <v>91</v>
      </c>
      <c r="O728" s="11" t="s">
        <v>35</v>
      </c>
    </row>
    <row r="729">
      <c r="A729" s="10" t="s">
        <v>2220</v>
      </c>
      <c r="B729" s="11">
        <v>75.0</v>
      </c>
      <c r="C729" s="11" t="s">
        <v>17</v>
      </c>
      <c r="D729" s="11" t="s">
        <v>66</v>
      </c>
      <c r="E729" s="11" t="s">
        <v>109</v>
      </c>
      <c r="F729" s="12">
        <v>45062.0</v>
      </c>
      <c r="G729" s="11" t="s">
        <v>2221</v>
      </c>
      <c r="H729" s="11" t="s">
        <v>2222</v>
      </c>
      <c r="I729" s="11" t="s">
        <v>22</v>
      </c>
      <c r="J729" s="11">
        <v>29910.9055003074</v>
      </c>
      <c r="K729" s="11">
        <v>400.0</v>
      </c>
      <c r="L729" s="11" t="s">
        <v>50</v>
      </c>
      <c r="M729" s="12">
        <v>45076.0</v>
      </c>
      <c r="N729" s="11" t="s">
        <v>57</v>
      </c>
      <c r="O729" s="11" t="s">
        <v>51</v>
      </c>
    </row>
    <row r="730">
      <c r="A730" s="10" t="s">
        <v>2223</v>
      </c>
      <c r="B730" s="11">
        <v>36.0</v>
      </c>
      <c r="C730" s="11" t="s">
        <v>17</v>
      </c>
      <c r="D730" s="11" t="s">
        <v>141</v>
      </c>
      <c r="E730" s="11" t="s">
        <v>47</v>
      </c>
      <c r="F730" s="12">
        <v>44846.0</v>
      </c>
      <c r="G730" s="11" t="s">
        <v>2224</v>
      </c>
      <c r="H730" s="11" t="s">
        <v>2225</v>
      </c>
      <c r="I730" s="11" t="s">
        <v>73</v>
      </c>
      <c r="J730" s="11">
        <v>26612.0084503878</v>
      </c>
      <c r="K730" s="11">
        <v>377.0</v>
      </c>
      <c r="L730" s="11" t="s">
        <v>50</v>
      </c>
      <c r="M730" s="12">
        <v>44848.0</v>
      </c>
      <c r="N730" s="11" t="s">
        <v>43</v>
      </c>
      <c r="O730" s="11" t="s">
        <v>25</v>
      </c>
    </row>
    <row r="731">
      <c r="A731" s="10" t="s">
        <v>2226</v>
      </c>
      <c r="B731" s="11">
        <v>18.0</v>
      </c>
      <c r="C731" s="11" t="s">
        <v>38</v>
      </c>
      <c r="D731" s="11" t="s">
        <v>54</v>
      </c>
      <c r="E731" s="11" t="s">
        <v>47</v>
      </c>
      <c r="F731" s="12">
        <v>45290.0</v>
      </c>
      <c r="G731" s="11" t="s">
        <v>2227</v>
      </c>
      <c r="H731" s="11" t="s">
        <v>2228</v>
      </c>
      <c r="I731" s="11" t="s">
        <v>42</v>
      </c>
      <c r="J731" s="11">
        <v>25858.4375209627</v>
      </c>
      <c r="K731" s="11">
        <v>324.0</v>
      </c>
      <c r="L731" s="11" t="s">
        <v>50</v>
      </c>
      <c r="M731" s="12">
        <v>45305.0</v>
      </c>
      <c r="N731" s="11" t="s">
        <v>57</v>
      </c>
      <c r="O731" s="11" t="s">
        <v>25</v>
      </c>
    </row>
    <row r="732">
      <c r="A732" s="10" t="s">
        <v>2229</v>
      </c>
      <c r="B732" s="11">
        <v>49.0</v>
      </c>
      <c r="C732" s="11" t="s">
        <v>17</v>
      </c>
      <c r="D732" s="11" t="s">
        <v>119</v>
      </c>
      <c r="E732" s="11" t="s">
        <v>88</v>
      </c>
      <c r="F732" s="12">
        <v>45348.0</v>
      </c>
      <c r="G732" s="11" t="s">
        <v>2230</v>
      </c>
      <c r="H732" s="11" t="s">
        <v>2231</v>
      </c>
      <c r="I732" s="11" t="s">
        <v>42</v>
      </c>
      <c r="J732" s="11">
        <v>22069.5965676412</v>
      </c>
      <c r="K732" s="11">
        <v>142.0</v>
      </c>
      <c r="L732" s="11" t="s">
        <v>50</v>
      </c>
      <c r="M732" s="12">
        <v>45360.0</v>
      </c>
      <c r="N732" s="11" t="s">
        <v>24</v>
      </c>
      <c r="O732" s="11" t="s">
        <v>25</v>
      </c>
    </row>
    <row r="733">
      <c r="A733" s="10" t="s">
        <v>2232</v>
      </c>
      <c r="B733" s="11">
        <v>22.0</v>
      </c>
      <c r="C733" s="11" t="s">
        <v>38</v>
      </c>
      <c r="D733" s="11" t="s">
        <v>119</v>
      </c>
      <c r="E733" s="11" t="s">
        <v>60</v>
      </c>
      <c r="F733" s="12">
        <v>44507.0</v>
      </c>
      <c r="G733" s="11" t="s">
        <v>2233</v>
      </c>
      <c r="H733" s="11" t="s">
        <v>2234</v>
      </c>
      <c r="I733" s="11" t="s">
        <v>73</v>
      </c>
      <c r="J733" s="11">
        <v>43117.6584824169</v>
      </c>
      <c r="K733" s="11">
        <v>458.0</v>
      </c>
      <c r="L733" s="11" t="s">
        <v>33</v>
      </c>
      <c r="M733" s="12">
        <v>44526.0</v>
      </c>
      <c r="N733" s="11" t="s">
        <v>57</v>
      </c>
      <c r="O733" s="11" t="s">
        <v>51</v>
      </c>
    </row>
    <row r="734">
      <c r="A734" s="10" t="s">
        <v>2235</v>
      </c>
      <c r="B734" s="11">
        <v>72.0</v>
      </c>
      <c r="C734" s="11" t="s">
        <v>38</v>
      </c>
      <c r="D734" s="11" t="s">
        <v>119</v>
      </c>
      <c r="E734" s="11" t="s">
        <v>88</v>
      </c>
      <c r="F734" s="12">
        <v>43864.0</v>
      </c>
      <c r="G734" s="11" t="s">
        <v>2236</v>
      </c>
      <c r="H734" s="11" t="s">
        <v>2237</v>
      </c>
      <c r="I734" s="11" t="s">
        <v>73</v>
      </c>
      <c r="J734" s="11">
        <v>3718.54817037328</v>
      </c>
      <c r="K734" s="11">
        <v>304.0</v>
      </c>
      <c r="L734" s="11" t="s">
        <v>23</v>
      </c>
      <c r="M734" s="12">
        <v>43865.0</v>
      </c>
      <c r="N734" s="11" t="s">
        <v>43</v>
      </c>
      <c r="O734" s="11" t="s">
        <v>25</v>
      </c>
    </row>
    <row r="735">
      <c r="A735" s="10" t="s">
        <v>2238</v>
      </c>
      <c r="B735" s="11">
        <v>46.0</v>
      </c>
      <c r="C735" s="11" t="s">
        <v>38</v>
      </c>
      <c r="D735" s="11" t="s">
        <v>119</v>
      </c>
      <c r="E735" s="11" t="s">
        <v>109</v>
      </c>
      <c r="F735" s="12">
        <v>43651.0</v>
      </c>
      <c r="G735" s="11" t="s">
        <v>2239</v>
      </c>
      <c r="H735" s="11" t="s">
        <v>2240</v>
      </c>
      <c r="I735" s="11" t="s">
        <v>22</v>
      </c>
      <c r="J735" s="11">
        <v>18788.1442337998</v>
      </c>
      <c r="K735" s="11">
        <v>267.0</v>
      </c>
      <c r="L735" s="11" t="s">
        <v>33</v>
      </c>
      <c r="M735" s="12">
        <v>43666.0</v>
      </c>
      <c r="N735" s="11" t="s">
        <v>91</v>
      </c>
      <c r="O735" s="11" t="s">
        <v>35</v>
      </c>
    </row>
    <row r="736">
      <c r="A736" s="10" t="s">
        <v>2241</v>
      </c>
      <c r="B736" s="11">
        <v>50.0</v>
      </c>
      <c r="C736" s="11" t="s">
        <v>17</v>
      </c>
      <c r="D736" s="11" t="s">
        <v>141</v>
      </c>
      <c r="E736" s="11" t="s">
        <v>60</v>
      </c>
      <c r="F736" s="12">
        <v>44513.0</v>
      </c>
      <c r="G736" s="11" t="s">
        <v>2242</v>
      </c>
      <c r="H736" s="11" t="s">
        <v>2243</v>
      </c>
      <c r="I736" s="11" t="s">
        <v>73</v>
      </c>
      <c r="J736" s="11">
        <v>39089.8660613446</v>
      </c>
      <c r="K736" s="11">
        <v>466.0</v>
      </c>
      <c r="L736" s="11" t="s">
        <v>23</v>
      </c>
      <c r="M736" s="12">
        <v>44523.0</v>
      </c>
      <c r="N736" s="11" t="s">
        <v>57</v>
      </c>
      <c r="O736" s="11" t="s">
        <v>51</v>
      </c>
    </row>
    <row r="737">
      <c r="A737" s="10" t="s">
        <v>2244</v>
      </c>
      <c r="B737" s="11">
        <v>61.0</v>
      </c>
      <c r="C737" s="11" t="s">
        <v>17</v>
      </c>
      <c r="D737" s="11" t="s">
        <v>119</v>
      </c>
      <c r="E737" s="11" t="s">
        <v>47</v>
      </c>
      <c r="F737" s="12">
        <v>43692.0</v>
      </c>
      <c r="G737" s="11" t="s">
        <v>2245</v>
      </c>
      <c r="H737" s="11" t="s">
        <v>2246</v>
      </c>
      <c r="I737" s="11" t="s">
        <v>22</v>
      </c>
      <c r="J737" s="11">
        <v>47594.4748424077</v>
      </c>
      <c r="K737" s="11">
        <v>145.0</v>
      </c>
      <c r="L737" s="11" t="s">
        <v>50</v>
      </c>
      <c r="M737" s="12">
        <v>43717.0</v>
      </c>
      <c r="N737" s="11" t="s">
        <v>24</v>
      </c>
      <c r="O737" s="11" t="s">
        <v>51</v>
      </c>
    </row>
    <row r="738">
      <c r="A738" s="10" t="s">
        <v>2247</v>
      </c>
      <c r="B738" s="11">
        <v>40.0</v>
      </c>
      <c r="C738" s="11" t="s">
        <v>17</v>
      </c>
      <c r="D738" s="11" t="s">
        <v>46</v>
      </c>
      <c r="E738" s="11" t="s">
        <v>60</v>
      </c>
      <c r="F738" s="12">
        <v>45126.0</v>
      </c>
      <c r="G738" s="11" t="s">
        <v>2248</v>
      </c>
      <c r="H738" s="11" t="s">
        <v>2249</v>
      </c>
      <c r="I738" s="11" t="s">
        <v>42</v>
      </c>
      <c r="J738" s="11">
        <v>19261.5108498331</v>
      </c>
      <c r="K738" s="11">
        <v>203.0</v>
      </c>
      <c r="L738" s="11" t="s">
        <v>33</v>
      </c>
      <c r="M738" s="12">
        <v>45152.0</v>
      </c>
      <c r="N738" s="11" t="s">
        <v>24</v>
      </c>
      <c r="O738" s="11" t="s">
        <v>25</v>
      </c>
    </row>
    <row r="739">
      <c r="A739" s="10" t="s">
        <v>2250</v>
      </c>
      <c r="B739" s="11">
        <v>34.0</v>
      </c>
      <c r="C739" s="11" t="s">
        <v>17</v>
      </c>
      <c r="D739" s="11" t="s">
        <v>39</v>
      </c>
      <c r="E739" s="11" t="s">
        <v>47</v>
      </c>
      <c r="F739" s="12">
        <v>45022.0</v>
      </c>
      <c r="G739" s="11" t="s">
        <v>2251</v>
      </c>
      <c r="H739" s="11" t="s">
        <v>2252</v>
      </c>
      <c r="I739" s="11" t="s">
        <v>32</v>
      </c>
      <c r="J739" s="11">
        <v>6578.02905753608</v>
      </c>
      <c r="K739" s="11">
        <v>162.0</v>
      </c>
      <c r="L739" s="11" t="s">
        <v>33</v>
      </c>
      <c r="M739" s="12">
        <v>45052.0</v>
      </c>
      <c r="N739" s="11" t="s">
        <v>34</v>
      </c>
      <c r="O739" s="11" t="s">
        <v>35</v>
      </c>
    </row>
    <row r="740">
      <c r="A740" s="10" t="s">
        <v>2253</v>
      </c>
      <c r="B740" s="11">
        <v>71.0</v>
      </c>
      <c r="C740" s="11" t="s">
        <v>38</v>
      </c>
      <c r="D740" s="11" t="s">
        <v>54</v>
      </c>
      <c r="E740" s="11" t="s">
        <v>109</v>
      </c>
      <c r="F740" s="12">
        <v>43746.0</v>
      </c>
      <c r="G740" s="11" t="s">
        <v>2254</v>
      </c>
      <c r="H740" s="11" t="s">
        <v>2255</v>
      </c>
      <c r="I740" s="11" t="s">
        <v>22</v>
      </c>
      <c r="J740" s="11">
        <v>38435.4477567037</v>
      </c>
      <c r="K740" s="11">
        <v>340.0</v>
      </c>
      <c r="L740" s="11" t="s">
        <v>50</v>
      </c>
      <c r="M740" s="12">
        <v>43766.0</v>
      </c>
      <c r="N740" s="11" t="s">
        <v>57</v>
      </c>
      <c r="O740" s="11" t="s">
        <v>51</v>
      </c>
    </row>
    <row r="741">
      <c r="A741" s="10" t="s">
        <v>2256</v>
      </c>
      <c r="B741" s="11">
        <v>61.0</v>
      </c>
      <c r="C741" s="11" t="s">
        <v>17</v>
      </c>
      <c r="D741" s="11" t="s">
        <v>28</v>
      </c>
      <c r="E741" s="11" t="s">
        <v>29</v>
      </c>
      <c r="F741" s="12">
        <v>44053.0</v>
      </c>
      <c r="G741" s="11" t="s">
        <v>2257</v>
      </c>
      <c r="H741" s="11" t="s">
        <v>2258</v>
      </c>
      <c r="I741" s="11" t="s">
        <v>42</v>
      </c>
      <c r="J741" s="11">
        <v>29810.0469179352</v>
      </c>
      <c r="K741" s="11">
        <v>346.0</v>
      </c>
      <c r="L741" s="11" t="s">
        <v>33</v>
      </c>
      <c r="M741" s="12">
        <v>44080.0</v>
      </c>
      <c r="N741" s="11" t="s">
        <v>57</v>
      </c>
      <c r="O741" s="11" t="s">
        <v>25</v>
      </c>
    </row>
    <row r="742">
      <c r="A742" s="10" t="s">
        <v>2259</v>
      </c>
      <c r="B742" s="11">
        <v>24.0</v>
      </c>
      <c r="C742" s="11" t="s">
        <v>17</v>
      </c>
      <c r="D742" s="11" t="s">
        <v>28</v>
      </c>
      <c r="E742" s="11" t="s">
        <v>60</v>
      </c>
      <c r="F742" s="12">
        <v>43734.0</v>
      </c>
      <c r="G742" s="11" t="s">
        <v>2260</v>
      </c>
      <c r="H742" s="11" t="s">
        <v>2261</v>
      </c>
      <c r="I742" s="11" t="s">
        <v>22</v>
      </c>
      <c r="J742" s="11">
        <v>4808.82031154897</v>
      </c>
      <c r="K742" s="11">
        <v>415.0</v>
      </c>
      <c r="L742" s="11" t="s">
        <v>33</v>
      </c>
      <c r="M742" s="12">
        <v>43752.0</v>
      </c>
      <c r="N742" s="11" t="s">
        <v>34</v>
      </c>
      <c r="O742" s="11" t="s">
        <v>25</v>
      </c>
    </row>
    <row r="743">
      <c r="A743" s="10" t="s">
        <v>2262</v>
      </c>
      <c r="B743" s="11">
        <v>28.0</v>
      </c>
      <c r="C743" s="11" t="s">
        <v>17</v>
      </c>
      <c r="D743" s="11" t="s">
        <v>46</v>
      </c>
      <c r="E743" s="11" t="s">
        <v>19</v>
      </c>
      <c r="F743" s="12">
        <v>44238.0</v>
      </c>
      <c r="G743" s="11" t="s">
        <v>2263</v>
      </c>
      <c r="H743" s="11" t="s">
        <v>2264</v>
      </c>
      <c r="I743" s="11" t="s">
        <v>73</v>
      </c>
      <c r="J743" s="11">
        <v>38365.8727802285</v>
      </c>
      <c r="K743" s="11">
        <v>183.0</v>
      </c>
      <c r="L743" s="11" t="s">
        <v>23</v>
      </c>
      <c r="M743" s="12">
        <v>44246.0</v>
      </c>
      <c r="N743" s="11" t="s">
        <v>91</v>
      </c>
      <c r="O743" s="11" t="s">
        <v>51</v>
      </c>
    </row>
    <row r="744">
      <c r="A744" s="10" t="s">
        <v>2265</v>
      </c>
      <c r="B744" s="11">
        <v>21.0</v>
      </c>
      <c r="C744" s="11" t="s">
        <v>38</v>
      </c>
      <c r="D744" s="11" t="s">
        <v>46</v>
      </c>
      <c r="E744" s="11" t="s">
        <v>109</v>
      </c>
      <c r="F744" s="12">
        <v>43713.0</v>
      </c>
      <c r="G744" s="11" t="s">
        <v>2266</v>
      </c>
      <c r="H744" s="11" t="s">
        <v>2267</v>
      </c>
      <c r="I744" s="11" t="s">
        <v>22</v>
      </c>
      <c r="J744" s="11">
        <v>45540.0955443213</v>
      </c>
      <c r="K744" s="11">
        <v>394.0</v>
      </c>
      <c r="L744" s="11" t="s">
        <v>50</v>
      </c>
      <c r="M744" s="12">
        <v>43737.0</v>
      </c>
      <c r="N744" s="11" t="s">
        <v>91</v>
      </c>
      <c r="O744" s="11" t="s">
        <v>35</v>
      </c>
    </row>
    <row r="745">
      <c r="A745" s="10" t="s">
        <v>2268</v>
      </c>
      <c r="B745" s="11">
        <v>40.0</v>
      </c>
      <c r="C745" s="11" t="s">
        <v>38</v>
      </c>
      <c r="D745" s="11" t="s">
        <v>119</v>
      </c>
      <c r="E745" s="11" t="s">
        <v>60</v>
      </c>
      <c r="F745" s="12">
        <v>44256.0</v>
      </c>
      <c r="G745" s="11" t="s">
        <v>2269</v>
      </c>
      <c r="H745" s="11" t="s">
        <v>2270</v>
      </c>
      <c r="I745" s="11" t="s">
        <v>73</v>
      </c>
      <c r="J745" s="11">
        <v>31444.0880406221</v>
      </c>
      <c r="K745" s="11">
        <v>124.0</v>
      </c>
      <c r="L745" s="11" t="s">
        <v>23</v>
      </c>
      <c r="M745" s="12">
        <v>44275.0</v>
      </c>
      <c r="N745" s="11" t="s">
        <v>57</v>
      </c>
      <c r="O745" s="11" t="s">
        <v>51</v>
      </c>
    </row>
    <row r="746">
      <c r="A746" s="10" t="s">
        <v>2271</v>
      </c>
      <c r="B746" s="11">
        <v>57.0</v>
      </c>
      <c r="C746" s="11" t="s">
        <v>17</v>
      </c>
      <c r="D746" s="11" t="s">
        <v>39</v>
      </c>
      <c r="E746" s="11" t="s">
        <v>19</v>
      </c>
      <c r="F746" s="12">
        <v>45401.0</v>
      </c>
      <c r="G746" s="11" t="s">
        <v>2272</v>
      </c>
      <c r="H746" s="11" t="s">
        <v>2273</v>
      </c>
      <c r="I746" s="11" t="s">
        <v>32</v>
      </c>
      <c r="J746" s="11">
        <v>37194.2639841502</v>
      </c>
      <c r="K746" s="11">
        <v>278.0</v>
      </c>
      <c r="L746" s="11" t="s">
        <v>23</v>
      </c>
      <c r="M746" s="12">
        <v>45426.0</v>
      </c>
      <c r="N746" s="11" t="s">
        <v>34</v>
      </c>
      <c r="O746" s="11" t="s">
        <v>51</v>
      </c>
    </row>
    <row r="747">
      <c r="A747" s="10" t="s">
        <v>2274</v>
      </c>
      <c r="B747" s="11">
        <v>47.0</v>
      </c>
      <c r="C747" s="11" t="s">
        <v>38</v>
      </c>
      <c r="D747" s="11" t="s">
        <v>54</v>
      </c>
      <c r="E747" s="11" t="s">
        <v>19</v>
      </c>
      <c r="F747" s="12">
        <v>45043.0</v>
      </c>
      <c r="G747" s="11" t="s">
        <v>2275</v>
      </c>
      <c r="H747" s="11" t="s">
        <v>2276</v>
      </c>
      <c r="I747" s="11" t="s">
        <v>22</v>
      </c>
      <c r="J747" s="11">
        <v>12422.7554154748</v>
      </c>
      <c r="K747" s="11">
        <v>355.0</v>
      </c>
      <c r="L747" s="11" t="s">
        <v>50</v>
      </c>
      <c r="M747" s="12">
        <v>45049.0</v>
      </c>
      <c r="N747" s="11" t="s">
        <v>91</v>
      </c>
      <c r="O747" s="11" t="s">
        <v>25</v>
      </c>
    </row>
    <row r="748">
      <c r="A748" s="10" t="s">
        <v>2277</v>
      </c>
      <c r="B748" s="11">
        <v>59.0</v>
      </c>
      <c r="C748" s="11" t="s">
        <v>17</v>
      </c>
      <c r="D748" s="11" t="s">
        <v>46</v>
      </c>
      <c r="E748" s="11" t="s">
        <v>19</v>
      </c>
      <c r="F748" s="12">
        <v>44748.0</v>
      </c>
      <c r="G748" s="11" t="s">
        <v>2278</v>
      </c>
      <c r="H748" s="11" t="s">
        <v>2279</v>
      </c>
      <c r="I748" s="11" t="s">
        <v>42</v>
      </c>
      <c r="J748" s="11">
        <v>8024.4100528891</v>
      </c>
      <c r="K748" s="11">
        <v>451.0</v>
      </c>
      <c r="L748" s="11" t="s">
        <v>50</v>
      </c>
      <c r="M748" s="12">
        <v>44768.0</v>
      </c>
      <c r="N748" s="11" t="s">
        <v>43</v>
      </c>
      <c r="O748" s="11" t="s">
        <v>35</v>
      </c>
    </row>
    <row r="749">
      <c r="A749" s="10" t="s">
        <v>2280</v>
      </c>
      <c r="B749" s="11">
        <v>33.0</v>
      </c>
      <c r="C749" s="11" t="s">
        <v>38</v>
      </c>
      <c r="D749" s="11" t="s">
        <v>141</v>
      </c>
      <c r="E749" s="11" t="s">
        <v>109</v>
      </c>
      <c r="F749" s="12">
        <v>44135.0</v>
      </c>
      <c r="G749" s="11" t="s">
        <v>2281</v>
      </c>
      <c r="H749" s="11" t="s">
        <v>2282</v>
      </c>
      <c r="I749" s="11" t="s">
        <v>22</v>
      </c>
      <c r="J749" s="11">
        <v>13034.075502789</v>
      </c>
      <c r="K749" s="11">
        <v>300.0</v>
      </c>
      <c r="L749" s="11" t="s">
        <v>23</v>
      </c>
      <c r="M749" s="12">
        <v>44153.0</v>
      </c>
      <c r="N749" s="11" t="s">
        <v>57</v>
      </c>
      <c r="O749" s="11" t="s">
        <v>25</v>
      </c>
    </row>
    <row r="750">
      <c r="A750" s="10" t="s">
        <v>2283</v>
      </c>
      <c r="B750" s="11">
        <v>58.0</v>
      </c>
      <c r="C750" s="11" t="s">
        <v>38</v>
      </c>
      <c r="D750" s="11" t="s">
        <v>18</v>
      </c>
      <c r="E750" s="11" t="s">
        <v>19</v>
      </c>
      <c r="F750" s="12">
        <v>45177.0</v>
      </c>
      <c r="G750" s="11" t="s">
        <v>2284</v>
      </c>
      <c r="H750" s="11" t="s">
        <v>2285</v>
      </c>
      <c r="I750" s="11" t="s">
        <v>73</v>
      </c>
      <c r="J750" s="11">
        <v>37903.2900444236</v>
      </c>
      <c r="K750" s="11">
        <v>421.0</v>
      </c>
      <c r="L750" s="11" t="s">
        <v>50</v>
      </c>
      <c r="M750" s="12">
        <v>45191.0</v>
      </c>
      <c r="N750" s="11" t="s">
        <v>91</v>
      </c>
      <c r="O750" s="11" t="s">
        <v>25</v>
      </c>
    </row>
    <row r="751">
      <c r="A751" s="10" t="s">
        <v>2286</v>
      </c>
      <c r="B751" s="11">
        <v>39.0</v>
      </c>
      <c r="C751" s="11" t="s">
        <v>38</v>
      </c>
      <c r="D751" s="11" t="s">
        <v>141</v>
      </c>
      <c r="E751" s="11" t="s">
        <v>19</v>
      </c>
      <c r="F751" s="12">
        <v>44885.0</v>
      </c>
      <c r="G751" s="11" t="s">
        <v>2287</v>
      </c>
      <c r="H751" s="11" t="s">
        <v>2288</v>
      </c>
      <c r="I751" s="11" t="s">
        <v>22</v>
      </c>
      <c r="J751" s="11">
        <v>45913.1659056016</v>
      </c>
      <c r="K751" s="11">
        <v>398.0</v>
      </c>
      <c r="L751" s="11" t="s">
        <v>33</v>
      </c>
      <c r="M751" s="12">
        <v>44914.0</v>
      </c>
      <c r="N751" s="11" t="s">
        <v>24</v>
      </c>
      <c r="O751" s="11" t="s">
        <v>51</v>
      </c>
    </row>
    <row r="752">
      <c r="A752" s="10" t="s">
        <v>2289</v>
      </c>
      <c r="B752" s="11">
        <v>30.0</v>
      </c>
      <c r="C752" s="11" t="s">
        <v>17</v>
      </c>
      <c r="D752" s="11" t="s">
        <v>141</v>
      </c>
      <c r="E752" s="11" t="s">
        <v>109</v>
      </c>
      <c r="F752" s="12">
        <v>44016.0</v>
      </c>
      <c r="G752" s="11" t="s">
        <v>2290</v>
      </c>
      <c r="H752" s="11" t="s">
        <v>2291</v>
      </c>
      <c r="I752" s="11" t="s">
        <v>63</v>
      </c>
      <c r="J752" s="11">
        <v>30468.2633818547</v>
      </c>
      <c r="K752" s="11">
        <v>378.0</v>
      </c>
      <c r="L752" s="11" t="s">
        <v>33</v>
      </c>
      <c r="M752" s="12">
        <v>44045.0</v>
      </c>
      <c r="N752" s="11" t="s">
        <v>91</v>
      </c>
      <c r="O752" s="11" t="s">
        <v>25</v>
      </c>
    </row>
    <row r="753">
      <c r="A753" s="10" t="s">
        <v>816</v>
      </c>
      <c r="B753" s="11">
        <v>27.0</v>
      </c>
      <c r="C753" s="11" t="s">
        <v>17</v>
      </c>
      <c r="D753" s="11" t="s">
        <v>119</v>
      </c>
      <c r="E753" s="11" t="s">
        <v>60</v>
      </c>
      <c r="F753" s="12">
        <v>45101.0</v>
      </c>
      <c r="G753" s="11" t="s">
        <v>2292</v>
      </c>
      <c r="H753" s="11" t="s">
        <v>2293</v>
      </c>
      <c r="I753" s="11" t="s">
        <v>22</v>
      </c>
      <c r="J753" s="11">
        <v>50202.2078478231</v>
      </c>
      <c r="K753" s="11">
        <v>198.0</v>
      </c>
      <c r="L753" s="11" t="s">
        <v>23</v>
      </c>
      <c r="M753" s="12">
        <v>45120.0</v>
      </c>
      <c r="N753" s="11" t="s">
        <v>43</v>
      </c>
      <c r="O753" s="11" t="s">
        <v>51</v>
      </c>
    </row>
    <row r="754">
      <c r="A754" s="10" t="s">
        <v>2294</v>
      </c>
      <c r="B754" s="11">
        <v>39.0</v>
      </c>
      <c r="C754" s="11" t="s">
        <v>38</v>
      </c>
      <c r="D754" s="11" t="s">
        <v>141</v>
      </c>
      <c r="E754" s="11" t="s">
        <v>88</v>
      </c>
      <c r="F754" s="12">
        <v>44110.0</v>
      </c>
      <c r="G754" s="11" t="s">
        <v>2295</v>
      </c>
      <c r="H754" s="11" t="s">
        <v>2296</v>
      </c>
      <c r="I754" s="11" t="s">
        <v>73</v>
      </c>
      <c r="J754" s="11">
        <v>2104.37739631997</v>
      </c>
      <c r="K754" s="11">
        <v>260.0</v>
      </c>
      <c r="L754" s="11" t="s">
        <v>50</v>
      </c>
      <c r="M754" s="12">
        <v>44118.0</v>
      </c>
      <c r="N754" s="11" t="s">
        <v>57</v>
      </c>
      <c r="O754" s="11" t="s">
        <v>25</v>
      </c>
    </row>
    <row r="755">
      <c r="A755" s="10" t="s">
        <v>2297</v>
      </c>
      <c r="B755" s="11">
        <v>76.0</v>
      </c>
      <c r="C755" s="11" t="s">
        <v>38</v>
      </c>
      <c r="D755" s="11" t="s">
        <v>119</v>
      </c>
      <c r="E755" s="11" t="s">
        <v>19</v>
      </c>
      <c r="F755" s="12">
        <v>45001.0</v>
      </c>
      <c r="G755" s="11" t="s">
        <v>2298</v>
      </c>
      <c r="H755" s="11" t="s">
        <v>1752</v>
      </c>
      <c r="I755" s="11" t="s">
        <v>42</v>
      </c>
      <c r="J755" s="11">
        <v>43206.2241110336</v>
      </c>
      <c r="K755" s="11">
        <v>441.0</v>
      </c>
      <c r="L755" s="11" t="s">
        <v>33</v>
      </c>
      <c r="M755" s="12">
        <v>45018.0</v>
      </c>
      <c r="N755" s="11" t="s">
        <v>43</v>
      </c>
      <c r="O755" s="11" t="s">
        <v>35</v>
      </c>
    </row>
    <row r="756">
      <c r="A756" s="10" t="s">
        <v>2299</v>
      </c>
      <c r="B756" s="11">
        <v>62.0</v>
      </c>
      <c r="C756" s="11" t="s">
        <v>17</v>
      </c>
      <c r="D756" s="11" t="s">
        <v>141</v>
      </c>
      <c r="E756" s="11" t="s">
        <v>109</v>
      </c>
      <c r="F756" s="12">
        <v>43724.0</v>
      </c>
      <c r="G756" s="11" t="s">
        <v>2300</v>
      </c>
      <c r="H756" s="11" t="s">
        <v>2258</v>
      </c>
      <c r="I756" s="11" t="s">
        <v>22</v>
      </c>
      <c r="J756" s="11">
        <v>10622.2825437367</v>
      </c>
      <c r="K756" s="11">
        <v>199.0</v>
      </c>
      <c r="L756" s="11" t="s">
        <v>23</v>
      </c>
      <c r="M756" s="12">
        <v>43729.0</v>
      </c>
      <c r="N756" s="11" t="s">
        <v>91</v>
      </c>
      <c r="O756" s="11" t="s">
        <v>51</v>
      </c>
    </row>
    <row r="757">
      <c r="A757" s="10" t="s">
        <v>2301</v>
      </c>
      <c r="B757" s="11">
        <v>71.0</v>
      </c>
      <c r="C757" s="11" t="s">
        <v>17</v>
      </c>
      <c r="D757" s="11" t="s">
        <v>141</v>
      </c>
      <c r="E757" s="11" t="s">
        <v>60</v>
      </c>
      <c r="F757" s="12">
        <v>44296.0</v>
      </c>
      <c r="G757" s="11" t="s">
        <v>2302</v>
      </c>
      <c r="H757" s="11" t="s">
        <v>2303</v>
      </c>
      <c r="I757" s="11" t="s">
        <v>32</v>
      </c>
      <c r="J757" s="11">
        <v>10659.6088129445</v>
      </c>
      <c r="K757" s="11">
        <v>170.0</v>
      </c>
      <c r="L757" s="11" t="s">
        <v>50</v>
      </c>
      <c r="M757" s="12">
        <v>44304.0</v>
      </c>
      <c r="N757" s="11" t="s">
        <v>34</v>
      </c>
      <c r="O757" s="11" t="s">
        <v>51</v>
      </c>
    </row>
    <row r="758">
      <c r="A758" s="10" t="s">
        <v>2304</v>
      </c>
      <c r="B758" s="11">
        <v>67.0</v>
      </c>
      <c r="C758" s="11" t="s">
        <v>17</v>
      </c>
      <c r="D758" s="11" t="s">
        <v>18</v>
      </c>
      <c r="E758" s="11" t="s">
        <v>47</v>
      </c>
      <c r="F758" s="12">
        <v>43667.0</v>
      </c>
      <c r="G758" s="11" t="s">
        <v>2305</v>
      </c>
      <c r="H758" s="11" t="s">
        <v>2306</v>
      </c>
      <c r="I758" s="11" t="s">
        <v>73</v>
      </c>
      <c r="J758" s="11">
        <v>10919.1109526876</v>
      </c>
      <c r="K758" s="11">
        <v>288.0</v>
      </c>
      <c r="L758" s="11" t="s">
        <v>50</v>
      </c>
      <c r="M758" s="12">
        <v>43694.0</v>
      </c>
      <c r="N758" s="11" t="s">
        <v>57</v>
      </c>
      <c r="O758" s="11" t="s">
        <v>25</v>
      </c>
    </row>
    <row r="759">
      <c r="A759" s="10" t="s">
        <v>2307</v>
      </c>
      <c r="B759" s="11">
        <v>34.0</v>
      </c>
      <c r="C759" s="11" t="s">
        <v>38</v>
      </c>
      <c r="D759" s="11" t="s">
        <v>28</v>
      </c>
      <c r="E759" s="11" t="s">
        <v>19</v>
      </c>
      <c r="F759" s="12">
        <v>44544.0</v>
      </c>
      <c r="G759" s="11" t="s">
        <v>2308</v>
      </c>
      <c r="H759" s="11" t="s">
        <v>2309</v>
      </c>
      <c r="I759" s="11" t="s">
        <v>32</v>
      </c>
      <c r="J759" s="11">
        <v>8407.48879202866</v>
      </c>
      <c r="K759" s="11">
        <v>425.0</v>
      </c>
      <c r="L759" s="11" t="s">
        <v>23</v>
      </c>
      <c r="M759" s="12">
        <v>44551.0</v>
      </c>
      <c r="N759" s="11" t="s">
        <v>34</v>
      </c>
      <c r="O759" s="11" t="s">
        <v>51</v>
      </c>
    </row>
    <row r="760">
      <c r="A760" s="10" t="s">
        <v>2310</v>
      </c>
      <c r="B760" s="11">
        <v>31.0</v>
      </c>
      <c r="C760" s="11" t="s">
        <v>17</v>
      </c>
      <c r="D760" s="11" t="s">
        <v>141</v>
      </c>
      <c r="E760" s="11" t="s">
        <v>19</v>
      </c>
      <c r="F760" s="12">
        <v>45188.0</v>
      </c>
      <c r="G760" s="11" t="s">
        <v>2311</v>
      </c>
      <c r="H760" s="11" t="s">
        <v>2312</v>
      </c>
      <c r="I760" s="11" t="s">
        <v>42</v>
      </c>
      <c r="J760" s="11">
        <v>32926.2335403222</v>
      </c>
      <c r="K760" s="11">
        <v>459.0</v>
      </c>
      <c r="L760" s="11" t="s">
        <v>33</v>
      </c>
      <c r="M760" s="12">
        <v>45215.0</v>
      </c>
      <c r="N760" s="11" t="s">
        <v>91</v>
      </c>
      <c r="O760" s="11" t="s">
        <v>35</v>
      </c>
    </row>
    <row r="761">
      <c r="A761" s="10" t="s">
        <v>2313</v>
      </c>
      <c r="B761" s="11">
        <v>25.0</v>
      </c>
      <c r="C761" s="11" t="s">
        <v>17</v>
      </c>
      <c r="D761" s="11" t="s">
        <v>39</v>
      </c>
      <c r="E761" s="11" t="s">
        <v>19</v>
      </c>
      <c r="F761" s="12">
        <v>45318.0</v>
      </c>
      <c r="G761" s="11" t="s">
        <v>2314</v>
      </c>
      <c r="H761" s="11" t="s">
        <v>2315</v>
      </c>
      <c r="I761" s="11" t="s">
        <v>42</v>
      </c>
      <c r="J761" s="11">
        <v>48004.9746787929</v>
      </c>
      <c r="K761" s="11">
        <v>416.0</v>
      </c>
      <c r="L761" s="11" t="s">
        <v>33</v>
      </c>
      <c r="M761" s="12">
        <v>45348.0</v>
      </c>
      <c r="N761" s="11" t="s">
        <v>24</v>
      </c>
      <c r="O761" s="11" t="s">
        <v>25</v>
      </c>
    </row>
    <row r="762">
      <c r="A762" s="10" t="s">
        <v>2316</v>
      </c>
      <c r="B762" s="11">
        <v>33.0</v>
      </c>
      <c r="C762" s="11" t="s">
        <v>38</v>
      </c>
      <c r="D762" s="11" t="s">
        <v>141</v>
      </c>
      <c r="E762" s="11" t="s">
        <v>109</v>
      </c>
      <c r="F762" s="12">
        <v>43924.0</v>
      </c>
      <c r="G762" s="11" t="s">
        <v>2317</v>
      </c>
      <c r="H762" s="11" t="s">
        <v>2318</v>
      </c>
      <c r="I762" s="11" t="s">
        <v>73</v>
      </c>
      <c r="J762" s="11">
        <v>28452.7834879721</v>
      </c>
      <c r="K762" s="11">
        <v>180.0</v>
      </c>
      <c r="L762" s="11" t="s">
        <v>50</v>
      </c>
      <c r="M762" s="12">
        <v>43954.0</v>
      </c>
      <c r="N762" s="11" t="s">
        <v>43</v>
      </c>
      <c r="O762" s="11" t="s">
        <v>35</v>
      </c>
    </row>
    <row r="763">
      <c r="A763" s="10" t="s">
        <v>2319</v>
      </c>
      <c r="B763" s="11">
        <v>61.0</v>
      </c>
      <c r="C763" s="11" t="s">
        <v>38</v>
      </c>
      <c r="D763" s="11" t="s">
        <v>54</v>
      </c>
      <c r="E763" s="11" t="s">
        <v>88</v>
      </c>
      <c r="F763" s="12">
        <v>43937.0</v>
      </c>
      <c r="G763" s="11" t="s">
        <v>2320</v>
      </c>
      <c r="H763" s="11" t="s">
        <v>2321</v>
      </c>
      <c r="I763" s="11" t="s">
        <v>32</v>
      </c>
      <c r="J763" s="11">
        <v>20651.6148391435</v>
      </c>
      <c r="K763" s="11">
        <v>470.0</v>
      </c>
      <c r="L763" s="11" t="s">
        <v>23</v>
      </c>
      <c r="M763" s="12">
        <v>43943.0</v>
      </c>
      <c r="N763" s="11" t="s">
        <v>43</v>
      </c>
      <c r="O763" s="11" t="s">
        <v>51</v>
      </c>
    </row>
    <row r="764">
      <c r="A764" s="10" t="s">
        <v>2322</v>
      </c>
      <c r="B764" s="11">
        <v>42.0</v>
      </c>
      <c r="C764" s="11" t="s">
        <v>38</v>
      </c>
      <c r="D764" s="11" t="s">
        <v>46</v>
      </c>
      <c r="E764" s="11" t="s">
        <v>88</v>
      </c>
      <c r="F764" s="12">
        <v>43700.0</v>
      </c>
      <c r="G764" s="11" t="s">
        <v>2323</v>
      </c>
      <c r="H764" s="11" t="s">
        <v>2324</v>
      </c>
      <c r="I764" s="11" t="s">
        <v>73</v>
      </c>
      <c r="J764" s="11">
        <v>31822.7308529992</v>
      </c>
      <c r="K764" s="11">
        <v>370.0</v>
      </c>
      <c r="L764" s="11" t="s">
        <v>33</v>
      </c>
      <c r="M764" s="12">
        <v>43713.0</v>
      </c>
      <c r="N764" s="11" t="s">
        <v>91</v>
      </c>
      <c r="O764" s="11" t="s">
        <v>51</v>
      </c>
    </row>
    <row r="765">
      <c r="A765" s="10" t="s">
        <v>2325</v>
      </c>
      <c r="B765" s="11">
        <v>44.0</v>
      </c>
      <c r="C765" s="11" t="s">
        <v>17</v>
      </c>
      <c r="D765" s="11" t="s">
        <v>66</v>
      </c>
      <c r="E765" s="11" t="s">
        <v>47</v>
      </c>
      <c r="F765" s="12">
        <v>44378.0</v>
      </c>
      <c r="G765" s="11" t="s">
        <v>2326</v>
      </c>
      <c r="H765" s="11" t="s">
        <v>2327</v>
      </c>
      <c r="I765" s="11" t="s">
        <v>63</v>
      </c>
      <c r="J765" s="11">
        <v>21856.7382546574</v>
      </c>
      <c r="K765" s="11">
        <v>482.0</v>
      </c>
      <c r="L765" s="11" t="s">
        <v>50</v>
      </c>
      <c r="M765" s="12">
        <v>44400.0</v>
      </c>
      <c r="N765" s="11" t="s">
        <v>24</v>
      </c>
      <c r="O765" s="11" t="s">
        <v>35</v>
      </c>
    </row>
    <row r="766">
      <c r="A766" s="10" t="s">
        <v>2328</v>
      </c>
      <c r="B766" s="11">
        <v>18.0</v>
      </c>
      <c r="C766" s="11" t="s">
        <v>38</v>
      </c>
      <c r="D766" s="11" t="s">
        <v>119</v>
      </c>
      <c r="E766" s="11" t="s">
        <v>29</v>
      </c>
      <c r="F766" s="12">
        <v>44794.0</v>
      </c>
      <c r="G766" s="11" t="s">
        <v>1027</v>
      </c>
      <c r="H766" s="11" t="s">
        <v>2329</v>
      </c>
      <c r="I766" s="11" t="s">
        <v>32</v>
      </c>
      <c r="J766" s="11">
        <v>45326.914860092</v>
      </c>
      <c r="K766" s="11">
        <v>260.0</v>
      </c>
      <c r="L766" s="11" t="s">
        <v>33</v>
      </c>
      <c r="M766" s="12">
        <v>44808.0</v>
      </c>
      <c r="N766" s="11" t="s">
        <v>34</v>
      </c>
      <c r="O766" s="11" t="s">
        <v>51</v>
      </c>
    </row>
    <row r="767">
      <c r="A767" s="10" t="s">
        <v>2330</v>
      </c>
      <c r="B767" s="11">
        <v>51.0</v>
      </c>
      <c r="C767" s="11" t="s">
        <v>17</v>
      </c>
      <c r="D767" s="11" t="s">
        <v>39</v>
      </c>
      <c r="E767" s="11" t="s">
        <v>19</v>
      </c>
      <c r="F767" s="12">
        <v>44049.0</v>
      </c>
      <c r="G767" s="11" t="s">
        <v>2331</v>
      </c>
      <c r="H767" s="11" t="s">
        <v>2332</v>
      </c>
      <c r="I767" s="11" t="s">
        <v>63</v>
      </c>
      <c r="J767" s="11">
        <v>25152.2938878587</v>
      </c>
      <c r="K767" s="11">
        <v>103.0</v>
      </c>
      <c r="L767" s="11" t="s">
        <v>33</v>
      </c>
      <c r="M767" s="12">
        <v>44069.0</v>
      </c>
      <c r="N767" s="11" t="s">
        <v>91</v>
      </c>
      <c r="O767" s="11" t="s">
        <v>51</v>
      </c>
    </row>
    <row r="768">
      <c r="A768" s="10" t="s">
        <v>2333</v>
      </c>
      <c r="B768" s="11">
        <v>26.0</v>
      </c>
      <c r="C768" s="11" t="s">
        <v>38</v>
      </c>
      <c r="D768" s="11" t="s">
        <v>54</v>
      </c>
      <c r="E768" s="11" t="s">
        <v>47</v>
      </c>
      <c r="F768" s="12">
        <v>44577.0</v>
      </c>
      <c r="G768" s="11" t="s">
        <v>2334</v>
      </c>
      <c r="H768" s="11" t="s">
        <v>2335</v>
      </c>
      <c r="I768" s="11" t="s">
        <v>73</v>
      </c>
      <c r="J768" s="11">
        <v>37544.8037077419</v>
      </c>
      <c r="K768" s="11">
        <v>430.0</v>
      </c>
      <c r="L768" s="11" t="s">
        <v>50</v>
      </c>
      <c r="M768" s="12">
        <v>44602.0</v>
      </c>
      <c r="N768" s="11" t="s">
        <v>91</v>
      </c>
      <c r="O768" s="11" t="s">
        <v>35</v>
      </c>
    </row>
    <row r="769">
      <c r="A769" s="10" t="s">
        <v>2336</v>
      </c>
      <c r="B769" s="11">
        <v>44.0</v>
      </c>
      <c r="C769" s="11" t="s">
        <v>17</v>
      </c>
      <c r="D769" s="11" t="s">
        <v>141</v>
      </c>
      <c r="E769" s="11" t="s">
        <v>47</v>
      </c>
      <c r="F769" s="12">
        <v>44410.0</v>
      </c>
      <c r="G769" s="11" t="s">
        <v>2337</v>
      </c>
      <c r="H769" s="11" t="s">
        <v>2338</v>
      </c>
      <c r="I769" s="11" t="s">
        <v>63</v>
      </c>
      <c r="J769" s="11">
        <v>35487.512408368</v>
      </c>
      <c r="K769" s="11">
        <v>190.0</v>
      </c>
      <c r="L769" s="11" t="s">
        <v>23</v>
      </c>
      <c r="M769" s="12">
        <v>44412.0</v>
      </c>
      <c r="N769" s="11" t="s">
        <v>57</v>
      </c>
      <c r="O769" s="11" t="s">
        <v>51</v>
      </c>
    </row>
    <row r="770">
      <c r="A770" s="10" t="s">
        <v>2339</v>
      </c>
      <c r="B770" s="11">
        <v>56.0</v>
      </c>
      <c r="C770" s="11" t="s">
        <v>38</v>
      </c>
      <c r="D770" s="11" t="s">
        <v>54</v>
      </c>
      <c r="E770" s="11" t="s">
        <v>29</v>
      </c>
      <c r="F770" s="12">
        <v>43907.0</v>
      </c>
      <c r="G770" s="11" t="s">
        <v>2340</v>
      </c>
      <c r="H770" s="11" t="s">
        <v>2341</v>
      </c>
      <c r="I770" s="11" t="s">
        <v>22</v>
      </c>
      <c r="J770" s="11">
        <v>2076.32553604069</v>
      </c>
      <c r="K770" s="11">
        <v>265.0</v>
      </c>
      <c r="L770" s="11" t="s">
        <v>33</v>
      </c>
      <c r="M770" s="12">
        <v>43934.0</v>
      </c>
      <c r="N770" s="11" t="s">
        <v>43</v>
      </c>
      <c r="O770" s="11" t="s">
        <v>35</v>
      </c>
    </row>
    <row r="771">
      <c r="A771" s="10" t="s">
        <v>2342</v>
      </c>
      <c r="B771" s="11">
        <v>24.0</v>
      </c>
      <c r="C771" s="11" t="s">
        <v>17</v>
      </c>
      <c r="D771" s="11" t="s">
        <v>54</v>
      </c>
      <c r="E771" s="11" t="s">
        <v>29</v>
      </c>
      <c r="F771" s="12">
        <v>44035.0</v>
      </c>
      <c r="G771" s="11" t="s">
        <v>2343</v>
      </c>
      <c r="H771" s="11" t="s">
        <v>2344</v>
      </c>
      <c r="I771" s="11" t="s">
        <v>32</v>
      </c>
      <c r="J771" s="11">
        <v>35312.3014811029</v>
      </c>
      <c r="K771" s="11">
        <v>314.0</v>
      </c>
      <c r="L771" s="11" t="s">
        <v>33</v>
      </c>
      <c r="M771" s="12">
        <v>44046.0</v>
      </c>
      <c r="N771" s="11" t="s">
        <v>57</v>
      </c>
      <c r="O771" s="11" t="s">
        <v>25</v>
      </c>
    </row>
    <row r="772">
      <c r="A772" s="10" t="s">
        <v>2345</v>
      </c>
      <c r="B772" s="11">
        <v>39.0</v>
      </c>
      <c r="C772" s="11" t="s">
        <v>17</v>
      </c>
      <c r="D772" s="11" t="s">
        <v>141</v>
      </c>
      <c r="E772" s="11" t="s">
        <v>88</v>
      </c>
      <c r="F772" s="12">
        <v>44764.0</v>
      </c>
      <c r="G772" s="11" t="s">
        <v>2346</v>
      </c>
      <c r="H772" s="11" t="s">
        <v>2347</v>
      </c>
      <c r="I772" s="11" t="s">
        <v>73</v>
      </c>
      <c r="J772" s="11">
        <v>13869.7885226571</v>
      </c>
      <c r="K772" s="11">
        <v>314.0</v>
      </c>
      <c r="L772" s="11" t="s">
        <v>23</v>
      </c>
      <c r="M772" s="12">
        <v>44766.0</v>
      </c>
      <c r="N772" s="11" t="s">
        <v>43</v>
      </c>
      <c r="O772" s="11" t="s">
        <v>51</v>
      </c>
    </row>
    <row r="773">
      <c r="A773" s="10" t="s">
        <v>1822</v>
      </c>
      <c r="B773" s="11">
        <v>53.0</v>
      </c>
      <c r="C773" s="11" t="s">
        <v>17</v>
      </c>
      <c r="D773" s="11" t="s">
        <v>141</v>
      </c>
      <c r="E773" s="11" t="s">
        <v>88</v>
      </c>
      <c r="F773" s="12">
        <v>44051.0</v>
      </c>
      <c r="G773" s="11" t="s">
        <v>2348</v>
      </c>
      <c r="H773" s="11" t="s">
        <v>2349</v>
      </c>
      <c r="I773" s="11" t="s">
        <v>42</v>
      </c>
      <c r="J773" s="11">
        <v>36107.4031400341</v>
      </c>
      <c r="K773" s="11">
        <v>363.0</v>
      </c>
      <c r="L773" s="11" t="s">
        <v>33</v>
      </c>
      <c r="M773" s="12">
        <v>44064.0</v>
      </c>
      <c r="N773" s="11" t="s">
        <v>34</v>
      </c>
      <c r="O773" s="11" t="s">
        <v>25</v>
      </c>
    </row>
    <row r="774">
      <c r="A774" s="10" t="s">
        <v>2350</v>
      </c>
      <c r="B774" s="11">
        <v>21.0</v>
      </c>
      <c r="C774" s="11" t="s">
        <v>17</v>
      </c>
      <c r="D774" s="11" t="s">
        <v>141</v>
      </c>
      <c r="E774" s="11" t="s">
        <v>60</v>
      </c>
      <c r="F774" s="12">
        <v>45198.0</v>
      </c>
      <c r="G774" s="11" t="s">
        <v>2351</v>
      </c>
      <c r="H774" s="11" t="s">
        <v>2352</v>
      </c>
      <c r="I774" s="11" t="s">
        <v>22</v>
      </c>
      <c r="J774" s="11">
        <v>41208.1675885204</v>
      </c>
      <c r="K774" s="11">
        <v>359.0</v>
      </c>
      <c r="L774" s="11" t="s">
        <v>33</v>
      </c>
      <c r="M774" s="12">
        <v>45205.0</v>
      </c>
      <c r="N774" s="11" t="s">
        <v>24</v>
      </c>
      <c r="O774" s="11" t="s">
        <v>25</v>
      </c>
    </row>
    <row r="775">
      <c r="A775" s="10" t="s">
        <v>2353</v>
      </c>
      <c r="B775" s="11">
        <v>82.0</v>
      </c>
      <c r="C775" s="11" t="s">
        <v>38</v>
      </c>
      <c r="D775" s="11" t="s">
        <v>18</v>
      </c>
      <c r="E775" s="11" t="s">
        <v>19</v>
      </c>
      <c r="F775" s="12">
        <v>44566.0</v>
      </c>
      <c r="G775" s="11" t="s">
        <v>2354</v>
      </c>
      <c r="H775" s="11" t="s">
        <v>2355</v>
      </c>
      <c r="I775" s="11" t="s">
        <v>42</v>
      </c>
      <c r="J775" s="11">
        <v>14292.0657920994</v>
      </c>
      <c r="K775" s="11">
        <v>420.0</v>
      </c>
      <c r="L775" s="11" t="s">
        <v>23</v>
      </c>
      <c r="M775" s="12">
        <v>44569.0</v>
      </c>
      <c r="N775" s="11" t="s">
        <v>34</v>
      </c>
      <c r="O775" s="11" t="s">
        <v>51</v>
      </c>
    </row>
    <row r="776">
      <c r="A776" s="10" t="s">
        <v>2356</v>
      </c>
      <c r="B776" s="11">
        <v>61.0</v>
      </c>
      <c r="C776" s="11" t="s">
        <v>38</v>
      </c>
      <c r="D776" s="11" t="s">
        <v>66</v>
      </c>
      <c r="E776" s="11" t="s">
        <v>19</v>
      </c>
      <c r="F776" s="12">
        <v>44004.0</v>
      </c>
      <c r="G776" s="11" t="s">
        <v>2357</v>
      </c>
      <c r="H776" s="11" t="s">
        <v>2358</v>
      </c>
      <c r="I776" s="11" t="s">
        <v>42</v>
      </c>
      <c r="J776" s="11">
        <v>17722.9610787116</v>
      </c>
      <c r="K776" s="11">
        <v>221.0</v>
      </c>
      <c r="L776" s="11" t="s">
        <v>33</v>
      </c>
      <c r="M776" s="12">
        <v>44032.0</v>
      </c>
      <c r="N776" s="11" t="s">
        <v>34</v>
      </c>
      <c r="O776" s="11" t="s">
        <v>51</v>
      </c>
    </row>
    <row r="777">
      <c r="A777" s="10" t="s">
        <v>2359</v>
      </c>
      <c r="B777" s="11">
        <v>59.0</v>
      </c>
      <c r="C777" s="11" t="s">
        <v>38</v>
      </c>
      <c r="D777" s="11" t="s">
        <v>66</v>
      </c>
      <c r="E777" s="11" t="s">
        <v>29</v>
      </c>
      <c r="F777" s="12">
        <v>43764.0</v>
      </c>
      <c r="G777" s="11" t="s">
        <v>2360</v>
      </c>
      <c r="H777" s="11" t="s">
        <v>2361</v>
      </c>
      <c r="I777" s="11" t="s">
        <v>42</v>
      </c>
      <c r="J777" s="11">
        <v>21125.3219786322</v>
      </c>
      <c r="K777" s="11">
        <v>264.0</v>
      </c>
      <c r="L777" s="11" t="s">
        <v>50</v>
      </c>
      <c r="M777" s="12">
        <v>43767.0</v>
      </c>
      <c r="N777" s="11" t="s">
        <v>91</v>
      </c>
      <c r="O777" s="11" t="s">
        <v>25</v>
      </c>
    </row>
    <row r="778">
      <c r="A778" s="10" t="s">
        <v>2362</v>
      </c>
      <c r="B778" s="11">
        <v>51.0</v>
      </c>
      <c r="C778" s="11" t="s">
        <v>38</v>
      </c>
      <c r="D778" s="11" t="s">
        <v>46</v>
      </c>
      <c r="E778" s="11" t="s">
        <v>109</v>
      </c>
      <c r="F778" s="12">
        <v>45343.0</v>
      </c>
      <c r="G778" s="11" t="s">
        <v>2363</v>
      </c>
      <c r="H778" s="11" t="s">
        <v>2364</v>
      </c>
      <c r="I778" s="11" t="s">
        <v>63</v>
      </c>
      <c r="J778" s="11">
        <v>5164.55385633537</v>
      </c>
      <c r="K778" s="11">
        <v>470.0</v>
      </c>
      <c r="L778" s="11" t="s">
        <v>23</v>
      </c>
      <c r="M778" s="12">
        <v>45370.0</v>
      </c>
      <c r="N778" s="11" t="s">
        <v>24</v>
      </c>
      <c r="O778" s="11" t="s">
        <v>51</v>
      </c>
    </row>
    <row r="779">
      <c r="A779" s="10" t="s">
        <v>2365</v>
      </c>
      <c r="B779" s="11">
        <v>43.0</v>
      </c>
      <c r="C779" s="11" t="s">
        <v>17</v>
      </c>
      <c r="D779" s="11" t="s">
        <v>54</v>
      </c>
      <c r="E779" s="11" t="s">
        <v>88</v>
      </c>
      <c r="F779" s="12">
        <v>44933.0</v>
      </c>
      <c r="G779" s="11" t="s">
        <v>2366</v>
      </c>
      <c r="H779" s="11" t="s">
        <v>2367</v>
      </c>
      <c r="I779" s="11" t="s">
        <v>63</v>
      </c>
      <c r="J779" s="11">
        <v>2162.60729708275</v>
      </c>
      <c r="K779" s="11">
        <v>256.0</v>
      </c>
      <c r="L779" s="11" t="s">
        <v>33</v>
      </c>
      <c r="M779" s="12">
        <v>44934.0</v>
      </c>
      <c r="N779" s="11" t="s">
        <v>34</v>
      </c>
      <c r="O779" s="11" t="s">
        <v>51</v>
      </c>
    </row>
    <row r="780">
      <c r="A780" s="10" t="s">
        <v>2368</v>
      </c>
      <c r="B780" s="11">
        <v>79.0</v>
      </c>
      <c r="C780" s="11" t="s">
        <v>17</v>
      </c>
      <c r="D780" s="11" t="s">
        <v>119</v>
      </c>
      <c r="E780" s="11" t="s">
        <v>19</v>
      </c>
      <c r="F780" s="12">
        <v>45190.0</v>
      </c>
      <c r="G780" s="11" t="s">
        <v>2369</v>
      </c>
      <c r="H780" s="11" t="s">
        <v>2370</v>
      </c>
      <c r="I780" s="11" t="s">
        <v>22</v>
      </c>
      <c r="J780" s="11">
        <v>2675.23060946584</v>
      </c>
      <c r="K780" s="11">
        <v>389.0</v>
      </c>
      <c r="L780" s="11" t="s">
        <v>33</v>
      </c>
      <c r="M780" s="12">
        <v>45200.0</v>
      </c>
      <c r="N780" s="11" t="s">
        <v>57</v>
      </c>
      <c r="O780" s="11" t="s">
        <v>25</v>
      </c>
    </row>
    <row r="781">
      <c r="A781" s="10" t="s">
        <v>2371</v>
      </c>
      <c r="B781" s="11">
        <v>79.0</v>
      </c>
      <c r="C781" s="11" t="s">
        <v>38</v>
      </c>
      <c r="D781" s="11" t="s">
        <v>18</v>
      </c>
      <c r="E781" s="11" t="s">
        <v>109</v>
      </c>
      <c r="F781" s="12">
        <v>44902.0</v>
      </c>
      <c r="G781" s="11" t="s">
        <v>2372</v>
      </c>
      <c r="H781" s="11" t="s">
        <v>2373</v>
      </c>
      <c r="I781" s="11" t="s">
        <v>42</v>
      </c>
      <c r="J781" s="11">
        <v>44918.3237999027</v>
      </c>
      <c r="K781" s="11">
        <v>217.0</v>
      </c>
      <c r="L781" s="11" t="s">
        <v>33</v>
      </c>
      <c r="M781" s="12">
        <v>44916.0</v>
      </c>
      <c r="N781" s="11" t="s">
        <v>91</v>
      </c>
      <c r="O781" s="11" t="s">
        <v>51</v>
      </c>
    </row>
    <row r="782">
      <c r="A782" s="10" t="s">
        <v>2374</v>
      </c>
      <c r="B782" s="11">
        <v>49.0</v>
      </c>
      <c r="C782" s="11" t="s">
        <v>17</v>
      </c>
      <c r="D782" s="11" t="s">
        <v>46</v>
      </c>
      <c r="E782" s="11" t="s">
        <v>29</v>
      </c>
      <c r="F782" s="12">
        <v>44908.0</v>
      </c>
      <c r="G782" s="11" t="s">
        <v>2375</v>
      </c>
      <c r="H782" s="11" t="s">
        <v>2376</v>
      </c>
      <c r="I782" s="11" t="s">
        <v>32</v>
      </c>
      <c r="J782" s="11">
        <v>6327.80102622511</v>
      </c>
      <c r="K782" s="11">
        <v>371.0</v>
      </c>
      <c r="L782" s="11" t="s">
        <v>33</v>
      </c>
      <c r="M782" s="12">
        <v>44923.0</v>
      </c>
      <c r="N782" s="11" t="s">
        <v>43</v>
      </c>
      <c r="O782" s="11" t="s">
        <v>51</v>
      </c>
    </row>
    <row r="783">
      <c r="A783" s="10" t="s">
        <v>2377</v>
      </c>
      <c r="B783" s="11">
        <v>68.0</v>
      </c>
      <c r="C783" s="11" t="s">
        <v>38</v>
      </c>
      <c r="D783" s="11" t="s">
        <v>141</v>
      </c>
      <c r="E783" s="11" t="s">
        <v>88</v>
      </c>
      <c r="F783" s="12">
        <v>44881.0</v>
      </c>
      <c r="G783" s="11" t="s">
        <v>2378</v>
      </c>
      <c r="H783" s="11" t="s">
        <v>2379</v>
      </c>
      <c r="I783" s="11" t="s">
        <v>22</v>
      </c>
      <c r="J783" s="11">
        <v>29526.3215250996</v>
      </c>
      <c r="K783" s="11">
        <v>384.0</v>
      </c>
      <c r="L783" s="11" t="s">
        <v>50</v>
      </c>
      <c r="M783" s="12">
        <v>44886.0</v>
      </c>
      <c r="N783" s="11" t="s">
        <v>43</v>
      </c>
      <c r="O783" s="11" t="s">
        <v>35</v>
      </c>
    </row>
    <row r="784">
      <c r="A784" s="10" t="s">
        <v>2380</v>
      </c>
      <c r="B784" s="11">
        <v>69.0</v>
      </c>
      <c r="C784" s="11" t="s">
        <v>38</v>
      </c>
      <c r="D784" s="11" t="s">
        <v>46</v>
      </c>
      <c r="E784" s="11" t="s">
        <v>60</v>
      </c>
      <c r="F784" s="12">
        <v>43635.0</v>
      </c>
      <c r="G784" s="11" t="s">
        <v>2381</v>
      </c>
      <c r="H784" s="11" t="s">
        <v>2382</v>
      </c>
      <c r="I784" s="11" t="s">
        <v>32</v>
      </c>
      <c r="J784" s="11">
        <v>38989.5337611512</v>
      </c>
      <c r="K784" s="11">
        <v>165.0</v>
      </c>
      <c r="L784" s="11" t="s">
        <v>50</v>
      </c>
      <c r="M784" s="12">
        <v>43663.0</v>
      </c>
      <c r="N784" s="11" t="s">
        <v>57</v>
      </c>
      <c r="O784" s="11" t="s">
        <v>35</v>
      </c>
    </row>
    <row r="785">
      <c r="A785" s="10" t="s">
        <v>2383</v>
      </c>
      <c r="B785" s="11">
        <v>49.0</v>
      </c>
      <c r="C785" s="11" t="s">
        <v>38</v>
      </c>
      <c r="D785" s="11" t="s">
        <v>119</v>
      </c>
      <c r="E785" s="11" t="s">
        <v>29</v>
      </c>
      <c r="F785" s="12">
        <v>44955.0</v>
      </c>
      <c r="G785" s="11" t="s">
        <v>2384</v>
      </c>
      <c r="H785" s="11" t="s">
        <v>2385</v>
      </c>
      <c r="I785" s="11" t="s">
        <v>22</v>
      </c>
      <c r="J785" s="11">
        <v>33395.1036616005</v>
      </c>
      <c r="K785" s="11">
        <v>490.0</v>
      </c>
      <c r="L785" s="11" t="s">
        <v>33</v>
      </c>
      <c r="M785" s="12">
        <v>44975.0</v>
      </c>
      <c r="N785" s="11" t="s">
        <v>34</v>
      </c>
      <c r="O785" s="11" t="s">
        <v>25</v>
      </c>
    </row>
    <row r="786">
      <c r="A786" s="10" t="s">
        <v>2386</v>
      </c>
      <c r="B786" s="11">
        <v>27.0</v>
      </c>
      <c r="C786" s="11" t="s">
        <v>38</v>
      </c>
      <c r="D786" s="11" t="s">
        <v>141</v>
      </c>
      <c r="E786" s="11" t="s">
        <v>19</v>
      </c>
      <c r="F786" s="12">
        <v>45260.0</v>
      </c>
      <c r="G786" s="11" t="s">
        <v>2387</v>
      </c>
      <c r="H786" s="11" t="s">
        <v>2388</v>
      </c>
      <c r="I786" s="11" t="s">
        <v>73</v>
      </c>
      <c r="J786" s="11">
        <v>20258.7803185935</v>
      </c>
      <c r="K786" s="11">
        <v>491.0</v>
      </c>
      <c r="L786" s="11" t="s">
        <v>50</v>
      </c>
      <c r="M786" s="12">
        <v>45272.0</v>
      </c>
      <c r="N786" s="11" t="s">
        <v>24</v>
      </c>
      <c r="O786" s="11" t="s">
        <v>51</v>
      </c>
    </row>
    <row r="787">
      <c r="A787" s="10" t="s">
        <v>2389</v>
      </c>
      <c r="B787" s="11">
        <v>73.0</v>
      </c>
      <c r="C787" s="11" t="s">
        <v>17</v>
      </c>
      <c r="D787" s="11" t="s">
        <v>28</v>
      </c>
      <c r="E787" s="11" t="s">
        <v>29</v>
      </c>
      <c r="F787" s="12">
        <v>44281.0</v>
      </c>
      <c r="G787" s="11" t="s">
        <v>2390</v>
      </c>
      <c r="H787" s="11" t="s">
        <v>2391</v>
      </c>
      <c r="I787" s="11" t="s">
        <v>32</v>
      </c>
      <c r="J787" s="11">
        <v>43050.8313822153</v>
      </c>
      <c r="K787" s="11">
        <v>340.0</v>
      </c>
      <c r="L787" s="11" t="s">
        <v>23</v>
      </c>
      <c r="M787" s="12">
        <v>44306.0</v>
      </c>
      <c r="N787" s="11" t="s">
        <v>57</v>
      </c>
      <c r="O787" s="11" t="s">
        <v>51</v>
      </c>
    </row>
    <row r="788">
      <c r="A788" s="10" t="s">
        <v>2392</v>
      </c>
      <c r="B788" s="11">
        <v>42.0</v>
      </c>
      <c r="C788" s="11" t="s">
        <v>38</v>
      </c>
      <c r="D788" s="11" t="s">
        <v>54</v>
      </c>
      <c r="E788" s="11" t="s">
        <v>47</v>
      </c>
      <c r="F788" s="12">
        <v>44429.0</v>
      </c>
      <c r="G788" s="11" t="s">
        <v>2393</v>
      </c>
      <c r="H788" s="11" t="s">
        <v>2394</v>
      </c>
      <c r="I788" s="11" t="s">
        <v>73</v>
      </c>
      <c r="J788" s="11">
        <v>37284.0497087778</v>
      </c>
      <c r="K788" s="11">
        <v>283.0</v>
      </c>
      <c r="L788" s="11" t="s">
        <v>50</v>
      </c>
      <c r="M788" s="12">
        <v>44442.0</v>
      </c>
      <c r="N788" s="11" t="s">
        <v>24</v>
      </c>
      <c r="O788" s="11" t="s">
        <v>51</v>
      </c>
    </row>
    <row r="789">
      <c r="A789" s="10" t="s">
        <v>1105</v>
      </c>
      <c r="B789" s="11">
        <v>59.0</v>
      </c>
      <c r="C789" s="11" t="s">
        <v>38</v>
      </c>
      <c r="D789" s="11" t="s">
        <v>141</v>
      </c>
      <c r="E789" s="11" t="s">
        <v>19</v>
      </c>
      <c r="F789" s="12">
        <v>45294.0</v>
      </c>
      <c r="G789" s="11" t="s">
        <v>2395</v>
      </c>
      <c r="H789" s="11" t="s">
        <v>2396</v>
      </c>
      <c r="I789" s="11" t="s">
        <v>22</v>
      </c>
      <c r="J789" s="11">
        <v>42434.7768616828</v>
      </c>
      <c r="K789" s="11">
        <v>494.0</v>
      </c>
      <c r="L789" s="11" t="s">
        <v>23</v>
      </c>
      <c r="M789" s="12">
        <v>45316.0</v>
      </c>
      <c r="N789" s="11" t="s">
        <v>91</v>
      </c>
      <c r="O789" s="11" t="s">
        <v>51</v>
      </c>
    </row>
    <row r="790">
      <c r="A790" s="10" t="s">
        <v>2397</v>
      </c>
      <c r="B790" s="11">
        <v>20.0</v>
      </c>
      <c r="C790" s="11" t="s">
        <v>38</v>
      </c>
      <c r="D790" s="11" t="s">
        <v>28</v>
      </c>
      <c r="E790" s="11" t="s">
        <v>88</v>
      </c>
      <c r="F790" s="12">
        <v>45374.0</v>
      </c>
      <c r="G790" s="11" t="s">
        <v>2398</v>
      </c>
      <c r="H790" s="11" t="s">
        <v>2399</v>
      </c>
      <c r="I790" s="11" t="s">
        <v>63</v>
      </c>
      <c r="J790" s="11">
        <v>38570.1264074279</v>
      </c>
      <c r="K790" s="11">
        <v>487.0</v>
      </c>
      <c r="L790" s="11" t="s">
        <v>33</v>
      </c>
      <c r="M790" s="12">
        <v>45403.0</v>
      </c>
      <c r="N790" s="11" t="s">
        <v>57</v>
      </c>
      <c r="O790" s="11" t="s">
        <v>51</v>
      </c>
    </row>
    <row r="791">
      <c r="A791" s="10" t="s">
        <v>2400</v>
      </c>
      <c r="B791" s="11">
        <v>61.0</v>
      </c>
      <c r="C791" s="11" t="s">
        <v>38</v>
      </c>
      <c r="D791" s="11" t="s">
        <v>28</v>
      </c>
      <c r="E791" s="11" t="s">
        <v>19</v>
      </c>
      <c r="F791" s="12">
        <v>44898.0</v>
      </c>
      <c r="G791" s="11" t="s">
        <v>2401</v>
      </c>
      <c r="H791" s="11" t="s">
        <v>2402</v>
      </c>
      <c r="I791" s="11" t="s">
        <v>32</v>
      </c>
      <c r="J791" s="11">
        <v>22108.9719993926</v>
      </c>
      <c r="K791" s="11">
        <v>334.0</v>
      </c>
      <c r="L791" s="11" t="s">
        <v>33</v>
      </c>
      <c r="M791" s="12">
        <v>44905.0</v>
      </c>
      <c r="N791" s="11" t="s">
        <v>24</v>
      </c>
      <c r="O791" s="11" t="s">
        <v>35</v>
      </c>
    </row>
    <row r="792">
      <c r="A792" s="10" t="s">
        <v>2403</v>
      </c>
      <c r="B792" s="11">
        <v>50.0</v>
      </c>
      <c r="C792" s="11" t="s">
        <v>17</v>
      </c>
      <c r="D792" s="11" t="s">
        <v>119</v>
      </c>
      <c r="E792" s="11" t="s">
        <v>60</v>
      </c>
      <c r="F792" s="12">
        <v>44464.0</v>
      </c>
      <c r="G792" s="11" t="s">
        <v>2404</v>
      </c>
      <c r="H792" s="11" t="s">
        <v>2405</v>
      </c>
      <c r="I792" s="11" t="s">
        <v>63</v>
      </c>
      <c r="J792" s="11">
        <v>40783.1503036693</v>
      </c>
      <c r="K792" s="11">
        <v>366.0</v>
      </c>
      <c r="L792" s="11" t="s">
        <v>23</v>
      </c>
      <c r="M792" s="12">
        <v>44492.0</v>
      </c>
      <c r="N792" s="11" t="s">
        <v>57</v>
      </c>
      <c r="O792" s="11" t="s">
        <v>35</v>
      </c>
    </row>
    <row r="793">
      <c r="A793" s="10" t="s">
        <v>2406</v>
      </c>
      <c r="B793" s="11">
        <v>29.0</v>
      </c>
      <c r="C793" s="11" t="s">
        <v>38</v>
      </c>
      <c r="D793" s="11" t="s">
        <v>18</v>
      </c>
      <c r="E793" s="11" t="s">
        <v>60</v>
      </c>
      <c r="F793" s="12">
        <v>44066.0</v>
      </c>
      <c r="G793" s="11" t="s">
        <v>2407</v>
      </c>
      <c r="H793" s="11" t="s">
        <v>2408</v>
      </c>
      <c r="I793" s="11" t="s">
        <v>73</v>
      </c>
      <c r="J793" s="11">
        <v>28296.1834997073</v>
      </c>
      <c r="K793" s="11">
        <v>490.0</v>
      </c>
      <c r="L793" s="11" t="s">
        <v>33</v>
      </c>
      <c r="M793" s="12">
        <v>44069.0</v>
      </c>
      <c r="N793" s="11" t="s">
        <v>34</v>
      </c>
      <c r="O793" s="11" t="s">
        <v>25</v>
      </c>
    </row>
    <row r="794">
      <c r="A794" s="10" t="s">
        <v>2409</v>
      </c>
      <c r="B794" s="11">
        <v>44.0</v>
      </c>
      <c r="C794" s="11" t="s">
        <v>17</v>
      </c>
      <c r="D794" s="11" t="s">
        <v>119</v>
      </c>
      <c r="E794" s="11" t="s">
        <v>60</v>
      </c>
      <c r="F794" s="12">
        <v>44092.0</v>
      </c>
      <c r="G794" s="11" t="s">
        <v>2410</v>
      </c>
      <c r="H794" s="11" t="s">
        <v>2411</v>
      </c>
      <c r="I794" s="11" t="s">
        <v>73</v>
      </c>
      <c r="J794" s="11">
        <v>46950.5832578833</v>
      </c>
      <c r="K794" s="11">
        <v>384.0</v>
      </c>
      <c r="L794" s="11" t="s">
        <v>50</v>
      </c>
      <c r="M794" s="12">
        <v>44120.0</v>
      </c>
      <c r="N794" s="11" t="s">
        <v>57</v>
      </c>
      <c r="O794" s="11" t="s">
        <v>35</v>
      </c>
    </row>
    <row r="795">
      <c r="A795" s="10" t="s">
        <v>273</v>
      </c>
      <c r="B795" s="11">
        <v>37.0</v>
      </c>
      <c r="C795" s="11" t="s">
        <v>38</v>
      </c>
      <c r="D795" s="11" t="s">
        <v>54</v>
      </c>
      <c r="E795" s="11" t="s">
        <v>47</v>
      </c>
      <c r="F795" s="12">
        <v>44774.0</v>
      </c>
      <c r="G795" s="11" t="s">
        <v>2412</v>
      </c>
      <c r="H795" s="11" t="s">
        <v>2413</v>
      </c>
      <c r="I795" s="11" t="s">
        <v>63</v>
      </c>
      <c r="J795" s="11">
        <v>41548.1508258725</v>
      </c>
      <c r="K795" s="11">
        <v>157.0</v>
      </c>
      <c r="L795" s="11" t="s">
        <v>50</v>
      </c>
      <c r="M795" s="12">
        <v>44803.0</v>
      </c>
      <c r="N795" s="11" t="s">
        <v>91</v>
      </c>
      <c r="O795" s="11" t="s">
        <v>35</v>
      </c>
    </row>
    <row r="796">
      <c r="A796" s="10" t="s">
        <v>2414</v>
      </c>
      <c r="B796" s="11">
        <v>79.0</v>
      </c>
      <c r="C796" s="11" t="s">
        <v>38</v>
      </c>
      <c r="D796" s="11" t="s">
        <v>66</v>
      </c>
      <c r="E796" s="11" t="s">
        <v>88</v>
      </c>
      <c r="F796" s="12">
        <v>43841.0</v>
      </c>
      <c r="G796" s="11" t="s">
        <v>2415</v>
      </c>
      <c r="H796" s="11" t="s">
        <v>2416</v>
      </c>
      <c r="I796" s="11" t="s">
        <v>73</v>
      </c>
      <c r="J796" s="11">
        <v>43277.5644936598</v>
      </c>
      <c r="K796" s="11">
        <v>214.0</v>
      </c>
      <c r="L796" s="11" t="s">
        <v>23</v>
      </c>
      <c r="M796" s="12">
        <v>43855.0</v>
      </c>
      <c r="N796" s="11" t="s">
        <v>57</v>
      </c>
      <c r="O796" s="11" t="s">
        <v>35</v>
      </c>
    </row>
    <row r="797">
      <c r="A797" s="10" t="s">
        <v>2417</v>
      </c>
      <c r="B797" s="11">
        <v>18.0</v>
      </c>
      <c r="C797" s="11" t="s">
        <v>17</v>
      </c>
      <c r="D797" s="11" t="s">
        <v>54</v>
      </c>
      <c r="E797" s="11" t="s">
        <v>88</v>
      </c>
      <c r="F797" s="12">
        <v>44120.0</v>
      </c>
      <c r="G797" s="11" t="s">
        <v>2418</v>
      </c>
      <c r="H797" s="11" t="s">
        <v>2419</v>
      </c>
      <c r="I797" s="11" t="s">
        <v>73</v>
      </c>
      <c r="J797" s="11">
        <v>41248.1308378106</v>
      </c>
      <c r="K797" s="11">
        <v>125.0</v>
      </c>
      <c r="L797" s="11" t="s">
        <v>50</v>
      </c>
      <c r="M797" s="12">
        <v>44121.0</v>
      </c>
      <c r="N797" s="11" t="s">
        <v>91</v>
      </c>
      <c r="O797" s="11" t="s">
        <v>51</v>
      </c>
    </row>
    <row r="798">
      <c r="A798" s="10" t="s">
        <v>2420</v>
      </c>
      <c r="B798" s="11">
        <v>25.0</v>
      </c>
      <c r="C798" s="11" t="s">
        <v>38</v>
      </c>
      <c r="D798" s="11" t="s">
        <v>28</v>
      </c>
      <c r="E798" s="11" t="s">
        <v>19</v>
      </c>
      <c r="F798" s="12">
        <v>45411.0</v>
      </c>
      <c r="G798" s="11" t="s">
        <v>2421</v>
      </c>
      <c r="H798" s="11" t="s">
        <v>2422</v>
      </c>
      <c r="I798" s="11" t="s">
        <v>63</v>
      </c>
      <c r="J798" s="11">
        <v>6162.34595947817</v>
      </c>
      <c r="K798" s="11">
        <v>332.0</v>
      </c>
      <c r="L798" s="11" t="s">
        <v>33</v>
      </c>
      <c r="M798" s="12">
        <v>45431.0</v>
      </c>
      <c r="N798" s="11" t="s">
        <v>43</v>
      </c>
      <c r="O798" s="11" t="s">
        <v>35</v>
      </c>
    </row>
    <row r="799">
      <c r="A799" s="10" t="s">
        <v>2423</v>
      </c>
      <c r="B799" s="11">
        <v>64.0</v>
      </c>
      <c r="C799" s="11" t="s">
        <v>38</v>
      </c>
      <c r="D799" s="11" t="s">
        <v>46</v>
      </c>
      <c r="E799" s="11" t="s">
        <v>19</v>
      </c>
      <c r="F799" s="12">
        <v>44747.0</v>
      </c>
      <c r="G799" s="11" t="s">
        <v>2424</v>
      </c>
      <c r="H799" s="11" t="s">
        <v>2425</v>
      </c>
      <c r="I799" s="11" t="s">
        <v>22</v>
      </c>
      <c r="J799" s="11">
        <v>45208.3376944067</v>
      </c>
      <c r="K799" s="11">
        <v>243.0</v>
      </c>
      <c r="L799" s="11" t="s">
        <v>23</v>
      </c>
      <c r="M799" s="12">
        <v>44748.0</v>
      </c>
      <c r="N799" s="11" t="s">
        <v>91</v>
      </c>
      <c r="O799" s="11" t="s">
        <v>51</v>
      </c>
    </row>
    <row r="800">
      <c r="A800" s="10" t="s">
        <v>2426</v>
      </c>
      <c r="B800" s="11">
        <v>23.0</v>
      </c>
      <c r="C800" s="11" t="s">
        <v>17</v>
      </c>
      <c r="D800" s="11" t="s">
        <v>119</v>
      </c>
      <c r="E800" s="11" t="s">
        <v>47</v>
      </c>
      <c r="F800" s="12">
        <v>43704.0</v>
      </c>
      <c r="G800" s="11" t="s">
        <v>2427</v>
      </c>
      <c r="H800" s="11" t="s">
        <v>2428</v>
      </c>
      <c r="I800" s="11" t="s">
        <v>42</v>
      </c>
      <c r="J800" s="11">
        <v>36324.5234754365</v>
      </c>
      <c r="K800" s="11">
        <v>377.0</v>
      </c>
      <c r="L800" s="11" t="s">
        <v>33</v>
      </c>
      <c r="M800" s="12">
        <v>43723.0</v>
      </c>
      <c r="N800" s="11" t="s">
        <v>24</v>
      </c>
      <c r="O800" s="11" t="s">
        <v>25</v>
      </c>
    </row>
    <row r="801">
      <c r="A801" s="10" t="s">
        <v>2429</v>
      </c>
      <c r="B801" s="11">
        <v>57.0</v>
      </c>
      <c r="C801" s="11" t="s">
        <v>17</v>
      </c>
      <c r="D801" s="11" t="s">
        <v>39</v>
      </c>
      <c r="E801" s="11" t="s">
        <v>88</v>
      </c>
      <c r="F801" s="12">
        <v>45361.0</v>
      </c>
      <c r="G801" s="11" t="s">
        <v>2430</v>
      </c>
      <c r="H801" s="11" t="s">
        <v>2431</v>
      </c>
      <c r="I801" s="11" t="s">
        <v>32</v>
      </c>
      <c r="J801" s="11">
        <v>46084.6737689602</v>
      </c>
      <c r="K801" s="11">
        <v>224.0</v>
      </c>
      <c r="L801" s="11" t="s">
        <v>23</v>
      </c>
      <c r="M801" s="12">
        <v>45373.0</v>
      </c>
      <c r="N801" s="11" t="s">
        <v>57</v>
      </c>
      <c r="O801" s="11" t="s">
        <v>51</v>
      </c>
    </row>
    <row r="802">
      <c r="A802" s="10" t="s">
        <v>2432</v>
      </c>
      <c r="B802" s="11">
        <v>49.0</v>
      </c>
      <c r="C802" s="11" t="s">
        <v>38</v>
      </c>
      <c r="D802" s="11" t="s">
        <v>66</v>
      </c>
      <c r="E802" s="11" t="s">
        <v>60</v>
      </c>
      <c r="F802" s="12">
        <v>44973.0</v>
      </c>
      <c r="G802" s="11" t="s">
        <v>2433</v>
      </c>
      <c r="H802" s="11" t="s">
        <v>2434</v>
      </c>
      <c r="I802" s="11" t="s">
        <v>42</v>
      </c>
      <c r="J802" s="11">
        <v>-1018.24537122828</v>
      </c>
      <c r="K802" s="11">
        <v>204.0</v>
      </c>
      <c r="L802" s="11" t="s">
        <v>50</v>
      </c>
      <c r="M802" s="12">
        <v>44994.0</v>
      </c>
      <c r="N802" s="11" t="s">
        <v>57</v>
      </c>
      <c r="O802" s="11" t="s">
        <v>35</v>
      </c>
    </row>
    <row r="803">
      <c r="A803" s="10" t="s">
        <v>2435</v>
      </c>
      <c r="B803" s="11">
        <v>49.0</v>
      </c>
      <c r="C803" s="11" t="s">
        <v>38</v>
      </c>
      <c r="D803" s="11" t="s">
        <v>141</v>
      </c>
      <c r="E803" s="11" t="s">
        <v>47</v>
      </c>
      <c r="F803" s="12">
        <v>45407.0</v>
      </c>
      <c r="G803" s="11" t="s">
        <v>2436</v>
      </c>
      <c r="H803" s="11" t="s">
        <v>2437</v>
      </c>
      <c r="I803" s="11" t="s">
        <v>42</v>
      </c>
      <c r="J803" s="11">
        <v>6657.34714143169</v>
      </c>
      <c r="K803" s="11">
        <v>415.0</v>
      </c>
      <c r="L803" s="11" t="s">
        <v>50</v>
      </c>
      <c r="M803" s="12">
        <v>45426.0</v>
      </c>
      <c r="N803" s="11" t="s">
        <v>57</v>
      </c>
      <c r="O803" s="11" t="s">
        <v>51</v>
      </c>
    </row>
    <row r="804">
      <c r="A804" s="10" t="s">
        <v>2438</v>
      </c>
      <c r="B804" s="11">
        <v>65.0</v>
      </c>
      <c r="C804" s="11" t="s">
        <v>38</v>
      </c>
      <c r="D804" s="11" t="s">
        <v>18</v>
      </c>
      <c r="E804" s="11" t="s">
        <v>60</v>
      </c>
      <c r="F804" s="12">
        <v>45194.0</v>
      </c>
      <c r="G804" s="11" t="s">
        <v>2439</v>
      </c>
      <c r="H804" s="11" t="s">
        <v>2440</v>
      </c>
      <c r="I804" s="11" t="s">
        <v>63</v>
      </c>
      <c r="J804" s="11">
        <v>39357.459739905</v>
      </c>
      <c r="K804" s="11">
        <v>409.0</v>
      </c>
      <c r="L804" s="11" t="s">
        <v>23</v>
      </c>
      <c r="M804" s="12">
        <v>45212.0</v>
      </c>
      <c r="N804" s="11" t="s">
        <v>91</v>
      </c>
      <c r="O804" s="11" t="s">
        <v>25</v>
      </c>
    </row>
    <row r="805">
      <c r="A805" s="10" t="s">
        <v>2441</v>
      </c>
      <c r="B805" s="11">
        <v>59.0</v>
      </c>
      <c r="C805" s="11" t="s">
        <v>38</v>
      </c>
      <c r="D805" s="11" t="s">
        <v>66</v>
      </c>
      <c r="E805" s="11" t="s">
        <v>109</v>
      </c>
      <c r="F805" s="12">
        <v>44816.0</v>
      </c>
      <c r="G805" s="11" t="s">
        <v>2442</v>
      </c>
      <c r="H805" s="11" t="s">
        <v>2443</v>
      </c>
      <c r="I805" s="11" t="s">
        <v>73</v>
      </c>
      <c r="J805" s="11">
        <v>23154.6385012288</v>
      </c>
      <c r="K805" s="11">
        <v>418.0</v>
      </c>
      <c r="L805" s="11" t="s">
        <v>33</v>
      </c>
      <c r="M805" s="12">
        <v>44825.0</v>
      </c>
      <c r="N805" s="11" t="s">
        <v>43</v>
      </c>
      <c r="O805" s="11" t="s">
        <v>25</v>
      </c>
    </row>
    <row r="806">
      <c r="A806" s="10" t="s">
        <v>2444</v>
      </c>
      <c r="B806" s="11">
        <v>82.0</v>
      </c>
      <c r="C806" s="11" t="s">
        <v>17</v>
      </c>
      <c r="D806" s="11" t="s">
        <v>46</v>
      </c>
      <c r="E806" s="11" t="s">
        <v>47</v>
      </c>
      <c r="F806" s="12">
        <v>43646.0</v>
      </c>
      <c r="G806" s="11" t="s">
        <v>2445</v>
      </c>
      <c r="H806" s="11" t="s">
        <v>2446</v>
      </c>
      <c r="I806" s="11" t="s">
        <v>63</v>
      </c>
      <c r="J806" s="11">
        <v>6653.59156049303</v>
      </c>
      <c r="K806" s="11">
        <v>449.0</v>
      </c>
      <c r="L806" s="11" t="s">
        <v>33</v>
      </c>
      <c r="M806" s="12">
        <v>43668.0</v>
      </c>
      <c r="N806" s="11" t="s">
        <v>57</v>
      </c>
      <c r="O806" s="11" t="s">
        <v>25</v>
      </c>
    </row>
    <row r="807">
      <c r="A807" s="10" t="s">
        <v>2447</v>
      </c>
      <c r="B807" s="11">
        <v>31.0</v>
      </c>
      <c r="C807" s="11" t="s">
        <v>17</v>
      </c>
      <c r="D807" s="11" t="s">
        <v>18</v>
      </c>
      <c r="E807" s="11" t="s">
        <v>47</v>
      </c>
      <c r="F807" s="12">
        <v>44969.0</v>
      </c>
      <c r="G807" s="11" t="s">
        <v>2448</v>
      </c>
      <c r="H807" s="11" t="s">
        <v>2449</v>
      </c>
      <c r="I807" s="11" t="s">
        <v>73</v>
      </c>
      <c r="J807" s="11">
        <v>15327.7421595132</v>
      </c>
      <c r="K807" s="11">
        <v>397.0</v>
      </c>
      <c r="L807" s="11" t="s">
        <v>23</v>
      </c>
      <c r="M807" s="12">
        <v>44984.0</v>
      </c>
      <c r="N807" s="11" t="s">
        <v>57</v>
      </c>
      <c r="O807" s="11" t="s">
        <v>35</v>
      </c>
    </row>
    <row r="808">
      <c r="A808" s="10" t="s">
        <v>2450</v>
      </c>
      <c r="B808" s="11">
        <v>63.0</v>
      </c>
      <c r="C808" s="11" t="s">
        <v>38</v>
      </c>
      <c r="D808" s="11" t="s">
        <v>66</v>
      </c>
      <c r="E808" s="11" t="s">
        <v>29</v>
      </c>
      <c r="F808" s="12">
        <v>43853.0</v>
      </c>
      <c r="G808" s="11" t="s">
        <v>2451</v>
      </c>
      <c r="H808" s="11" t="s">
        <v>2452</v>
      </c>
      <c r="I808" s="11" t="s">
        <v>73</v>
      </c>
      <c r="J808" s="11">
        <v>31457.7973069052</v>
      </c>
      <c r="K808" s="11">
        <v>316.0</v>
      </c>
      <c r="L808" s="11" t="s">
        <v>50</v>
      </c>
      <c r="M808" s="12">
        <v>43862.0</v>
      </c>
      <c r="N808" s="11" t="s">
        <v>43</v>
      </c>
      <c r="O808" s="11" t="s">
        <v>25</v>
      </c>
    </row>
    <row r="809">
      <c r="A809" s="10" t="s">
        <v>2453</v>
      </c>
      <c r="B809" s="11">
        <v>78.0</v>
      </c>
      <c r="C809" s="11" t="s">
        <v>17</v>
      </c>
      <c r="D809" s="11" t="s">
        <v>54</v>
      </c>
      <c r="E809" s="11" t="s">
        <v>60</v>
      </c>
      <c r="F809" s="12">
        <v>44890.0</v>
      </c>
      <c r="G809" s="11" t="s">
        <v>2454</v>
      </c>
      <c r="H809" s="11" t="s">
        <v>2455</v>
      </c>
      <c r="I809" s="11" t="s">
        <v>42</v>
      </c>
      <c r="J809" s="11">
        <v>21875.0833239254</v>
      </c>
      <c r="K809" s="11">
        <v>137.0</v>
      </c>
      <c r="L809" s="11" t="s">
        <v>50</v>
      </c>
      <c r="M809" s="12">
        <v>44906.0</v>
      </c>
      <c r="N809" s="11" t="s">
        <v>57</v>
      </c>
      <c r="O809" s="11" t="s">
        <v>35</v>
      </c>
    </row>
    <row r="810">
      <c r="A810" s="10" t="s">
        <v>2456</v>
      </c>
      <c r="B810" s="11">
        <v>25.0</v>
      </c>
      <c r="C810" s="11" t="s">
        <v>38</v>
      </c>
      <c r="D810" s="11" t="s">
        <v>28</v>
      </c>
      <c r="E810" s="11" t="s">
        <v>47</v>
      </c>
      <c r="F810" s="12">
        <v>44237.0</v>
      </c>
      <c r="G810" s="11" t="s">
        <v>2457</v>
      </c>
      <c r="H810" s="11" t="s">
        <v>2458</v>
      </c>
      <c r="I810" s="11" t="s">
        <v>42</v>
      </c>
      <c r="J810" s="11">
        <v>49635.3065206016</v>
      </c>
      <c r="K810" s="11">
        <v>138.0</v>
      </c>
      <c r="L810" s="11" t="s">
        <v>50</v>
      </c>
      <c r="M810" s="12">
        <v>44244.0</v>
      </c>
      <c r="N810" s="11" t="s">
        <v>91</v>
      </c>
      <c r="O810" s="11" t="s">
        <v>25</v>
      </c>
    </row>
    <row r="811">
      <c r="A811" s="10" t="s">
        <v>2459</v>
      </c>
      <c r="B811" s="11">
        <v>66.0</v>
      </c>
      <c r="C811" s="11" t="s">
        <v>17</v>
      </c>
      <c r="D811" s="11" t="s">
        <v>66</v>
      </c>
      <c r="E811" s="11" t="s">
        <v>19</v>
      </c>
      <c r="F811" s="12">
        <v>44956.0</v>
      </c>
      <c r="G811" s="11" t="s">
        <v>2460</v>
      </c>
      <c r="H811" s="11" t="s">
        <v>2461</v>
      </c>
      <c r="I811" s="11" t="s">
        <v>32</v>
      </c>
      <c r="J811" s="11">
        <v>41413.8093919015</v>
      </c>
      <c r="K811" s="11">
        <v>323.0</v>
      </c>
      <c r="L811" s="11" t="s">
        <v>33</v>
      </c>
      <c r="M811" s="12">
        <v>44984.0</v>
      </c>
      <c r="N811" s="11" t="s">
        <v>34</v>
      </c>
      <c r="O811" s="11" t="s">
        <v>35</v>
      </c>
    </row>
    <row r="812">
      <c r="A812" s="10" t="s">
        <v>2462</v>
      </c>
      <c r="B812" s="11">
        <v>58.0</v>
      </c>
      <c r="C812" s="11" t="s">
        <v>17</v>
      </c>
      <c r="D812" s="11" t="s">
        <v>46</v>
      </c>
      <c r="E812" s="11" t="s">
        <v>109</v>
      </c>
      <c r="F812" s="12">
        <v>43701.0</v>
      </c>
      <c r="G812" s="11" t="s">
        <v>2463</v>
      </c>
      <c r="H812" s="11" t="s">
        <v>2464</v>
      </c>
      <c r="I812" s="11" t="s">
        <v>42</v>
      </c>
      <c r="J812" s="11">
        <v>16352.5862779409</v>
      </c>
      <c r="K812" s="11">
        <v>478.0</v>
      </c>
      <c r="L812" s="11" t="s">
        <v>23</v>
      </c>
      <c r="M812" s="12">
        <v>43725.0</v>
      </c>
      <c r="N812" s="11" t="s">
        <v>43</v>
      </c>
      <c r="O812" s="11" t="s">
        <v>25</v>
      </c>
    </row>
    <row r="813">
      <c r="A813" s="10" t="s">
        <v>2465</v>
      </c>
      <c r="B813" s="11">
        <v>28.0</v>
      </c>
      <c r="C813" s="11" t="s">
        <v>38</v>
      </c>
      <c r="D813" s="11" t="s">
        <v>28</v>
      </c>
      <c r="E813" s="11" t="s">
        <v>109</v>
      </c>
      <c r="F813" s="12">
        <v>45327.0</v>
      </c>
      <c r="G813" s="11" t="s">
        <v>2466</v>
      </c>
      <c r="H813" s="11" t="s">
        <v>2467</v>
      </c>
      <c r="I813" s="11" t="s">
        <v>63</v>
      </c>
      <c r="J813" s="11">
        <v>1805.52280570939</v>
      </c>
      <c r="K813" s="11">
        <v>205.0</v>
      </c>
      <c r="L813" s="11" t="s">
        <v>23</v>
      </c>
      <c r="M813" s="12">
        <v>45328.0</v>
      </c>
      <c r="N813" s="11" t="s">
        <v>57</v>
      </c>
      <c r="O813" s="11" t="s">
        <v>25</v>
      </c>
    </row>
    <row r="814">
      <c r="A814" s="10" t="s">
        <v>2468</v>
      </c>
      <c r="B814" s="11">
        <v>18.0</v>
      </c>
      <c r="C814" s="11" t="s">
        <v>38</v>
      </c>
      <c r="D814" s="11" t="s">
        <v>46</v>
      </c>
      <c r="E814" s="11" t="s">
        <v>109</v>
      </c>
      <c r="F814" s="12">
        <v>44438.0</v>
      </c>
      <c r="G814" s="11" t="s">
        <v>2469</v>
      </c>
      <c r="H814" s="11" t="s">
        <v>2470</v>
      </c>
      <c r="I814" s="11" t="s">
        <v>22</v>
      </c>
      <c r="J814" s="11">
        <v>38363.2612689719</v>
      </c>
      <c r="K814" s="11">
        <v>286.0</v>
      </c>
      <c r="L814" s="11" t="s">
        <v>33</v>
      </c>
      <c r="M814" s="12">
        <v>44464.0</v>
      </c>
      <c r="N814" s="11" t="s">
        <v>57</v>
      </c>
      <c r="O814" s="11" t="s">
        <v>35</v>
      </c>
    </row>
    <row r="815">
      <c r="A815" s="10" t="s">
        <v>2471</v>
      </c>
      <c r="B815" s="11">
        <v>46.0</v>
      </c>
      <c r="C815" s="11" t="s">
        <v>38</v>
      </c>
      <c r="D815" s="11" t="s">
        <v>119</v>
      </c>
      <c r="E815" s="11" t="s">
        <v>60</v>
      </c>
      <c r="F815" s="12">
        <v>44568.0</v>
      </c>
      <c r="G815" s="11" t="s">
        <v>2472</v>
      </c>
      <c r="H815" s="11" t="s">
        <v>2473</v>
      </c>
      <c r="I815" s="11" t="s">
        <v>73</v>
      </c>
      <c r="J815" s="11">
        <v>32746.5563747251</v>
      </c>
      <c r="K815" s="11">
        <v>416.0</v>
      </c>
      <c r="L815" s="11" t="s">
        <v>23</v>
      </c>
      <c r="M815" s="12">
        <v>44586.0</v>
      </c>
      <c r="N815" s="11" t="s">
        <v>34</v>
      </c>
      <c r="O815" s="11" t="s">
        <v>25</v>
      </c>
    </row>
    <row r="816">
      <c r="A816" s="10" t="s">
        <v>2474</v>
      </c>
      <c r="B816" s="11">
        <v>44.0</v>
      </c>
      <c r="C816" s="11" t="s">
        <v>17</v>
      </c>
      <c r="D816" s="11" t="s">
        <v>54</v>
      </c>
      <c r="E816" s="11" t="s">
        <v>109</v>
      </c>
      <c r="F816" s="12">
        <v>45177.0</v>
      </c>
      <c r="G816" s="11" t="s">
        <v>2475</v>
      </c>
      <c r="H816" s="11" t="s">
        <v>2476</v>
      </c>
      <c r="I816" s="11" t="s">
        <v>73</v>
      </c>
      <c r="J816" s="11">
        <v>36649.3242803098</v>
      </c>
      <c r="K816" s="11">
        <v>114.0</v>
      </c>
      <c r="L816" s="11" t="s">
        <v>50</v>
      </c>
      <c r="M816" s="12">
        <v>45205.0</v>
      </c>
      <c r="N816" s="11" t="s">
        <v>43</v>
      </c>
      <c r="O816" s="11" t="s">
        <v>35</v>
      </c>
    </row>
    <row r="817">
      <c r="A817" s="10" t="s">
        <v>2477</v>
      </c>
      <c r="B817" s="11">
        <v>52.0</v>
      </c>
      <c r="C817" s="11" t="s">
        <v>38</v>
      </c>
      <c r="D817" s="11" t="s">
        <v>119</v>
      </c>
      <c r="E817" s="11" t="s">
        <v>19</v>
      </c>
      <c r="F817" s="12">
        <v>44476.0</v>
      </c>
      <c r="G817" s="11" t="s">
        <v>2478</v>
      </c>
      <c r="H817" s="11" t="s">
        <v>2479</v>
      </c>
      <c r="I817" s="11" t="s">
        <v>63</v>
      </c>
      <c r="J817" s="11">
        <v>3288.12587865642</v>
      </c>
      <c r="K817" s="11">
        <v>215.0</v>
      </c>
      <c r="L817" s="11" t="s">
        <v>50</v>
      </c>
      <c r="M817" s="12">
        <v>44479.0</v>
      </c>
      <c r="N817" s="11" t="s">
        <v>24</v>
      </c>
      <c r="O817" s="11" t="s">
        <v>51</v>
      </c>
    </row>
    <row r="818">
      <c r="A818" s="10" t="s">
        <v>2480</v>
      </c>
      <c r="B818" s="11">
        <v>24.0</v>
      </c>
      <c r="C818" s="11" t="s">
        <v>38</v>
      </c>
      <c r="D818" s="11" t="s">
        <v>119</v>
      </c>
      <c r="E818" s="11" t="s">
        <v>19</v>
      </c>
      <c r="F818" s="12">
        <v>43890.0</v>
      </c>
      <c r="G818" s="11" t="s">
        <v>2481</v>
      </c>
      <c r="H818" s="11" t="s">
        <v>2482</v>
      </c>
      <c r="I818" s="11" t="s">
        <v>63</v>
      </c>
      <c r="J818" s="11">
        <v>32993.4923989072</v>
      </c>
      <c r="K818" s="11">
        <v>151.0</v>
      </c>
      <c r="L818" s="11" t="s">
        <v>23</v>
      </c>
      <c r="M818" s="12">
        <v>43907.0</v>
      </c>
      <c r="N818" s="11" t="s">
        <v>91</v>
      </c>
      <c r="O818" s="11" t="s">
        <v>25</v>
      </c>
    </row>
    <row r="819">
      <c r="A819" s="10" t="s">
        <v>2483</v>
      </c>
      <c r="B819" s="11">
        <v>53.0</v>
      </c>
      <c r="C819" s="11" t="s">
        <v>17</v>
      </c>
      <c r="D819" s="11" t="s">
        <v>28</v>
      </c>
      <c r="E819" s="11" t="s">
        <v>29</v>
      </c>
      <c r="F819" s="12">
        <v>43683.0</v>
      </c>
      <c r="G819" s="11" t="s">
        <v>2484</v>
      </c>
      <c r="H819" s="11" t="s">
        <v>2485</v>
      </c>
      <c r="I819" s="11" t="s">
        <v>63</v>
      </c>
      <c r="J819" s="11">
        <v>3338.21551120665</v>
      </c>
      <c r="K819" s="11">
        <v>362.0</v>
      </c>
      <c r="L819" s="11" t="s">
        <v>33</v>
      </c>
      <c r="M819" s="12">
        <v>43711.0</v>
      </c>
      <c r="N819" s="11" t="s">
        <v>91</v>
      </c>
      <c r="O819" s="11" t="s">
        <v>25</v>
      </c>
    </row>
    <row r="820">
      <c r="A820" s="10" t="s">
        <v>2486</v>
      </c>
      <c r="B820" s="11">
        <v>46.0</v>
      </c>
      <c r="C820" s="11" t="s">
        <v>38</v>
      </c>
      <c r="D820" s="11" t="s">
        <v>39</v>
      </c>
      <c r="E820" s="11" t="s">
        <v>29</v>
      </c>
      <c r="F820" s="12">
        <v>43683.0</v>
      </c>
      <c r="G820" s="11" t="s">
        <v>2154</v>
      </c>
      <c r="H820" s="11" t="s">
        <v>2487</v>
      </c>
      <c r="I820" s="11" t="s">
        <v>22</v>
      </c>
      <c r="J820" s="11">
        <v>21401.5210577155</v>
      </c>
      <c r="K820" s="11">
        <v>292.0</v>
      </c>
      <c r="L820" s="11" t="s">
        <v>23</v>
      </c>
      <c r="M820" s="12">
        <v>43686.0</v>
      </c>
      <c r="N820" s="11" t="s">
        <v>57</v>
      </c>
      <c r="O820" s="11" t="s">
        <v>51</v>
      </c>
    </row>
    <row r="821">
      <c r="A821" s="10" t="s">
        <v>2488</v>
      </c>
      <c r="B821" s="11">
        <v>72.0</v>
      </c>
      <c r="C821" s="11" t="s">
        <v>38</v>
      </c>
      <c r="D821" s="11" t="s">
        <v>46</v>
      </c>
      <c r="E821" s="11" t="s">
        <v>60</v>
      </c>
      <c r="F821" s="12">
        <v>44536.0</v>
      </c>
      <c r="G821" s="11" t="s">
        <v>1352</v>
      </c>
      <c r="H821" s="11" t="s">
        <v>2489</v>
      </c>
      <c r="I821" s="11" t="s">
        <v>22</v>
      </c>
      <c r="J821" s="11">
        <v>35828.3195022364</v>
      </c>
      <c r="K821" s="11">
        <v>248.0</v>
      </c>
      <c r="L821" s="11" t="s">
        <v>33</v>
      </c>
      <c r="M821" s="12">
        <v>44542.0</v>
      </c>
      <c r="N821" s="11" t="s">
        <v>43</v>
      </c>
      <c r="O821" s="11" t="s">
        <v>35</v>
      </c>
    </row>
    <row r="822">
      <c r="A822" s="10" t="s">
        <v>2490</v>
      </c>
      <c r="B822" s="11">
        <v>54.0</v>
      </c>
      <c r="C822" s="11" t="s">
        <v>38</v>
      </c>
      <c r="D822" s="11" t="s">
        <v>39</v>
      </c>
      <c r="E822" s="11" t="s">
        <v>60</v>
      </c>
      <c r="F822" s="12">
        <v>43970.0</v>
      </c>
      <c r="G822" s="11" t="s">
        <v>2491</v>
      </c>
      <c r="H822" s="11" t="s">
        <v>2492</v>
      </c>
      <c r="I822" s="11" t="s">
        <v>63</v>
      </c>
      <c r="J822" s="11">
        <v>14171.9897130828</v>
      </c>
      <c r="K822" s="11">
        <v>297.0</v>
      </c>
      <c r="L822" s="11" t="s">
        <v>50</v>
      </c>
      <c r="M822" s="12">
        <v>43993.0</v>
      </c>
      <c r="N822" s="11" t="s">
        <v>24</v>
      </c>
      <c r="O822" s="11" t="s">
        <v>35</v>
      </c>
    </row>
    <row r="823">
      <c r="A823" s="10" t="s">
        <v>2493</v>
      </c>
      <c r="B823" s="11">
        <v>73.0</v>
      </c>
      <c r="C823" s="11" t="s">
        <v>17</v>
      </c>
      <c r="D823" s="11" t="s">
        <v>54</v>
      </c>
      <c r="E823" s="11" t="s">
        <v>88</v>
      </c>
      <c r="F823" s="12">
        <v>43826.0</v>
      </c>
      <c r="G823" s="11" t="s">
        <v>2494</v>
      </c>
      <c r="H823" s="11" t="s">
        <v>2495</v>
      </c>
      <c r="I823" s="11" t="s">
        <v>32</v>
      </c>
      <c r="J823" s="11">
        <v>30283.17458661</v>
      </c>
      <c r="K823" s="11">
        <v>311.0</v>
      </c>
      <c r="L823" s="11" t="s">
        <v>33</v>
      </c>
      <c r="M823" s="12">
        <v>43828.0</v>
      </c>
      <c r="N823" s="11" t="s">
        <v>91</v>
      </c>
      <c r="O823" s="11" t="s">
        <v>51</v>
      </c>
    </row>
    <row r="824">
      <c r="A824" s="10" t="s">
        <v>2496</v>
      </c>
      <c r="B824" s="11">
        <v>69.0</v>
      </c>
      <c r="C824" s="11" t="s">
        <v>38</v>
      </c>
      <c r="D824" s="11" t="s">
        <v>66</v>
      </c>
      <c r="E824" s="11" t="s">
        <v>19</v>
      </c>
      <c r="F824" s="12">
        <v>44716.0</v>
      </c>
      <c r="G824" s="11" t="s">
        <v>2497</v>
      </c>
      <c r="H824" s="11" t="s">
        <v>2498</v>
      </c>
      <c r="I824" s="11" t="s">
        <v>73</v>
      </c>
      <c r="J824" s="11">
        <v>31419.1193724991</v>
      </c>
      <c r="K824" s="11">
        <v>201.0</v>
      </c>
      <c r="L824" s="11" t="s">
        <v>23</v>
      </c>
      <c r="M824" s="12">
        <v>44725.0</v>
      </c>
      <c r="N824" s="11" t="s">
        <v>57</v>
      </c>
      <c r="O824" s="11" t="s">
        <v>25</v>
      </c>
    </row>
    <row r="825">
      <c r="A825" s="10" t="s">
        <v>2499</v>
      </c>
      <c r="B825" s="11">
        <v>32.0</v>
      </c>
      <c r="C825" s="11" t="s">
        <v>17</v>
      </c>
      <c r="D825" s="11" t="s">
        <v>46</v>
      </c>
      <c r="E825" s="11" t="s">
        <v>47</v>
      </c>
      <c r="F825" s="12">
        <v>44944.0</v>
      </c>
      <c r="G825" s="11" t="s">
        <v>2500</v>
      </c>
      <c r="H825" s="11" t="s">
        <v>2501</v>
      </c>
      <c r="I825" s="11" t="s">
        <v>42</v>
      </c>
      <c r="J825" s="11">
        <v>23734.8540115534</v>
      </c>
      <c r="K825" s="11">
        <v>394.0</v>
      </c>
      <c r="L825" s="11" t="s">
        <v>33</v>
      </c>
      <c r="M825" s="12">
        <v>44960.0</v>
      </c>
      <c r="N825" s="11" t="s">
        <v>57</v>
      </c>
      <c r="O825" s="11" t="s">
        <v>25</v>
      </c>
    </row>
    <row r="826">
      <c r="A826" s="10" t="s">
        <v>2502</v>
      </c>
      <c r="B826" s="11">
        <v>29.0</v>
      </c>
      <c r="C826" s="11" t="s">
        <v>17</v>
      </c>
      <c r="D826" s="11" t="s">
        <v>119</v>
      </c>
      <c r="E826" s="11" t="s">
        <v>47</v>
      </c>
      <c r="F826" s="12">
        <v>45132.0</v>
      </c>
      <c r="G826" s="11" t="s">
        <v>2503</v>
      </c>
      <c r="H826" s="11" t="s">
        <v>2504</v>
      </c>
      <c r="I826" s="11" t="s">
        <v>42</v>
      </c>
      <c r="J826" s="11">
        <v>45417.6423467335</v>
      </c>
      <c r="K826" s="11">
        <v>167.0</v>
      </c>
      <c r="L826" s="11" t="s">
        <v>50</v>
      </c>
      <c r="M826" s="12">
        <v>45135.0</v>
      </c>
      <c r="N826" s="11" t="s">
        <v>91</v>
      </c>
      <c r="O826" s="11" t="s">
        <v>35</v>
      </c>
    </row>
    <row r="827">
      <c r="A827" s="10" t="s">
        <v>2505</v>
      </c>
      <c r="B827" s="11">
        <v>82.0</v>
      </c>
      <c r="C827" s="11" t="s">
        <v>38</v>
      </c>
      <c r="D827" s="11" t="s">
        <v>28</v>
      </c>
      <c r="E827" s="11" t="s">
        <v>109</v>
      </c>
      <c r="F827" s="12">
        <v>44029.0</v>
      </c>
      <c r="G827" s="11" t="s">
        <v>2506</v>
      </c>
      <c r="H827" s="11" t="s">
        <v>2507</v>
      </c>
      <c r="I827" s="11" t="s">
        <v>22</v>
      </c>
      <c r="J827" s="11">
        <v>12822.7832871436</v>
      </c>
      <c r="K827" s="11">
        <v>356.0</v>
      </c>
      <c r="L827" s="11" t="s">
        <v>23</v>
      </c>
      <c r="M827" s="12">
        <v>44052.0</v>
      </c>
      <c r="N827" s="11" t="s">
        <v>91</v>
      </c>
      <c r="O827" s="11" t="s">
        <v>35</v>
      </c>
    </row>
    <row r="828">
      <c r="A828" s="10" t="s">
        <v>2508</v>
      </c>
      <c r="B828" s="11">
        <v>19.0</v>
      </c>
      <c r="C828" s="11" t="s">
        <v>17</v>
      </c>
      <c r="D828" s="11" t="s">
        <v>141</v>
      </c>
      <c r="E828" s="11" t="s">
        <v>29</v>
      </c>
      <c r="F828" s="12">
        <v>44960.0</v>
      </c>
      <c r="G828" s="11" t="s">
        <v>2509</v>
      </c>
      <c r="H828" s="11" t="s">
        <v>2510</v>
      </c>
      <c r="I828" s="11" t="s">
        <v>42</v>
      </c>
      <c r="J828" s="11">
        <v>25856.220204486</v>
      </c>
      <c r="K828" s="11">
        <v>441.0</v>
      </c>
      <c r="L828" s="11" t="s">
        <v>33</v>
      </c>
      <c r="M828" s="12">
        <v>44980.0</v>
      </c>
      <c r="N828" s="11" t="s">
        <v>91</v>
      </c>
      <c r="O828" s="11" t="s">
        <v>51</v>
      </c>
    </row>
    <row r="829">
      <c r="A829" s="10" t="s">
        <v>2511</v>
      </c>
      <c r="B829" s="11">
        <v>63.0</v>
      </c>
      <c r="C829" s="11" t="s">
        <v>17</v>
      </c>
      <c r="D829" s="11" t="s">
        <v>39</v>
      </c>
      <c r="E829" s="11" t="s">
        <v>109</v>
      </c>
      <c r="F829" s="12">
        <v>44527.0</v>
      </c>
      <c r="G829" s="11" t="s">
        <v>2512</v>
      </c>
      <c r="H829" s="11" t="s">
        <v>2513</v>
      </c>
      <c r="I829" s="11" t="s">
        <v>63</v>
      </c>
      <c r="J829" s="11">
        <v>10443.6777697778</v>
      </c>
      <c r="K829" s="11">
        <v>125.0</v>
      </c>
      <c r="L829" s="11" t="s">
        <v>50</v>
      </c>
      <c r="M829" s="12">
        <v>44538.0</v>
      </c>
      <c r="N829" s="11" t="s">
        <v>57</v>
      </c>
      <c r="O829" s="11" t="s">
        <v>25</v>
      </c>
    </row>
    <row r="830">
      <c r="A830" s="10" t="s">
        <v>2514</v>
      </c>
      <c r="B830" s="11">
        <v>38.0</v>
      </c>
      <c r="C830" s="11" t="s">
        <v>17</v>
      </c>
      <c r="D830" s="11" t="s">
        <v>39</v>
      </c>
      <c r="E830" s="11" t="s">
        <v>88</v>
      </c>
      <c r="F830" s="12">
        <v>44061.0</v>
      </c>
      <c r="G830" s="11" t="s">
        <v>2515</v>
      </c>
      <c r="H830" s="11" t="s">
        <v>2516</v>
      </c>
      <c r="I830" s="11" t="s">
        <v>22</v>
      </c>
      <c r="J830" s="11">
        <v>40606.4584827272</v>
      </c>
      <c r="K830" s="11">
        <v>496.0</v>
      </c>
      <c r="L830" s="11" t="s">
        <v>33</v>
      </c>
      <c r="M830" s="12">
        <v>44067.0</v>
      </c>
      <c r="N830" s="11" t="s">
        <v>24</v>
      </c>
      <c r="O830" s="11" t="s">
        <v>35</v>
      </c>
    </row>
    <row r="831">
      <c r="A831" s="10" t="s">
        <v>2517</v>
      </c>
      <c r="B831" s="11">
        <v>74.0</v>
      </c>
      <c r="C831" s="11" t="s">
        <v>17</v>
      </c>
      <c r="D831" s="11" t="s">
        <v>119</v>
      </c>
      <c r="E831" s="11" t="s">
        <v>47</v>
      </c>
      <c r="F831" s="12">
        <v>43652.0</v>
      </c>
      <c r="G831" s="11" t="s">
        <v>2518</v>
      </c>
      <c r="H831" s="11" t="s">
        <v>2519</v>
      </c>
      <c r="I831" s="11" t="s">
        <v>32</v>
      </c>
      <c r="J831" s="11">
        <v>32535.4483660904</v>
      </c>
      <c r="K831" s="11">
        <v>359.0</v>
      </c>
      <c r="L831" s="11" t="s">
        <v>33</v>
      </c>
      <c r="M831" s="12">
        <v>43679.0</v>
      </c>
      <c r="N831" s="11" t="s">
        <v>91</v>
      </c>
      <c r="O831" s="11" t="s">
        <v>25</v>
      </c>
    </row>
    <row r="832">
      <c r="A832" s="10" t="s">
        <v>2520</v>
      </c>
      <c r="B832" s="11">
        <v>38.0</v>
      </c>
      <c r="C832" s="11" t="s">
        <v>17</v>
      </c>
      <c r="D832" s="11" t="s">
        <v>18</v>
      </c>
      <c r="E832" s="11" t="s">
        <v>60</v>
      </c>
      <c r="F832" s="12">
        <v>45339.0</v>
      </c>
      <c r="G832" s="11" t="s">
        <v>2521</v>
      </c>
      <c r="H832" s="11" t="s">
        <v>2522</v>
      </c>
      <c r="I832" s="11" t="s">
        <v>63</v>
      </c>
      <c r="J832" s="11">
        <v>34557.2886363492</v>
      </c>
      <c r="K832" s="11">
        <v>174.0</v>
      </c>
      <c r="L832" s="11" t="s">
        <v>33</v>
      </c>
      <c r="M832" s="12">
        <v>45341.0</v>
      </c>
      <c r="N832" s="11" t="s">
        <v>91</v>
      </c>
      <c r="O832" s="11" t="s">
        <v>25</v>
      </c>
    </row>
    <row r="833">
      <c r="A833" s="10" t="s">
        <v>2523</v>
      </c>
      <c r="B833" s="11">
        <v>53.0</v>
      </c>
      <c r="C833" s="11" t="s">
        <v>17</v>
      </c>
      <c r="D833" s="11" t="s">
        <v>66</v>
      </c>
      <c r="E833" s="11" t="s">
        <v>109</v>
      </c>
      <c r="F833" s="12">
        <v>44445.0</v>
      </c>
      <c r="G833" s="11" t="s">
        <v>2524</v>
      </c>
      <c r="H833" s="11" t="s">
        <v>2525</v>
      </c>
      <c r="I833" s="11" t="s">
        <v>42</v>
      </c>
      <c r="J833" s="11">
        <v>35116.7104719574</v>
      </c>
      <c r="K833" s="11">
        <v>142.0</v>
      </c>
      <c r="L833" s="11" t="s">
        <v>33</v>
      </c>
      <c r="M833" s="12">
        <v>44474.0</v>
      </c>
      <c r="N833" s="11" t="s">
        <v>24</v>
      </c>
      <c r="O833" s="11" t="s">
        <v>25</v>
      </c>
    </row>
    <row r="834">
      <c r="A834" s="10" t="s">
        <v>2526</v>
      </c>
      <c r="B834" s="11">
        <v>36.0</v>
      </c>
      <c r="C834" s="11" t="s">
        <v>17</v>
      </c>
      <c r="D834" s="11" t="s">
        <v>54</v>
      </c>
      <c r="E834" s="11" t="s">
        <v>47</v>
      </c>
      <c r="F834" s="12">
        <v>44547.0</v>
      </c>
      <c r="G834" s="11" t="s">
        <v>2527</v>
      </c>
      <c r="H834" s="11" t="s">
        <v>2528</v>
      </c>
      <c r="I834" s="11" t="s">
        <v>22</v>
      </c>
      <c r="J834" s="11">
        <v>28270.3035717442</v>
      </c>
      <c r="K834" s="11">
        <v>119.0</v>
      </c>
      <c r="L834" s="11" t="s">
        <v>50</v>
      </c>
      <c r="M834" s="12">
        <v>44568.0</v>
      </c>
      <c r="N834" s="11" t="s">
        <v>34</v>
      </c>
      <c r="O834" s="11" t="s">
        <v>35</v>
      </c>
    </row>
    <row r="835">
      <c r="A835" s="10" t="s">
        <v>2529</v>
      </c>
      <c r="B835" s="11">
        <v>67.0</v>
      </c>
      <c r="C835" s="11" t="s">
        <v>38</v>
      </c>
      <c r="D835" s="11" t="s">
        <v>28</v>
      </c>
      <c r="E835" s="11" t="s">
        <v>109</v>
      </c>
      <c r="F835" s="12">
        <v>44824.0</v>
      </c>
      <c r="G835" s="11" t="s">
        <v>2530</v>
      </c>
      <c r="H835" s="11" t="s">
        <v>2531</v>
      </c>
      <c r="I835" s="11" t="s">
        <v>22</v>
      </c>
      <c r="J835" s="11">
        <v>47734.9878707083</v>
      </c>
      <c r="K835" s="11">
        <v>143.0</v>
      </c>
      <c r="L835" s="11" t="s">
        <v>33</v>
      </c>
      <c r="M835" s="12">
        <v>44841.0</v>
      </c>
      <c r="N835" s="11" t="s">
        <v>43</v>
      </c>
      <c r="O835" s="11" t="s">
        <v>51</v>
      </c>
    </row>
    <row r="836">
      <c r="A836" s="10" t="s">
        <v>2532</v>
      </c>
      <c r="B836" s="11">
        <v>63.0</v>
      </c>
      <c r="C836" s="11" t="s">
        <v>17</v>
      </c>
      <c r="D836" s="11" t="s">
        <v>66</v>
      </c>
      <c r="E836" s="11" t="s">
        <v>60</v>
      </c>
      <c r="F836" s="12">
        <v>44543.0</v>
      </c>
      <c r="G836" s="11" t="s">
        <v>2533</v>
      </c>
      <c r="H836" s="11" t="s">
        <v>2534</v>
      </c>
      <c r="I836" s="11" t="s">
        <v>73</v>
      </c>
      <c r="J836" s="11">
        <v>19176.261695738</v>
      </c>
      <c r="K836" s="11">
        <v>452.0</v>
      </c>
      <c r="L836" s="11" t="s">
        <v>50</v>
      </c>
      <c r="M836" s="12">
        <v>44550.0</v>
      </c>
      <c r="N836" s="11" t="s">
        <v>57</v>
      </c>
      <c r="O836" s="11" t="s">
        <v>35</v>
      </c>
    </row>
    <row r="837">
      <c r="A837" s="10" t="s">
        <v>2535</v>
      </c>
      <c r="B837" s="11">
        <v>39.0</v>
      </c>
      <c r="C837" s="11" t="s">
        <v>17</v>
      </c>
      <c r="D837" s="11" t="s">
        <v>28</v>
      </c>
      <c r="E837" s="11" t="s">
        <v>109</v>
      </c>
      <c r="F837" s="12">
        <v>44481.0</v>
      </c>
      <c r="G837" s="11" t="s">
        <v>2536</v>
      </c>
      <c r="H837" s="11" t="s">
        <v>2537</v>
      </c>
      <c r="I837" s="11" t="s">
        <v>22</v>
      </c>
      <c r="J837" s="11">
        <v>8731.4822745908</v>
      </c>
      <c r="K837" s="11">
        <v>219.0</v>
      </c>
      <c r="L837" s="11" t="s">
        <v>33</v>
      </c>
      <c r="M837" s="12">
        <v>44496.0</v>
      </c>
      <c r="N837" s="11" t="s">
        <v>34</v>
      </c>
      <c r="O837" s="11" t="s">
        <v>25</v>
      </c>
    </row>
    <row r="838">
      <c r="A838" s="10" t="s">
        <v>2538</v>
      </c>
      <c r="B838" s="11">
        <v>55.0</v>
      </c>
      <c r="C838" s="11" t="s">
        <v>17</v>
      </c>
      <c r="D838" s="11" t="s">
        <v>141</v>
      </c>
      <c r="E838" s="11" t="s">
        <v>60</v>
      </c>
      <c r="F838" s="12">
        <v>45146.0</v>
      </c>
      <c r="G838" s="11" t="s">
        <v>2539</v>
      </c>
      <c r="H838" s="11" t="s">
        <v>2540</v>
      </c>
      <c r="I838" s="11" t="s">
        <v>32</v>
      </c>
      <c r="J838" s="11">
        <v>19249.6871864753</v>
      </c>
      <c r="K838" s="11">
        <v>107.0</v>
      </c>
      <c r="L838" s="11" t="s">
        <v>33</v>
      </c>
      <c r="M838" s="12">
        <v>45159.0</v>
      </c>
      <c r="N838" s="11" t="s">
        <v>43</v>
      </c>
      <c r="O838" s="11" t="s">
        <v>51</v>
      </c>
    </row>
    <row r="839">
      <c r="A839" s="10" t="s">
        <v>2541</v>
      </c>
      <c r="B839" s="11">
        <v>80.0</v>
      </c>
      <c r="C839" s="11" t="s">
        <v>17</v>
      </c>
      <c r="D839" s="11" t="s">
        <v>66</v>
      </c>
      <c r="E839" s="11" t="s">
        <v>29</v>
      </c>
      <c r="F839" s="12">
        <v>43784.0</v>
      </c>
      <c r="G839" s="11" t="s">
        <v>2542</v>
      </c>
      <c r="H839" s="11" t="s">
        <v>2543</v>
      </c>
      <c r="I839" s="11" t="s">
        <v>42</v>
      </c>
      <c r="J839" s="11">
        <v>22758.6376013223</v>
      </c>
      <c r="K839" s="11">
        <v>170.0</v>
      </c>
      <c r="L839" s="11" t="s">
        <v>50</v>
      </c>
      <c r="M839" s="12">
        <v>43812.0</v>
      </c>
      <c r="N839" s="11" t="s">
        <v>43</v>
      </c>
      <c r="O839" s="11" t="s">
        <v>35</v>
      </c>
    </row>
    <row r="840">
      <c r="A840" s="10" t="s">
        <v>2544</v>
      </c>
      <c r="B840" s="11">
        <v>18.0</v>
      </c>
      <c r="C840" s="11" t="s">
        <v>38</v>
      </c>
      <c r="D840" s="11" t="s">
        <v>18</v>
      </c>
      <c r="E840" s="11" t="s">
        <v>60</v>
      </c>
      <c r="F840" s="12">
        <v>44547.0</v>
      </c>
      <c r="G840" s="11" t="s">
        <v>2545</v>
      </c>
      <c r="H840" s="11" t="s">
        <v>2546</v>
      </c>
      <c r="I840" s="11" t="s">
        <v>22</v>
      </c>
      <c r="J840" s="11">
        <v>20929.0665444153</v>
      </c>
      <c r="K840" s="11">
        <v>135.0</v>
      </c>
      <c r="L840" s="11" t="s">
        <v>33</v>
      </c>
      <c r="M840" s="12">
        <v>44556.0</v>
      </c>
      <c r="N840" s="11" t="s">
        <v>43</v>
      </c>
      <c r="O840" s="11" t="s">
        <v>25</v>
      </c>
    </row>
    <row r="841">
      <c r="A841" s="10" t="s">
        <v>2547</v>
      </c>
      <c r="B841" s="11">
        <v>41.0</v>
      </c>
      <c r="C841" s="11" t="s">
        <v>17</v>
      </c>
      <c r="D841" s="11" t="s">
        <v>46</v>
      </c>
      <c r="E841" s="11" t="s">
        <v>19</v>
      </c>
      <c r="F841" s="12">
        <v>44873.0</v>
      </c>
      <c r="G841" s="11" t="s">
        <v>2548</v>
      </c>
      <c r="H841" s="11" t="s">
        <v>2549</v>
      </c>
      <c r="I841" s="11" t="s">
        <v>73</v>
      </c>
      <c r="J841" s="11">
        <v>3899.86364076517</v>
      </c>
      <c r="K841" s="11">
        <v>234.0</v>
      </c>
      <c r="L841" s="11" t="s">
        <v>33</v>
      </c>
      <c r="M841" s="12">
        <v>44876.0</v>
      </c>
      <c r="N841" s="11" t="s">
        <v>57</v>
      </c>
      <c r="O841" s="11" t="s">
        <v>51</v>
      </c>
    </row>
    <row r="842">
      <c r="A842" s="10" t="s">
        <v>2550</v>
      </c>
      <c r="B842" s="11">
        <v>81.0</v>
      </c>
      <c r="C842" s="11" t="s">
        <v>17</v>
      </c>
      <c r="D842" s="11" t="s">
        <v>28</v>
      </c>
      <c r="E842" s="11" t="s">
        <v>109</v>
      </c>
      <c r="F842" s="12">
        <v>43885.0</v>
      </c>
      <c r="G842" s="11" t="s">
        <v>2551</v>
      </c>
      <c r="H842" s="11" t="s">
        <v>2552</v>
      </c>
      <c r="I842" s="11" t="s">
        <v>22</v>
      </c>
      <c r="J842" s="11">
        <v>19698.0007425582</v>
      </c>
      <c r="K842" s="11">
        <v>279.0</v>
      </c>
      <c r="L842" s="11" t="s">
        <v>50</v>
      </c>
      <c r="M842" s="12">
        <v>43906.0</v>
      </c>
      <c r="N842" s="11" t="s">
        <v>24</v>
      </c>
      <c r="O842" s="11" t="s">
        <v>51</v>
      </c>
    </row>
    <row r="843">
      <c r="A843" s="10" t="s">
        <v>2553</v>
      </c>
      <c r="B843" s="11">
        <v>66.0</v>
      </c>
      <c r="C843" s="11" t="s">
        <v>38</v>
      </c>
      <c r="D843" s="11" t="s">
        <v>46</v>
      </c>
      <c r="E843" s="11" t="s">
        <v>60</v>
      </c>
      <c r="F843" s="12">
        <v>44709.0</v>
      </c>
      <c r="G843" s="11" t="s">
        <v>2554</v>
      </c>
      <c r="H843" s="11" t="s">
        <v>2555</v>
      </c>
      <c r="I843" s="11" t="s">
        <v>42</v>
      </c>
      <c r="J843" s="11">
        <v>34060.2729478252</v>
      </c>
      <c r="K843" s="11">
        <v>111.0</v>
      </c>
      <c r="L843" s="11" t="s">
        <v>50</v>
      </c>
      <c r="M843" s="12">
        <v>44734.0</v>
      </c>
      <c r="N843" s="11" t="s">
        <v>91</v>
      </c>
      <c r="O843" s="11" t="s">
        <v>35</v>
      </c>
    </row>
    <row r="844">
      <c r="A844" s="10" t="s">
        <v>2556</v>
      </c>
      <c r="B844" s="11">
        <v>44.0</v>
      </c>
      <c r="C844" s="11" t="s">
        <v>17</v>
      </c>
      <c r="D844" s="11" t="s">
        <v>28</v>
      </c>
      <c r="E844" s="11" t="s">
        <v>88</v>
      </c>
      <c r="F844" s="12">
        <v>44807.0</v>
      </c>
      <c r="G844" s="11" t="s">
        <v>2557</v>
      </c>
      <c r="H844" s="11" t="s">
        <v>2558</v>
      </c>
      <c r="I844" s="11" t="s">
        <v>63</v>
      </c>
      <c r="J844" s="11">
        <v>40367.6341734317</v>
      </c>
      <c r="K844" s="11">
        <v>317.0</v>
      </c>
      <c r="L844" s="11" t="s">
        <v>50</v>
      </c>
      <c r="M844" s="12">
        <v>44834.0</v>
      </c>
      <c r="N844" s="11" t="s">
        <v>43</v>
      </c>
      <c r="O844" s="11" t="s">
        <v>35</v>
      </c>
    </row>
    <row r="845">
      <c r="A845" s="10" t="s">
        <v>2559</v>
      </c>
      <c r="B845" s="11">
        <v>81.0</v>
      </c>
      <c r="C845" s="11" t="s">
        <v>38</v>
      </c>
      <c r="D845" s="11" t="s">
        <v>66</v>
      </c>
      <c r="E845" s="11" t="s">
        <v>109</v>
      </c>
      <c r="F845" s="12">
        <v>43928.0</v>
      </c>
      <c r="G845" s="11" t="s">
        <v>2560</v>
      </c>
      <c r="H845" s="11" t="s">
        <v>2561</v>
      </c>
      <c r="I845" s="11" t="s">
        <v>73</v>
      </c>
      <c r="J845" s="11">
        <v>3638.2461963533</v>
      </c>
      <c r="K845" s="11">
        <v>125.0</v>
      </c>
      <c r="L845" s="11" t="s">
        <v>33</v>
      </c>
      <c r="M845" s="12">
        <v>43951.0</v>
      </c>
      <c r="N845" s="11" t="s">
        <v>43</v>
      </c>
      <c r="O845" s="11" t="s">
        <v>51</v>
      </c>
    </row>
    <row r="846">
      <c r="A846" s="10" t="s">
        <v>2562</v>
      </c>
      <c r="B846" s="11">
        <v>77.0</v>
      </c>
      <c r="C846" s="11" t="s">
        <v>17</v>
      </c>
      <c r="D846" s="11" t="s">
        <v>46</v>
      </c>
      <c r="E846" s="11" t="s">
        <v>109</v>
      </c>
      <c r="F846" s="12">
        <v>43702.0</v>
      </c>
      <c r="G846" s="11" t="s">
        <v>2563</v>
      </c>
      <c r="H846" s="11" t="s">
        <v>2564</v>
      </c>
      <c r="I846" s="11" t="s">
        <v>73</v>
      </c>
      <c r="J846" s="11">
        <v>46134.925978636</v>
      </c>
      <c r="K846" s="11">
        <v>107.0</v>
      </c>
      <c r="L846" s="11" t="s">
        <v>50</v>
      </c>
      <c r="M846" s="12">
        <v>43712.0</v>
      </c>
      <c r="N846" s="11" t="s">
        <v>43</v>
      </c>
      <c r="O846" s="11" t="s">
        <v>35</v>
      </c>
    </row>
    <row r="847">
      <c r="A847" s="10" t="s">
        <v>2565</v>
      </c>
      <c r="B847" s="11">
        <v>62.0</v>
      </c>
      <c r="C847" s="11" t="s">
        <v>17</v>
      </c>
      <c r="D847" s="11" t="s">
        <v>18</v>
      </c>
      <c r="E847" s="11" t="s">
        <v>29</v>
      </c>
      <c r="F847" s="12">
        <v>44344.0</v>
      </c>
      <c r="G847" s="11" t="s">
        <v>2566</v>
      </c>
      <c r="H847" s="11" t="s">
        <v>2567</v>
      </c>
      <c r="I847" s="11" t="s">
        <v>32</v>
      </c>
      <c r="J847" s="11">
        <v>14549.4946706322</v>
      </c>
      <c r="K847" s="11">
        <v>286.0</v>
      </c>
      <c r="L847" s="11" t="s">
        <v>23</v>
      </c>
      <c r="M847" s="12">
        <v>44356.0</v>
      </c>
      <c r="N847" s="11" t="s">
        <v>57</v>
      </c>
      <c r="O847" s="11" t="s">
        <v>51</v>
      </c>
    </row>
    <row r="848">
      <c r="A848" s="10" t="s">
        <v>2568</v>
      </c>
      <c r="B848" s="11">
        <v>78.0</v>
      </c>
      <c r="C848" s="11" t="s">
        <v>17</v>
      </c>
      <c r="D848" s="11" t="s">
        <v>46</v>
      </c>
      <c r="E848" s="11" t="s">
        <v>19</v>
      </c>
      <c r="F848" s="12">
        <v>45347.0</v>
      </c>
      <c r="G848" s="11" t="s">
        <v>2569</v>
      </c>
      <c r="H848" s="11" t="s">
        <v>2570</v>
      </c>
      <c r="I848" s="11" t="s">
        <v>42</v>
      </c>
      <c r="J848" s="11">
        <v>30549.6533247304</v>
      </c>
      <c r="K848" s="11">
        <v>314.0</v>
      </c>
      <c r="L848" s="11" t="s">
        <v>33</v>
      </c>
      <c r="M848" s="12">
        <v>45359.0</v>
      </c>
      <c r="N848" s="11" t="s">
        <v>24</v>
      </c>
      <c r="O848" s="11" t="s">
        <v>35</v>
      </c>
    </row>
    <row r="849">
      <c r="A849" s="10" t="s">
        <v>2571</v>
      </c>
      <c r="B849" s="11">
        <v>70.0</v>
      </c>
      <c r="C849" s="11" t="s">
        <v>17</v>
      </c>
      <c r="D849" s="11" t="s">
        <v>46</v>
      </c>
      <c r="E849" s="11" t="s">
        <v>47</v>
      </c>
      <c r="F849" s="12">
        <v>43716.0</v>
      </c>
      <c r="G849" s="11" t="s">
        <v>2572</v>
      </c>
      <c r="H849" s="11" t="s">
        <v>2573</v>
      </c>
      <c r="I849" s="11" t="s">
        <v>32</v>
      </c>
      <c r="J849" s="11">
        <v>13666.17587126</v>
      </c>
      <c r="K849" s="11">
        <v>331.0</v>
      </c>
      <c r="L849" s="11" t="s">
        <v>50</v>
      </c>
      <c r="M849" s="12">
        <v>43717.0</v>
      </c>
      <c r="N849" s="11" t="s">
        <v>91</v>
      </c>
      <c r="O849" s="11" t="s">
        <v>25</v>
      </c>
    </row>
    <row r="850">
      <c r="A850" s="10" t="s">
        <v>2574</v>
      </c>
      <c r="B850" s="11">
        <v>33.0</v>
      </c>
      <c r="C850" s="11" t="s">
        <v>17</v>
      </c>
      <c r="D850" s="11" t="s">
        <v>18</v>
      </c>
      <c r="E850" s="11" t="s">
        <v>60</v>
      </c>
      <c r="F850" s="12">
        <v>45071.0</v>
      </c>
      <c r="G850" s="11" t="s">
        <v>2575</v>
      </c>
      <c r="H850" s="11" t="s">
        <v>2576</v>
      </c>
      <c r="I850" s="11" t="s">
        <v>42</v>
      </c>
      <c r="J850" s="11">
        <v>45199.2733088141</v>
      </c>
      <c r="K850" s="11">
        <v>388.0</v>
      </c>
      <c r="L850" s="11" t="s">
        <v>50</v>
      </c>
      <c r="M850" s="12">
        <v>45075.0</v>
      </c>
      <c r="N850" s="11" t="s">
        <v>91</v>
      </c>
      <c r="O850" s="11" t="s">
        <v>51</v>
      </c>
    </row>
    <row r="851">
      <c r="A851" s="10" t="s">
        <v>2577</v>
      </c>
      <c r="B851" s="11">
        <v>56.0</v>
      </c>
      <c r="C851" s="11" t="s">
        <v>38</v>
      </c>
      <c r="D851" s="11" t="s">
        <v>66</v>
      </c>
      <c r="E851" s="11" t="s">
        <v>109</v>
      </c>
      <c r="F851" s="12">
        <v>45118.0</v>
      </c>
      <c r="G851" s="11" t="s">
        <v>2578</v>
      </c>
      <c r="H851" s="11" t="s">
        <v>2579</v>
      </c>
      <c r="I851" s="11" t="s">
        <v>32</v>
      </c>
      <c r="J851" s="11">
        <v>20514.4001787807</v>
      </c>
      <c r="K851" s="11">
        <v>214.0</v>
      </c>
      <c r="L851" s="11" t="s">
        <v>50</v>
      </c>
      <c r="M851" s="12">
        <v>45139.0</v>
      </c>
      <c r="N851" s="11" t="s">
        <v>34</v>
      </c>
      <c r="O851" s="11" t="s">
        <v>51</v>
      </c>
    </row>
    <row r="852">
      <c r="A852" s="10" t="s">
        <v>2580</v>
      </c>
      <c r="B852" s="11">
        <v>38.0</v>
      </c>
      <c r="C852" s="11" t="s">
        <v>17</v>
      </c>
      <c r="D852" s="11" t="s">
        <v>28</v>
      </c>
      <c r="E852" s="11" t="s">
        <v>19</v>
      </c>
      <c r="F852" s="12">
        <v>45371.0</v>
      </c>
      <c r="G852" s="11" t="s">
        <v>2581</v>
      </c>
      <c r="H852" s="11" t="s">
        <v>2582</v>
      </c>
      <c r="I852" s="11" t="s">
        <v>22</v>
      </c>
      <c r="J852" s="11">
        <v>47700.5375286225</v>
      </c>
      <c r="K852" s="11">
        <v>303.0</v>
      </c>
      <c r="L852" s="11" t="s">
        <v>33</v>
      </c>
      <c r="M852" s="12">
        <v>45387.0</v>
      </c>
      <c r="N852" s="11" t="s">
        <v>57</v>
      </c>
      <c r="O852" s="11" t="s">
        <v>25</v>
      </c>
    </row>
    <row r="853">
      <c r="A853" s="10" t="s">
        <v>2583</v>
      </c>
      <c r="B853" s="11">
        <v>33.0</v>
      </c>
      <c r="C853" s="11" t="s">
        <v>17</v>
      </c>
      <c r="D853" s="11" t="s">
        <v>54</v>
      </c>
      <c r="E853" s="11" t="s">
        <v>88</v>
      </c>
      <c r="F853" s="12">
        <v>44505.0</v>
      </c>
      <c r="G853" s="11" t="s">
        <v>2584</v>
      </c>
      <c r="H853" s="11" t="s">
        <v>2585</v>
      </c>
      <c r="I853" s="11" t="s">
        <v>32</v>
      </c>
      <c r="J853" s="11">
        <v>2462.21031957497</v>
      </c>
      <c r="K853" s="11">
        <v>329.0</v>
      </c>
      <c r="L853" s="11" t="s">
        <v>23</v>
      </c>
      <c r="M853" s="12">
        <v>44506.0</v>
      </c>
      <c r="N853" s="11" t="s">
        <v>24</v>
      </c>
      <c r="O853" s="11" t="s">
        <v>35</v>
      </c>
    </row>
    <row r="854">
      <c r="A854" s="10" t="s">
        <v>2586</v>
      </c>
      <c r="B854" s="11">
        <v>25.0</v>
      </c>
      <c r="C854" s="11" t="s">
        <v>17</v>
      </c>
      <c r="D854" s="11" t="s">
        <v>141</v>
      </c>
      <c r="E854" s="11" t="s">
        <v>88</v>
      </c>
      <c r="F854" s="12">
        <v>45165.0</v>
      </c>
      <c r="G854" s="11" t="s">
        <v>2587</v>
      </c>
      <c r="H854" s="11" t="s">
        <v>2588</v>
      </c>
      <c r="I854" s="11" t="s">
        <v>42</v>
      </c>
      <c r="J854" s="11">
        <v>31401.5018502849</v>
      </c>
      <c r="K854" s="11">
        <v>265.0</v>
      </c>
      <c r="L854" s="11" t="s">
        <v>23</v>
      </c>
      <c r="M854" s="12">
        <v>45166.0</v>
      </c>
      <c r="N854" s="11" t="s">
        <v>91</v>
      </c>
      <c r="O854" s="11" t="s">
        <v>35</v>
      </c>
    </row>
    <row r="855">
      <c r="A855" s="10" t="s">
        <v>2589</v>
      </c>
      <c r="B855" s="11">
        <v>66.0</v>
      </c>
      <c r="C855" s="11" t="s">
        <v>38</v>
      </c>
      <c r="D855" s="11" t="s">
        <v>18</v>
      </c>
      <c r="E855" s="11" t="s">
        <v>29</v>
      </c>
      <c r="F855" s="12">
        <v>44707.0</v>
      </c>
      <c r="G855" s="11" t="s">
        <v>2590</v>
      </c>
      <c r="H855" s="11" t="s">
        <v>2591</v>
      </c>
      <c r="I855" s="11" t="s">
        <v>63</v>
      </c>
      <c r="J855" s="11">
        <v>20749.8628181168</v>
      </c>
      <c r="K855" s="11">
        <v>179.0</v>
      </c>
      <c r="L855" s="11" t="s">
        <v>50</v>
      </c>
      <c r="M855" s="12">
        <v>44711.0</v>
      </c>
      <c r="N855" s="11" t="s">
        <v>24</v>
      </c>
      <c r="O855" s="11" t="s">
        <v>35</v>
      </c>
    </row>
    <row r="856">
      <c r="A856" s="10" t="s">
        <v>2592</v>
      </c>
      <c r="B856" s="11">
        <v>47.0</v>
      </c>
      <c r="C856" s="11" t="s">
        <v>17</v>
      </c>
      <c r="D856" s="11" t="s">
        <v>119</v>
      </c>
      <c r="E856" s="11" t="s">
        <v>88</v>
      </c>
      <c r="F856" s="12">
        <v>44452.0</v>
      </c>
      <c r="G856" s="11" t="s">
        <v>2593</v>
      </c>
      <c r="H856" s="11" t="s">
        <v>2594</v>
      </c>
      <c r="I856" s="11" t="s">
        <v>22</v>
      </c>
      <c r="J856" s="11">
        <v>47297.4190743691</v>
      </c>
      <c r="K856" s="11">
        <v>389.0</v>
      </c>
      <c r="L856" s="11" t="s">
        <v>33</v>
      </c>
      <c r="M856" s="12">
        <v>44455.0</v>
      </c>
      <c r="N856" s="11" t="s">
        <v>91</v>
      </c>
      <c r="O856" s="11" t="s">
        <v>25</v>
      </c>
    </row>
    <row r="857">
      <c r="A857" s="10" t="s">
        <v>2595</v>
      </c>
      <c r="B857" s="11">
        <v>53.0</v>
      </c>
      <c r="C857" s="11" t="s">
        <v>38</v>
      </c>
      <c r="D857" s="11" t="s">
        <v>141</v>
      </c>
      <c r="E857" s="11" t="s">
        <v>29</v>
      </c>
      <c r="F857" s="12">
        <v>45361.0</v>
      </c>
      <c r="G857" s="11" t="s">
        <v>2596</v>
      </c>
      <c r="H857" s="11" t="s">
        <v>2597</v>
      </c>
      <c r="I857" s="11" t="s">
        <v>42</v>
      </c>
      <c r="J857" s="11">
        <v>26223.1658347895</v>
      </c>
      <c r="K857" s="11">
        <v>122.0</v>
      </c>
      <c r="L857" s="11" t="s">
        <v>23</v>
      </c>
      <c r="M857" s="12">
        <v>45366.0</v>
      </c>
      <c r="N857" s="11" t="s">
        <v>57</v>
      </c>
      <c r="O857" s="11" t="s">
        <v>25</v>
      </c>
    </row>
    <row r="858">
      <c r="A858" s="10" t="s">
        <v>2598</v>
      </c>
      <c r="B858" s="11">
        <v>37.0</v>
      </c>
      <c r="C858" s="11" t="s">
        <v>17</v>
      </c>
      <c r="D858" s="11" t="s">
        <v>54</v>
      </c>
      <c r="E858" s="11" t="s">
        <v>60</v>
      </c>
      <c r="F858" s="12">
        <v>44830.0</v>
      </c>
      <c r="G858" s="11" t="s">
        <v>2599</v>
      </c>
      <c r="H858" s="11" t="s">
        <v>2600</v>
      </c>
      <c r="I858" s="11" t="s">
        <v>73</v>
      </c>
      <c r="J858" s="11">
        <v>35821.649335478</v>
      </c>
      <c r="K858" s="11">
        <v>230.0</v>
      </c>
      <c r="L858" s="11" t="s">
        <v>23</v>
      </c>
      <c r="M858" s="12">
        <v>44858.0</v>
      </c>
      <c r="N858" s="11" t="s">
        <v>24</v>
      </c>
      <c r="O858" s="11" t="s">
        <v>25</v>
      </c>
    </row>
    <row r="859">
      <c r="A859" s="10" t="s">
        <v>2601</v>
      </c>
      <c r="B859" s="11">
        <v>56.0</v>
      </c>
      <c r="C859" s="11" t="s">
        <v>17</v>
      </c>
      <c r="D859" s="11" t="s">
        <v>39</v>
      </c>
      <c r="E859" s="11" t="s">
        <v>109</v>
      </c>
      <c r="F859" s="12">
        <v>43825.0</v>
      </c>
      <c r="G859" s="11" t="s">
        <v>2602</v>
      </c>
      <c r="H859" s="11" t="s">
        <v>2603</v>
      </c>
      <c r="I859" s="11" t="s">
        <v>32</v>
      </c>
      <c r="J859" s="11">
        <v>21633.3277634366</v>
      </c>
      <c r="K859" s="11">
        <v>111.0</v>
      </c>
      <c r="L859" s="11" t="s">
        <v>50</v>
      </c>
      <c r="M859" s="12">
        <v>43826.0</v>
      </c>
      <c r="N859" s="11" t="s">
        <v>24</v>
      </c>
      <c r="O859" s="11" t="s">
        <v>35</v>
      </c>
    </row>
    <row r="860">
      <c r="A860" s="10" t="s">
        <v>2604</v>
      </c>
      <c r="B860" s="11">
        <v>51.0</v>
      </c>
      <c r="C860" s="11" t="s">
        <v>17</v>
      </c>
      <c r="D860" s="11" t="s">
        <v>39</v>
      </c>
      <c r="E860" s="11" t="s">
        <v>109</v>
      </c>
      <c r="F860" s="12">
        <v>44214.0</v>
      </c>
      <c r="G860" s="11" t="s">
        <v>2605</v>
      </c>
      <c r="H860" s="11" t="s">
        <v>2606</v>
      </c>
      <c r="I860" s="11" t="s">
        <v>22</v>
      </c>
      <c r="J860" s="11">
        <v>39448.8865093978</v>
      </c>
      <c r="K860" s="11">
        <v>124.0</v>
      </c>
      <c r="L860" s="11" t="s">
        <v>50</v>
      </c>
      <c r="M860" s="12">
        <v>44238.0</v>
      </c>
      <c r="N860" s="11" t="s">
        <v>43</v>
      </c>
      <c r="O860" s="11" t="s">
        <v>35</v>
      </c>
    </row>
    <row r="861">
      <c r="A861" s="10" t="s">
        <v>2607</v>
      </c>
      <c r="B861" s="11">
        <v>40.0</v>
      </c>
      <c r="C861" s="11" t="s">
        <v>38</v>
      </c>
      <c r="D861" s="11" t="s">
        <v>141</v>
      </c>
      <c r="E861" s="11" t="s">
        <v>19</v>
      </c>
      <c r="F861" s="12">
        <v>44250.0</v>
      </c>
      <c r="G861" s="11" t="s">
        <v>2608</v>
      </c>
      <c r="H861" s="11" t="s">
        <v>2609</v>
      </c>
      <c r="I861" s="11" t="s">
        <v>32</v>
      </c>
      <c r="J861" s="11">
        <v>8867.74666914176</v>
      </c>
      <c r="K861" s="11">
        <v>302.0</v>
      </c>
      <c r="L861" s="11" t="s">
        <v>33</v>
      </c>
      <c r="M861" s="12">
        <v>44275.0</v>
      </c>
      <c r="N861" s="11" t="s">
        <v>91</v>
      </c>
      <c r="O861" s="11" t="s">
        <v>35</v>
      </c>
    </row>
    <row r="862">
      <c r="A862" s="10" t="s">
        <v>2610</v>
      </c>
      <c r="B862" s="11">
        <v>56.0</v>
      </c>
      <c r="C862" s="11" t="s">
        <v>38</v>
      </c>
      <c r="D862" s="11" t="s">
        <v>54</v>
      </c>
      <c r="E862" s="11" t="s">
        <v>109</v>
      </c>
      <c r="F862" s="12">
        <v>43905.0</v>
      </c>
      <c r="G862" s="11" t="s">
        <v>2611</v>
      </c>
      <c r="H862" s="11" t="s">
        <v>2612</v>
      </c>
      <c r="I862" s="11" t="s">
        <v>73</v>
      </c>
      <c r="J862" s="11">
        <v>5571.23524567007</v>
      </c>
      <c r="K862" s="11">
        <v>192.0</v>
      </c>
      <c r="L862" s="11" t="s">
        <v>50</v>
      </c>
      <c r="M862" s="12">
        <v>43912.0</v>
      </c>
      <c r="N862" s="11" t="s">
        <v>24</v>
      </c>
      <c r="O862" s="11" t="s">
        <v>25</v>
      </c>
    </row>
    <row r="863">
      <c r="A863" s="10" t="s">
        <v>2613</v>
      </c>
      <c r="B863" s="11">
        <v>76.0</v>
      </c>
      <c r="C863" s="11" t="s">
        <v>17</v>
      </c>
      <c r="D863" s="11" t="s">
        <v>28</v>
      </c>
      <c r="E863" s="11" t="s">
        <v>60</v>
      </c>
      <c r="F863" s="12">
        <v>43730.0</v>
      </c>
      <c r="G863" s="11" t="s">
        <v>2614</v>
      </c>
      <c r="H863" s="11" t="s">
        <v>2615</v>
      </c>
      <c r="I863" s="11" t="s">
        <v>42</v>
      </c>
      <c r="J863" s="11">
        <v>13014.3300004474</v>
      </c>
      <c r="K863" s="11">
        <v>108.0</v>
      </c>
      <c r="L863" s="11" t="s">
        <v>33</v>
      </c>
      <c r="M863" s="12">
        <v>43736.0</v>
      </c>
      <c r="N863" s="11" t="s">
        <v>43</v>
      </c>
      <c r="O863" s="11" t="s">
        <v>51</v>
      </c>
    </row>
    <row r="864">
      <c r="A864" s="10" t="s">
        <v>2616</v>
      </c>
      <c r="B864" s="11">
        <v>81.0</v>
      </c>
      <c r="C864" s="11" t="s">
        <v>17</v>
      </c>
      <c r="D864" s="11" t="s">
        <v>54</v>
      </c>
      <c r="E864" s="11" t="s">
        <v>29</v>
      </c>
      <c r="F864" s="12">
        <v>45267.0</v>
      </c>
      <c r="G864" s="11" t="s">
        <v>2617</v>
      </c>
      <c r="H864" s="11" t="s">
        <v>2618</v>
      </c>
      <c r="I864" s="11" t="s">
        <v>42</v>
      </c>
      <c r="J864" s="11">
        <v>27828.9395181477</v>
      </c>
      <c r="K864" s="11">
        <v>226.0</v>
      </c>
      <c r="L864" s="11" t="s">
        <v>33</v>
      </c>
      <c r="M864" s="12">
        <v>45273.0</v>
      </c>
      <c r="N864" s="11" t="s">
        <v>34</v>
      </c>
      <c r="O864" s="11" t="s">
        <v>51</v>
      </c>
    </row>
    <row r="865">
      <c r="A865" s="10" t="s">
        <v>2619</v>
      </c>
      <c r="B865" s="11">
        <v>84.0</v>
      </c>
      <c r="C865" s="11" t="s">
        <v>38</v>
      </c>
      <c r="D865" s="11" t="s">
        <v>141</v>
      </c>
      <c r="E865" s="11" t="s">
        <v>109</v>
      </c>
      <c r="F865" s="12">
        <v>44013.0</v>
      </c>
      <c r="G865" s="11" t="s">
        <v>2620</v>
      </c>
      <c r="H865" s="11" t="s">
        <v>2621</v>
      </c>
      <c r="I865" s="11" t="s">
        <v>42</v>
      </c>
      <c r="J865" s="11">
        <v>36931.4828491646</v>
      </c>
      <c r="K865" s="11">
        <v>337.0</v>
      </c>
      <c r="L865" s="11" t="s">
        <v>50</v>
      </c>
      <c r="M865" s="12">
        <v>44021.0</v>
      </c>
      <c r="N865" s="11" t="s">
        <v>24</v>
      </c>
      <c r="O865" s="11" t="s">
        <v>25</v>
      </c>
    </row>
    <row r="866">
      <c r="A866" s="10" t="s">
        <v>2622</v>
      </c>
      <c r="B866" s="11">
        <v>54.0</v>
      </c>
      <c r="C866" s="11" t="s">
        <v>17</v>
      </c>
      <c r="D866" s="11" t="s">
        <v>46</v>
      </c>
      <c r="E866" s="11" t="s">
        <v>29</v>
      </c>
      <c r="F866" s="12">
        <v>43963.0</v>
      </c>
      <c r="G866" s="11" t="s">
        <v>2623</v>
      </c>
      <c r="H866" s="11" t="s">
        <v>2624</v>
      </c>
      <c r="I866" s="11" t="s">
        <v>32</v>
      </c>
      <c r="J866" s="11">
        <v>41307.8958291383</v>
      </c>
      <c r="K866" s="11">
        <v>141.0</v>
      </c>
      <c r="L866" s="11" t="s">
        <v>50</v>
      </c>
      <c r="M866" s="12">
        <v>43968.0</v>
      </c>
      <c r="N866" s="11" t="s">
        <v>57</v>
      </c>
      <c r="O866" s="11" t="s">
        <v>25</v>
      </c>
    </row>
    <row r="867">
      <c r="A867" s="10" t="s">
        <v>2625</v>
      </c>
      <c r="B867" s="11">
        <v>40.0</v>
      </c>
      <c r="C867" s="11" t="s">
        <v>17</v>
      </c>
      <c r="D867" s="11" t="s">
        <v>119</v>
      </c>
      <c r="E867" s="11" t="s">
        <v>60</v>
      </c>
      <c r="F867" s="12">
        <v>44802.0</v>
      </c>
      <c r="G867" s="11" t="s">
        <v>2626</v>
      </c>
      <c r="H867" s="11" t="s">
        <v>2627</v>
      </c>
      <c r="I867" s="11" t="s">
        <v>32</v>
      </c>
      <c r="J867" s="11">
        <v>36632.3183545198</v>
      </c>
      <c r="K867" s="11">
        <v>476.0</v>
      </c>
      <c r="L867" s="11" t="s">
        <v>23</v>
      </c>
      <c r="M867" s="12">
        <v>44814.0</v>
      </c>
      <c r="N867" s="11" t="s">
        <v>57</v>
      </c>
      <c r="O867" s="11" t="s">
        <v>35</v>
      </c>
    </row>
    <row r="868">
      <c r="A868" s="10" t="s">
        <v>2628</v>
      </c>
      <c r="B868" s="11">
        <v>79.0</v>
      </c>
      <c r="C868" s="11" t="s">
        <v>17</v>
      </c>
      <c r="D868" s="11" t="s">
        <v>141</v>
      </c>
      <c r="E868" s="11" t="s">
        <v>19</v>
      </c>
      <c r="F868" s="12">
        <v>43770.0</v>
      </c>
      <c r="G868" s="11" t="s">
        <v>2629</v>
      </c>
      <c r="H868" s="11" t="s">
        <v>2630</v>
      </c>
      <c r="I868" s="11" t="s">
        <v>22</v>
      </c>
      <c r="J868" s="11">
        <v>17658.4724035534</v>
      </c>
      <c r="K868" s="11">
        <v>461.0</v>
      </c>
      <c r="L868" s="11" t="s">
        <v>33</v>
      </c>
      <c r="M868" s="12">
        <v>43788.0</v>
      </c>
      <c r="N868" s="11" t="s">
        <v>57</v>
      </c>
      <c r="O868" s="11" t="s">
        <v>35</v>
      </c>
    </row>
    <row r="869">
      <c r="A869" s="10" t="s">
        <v>2631</v>
      </c>
      <c r="B869" s="11">
        <v>52.0</v>
      </c>
      <c r="C869" s="11" t="s">
        <v>17</v>
      </c>
      <c r="D869" s="11" t="s">
        <v>66</v>
      </c>
      <c r="E869" s="11" t="s">
        <v>19</v>
      </c>
      <c r="F869" s="12">
        <v>43693.0</v>
      </c>
      <c r="G869" s="11" t="s">
        <v>2632</v>
      </c>
      <c r="H869" s="11" t="s">
        <v>2633</v>
      </c>
      <c r="I869" s="11" t="s">
        <v>22</v>
      </c>
      <c r="J869" s="11">
        <v>10034.7212646627</v>
      </c>
      <c r="K869" s="11">
        <v>362.0</v>
      </c>
      <c r="L869" s="11" t="s">
        <v>33</v>
      </c>
      <c r="M869" s="12">
        <v>43723.0</v>
      </c>
      <c r="N869" s="11" t="s">
        <v>24</v>
      </c>
      <c r="O869" s="11" t="s">
        <v>51</v>
      </c>
    </row>
    <row r="870">
      <c r="A870" s="10" t="s">
        <v>2634</v>
      </c>
      <c r="B870" s="11">
        <v>42.0</v>
      </c>
      <c r="C870" s="11" t="s">
        <v>17</v>
      </c>
      <c r="D870" s="11" t="s">
        <v>119</v>
      </c>
      <c r="E870" s="11" t="s">
        <v>47</v>
      </c>
      <c r="F870" s="12">
        <v>44255.0</v>
      </c>
      <c r="G870" s="11" t="s">
        <v>2635</v>
      </c>
      <c r="H870" s="11" t="s">
        <v>2636</v>
      </c>
      <c r="I870" s="11" t="s">
        <v>73</v>
      </c>
      <c r="J870" s="11">
        <v>7383.38335920499</v>
      </c>
      <c r="K870" s="11">
        <v>395.0</v>
      </c>
      <c r="L870" s="11" t="s">
        <v>33</v>
      </c>
      <c r="M870" s="12">
        <v>44269.0</v>
      </c>
      <c r="N870" s="11" t="s">
        <v>24</v>
      </c>
      <c r="O870" s="11" t="s">
        <v>25</v>
      </c>
    </row>
    <row r="871">
      <c r="A871" s="10" t="s">
        <v>2637</v>
      </c>
      <c r="B871" s="11">
        <v>41.0</v>
      </c>
      <c r="C871" s="11" t="s">
        <v>17</v>
      </c>
      <c r="D871" s="11" t="s">
        <v>28</v>
      </c>
      <c r="E871" s="11" t="s">
        <v>60</v>
      </c>
      <c r="F871" s="12">
        <v>44081.0</v>
      </c>
      <c r="G871" s="11" t="s">
        <v>2638</v>
      </c>
      <c r="H871" s="11" t="s">
        <v>2639</v>
      </c>
      <c r="I871" s="11" t="s">
        <v>22</v>
      </c>
      <c r="J871" s="11">
        <v>28974.4553263161</v>
      </c>
      <c r="K871" s="11">
        <v>377.0</v>
      </c>
      <c r="L871" s="11" t="s">
        <v>50</v>
      </c>
      <c r="M871" s="12">
        <v>44104.0</v>
      </c>
      <c r="N871" s="11" t="s">
        <v>24</v>
      </c>
      <c r="O871" s="11" t="s">
        <v>25</v>
      </c>
    </row>
    <row r="872">
      <c r="A872" s="10" t="s">
        <v>2640</v>
      </c>
      <c r="B872" s="11">
        <v>26.0</v>
      </c>
      <c r="C872" s="11" t="s">
        <v>17</v>
      </c>
      <c r="D872" s="11" t="s">
        <v>28</v>
      </c>
      <c r="E872" s="11" t="s">
        <v>109</v>
      </c>
      <c r="F872" s="12">
        <v>45338.0</v>
      </c>
      <c r="G872" s="11" t="s">
        <v>2641</v>
      </c>
      <c r="H872" s="11" t="s">
        <v>2642</v>
      </c>
      <c r="I872" s="11" t="s">
        <v>22</v>
      </c>
      <c r="J872" s="11">
        <v>4697.23433432292</v>
      </c>
      <c r="K872" s="11">
        <v>143.0</v>
      </c>
      <c r="L872" s="11" t="s">
        <v>50</v>
      </c>
      <c r="M872" s="12">
        <v>45350.0</v>
      </c>
      <c r="N872" s="11" t="s">
        <v>43</v>
      </c>
      <c r="O872" s="11" t="s">
        <v>51</v>
      </c>
    </row>
    <row r="873">
      <c r="A873" s="10" t="s">
        <v>2643</v>
      </c>
      <c r="B873" s="11">
        <v>76.0</v>
      </c>
      <c r="C873" s="11" t="s">
        <v>38</v>
      </c>
      <c r="D873" s="11" t="s">
        <v>119</v>
      </c>
      <c r="E873" s="11" t="s">
        <v>19</v>
      </c>
      <c r="F873" s="12">
        <v>44212.0</v>
      </c>
      <c r="G873" s="11" t="s">
        <v>2644</v>
      </c>
      <c r="H873" s="11" t="s">
        <v>2645</v>
      </c>
      <c r="I873" s="11" t="s">
        <v>73</v>
      </c>
      <c r="J873" s="11">
        <v>41150.1906871481</v>
      </c>
      <c r="K873" s="11">
        <v>244.0</v>
      </c>
      <c r="L873" s="11" t="s">
        <v>50</v>
      </c>
      <c r="M873" s="12">
        <v>44223.0</v>
      </c>
      <c r="N873" s="11" t="s">
        <v>91</v>
      </c>
      <c r="O873" s="11" t="s">
        <v>51</v>
      </c>
    </row>
    <row r="874">
      <c r="A874" s="10" t="s">
        <v>2646</v>
      </c>
      <c r="B874" s="11">
        <v>29.0</v>
      </c>
      <c r="C874" s="11" t="s">
        <v>38</v>
      </c>
      <c r="D874" s="11" t="s">
        <v>28</v>
      </c>
      <c r="E874" s="11" t="s">
        <v>109</v>
      </c>
      <c r="F874" s="12">
        <v>44957.0</v>
      </c>
      <c r="G874" s="11" t="s">
        <v>2647</v>
      </c>
      <c r="H874" s="11" t="s">
        <v>2648</v>
      </c>
      <c r="I874" s="11" t="s">
        <v>73</v>
      </c>
      <c r="J874" s="11">
        <v>30324.4509103686</v>
      </c>
      <c r="K874" s="11">
        <v>156.0</v>
      </c>
      <c r="L874" s="11" t="s">
        <v>33</v>
      </c>
      <c r="M874" s="12">
        <v>44971.0</v>
      </c>
      <c r="N874" s="11" t="s">
        <v>57</v>
      </c>
      <c r="O874" s="11" t="s">
        <v>25</v>
      </c>
    </row>
    <row r="875">
      <c r="A875" s="10" t="s">
        <v>2649</v>
      </c>
      <c r="B875" s="11">
        <v>19.0</v>
      </c>
      <c r="C875" s="11" t="s">
        <v>17</v>
      </c>
      <c r="D875" s="11" t="s">
        <v>18</v>
      </c>
      <c r="E875" s="11" t="s">
        <v>88</v>
      </c>
      <c r="F875" s="12">
        <v>44771.0</v>
      </c>
      <c r="G875" s="11" t="s">
        <v>2650</v>
      </c>
      <c r="H875" s="11" t="s">
        <v>2651</v>
      </c>
      <c r="I875" s="11" t="s">
        <v>32</v>
      </c>
      <c r="J875" s="11">
        <v>33646.1140908455</v>
      </c>
      <c r="K875" s="11">
        <v>457.0</v>
      </c>
      <c r="L875" s="11" t="s">
        <v>33</v>
      </c>
      <c r="M875" s="12">
        <v>44794.0</v>
      </c>
      <c r="N875" s="11" t="s">
        <v>57</v>
      </c>
      <c r="O875" s="11" t="s">
        <v>25</v>
      </c>
    </row>
    <row r="876">
      <c r="A876" s="10" t="s">
        <v>2652</v>
      </c>
      <c r="B876" s="11">
        <v>30.0</v>
      </c>
      <c r="C876" s="11" t="s">
        <v>38</v>
      </c>
      <c r="D876" s="11" t="s">
        <v>141</v>
      </c>
      <c r="E876" s="11" t="s">
        <v>47</v>
      </c>
      <c r="F876" s="12">
        <v>44678.0</v>
      </c>
      <c r="G876" s="11" t="s">
        <v>2653</v>
      </c>
      <c r="H876" s="11" t="s">
        <v>2654</v>
      </c>
      <c r="I876" s="11" t="s">
        <v>73</v>
      </c>
      <c r="J876" s="11">
        <v>46717.9501109654</v>
      </c>
      <c r="K876" s="11">
        <v>147.0</v>
      </c>
      <c r="L876" s="11" t="s">
        <v>23</v>
      </c>
      <c r="M876" s="12">
        <v>44682.0</v>
      </c>
      <c r="N876" s="11" t="s">
        <v>57</v>
      </c>
      <c r="O876" s="11" t="s">
        <v>35</v>
      </c>
    </row>
    <row r="877">
      <c r="A877" s="10" t="s">
        <v>2655</v>
      </c>
      <c r="B877" s="11">
        <v>37.0</v>
      </c>
      <c r="C877" s="11" t="s">
        <v>38</v>
      </c>
      <c r="D877" s="11" t="s">
        <v>141</v>
      </c>
      <c r="E877" s="11" t="s">
        <v>60</v>
      </c>
      <c r="F877" s="12">
        <v>43988.0</v>
      </c>
      <c r="G877" s="11" t="s">
        <v>2656</v>
      </c>
      <c r="H877" s="11" t="s">
        <v>2657</v>
      </c>
      <c r="I877" s="11" t="s">
        <v>42</v>
      </c>
      <c r="J877" s="11">
        <v>49997.3263696861</v>
      </c>
      <c r="K877" s="11">
        <v>427.0</v>
      </c>
      <c r="L877" s="11" t="s">
        <v>50</v>
      </c>
      <c r="M877" s="12">
        <v>44004.0</v>
      </c>
      <c r="N877" s="11" t="s">
        <v>43</v>
      </c>
      <c r="O877" s="11" t="s">
        <v>25</v>
      </c>
    </row>
    <row r="878">
      <c r="A878" s="10" t="s">
        <v>2658</v>
      </c>
      <c r="B878" s="11">
        <v>82.0</v>
      </c>
      <c r="C878" s="11" t="s">
        <v>38</v>
      </c>
      <c r="D878" s="11" t="s">
        <v>66</v>
      </c>
      <c r="E878" s="11" t="s">
        <v>60</v>
      </c>
      <c r="F878" s="12">
        <v>43771.0</v>
      </c>
      <c r="G878" s="11" t="s">
        <v>2659</v>
      </c>
      <c r="H878" s="11" t="s">
        <v>2660</v>
      </c>
      <c r="I878" s="11" t="s">
        <v>22</v>
      </c>
      <c r="J878" s="11">
        <v>38397.0233221755</v>
      </c>
      <c r="K878" s="11">
        <v>316.0</v>
      </c>
      <c r="L878" s="11" t="s">
        <v>50</v>
      </c>
      <c r="M878" s="12">
        <v>43797.0</v>
      </c>
      <c r="N878" s="11" t="s">
        <v>57</v>
      </c>
      <c r="O878" s="11" t="s">
        <v>51</v>
      </c>
    </row>
    <row r="879">
      <c r="A879" s="10" t="s">
        <v>2661</v>
      </c>
      <c r="B879" s="11">
        <v>84.0</v>
      </c>
      <c r="C879" s="11" t="s">
        <v>38</v>
      </c>
      <c r="D879" s="11" t="s">
        <v>119</v>
      </c>
      <c r="E879" s="11" t="s">
        <v>29</v>
      </c>
      <c r="F879" s="12">
        <v>44816.0</v>
      </c>
      <c r="G879" s="11" t="s">
        <v>2662</v>
      </c>
      <c r="H879" s="11" t="s">
        <v>2663</v>
      </c>
      <c r="I879" s="11" t="s">
        <v>63</v>
      </c>
      <c r="J879" s="11">
        <v>10135.8655242559</v>
      </c>
      <c r="K879" s="11">
        <v>469.0</v>
      </c>
      <c r="L879" s="11" t="s">
        <v>23</v>
      </c>
      <c r="M879" s="12">
        <v>44826.0</v>
      </c>
      <c r="N879" s="11" t="s">
        <v>24</v>
      </c>
      <c r="O879" s="11" t="s">
        <v>35</v>
      </c>
    </row>
    <row r="880">
      <c r="A880" s="10" t="s">
        <v>2664</v>
      </c>
      <c r="B880" s="11">
        <v>52.0</v>
      </c>
      <c r="C880" s="11" t="s">
        <v>38</v>
      </c>
      <c r="D880" s="11" t="s">
        <v>28</v>
      </c>
      <c r="E880" s="11" t="s">
        <v>109</v>
      </c>
      <c r="F880" s="12">
        <v>44206.0</v>
      </c>
      <c r="G880" s="11" t="s">
        <v>2665</v>
      </c>
      <c r="H880" s="11" t="s">
        <v>1592</v>
      </c>
      <c r="I880" s="11" t="s">
        <v>42</v>
      </c>
      <c r="J880" s="11">
        <v>25685.6257609646</v>
      </c>
      <c r="K880" s="11">
        <v>260.0</v>
      </c>
      <c r="L880" s="11" t="s">
        <v>33</v>
      </c>
      <c r="M880" s="12">
        <v>44221.0</v>
      </c>
      <c r="N880" s="11" t="s">
        <v>24</v>
      </c>
      <c r="O880" s="11" t="s">
        <v>51</v>
      </c>
    </row>
    <row r="881">
      <c r="A881" s="10" t="s">
        <v>2666</v>
      </c>
      <c r="B881" s="11">
        <v>75.0</v>
      </c>
      <c r="C881" s="11" t="s">
        <v>38</v>
      </c>
      <c r="D881" s="11" t="s">
        <v>18</v>
      </c>
      <c r="E881" s="11" t="s">
        <v>88</v>
      </c>
      <c r="F881" s="12">
        <v>43774.0</v>
      </c>
      <c r="G881" s="11" t="s">
        <v>2667</v>
      </c>
      <c r="H881" s="11" t="s">
        <v>2668</v>
      </c>
      <c r="I881" s="11" t="s">
        <v>22</v>
      </c>
      <c r="J881" s="11">
        <v>6007.69394274639</v>
      </c>
      <c r="K881" s="11">
        <v>426.0</v>
      </c>
      <c r="L881" s="11" t="s">
        <v>33</v>
      </c>
      <c r="M881" s="12">
        <v>43777.0</v>
      </c>
      <c r="N881" s="11" t="s">
        <v>43</v>
      </c>
      <c r="O881" s="11" t="s">
        <v>35</v>
      </c>
    </row>
    <row r="882">
      <c r="A882" s="10" t="s">
        <v>2669</v>
      </c>
      <c r="B882" s="11">
        <v>30.0</v>
      </c>
      <c r="C882" s="11" t="s">
        <v>17</v>
      </c>
      <c r="D882" s="11" t="s">
        <v>28</v>
      </c>
      <c r="E882" s="11" t="s">
        <v>19</v>
      </c>
      <c r="F882" s="12">
        <v>44244.0</v>
      </c>
      <c r="G882" s="11" t="s">
        <v>2670</v>
      </c>
      <c r="H882" s="11" t="s">
        <v>2671</v>
      </c>
      <c r="I882" s="11" t="s">
        <v>22</v>
      </c>
      <c r="J882" s="11">
        <v>7609.436016567</v>
      </c>
      <c r="K882" s="11">
        <v>404.0</v>
      </c>
      <c r="L882" s="11" t="s">
        <v>23</v>
      </c>
      <c r="M882" s="12">
        <v>44262.0</v>
      </c>
      <c r="N882" s="11" t="s">
        <v>34</v>
      </c>
      <c r="O882" s="11" t="s">
        <v>51</v>
      </c>
    </row>
    <row r="883">
      <c r="A883" s="10" t="s">
        <v>2672</v>
      </c>
      <c r="B883" s="11">
        <v>76.0</v>
      </c>
      <c r="C883" s="11" t="s">
        <v>17</v>
      </c>
      <c r="D883" s="11" t="s">
        <v>39</v>
      </c>
      <c r="E883" s="11" t="s">
        <v>47</v>
      </c>
      <c r="F883" s="12">
        <v>45081.0</v>
      </c>
      <c r="G883" s="11" t="s">
        <v>2673</v>
      </c>
      <c r="H883" s="11" t="s">
        <v>2674</v>
      </c>
      <c r="I883" s="11" t="s">
        <v>32</v>
      </c>
      <c r="J883" s="11">
        <v>46287.0493098817</v>
      </c>
      <c r="K883" s="11">
        <v>451.0</v>
      </c>
      <c r="L883" s="11" t="s">
        <v>33</v>
      </c>
      <c r="M883" s="12">
        <v>45104.0</v>
      </c>
      <c r="N883" s="11" t="s">
        <v>24</v>
      </c>
      <c r="O883" s="11" t="s">
        <v>35</v>
      </c>
    </row>
    <row r="884">
      <c r="A884" s="10" t="s">
        <v>2675</v>
      </c>
      <c r="B884" s="11">
        <v>56.0</v>
      </c>
      <c r="C884" s="11" t="s">
        <v>17</v>
      </c>
      <c r="D884" s="11" t="s">
        <v>18</v>
      </c>
      <c r="E884" s="11" t="s">
        <v>47</v>
      </c>
      <c r="F884" s="12">
        <v>45176.0</v>
      </c>
      <c r="G884" s="11" t="s">
        <v>2676</v>
      </c>
      <c r="H884" s="11" t="s">
        <v>2677</v>
      </c>
      <c r="I884" s="11" t="s">
        <v>32</v>
      </c>
      <c r="J884" s="11">
        <v>19204.9177799971</v>
      </c>
      <c r="K884" s="11">
        <v>131.0</v>
      </c>
      <c r="L884" s="11" t="s">
        <v>33</v>
      </c>
      <c r="M884" s="12">
        <v>45205.0</v>
      </c>
      <c r="N884" s="11" t="s">
        <v>91</v>
      </c>
      <c r="O884" s="11" t="s">
        <v>35</v>
      </c>
    </row>
    <row r="885">
      <c r="A885" s="10" t="s">
        <v>2678</v>
      </c>
      <c r="B885" s="11">
        <v>65.0</v>
      </c>
      <c r="C885" s="11" t="s">
        <v>38</v>
      </c>
      <c r="D885" s="11" t="s">
        <v>141</v>
      </c>
      <c r="E885" s="11" t="s">
        <v>88</v>
      </c>
      <c r="F885" s="12">
        <v>44833.0</v>
      </c>
      <c r="G885" s="11" t="s">
        <v>2679</v>
      </c>
      <c r="H885" s="11" t="s">
        <v>2680</v>
      </c>
      <c r="I885" s="11" t="s">
        <v>63</v>
      </c>
      <c r="J885" s="11">
        <v>45019.0263132596</v>
      </c>
      <c r="K885" s="11">
        <v>237.0</v>
      </c>
      <c r="L885" s="11" t="s">
        <v>33</v>
      </c>
      <c r="M885" s="12">
        <v>44843.0</v>
      </c>
      <c r="N885" s="11" t="s">
        <v>24</v>
      </c>
      <c r="O885" s="11" t="s">
        <v>51</v>
      </c>
    </row>
    <row r="886">
      <c r="A886" s="10" t="s">
        <v>2681</v>
      </c>
      <c r="B886" s="11">
        <v>83.0</v>
      </c>
      <c r="C886" s="11" t="s">
        <v>38</v>
      </c>
      <c r="D886" s="11" t="s">
        <v>28</v>
      </c>
      <c r="E886" s="11" t="s">
        <v>29</v>
      </c>
      <c r="F886" s="12">
        <v>44595.0</v>
      </c>
      <c r="G886" s="11" t="s">
        <v>2682</v>
      </c>
      <c r="H886" s="11" t="s">
        <v>2683</v>
      </c>
      <c r="I886" s="11" t="s">
        <v>22</v>
      </c>
      <c r="J886" s="11">
        <v>44581.1534954096</v>
      </c>
      <c r="K886" s="11">
        <v>374.0</v>
      </c>
      <c r="L886" s="11" t="s">
        <v>23</v>
      </c>
      <c r="M886" s="12">
        <v>44600.0</v>
      </c>
      <c r="N886" s="11" t="s">
        <v>57</v>
      </c>
      <c r="O886" s="11" t="s">
        <v>51</v>
      </c>
    </row>
    <row r="887">
      <c r="A887" s="10" t="s">
        <v>2684</v>
      </c>
      <c r="B887" s="11">
        <v>43.0</v>
      </c>
      <c r="C887" s="11" t="s">
        <v>38</v>
      </c>
      <c r="D887" s="11" t="s">
        <v>119</v>
      </c>
      <c r="E887" s="11" t="s">
        <v>88</v>
      </c>
      <c r="F887" s="12">
        <v>45336.0</v>
      </c>
      <c r="G887" s="11" t="s">
        <v>2685</v>
      </c>
      <c r="H887" s="11" t="s">
        <v>2686</v>
      </c>
      <c r="I887" s="11" t="s">
        <v>32</v>
      </c>
      <c r="J887" s="11">
        <v>8726.69900648832</v>
      </c>
      <c r="K887" s="11">
        <v>164.0</v>
      </c>
      <c r="L887" s="11" t="s">
        <v>50</v>
      </c>
      <c r="M887" s="12">
        <v>45353.0</v>
      </c>
      <c r="N887" s="11" t="s">
        <v>57</v>
      </c>
      <c r="O887" s="11" t="s">
        <v>35</v>
      </c>
    </row>
    <row r="888">
      <c r="A888" s="10" t="s">
        <v>2687</v>
      </c>
      <c r="B888" s="11">
        <v>84.0</v>
      </c>
      <c r="C888" s="11" t="s">
        <v>17</v>
      </c>
      <c r="D888" s="11" t="s">
        <v>28</v>
      </c>
      <c r="E888" s="11" t="s">
        <v>88</v>
      </c>
      <c r="F888" s="12">
        <v>44084.0</v>
      </c>
      <c r="G888" s="11" t="s">
        <v>2688</v>
      </c>
      <c r="H888" s="11" t="s">
        <v>2689</v>
      </c>
      <c r="I888" s="11" t="s">
        <v>73</v>
      </c>
      <c r="J888" s="11">
        <v>41966.5689099778</v>
      </c>
      <c r="K888" s="11">
        <v>293.0</v>
      </c>
      <c r="L888" s="11" t="s">
        <v>23</v>
      </c>
      <c r="M888" s="12">
        <v>44095.0</v>
      </c>
      <c r="N888" s="11" t="s">
        <v>34</v>
      </c>
      <c r="O888" s="11" t="s">
        <v>35</v>
      </c>
    </row>
    <row r="889">
      <c r="A889" s="10" t="s">
        <v>2690</v>
      </c>
      <c r="B889" s="11">
        <v>84.0</v>
      </c>
      <c r="C889" s="11" t="s">
        <v>38</v>
      </c>
      <c r="D889" s="11" t="s">
        <v>119</v>
      </c>
      <c r="E889" s="11" t="s">
        <v>88</v>
      </c>
      <c r="F889" s="12">
        <v>44950.0</v>
      </c>
      <c r="G889" s="11" t="s">
        <v>2691</v>
      </c>
      <c r="H889" s="11" t="s">
        <v>2692</v>
      </c>
      <c r="I889" s="11" t="s">
        <v>22</v>
      </c>
      <c r="J889" s="11">
        <v>44255.3260106818</v>
      </c>
      <c r="K889" s="11">
        <v>102.0</v>
      </c>
      <c r="L889" s="11" t="s">
        <v>23</v>
      </c>
      <c r="M889" s="12">
        <v>44953.0</v>
      </c>
      <c r="N889" s="11" t="s">
        <v>91</v>
      </c>
      <c r="O889" s="11" t="s">
        <v>35</v>
      </c>
    </row>
    <row r="890">
      <c r="A890" s="10" t="s">
        <v>2693</v>
      </c>
      <c r="B890" s="11">
        <v>77.0</v>
      </c>
      <c r="C890" s="11" t="s">
        <v>17</v>
      </c>
      <c r="D890" s="11" t="s">
        <v>141</v>
      </c>
      <c r="E890" s="11" t="s">
        <v>29</v>
      </c>
      <c r="F890" s="12">
        <v>44470.0</v>
      </c>
      <c r="G890" s="11" t="s">
        <v>2694</v>
      </c>
      <c r="H890" s="11" t="s">
        <v>2695</v>
      </c>
      <c r="I890" s="11" t="s">
        <v>63</v>
      </c>
      <c r="J890" s="11">
        <v>43644.3370805813</v>
      </c>
      <c r="K890" s="11">
        <v>298.0</v>
      </c>
      <c r="L890" s="11" t="s">
        <v>33</v>
      </c>
      <c r="M890" s="12">
        <v>44492.0</v>
      </c>
      <c r="N890" s="11" t="s">
        <v>24</v>
      </c>
      <c r="O890" s="11" t="s">
        <v>51</v>
      </c>
    </row>
    <row r="891">
      <c r="A891" s="10" t="s">
        <v>2696</v>
      </c>
      <c r="B891" s="11">
        <v>60.0</v>
      </c>
      <c r="C891" s="11" t="s">
        <v>17</v>
      </c>
      <c r="D891" s="11" t="s">
        <v>46</v>
      </c>
      <c r="E891" s="11" t="s">
        <v>109</v>
      </c>
      <c r="F891" s="12">
        <v>44352.0</v>
      </c>
      <c r="G891" s="11" t="s">
        <v>2697</v>
      </c>
      <c r="H891" s="11" t="s">
        <v>2698</v>
      </c>
      <c r="I891" s="11" t="s">
        <v>22</v>
      </c>
      <c r="J891" s="11">
        <v>45304.3894975776</v>
      </c>
      <c r="K891" s="11">
        <v>424.0</v>
      </c>
      <c r="L891" s="11" t="s">
        <v>50</v>
      </c>
      <c r="M891" s="12">
        <v>44358.0</v>
      </c>
      <c r="N891" s="11" t="s">
        <v>57</v>
      </c>
      <c r="O891" s="11" t="s">
        <v>35</v>
      </c>
    </row>
    <row r="892">
      <c r="A892" s="10" t="s">
        <v>2699</v>
      </c>
      <c r="B892" s="11">
        <v>48.0</v>
      </c>
      <c r="C892" s="11" t="s">
        <v>17</v>
      </c>
      <c r="D892" s="11" t="s">
        <v>46</v>
      </c>
      <c r="E892" s="11" t="s">
        <v>109</v>
      </c>
      <c r="F892" s="12">
        <v>45147.0</v>
      </c>
      <c r="G892" s="11" t="s">
        <v>2700</v>
      </c>
      <c r="H892" s="11" t="s">
        <v>2701</v>
      </c>
      <c r="I892" s="11" t="s">
        <v>63</v>
      </c>
      <c r="J892" s="11">
        <v>18891.9209931502</v>
      </c>
      <c r="K892" s="11">
        <v>274.0</v>
      </c>
      <c r="L892" s="11" t="s">
        <v>23</v>
      </c>
      <c r="M892" s="12">
        <v>45164.0</v>
      </c>
      <c r="N892" s="11" t="s">
        <v>24</v>
      </c>
      <c r="O892" s="11" t="s">
        <v>35</v>
      </c>
    </row>
    <row r="893">
      <c r="A893" s="10" t="s">
        <v>2702</v>
      </c>
      <c r="B893" s="11">
        <v>80.0</v>
      </c>
      <c r="C893" s="11" t="s">
        <v>38</v>
      </c>
      <c r="D893" s="11" t="s">
        <v>18</v>
      </c>
      <c r="E893" s="11" t="s">
        <v>60</v>
      </c>
      <c r="F893" s="12">
        <v>44187.0</v>
      </c>
      <c r="G893" s="11" t="s">
        <v>2703</v>
      </c>
      <c r="H893" s="11" t="s">
        <v>2704</v>
      </c>
      <c r="I893" s="11" t="s">
        <v>42</v>
      </c>
      <c r="J893" s="11">
        <v>18381.5829500255</v>
      </c>
      <c r="K893" s="11">
        <v>261.0</v>
      </c>
      <c r="L893" s="11" t="s">
        <v>23</v>
      </c>
      <c r="M893" s="12">
        <v>44212.0</v>
      </c>
      <c r="N893" s="11" t="s">
        <v>34</v>
      </c>
      <c r="O893" s="11" t="s">
        <v>25</v>
      </c>
    </row>
    <row r="894">
      <c r="A894" s="10" t="s">
        <v>2705</v>
      </c>
      <c r="B894" s="11">
        <v>46.0</v>
      </c>
      <c r="C894" s="11" t="s">
        <v>17</v>
      </c>
      <c r="D894" s="11" t="s">
        <v>28</v>
      </c>
      <c r="E894" s="11" t="s">
        <v>88</v>
      </c>
      <c r="F894" s="12">
        <v>44733.0</v>
      </c>
      <c r="G894" s="11" t="s">
        <v>2706</v>
      </c>
      <c r="H894" s="11" t="s">
        <v>2707</v>
      </c>
      <c r="I894" s="11" t="s">
        <v>73</v>
      </c>
      <c r="J894" s="11">
        <v>42316.124269502</v>
      </c>
      <c r="K894" s="11">
        <v>360.0</v>
      </c>
      <c r="L894" s="11" t="s">
        <v>50</v>
      </c>
      <c r="M894" s="12">
        <v>44752.0</v>
      </c>
      <c r="N894" s="11" t="s">
        <v>24</v>
      </c>
      <c r="O894" s="11" t="s">
        <v>35</v>
      </c>
    </row>
    <row r="895">
      <c r="A895" s="10" t="s">
        <v>2708</v>
      </c>
      <c r="B895" s="11">
        <v>38.0</v>
      </c>
      <c r="C895" s="11" t="s">
        <v>17</v>
      </c>
      <c r="D895" s="11" t="s">
        <v>18</v>
      </c>
      <c r="E895" s="11" t="s">
        <v>109</v>
      </c>
      <c r="F895" s="12">
        <v>44321.0</v>
      </c>
      <c r="G895" s="11" t="s">
        <v>2709</v>
      </c>
      <c r="H895" s="11" t="s">
        <v>2710</v>
      </c>
      <c r="I895" s="11" t="s">
        <v>32</v>
      </c>
      <c r="J895" s="11">
        <v>15072.5709264739</v>
      </c>
      <c r="K895" s="11">
        <v>321.0</v>
      </c>
      <c r="L895" s="11" t="s">
        <v>50</v>
      </c>
      <c r="M895" s="12">
        <v>44331.0</v>
      </c>
      <c r="N895" s="11" t="s">
        <v>57</v>
      </c>
      <c r="O895" s="11" t="s">
        <v>51</v>
      </c>
    </row>
    <row r="896">
      <c r="A896" s="10" t="s">
        <v>2711</v>
      </c>
      <c r="B896" s="11">
        <v>72.0</v>
      </c>
      <c r="C896" s="11" t="s">
        <v>38</v>
      </c>
      <c r="D896" s="11" t="s">
        <v>39</v>
      </c>
      <c r="E896" s="11" t="s">
        <v>60</v>
      </c>
      <c r="F896" s="12">
        <v>45402.0</v>
      </c>
      <c r="G896" s="11" t="s">
        <v>2712</v>
      </c>
      <c r="H896" s="11" t="s">
        <v>2713</v>
      </c>
      <c r="I896" s="11" t="s">
        <v>73</v>
      </c>
      <c r="J896" s="11">
        <v>7380.731298358</v>
      </c>
      <c r="K896" s="11">
        <v>124.0</v>
      </c>
      <c r="L896" s="11" t="s">
        <v>50</v>
      </c>
      <c r="M896" s="12">
        <v>45422.0</v>
      </c>
      <c r="N896" s="11" t="s">
        <v>43</v>
      </c>
      <c r="O896" s="11" t="s">
        <v>25</v>
      </c>
    </row>
    <row r="897">
      <c r="A897" s="10" t="s">
        <v>2714</v>
      </c>
      <c r="B897" s="11">
        <v>70.0</v>
      </c>
      <c r="C897" s="11" t="s">
        <v>38</v>
      </c>
      <c r="D897" s="11" t="s">
        <v>28</v>
      </c>
      <c r="E897" s="11" t="s">
        <v>60</v>
      </c>
      <c r="F897" s="12">
        <v>44725.0</v>
      </c>
      <c r="G897" s="11" t="s">
        <v>2715</v>
      </c>
      <c r="H897" s="11" t="s">
        <v>2716</v>
      </c>
      <c r="I897" s="11" t="s">
        <v>63</v>
      </c>
      <c r="J897" s="11">
        <v>5936.36341146121</v>
      </c>
      <c r="K897" s="11">
        <v>117.0</v>
      </c>
      <c r="L897" s="11" t="s">
        <v>50</v>
      </c>
      <c r="M897" s="12">
        <v>44747.0</v>
      </c>
      <c r="N897" s="11" t="s">
        <v>91</v>
      </c>
      <c r="O897" s="11" t="s">
        <v>51</v>
      </c>
    </row>
    <row r="898">
      <c r="A898" s="10" t="s">
        <v>2717</v>
      </c>
      <c r="B898" s="11">
        <v>46.0</v>
      </c>
      <c r="C898" s="11" t="s">
        <v>38</v>
      </c>
      <c r="D898" s="11" t="s">
        <v>46</v>
      </c>
      <c r="E898" s="11" t="s">
        <v>88</v>
      </c>
      <c r="F898" s="12">
        <v>45170.0</v>
      </c>
      <c r="G898" s="11" t="s">
        <v>2718</v>
      </c>
      <c r="H898" s="11" t="s">
        <v>2719</v>
      </c>
      <c r="I898" s="11" t="s">
        <v>73</v>
      </c>
      <c r="J898" s="11">
        <v>7704.300990915</v>
      </c>
      <c r="K898" s="11">
        <v>331.0</v>
      </c>
      <c r="L898" s="11" t="s">
        <v>33</v>
      </c>
      <c r="M898" s="12">
        <v>45187.0</v>
      </c>
      <c r="N898" s="11" t="s">
        <v>57</v>
      </c>
      <c r="O898" s="11" t="s">
        <v>51</v>
      </c>
    </row>
    <row r="899">
      <c r="A899" s="10" t="s">
        <v>2720</v>
      </c>
      <c r="B899" s="11">
        <v>82.0</v>
      </c>
      <c r="C899" s="11" t="s">
        <v>17</v>
      </c>
      <c r="D899" s="11" t="s">
        <v>54</v>
      </c>
      <c r="E899" s="11" t="s">
        <v>19</v>
      </c>
      <c r="F899" s="12">
        <v>43904.0</v>
      </c>
      <c r="G899" s="11" t="s">
        <v>2721</v>
      </c>
      <c r="H899" s="11" t="s">
        <v>2722</v>
      </c>
      <c r="I899" s="11" t="s">
        <v>22</v>
      </c>
      <c r="J899" s="11">
        <v>12099.7931002341</v>
      </c>
      <c r="K899" s="11">
        <v>440.0</v>
      </c>
      <c r="L899" s="11" t="s">
        <v>23</v>
      </c>
      <c r="M899" s="12">
        <v>43922.0</v>
      </c>
      <c r="N899" s="11" t="s">
        <v>57</v>
      </c>
      <c r="O899" s="11" t="s">
        <v>25</v>
      </c>
    </row>
    <row r="900">
      <c r="A900" s="10" t="s">
        <v>2723</v>
      </c>
      <c r="B900" s="11">
        <v>44.0</v>
      </c>
      <c r="C900" s="11" t="s">
        <v>38</v>
      </c>
      <c r="D900" s="11" t="s">
        <v>28</v>
      </c>
      <c r="E900" s="11" t="s">
        <v>88</v>
      </c>
      <c r="F900" s="12">
        <v>44717.0</v>
      </c>
      <c r="G900" s="11" t="s">
        <v>2724</v>
      </c>
      <c r="H900" s="11" t="s">
        <v>2725</v>
      </c>
      <c r="I900" s="11" t="s">
        <v>22</v>
      </c>
      <c r="J900" s="11">
        <v>17202.8996414058</v>
      </c>
      <c r="K900" s="11">
        <v>308.0</v>
      </c>
      <c r="L900" s="11" t="s">
        <v>50</v>
      </c>
      <c r="M900" s="12">
        <v>44741.0</v>
      </c>
      <c r="N900" s="11" t="s">
        <v>34</v>
      </c>
      <c r="O900" s="11" t="s">
        <v>35</v>
      </c>
    </row>
    <row r="901">
      <c r="A901" s="10" t="s">
        <v>2726</v>
      </c>
      <c r="B901" s="11">
        <v>34.0</v>
      </c>
      <c r="C901" s="11" t="s">
        <v>38</v>
      </c>
      <c r="D901" s="11" t="s">
        <v>46</v>
      </c>
      <c r="E901" s="11" t="s">
        <v>60</v>
      </c>
      <c r="F901" s="12">
        <v>43818.0</v>
      </c>
      <c r="G901" s="11" t="s">
        <v>2727</v>
      </c>
      <c r="H901" s="11" t="s">
        <v>2728</v>
      </c>
      <c r="I901" s="11" t="s">
        <v>63</v>
      </c>
      <c r="J901" s="11">
        <v>25275.9442276636</v>
      </c>
      <c r="K901" s="11">
        <v>475.0</v>
      </c>
      <c r="L901" s="11" t="s">
        <v>23</v>
      </c>
      <c r="M901" s="12">
        <v>43846.0</v>
      </c>
      <c r="N901" s="11" t="s">
        <v>34</v>
      </c>
      <c r="O901" s="11" t="s">
        <v>35</v>
      </c>
    </row>
    <row r="902">
      <c r="A902" s="10" t="s">
        <v>2729</v>
      </c>
      <c r="B902" s="11">
        <v>49.0</v>
      </c>
      <c r="C902" s="11" t="s">
        <v>17</v>
      </c>
      <c r="D902" s="11" t="s">
        <v>39</v>
      </c>
      <c r="E902" s="11" t="s">
        <v>88</v>
      </c>
      <c r="F902" s="12">
        <v>44171.0</v>
      </c>
      <c r="G902" s="11" t="s">
        <v>2730</v>
      </c>
      <c r="H902" s="11" t="s">
        <v>2731</v>
      </c>
      <c r="I902" s="11" t="s">
        <v>42</v>
      </c>
      <c r="J902" s="11">
        <v>17002.3032707143</v>
      </c>
      <c r="K902" s="11">
        <v>194.0</v>
      </c>
      <c r="L902" s="11" t="s">
        <v>33</v>
      </c>
      <c r="M902" s="12">
        <v>44174.0</v>
      </c>
      <c r="N902" s="11" t="s">
        <v>34</v>
      </c>
      <c r="O902" s="11" t="s">
        <v>25</v>
      </c>
    </row>
    <row r="903">
      <c r="A903" s="10" t="s">
        <v>2348</v>
      </c>
      <c r="B903" s="11">
        <v>44.0</v>
      </c>
      <c r="C903" s="11" t="s">
        <v>38</v>
      </c>
      <c r="D903" s="11" t="s">
        <v>119</v>
      </c>
      <c r="E903" s="11" t="s">
        <v>19</v>
      </c>
      <c r="F903" s="12">
        <v>43598.0</v>
      </c>
      <c r="G903" s="11" t="s">
        <v>2732</v>
      </c>
      <c r="H903" s="11" t="s">
        <v>2733</v>
      </c>
      <c r="I903" s="11" t="s">
        <v>32</v>
      </c>
      <c r="J903" s="11">
        <v>4794.75135454625</v>
      </c>
      <c r="K903" s="11">
        <v>382.0</v>
      </c>
      <c r="L903" s="11" t="s">
        <v>33</v>
      </c>
      <c r="M903" s="12">
        <v>43626.0</v>
      </c>
      <c r="N903" s="11" t="s">
        <v>24</v>
      </c>
      <c r="O903" s="11" t="s">
        <v>35</v>
      </c>
    </row>
    <row r="904">
      <c r="A904" s="10" t="s">
        <v>2734</v>
      </c>
      <c r="B904" s="11">
        <v>37.0</v>
      </c>
      <c r="C904" s="11" t="s">
        <v>17</v>
      </c>
      <c r="D904" s="11" t="s">
        <v>39</v>
      </c>
      <c r="E904" s="11" t="s">
        <v>88</v>
      </c>
      <c r="F904" s="12">
        <v>44943.0</v>
      </c>
      <c r="G904" s="11" t="s">
        <v>2735</v>
      </c>
      <c r="H904" s="11" t="s">
        <v>2736</v>
      </c>
      <c r="I904" s="11" t="s">
        <v>73</v>
      </c>
      <c r="J904" s="11">
        <v>7241.19598889808</v>
      </c>
      <c r="K904" s="11">
        <v>316.0</v>
      </c>
      <c r="L904" s="11" t="s">
        <v>50</v>
      </c>
      <c r="M904" s="12">
        <v>44962.0</v>
      </c>
      <c r="N904" s="11" t="s">
        <v>57</v>
      </c>
      <c r="O904" s="11" t="s">
        <v>25</v>
      </c>
    </row>
    <row r="905">
      <c r="A905" s="10" t="s">
        <v>2737</v>
      </c>
      <c r="B905" s="11">
        <v>37.0</v>
      </c>
      <c r="C905" s="11" t="s">
        <v>17</v>
      </c>
      <c r="D905" s="11" t="s">
        <v>66</v>
      </c>
      <c r="E905" s="11" t="s">
        <v>109</v>
      </c>
      <c r="F905" s="12">
        <v>44770.0</v>
      </c>
      <c r="G905" s="11" t="s">
        <v>2738</v>
      </c>
      <c r="H905" s="11" t="s">
        <v>2739</v>
      </c>
      <c r="I905" s="11" t="s">
        <v>42</v>
      </c>
      <c r="J905" s="11">
        <v>45218.7410511559</v>
      </c>
      <c r="K905" s="11">
        <v>346.0</v>
      </c>
      <c r="L905" s="11" t="s">
        <v>50</v>
      </c>
      <c r="M905" s="12">
        <v>44789.0</v>
      </c>
      <c r="N905" s="11" t="s">
        <v>43</v>
      </c>
      <c r="O905" s="11" t="s">
        <v>51</v>
      </c>
    </row>
    <row r="906">
      <c r="A906" s="10" t="s">
        <v>2740</v>
      </c>
      <c r="B906" s="11">
        <v>58.0</v>
      </c>
      <c r="C906" s="11" t="s">
        <v>38</v>
      </c>
      <c r="D906" s="11" t="s">
        <v>46</v>
      </c>
      <c r="E906" s="11" t="s">
        <v>47</v>
      </c>
      <c r="F906" s="12">
        <v>44849.0</v>
      </c>
      <c r="G906" s="11" t="s">
        <v>2741</v>
      </c>
      <c r="H906" s="11" t="s">
        <v>2742</v>
      </c>
      <c r="I906" s="11" t="s">
        <v>73</v>
      </c>
      <c r="J906" s="11">
        <v>32052.0564587382</v>
      </c>
      <c r="K906" s="11">
        <v>109.0</v>
      </c>
      <c r="L906" s="11" t="s">
        <v>23</v>
      </c>
      <c r="M906" s="12">
        <v>44870.0</v>
      </c>
      <c r="N906" s="11" t="s">
        <v>34</v>
      </c>
      <c r="O906" s="11" t="s">
        <v>51</v>
      </c>
    </row>
    <row r="907">
      <c r="A907" s="10" t="s">
        <v>2743</v>
      </c>
      <c r="B907" s="11">
        <v>20.0</v>
      </c>
      <c r="C907" s="11" t="s">
        <v>38</v>
      </c>
      <c r="D907" s="11" t="s">
        <v>28</v>
      </c>
      <c r="E907" s="11" t="s">
        <v>29</v>
      </c>
      <c r="F907" s="12">
        <v>43976.0</v>
      </c>
      <c r="G907" s="11" t="s">
        <v>2744</v>
      </c>
      <c r="H907" s="11" t="s">
        <v>2745</v>
      </c>
      <c r="I907" s="11" t="s">
        <v>32</v>
      </c>
      <c r="J907" s="11">
        <v>30718.5462808348</v>
      </c>
      <c r="K907" s="11">
        <v>226.0</v>
      </c>
      <c r="L907" s="11" t="s">
        <v>50</v>
      </c>
      <c r="M907" s="12">
        <v>43988.0</v>
      </c>
      <c r="N907" s="11" t="s">
        <v>34</v>
      </c>
      <c r="O907" s="11" t="s">
        <v>25</v>
      </c>
    </row>
    <row r="908">
      <c r="A908" s="10" t="s">
        <v>2746</v>
      </c>
      <c r="B908" s="11">
        <v>43.0</v>
      </c>
      <c r="C908" s="11" t="s">
        <v>17</v>
      </c>
      <c r="D908" s="11" t="s">
        <v>39</v>
      </c>
      <c r="E908" s="11" t="s">
        <v>29</v>
      </c>
      <c r="F908" s="12">
        <v>44240.0</v>
      </c>
      <c r="G908" s="11" t="s">
        <v>2747</v>
      </c>
      <c r="H908" s="11" t="s">
        <v>2748</v>
      </c>
      <c r="I908" s="11" t="s">
        <v>63</v>
      </c>
      <c r="J908" s="11">
        <v>51441.7290534539</v>
      </c>
      <c r="K908" s="11">
        <v>449.0</v>
      </c>
      <c r="L908" s="11" t="s">
        <v>23</v>
      </c>
      <c r="M908" s="12">
        <v>44258.0</v>
      </c>
      <c r="N908" s="11" t="s">
        <v>43</v>
      </c>
      <c r="O908" s="11" t="s">
        <v>51</v>
      </c>
    </row>
    <row r="909">
      <c r="A909" s="10" t="s">
        <v>2749</v>
      </c>
      <c r="B909" s="11">
        <v>57.0</v>
      </c>
      <c r="C909" s="11" t="s">
        <v>38</v>
      </c>
      <c r="D909" s="11" t="s">
        <v>66</v>
      </c>
      <c r="E909" s="11" t="s">
        <v>19</v>
      </c>
      <c r="F909" s="12">
        <v>45077.0</v>
      </c>
      <c r="G909" s="11" t="s">
        <v>2750</v>
      </c>
      <c r="H909" s="11" t="s">
        <v>2751</v>
      </c>
      <c r="I909" s="11" t="s">
        <v>22</v>
      </c>
      <c r="J909" s="11">
        <v>1821.34794642876</v>
      </c>
      <c r="K909" s="11">
        <v>379.0</v>
      </c>
      <c r="L909" s="11" t="s">
        <v>33</v>
      </c>
      <c r="M909" s="12">
        <v>45102.0</v>
      </c>
      <c r="N909" s="11" t="s">
        <v>57</v>
      </c>
      <c r="O909" s="11" t="s">
        <v>35</v>
      </c>
    </row>
    <row r="910">
      <c r="A910" s="10" t="s">
        <v>2752</v>
      </c>
      <c r="B910" s="11">
        <v>76.0</v>
      </c>
      <c r="C910" s="11" t="s">
        <v>17</v>
      </c>
      <c r="D910" s="11" t="s">
        <v>54</v>
      </c>
      <c r="E910" s="11" t="s">
        <v>109</v>
      </c>
      <c r="F910" s="12">
        <v>43848.0</v>
      </c>
      <c r="G910" s="11" t="s">
        <v>1096</v>
      </c>
      <c r="H910" s="11" t="s">
        <v>2753</v>
      </c>
      <c r="I910" s="11" t="s">
        <v>42</v>
      </c>
      <c r="J910" s="11">
        <v>23857.4994842816</v>
      </c>
      <c r="K910" s="11">
        <v>214.0</v>
      </c>
      <c r="L910" s="11" t="s">
        <v>23</v>
      </c>
      <c r="M910" s="12">
        <v>43856.0</v>
      </c>
      <c r="N910" s="11" t="s">
        <v>24</v>
      </c>
      <c r="O910" s="11" t="s">
        <v>35</v>
      </c>
    </row>
    <row r="911">
      <c r="A911" s="10" t="s">
        <v>2715</v>
      </c>
      <c r="B911" s="11">
        <v>53.0</v>
      </c>
      <c r="C911" s="11" t="s">
        <v>38</v>
      </c>
      <c r="D911" s="11" t="s">
        <v>18</v>
      </c>
      <c r="E911" s="11" t="s">
        <v>19</v>
      </c>
      <c r="F911" s="12">
        <v>44062.0</v>
      </c>
      <c r="G911" s="11" t="s">
        <v>2754</v>
      </c>
      <c r="H911" s="11" t="s">
        <v>2755</v>
      </c>
      <c r="I911" s="11" t="s">
        <v>73</v>
      </c>
      <c r="J911" s="11">
        <v>4795.51343890974</v>
      </c>
      <c r="K911" s="11">
        <v>152.0</v>
      </c>
      <c r="L911" s="11" t="s">
        <v>23</v>
      </c>
      <c r="M911" s="12">
        <v>44071.0</v>
      </c>
      <c r="N911" s="11" t="s">
        <v>57</v>
      </c>
      <c r="O911" s="11" t="s">
        <v>51</v>
      </c>
    </row>
    <row r="912">
      <c r="A912" s="10" t="s">
        <v>2756</v>
      </c>
      <c r="B912" s="11">
        <v>45.0</v>
      </c>
      <c r="C912" s="11" t="s">
        <v>17</v>
      </c>
      <c r="D912" s="11" t="s">
        <v>39</v>
      </c>
      <c r="E912" s="11" t="s">
        <v>47</v>
      </c>
      <c r="F912" s="12">
        <v>44919.0</v>
      </c>
      <c r="G912" s="11" t="s">
        <v>2757</v>
      </c>
      <c r="H912" s="11" t="s">
        <v>2758</v>
      </c>
      <c r="I912" s="11" t="s">
        <v>63</v>
      </c>
      <c r="J912" s="11">
        <v>25500.7069991382</v>
      </c>
      <c r="K912" s="11">
        <v>415.0</v>
      </c>
      <c r="L912" s="11" t="s">
        <v>33</v>
      </c>
      <c r="M912" s="12">
        <v>44948.0</v>
      </c>
      <c r="N912" s="11" t="s">
        <v>34</v>
      </c>
      <c r="O912" s="11" t="s">
        <v>25</v>
      </c>
    </row>
    <row r="913">
      <c r="A913" s="10" t="s">
        <v>2759</v>
      </c>
      <c r="B913" s="11">
        <v>21.0</v>
      </c>
      <c r="C913" s="11" t="s">
        <v>38</v>
      </c>
      <c r="D913" s="11" t="s">
        <v>46</v>
      </c>
      <c r="E913" s="11" t="s">
        <v>60</v>
      </c>
      <c r="F913" s="12">
        <v>44079.0</v>
      </c>
      <c r="G913" s="11" t="s">
        <v>2760</v>
      </c>
      <c r="H913" s="11" t="s">
        <v>2761</v>
      </c>
      <c r="I913" s="11" t="s">
        <v>42</v>
      </c>
      <c r="J913" s="11">
        <v>10837.6145834728</v>
      </c>
      <c r="K913" s="11">
        <v>261.0</v>
      </c>
      <c r="L913" s="11" t="s">
        <v>33</v>
      </c>
      <c r="M913" s="12">
        <v>44099.0</v>
      </c>
      <c r="N913" s="11" t="s">
        <v>43</v>
      </c>
      <c r="O913" s="11" t="s">
        <v>25</v>
      </c>
    </row>
    <row r="914">
      <c r="A914" s="10" t="s">
        <v>2762</v>
      </c>
      <c r="B914" s="11">
        <v>64.0</v>
      </c>
      <c r="C914" s="11" t="s">
        <v>17</v>
      </c>
      <c r="D914" s="11" t="s">
        <v>39</v>
      </c>
      <c r="E914" s="11" t="s">
        <v>109</v>
      </c>
      <c r="F914" s="12">
        <v>44814.0</v>
      </c>
      <c r="G914" s="11" t="s">
        <v>2763</v>
      </c>
      <c r="H914" s="11" t="s">
        <v>2764</v>
      </c>
      <c r="I914" s="11" t="s">
        <v>42</v>
      </c>
      <c r="J914" s="11">
        <v>46836.7059028468</v>
      </c>
      <c r="K914" s="11">
        <v>234.0</v>
      </c>
      <c r="L914" s="11" t="s">
        <v>50</v>
      </c>
      <c r="M914" s="12">
        <v>44826.0</v>
      </c>
      <c r="N914" s="11" t="s">
        <v>24</v>
      </c>
      <c r="O914" s="11" t="s">
        <v>25</v>
      </c>
    </row>
    <row r="915">
      <c r="A915" s="10" t="s">
        <v>2765</v>
      </c>
      <c r="B915" s="11">
        <v>71.0</v>
      </c>
      <c r="C915" s="11" t="s">
        <v>17</v>
      </c>
      <c r="D915" s="11" t="s">
        <v>66</v>
      </c>
      <c r="E915" s="11" t="s">
        <v>47</v>
      </c>
      <c r="F915" s="12">
        <v>44312.0</v>
      </c>
      <c r="G915" s="11" t="s">
        <v>2766</v>
      </c>
      <c r="H915" s="11" t="s">
        <v>2767</v>
      </c>
      <c r="I915" s="11" t="s">
        <v>63</v>
      </c>
      <c r="J915" s="11">
        <v>11426.0121308383</v>
      </c>
      <c r="K915" s="11">
        <v>169.0</v>
      </c>
      <c r="L915" s="11" t="s">
        <v>33</v>
      </c>
      <c r="M915" s="12">
        <v>44320.0</v>
      </c>
      <c r="N915" s="11" t="s">
        <v>43</v>
      </c>
      <c r="O915" s="11" t="s">
        <v>51</v>
      </c>
    </row>
    <row r="916">
      <c r="A916" s="10" t="s">
        <v>2768</v>
      </c>
      <c r="B916" s="11">
        <v>28.0</v>
      </c>
      <c r="C916" s="11" t="s">
        <v>38</v>
      </c>
      <c r="D916" s="11" t="s">
        <v>141</v>
      </c>
      <c r="E916" s="11" t="s">
        <v>47</v>
      </c>
      <c r="F916" s="12">
        <v>45311.0</v>
      </c>
      <c r="G916" s="11" t="s">
        <v>2769</v>
      </c>
      <c r="H916" s="11" t="s">
        <v>2770</v>
      </c>
      <c r="I916" s="11" t="s">
        <v>73</v>
      </c>
      <c r="J916" s="11">
        <v>20590.515395957</v>
      </c>
      <c r="K916" s="11">
        <v>105.0</v>
      </c>
      <c r="L916" s="11" t="s">
        <v>23</v>
      </c>
      <c r="M916" s="12">
        <v>45319.0</v>
      </c>
      <c r="N916" s="11" t="s">
        <v>57</v>
      </c>
      <c r="O916" s="11" t="s">
        <v>25</v>
      </c>
    </row>
    <row r="917">
      <c r="A917" s="10" t="s">
        <v>2771</v>
      </c>
      <c r="B917" s="11">
        <v>79.0</v>
      </c>
      <c r="C917" s="11" t="s">
        <v>17</v>
      </c>
      <c r="D917" s="11" t="s">
        <v>39</v>
      </c>
      <c r="E917" s="11" t="s">
        <v>88</v>
      </c>
      <c r="F917" s="12">
        <v>44260.0</v>
      </c>
      <c r="G917" s="11" t="s">
        <v>2772</v>
      </c>
      <c r="H917" s="11" t="s">
        <v>2773</v>
      </c>
      <c r="I917" s="11" t="s">
        <v>42</v>
      </c>
      <c r="J917" s="11">
        <v>28100.0925304751</v>
      </c>
      <c r="K917" s="11">
        <v>349.0</v>
      </c>
      <c r="L917" s="11" t="s">
        <v>33</v>
      </c>
      <c r="M917" s="12">
        <v>44270.0</v>
      </c>
      <c r="N917" s="11" t="s">
        <v>91</v>
      </c>
      <c r="O917" s="11" t="s">
        <v>25</v>
      </c>
    </row>
    <row r="918">
      <c r="A918" s="10" t="s">
        <v>2774</v>
      </c>
      <c r="B918" s="11">
        <v>40.0</v>
      </c>
      <c r="C918" s="11" t="s">
        <v>17</v>
      </c>
      <c r="D918" s="11" t="s">
        <v>46</v>
      </c>
      <c r="E918" s="11" t="s">
        <v>109</v>
      </c>
      <c r="F918" s="12">
        <v>44192.0</v>
      </c>
      <c r="G918" s="11" t="s">
        <v>2775</v>
      </c>
      <c r="H918" s="11" t="s">
        <v>1752</v>
      </c>
      <c r="I918" s="11" t="s">
        <v>73</v>
      </c>
      <c r="J918" s="11">
        <v>33188.9265495037</v>
      </c>
      <c r="K918" s="11">
        <v>107.0</v>
      </c>
      <c r="L918" s="11" t="s">
        <v>23</v>
      </c>
      <c r="M918" s="12">
        <v>44219.0</v>
      </c>
      <c r="N918" s="11" t="s">
        <v>57</v>
      </c>
      <c r="O918" s="11" t="s">
        <v>51</v>
      </c>
    </row>
    <row r="919">
      <c r="A919" s="10" t="s">
        <v>2776</v>
      </c>
      <c r="B919" s="11">
        <v>50.0</v>
      </c>
      <c r="C919" s="11" t="s">
        <v>38</v>
      </c>
      <c r="D919" s="11" t="s">
        <v>54</v>
      </c>
      <c r="E919" s="11" t="s">
        <v>60</v>
      </c>
      <c r="F919" s="12">
        <v>44461.0</v>
      </c>
      <c r="G919" s="11" t="s">
        <v>1956</v>
      </c>
      <c r="H919" s="11" t="s">
        <v>2777</v>
      </c>
      <c r="I919" s="11" t="s">
        <v>63</v>
      </c>
      <c r="J919" s="11">
        <v>47130.0255967814</v>
      </c>
      <c r="K919" s="11">
        <v>311.0</v>
      </c>
      <c r="L919" s="11" t="s">
        <v>23</v>
      </c>
      <c r="M919" s="12">
        <v>44484.0</v>
      </c>
      <c r="N919" s="11" t="s">
        <v>91</v>
      </c>
      <c r="O919" s="11" t="s">
        <v>51</v>
      </c>
    </row>
    <row r="920">
      <c r="A920" s="10" t="s">
        <v>2778</v>
      </c>
      <c r="B920" s="11">
        <v>64.0</v>
      </c>
      <c r="C920" s="11" t="s">
        <v>38</v>
      </c>
      <c r="D920" s="11" t="s">
        <v>18</v>
      </c>
      <c r="E920" s="11" t="s">
        <v>19</v>
      </c>
      <c r="F920" s="12">
        <v>45047.0</v>
      </c>
      <c r="G920" s="11" t="s">
        <v>2779</v>
      </c>
      <c r="H920" s="11" t="s">
        <v>2780</v>
      </c>
      <c r="I920" s="11" t="s">
        <v>73</v>
      </c>
      <c r="J920" s="11">
        <v>20361.8655179066</v>
      </c>
      <c r="K920" s="11">
        <v>366.0</v>
      </c>
      <c r="L920" s="11" t="s">
        <v>23</v>
      </c>
      <c r="M920" s="12">
        <v>45077.0</v>
      </c>
      <c r="N920" s="11" t="s">
        <v>91</v>
      </c>
      <c r="O920" s="11" t="s">
        <v>51</v>
      </c>
    </row>
    <row r="921">
      <c r="A921" s="10" t="s">
        <v>2390</v>
      </c>
      <c r="B921" s="11">
        <v>81.0</v>
      </c>
      <c r="C921" s="11" t="s">
        <v>17</v>
      </c>
      <c r="D921" s="11" t="s">
        <v>46</v>
      </c>
      <c r="E921" s="11" t="s">
        <v>29</v>
      </c>
      <c r="F921" s="12">
        <v>43597.0</v>
      </c>
      <c r="G921" s="11" t="s">
        <v>2781</v>
      </c>
      <c r="H921" s="11" t="s">
        <v>2782</v>
      </c>
      <c r="I921" s="11" t="s">
        <v>42</v>
      </c>
      <c r="J921" s="11">
        <v>11229.7554869141</v>
      </c>
      <c r="K921" s="11">
        <v>425.0</v>
      </c>
      <c r="L921" s="11" t="s">
        <v>33</v>
      </c>
      <c r="M921" s="12">
        <v>43608.0</v>
      </c>
      <c r="N921" s="11" t="s">
        <v>57</v>
      </c>
      <c r="O921" s="11" t="s">
        <v>51</v>
      </c>
    </row>
    <row r="922">
      <c r="A922" s="10" t="s">
        <v>2783</v>
      </c>
      <c r="B922" s="11">
        <v>52.0</v>
      </c>
      <c r="C922" s="11" t="s">
        <v>38</v>
      </c>
      <c r="D922" s="11" t="s">
        <v>46</v>
      </c>
      <c r="E922" s="11" t="s">
        <v>88</v>
      </c>
      <c r="F922" s="12">
        <v>44249.0</v>
      </c>
      <c r="G922" s="11" t="s">
        <v>2784</v>
      </c>
      <c r="H922" s="11" t="s">
        <v>2785</v>
      </c>
      <c r="I922" s="11" t="s">
        <v>32</v>
      </c>
      <c r="J922" s="11">
        <v>6969.09152159104</v>
      </c>
      <c r="K922" s="11">
        <v>379.0</v>
      </c>
      <c r="L922" s="11" t="s">
        <v>33</v>
      </c>
      <c r="M922" s="12">
        <v>44270.0</v>
      </c>
      <c r="N922" s="11" t="s">
        <v>57</v>
      </c>
      <c r="O922" s="11" t="s">
        <v>25</v>
      </c>
    </row>
    <row r="923">
      <c r="A923" s="10" t="s">
        <v>2786</v>
      </c>
      <c r="B923" s="11">
        <v>76.0</v>
      </c>
      <c r="C923" s="11" t="s">
        <v>17</v>
      </c>
      <c r="D923" s="11" t="s">
        <v>119</v>
      </c>
      <c r="E923" s="11" t="s">
        <v>29</v>
      </c>
      <c r="F923" s="12">
        <v>44630.0</v>
      </c>
      <c r="G923" s="11" t="s">
        <v>2787</v>
      </c>
      <c r="H923" s="11" t="s">
        <v>2788</v>
      </c>
      <c r="I923" s="11" t="s">
        <v>22</v>
      </c>
      <c r="J923" s="11">
        <v>31405.5806284379</v>
      </c>
      <c r="K923" s="11">
        <v>103.0</v>
      </c>
      <c r="L923" s="11" t="s">
        <v>23</v>
      </c>
      <c r="M923" s="12">
        <v>44638.0</v>
      </c>
      <c r="N923" s="11" t="s">
        <v>43</v>
      </c>
      <c r="O923" s="11" t="s">
        <v>35</v>
      </c>
    </row>
    <row r="924">
      <c r="A924" s="10" t="s">
        <v>2789</v>
      </c>
      <c r="B924" s="11">
        <v>52.0</v>
      </c>
      <c r="C924" s="11" t="s">
        <v>17</v>
      </c>
      <c r="D924" s="11" t="s">
        <v>119</v>
      </c>
      <c r="E924" s="11" t="s">
        <v>29</v>
      </c>
      <c r="F924" s="12">
        <v>44857.0</v>
      </c>
      <c r="G924" s="11" t="s">
        <v>2790</v>
      </c>
      <c r="H924" s="11" t="s">
        <v>2791</v>
      </c>
      <c r="I924" s="11" t="s">
        <v>73</v>
      </c>
      <c r="J924" s="11">
        <v>22976.907581907</v>
      </c>
      <c r="K924" s="11">
        <v>309.0</v>
      </c>
      <c r="L924" s="11" t="s">
        <v>33</v>
      </c>
      <c r="M924" s="12">
        <v>44868.0</v>
      </c>
      <c r="N924" s="11" t="s">
        <v>43</v>
      </c>
      <c r="O924" s="11" t="s">
        <v>51</v>
      </c>
    </row>
    <row r="925">
      <c r="A925" s="10" t="s">
        <v>2792</v>
      </c>
      <c r="B925" s="11">
        <v>77.0</v>
      </c>
      <c r="C925" s="11" t="s">
        <v>38</v>
      </c>
      <c r="D925" s="11" t="s">
        <v>141</v>
      </c>
      <c r="E925" s="11" t="s">
        <v>19</v>
      </c>
      <c r="F925" s="12">
        <v>45364.0</v>
      </c>
      <c r="G925" s="11" t="s">
        <v>2793</v>
      </c>
      <c r="H925" s="11" t="s">
        <v>2794</v>
      </c>
      <c r="I925" s="11" t="s">
        <v>42</v>
      </c>
      <c r="J925" s="11">
        <v>32136.5104076893</v>
      </c>
      <c r="K925" s="11">
        <v>384.0</v>
      </c>
      <c r="L925" s="11" t="s">
        <v>33</v>
      </c>
      <c r="M925" s="12">
        <v>45380.0</v>
      </c>
      <c r="N925" s="11" t="s">
        <v>57</v>
      </c>
      <c r="O925" s="11" t="s">
        <v>35</v>
      </c>
    </row>
    <row r="926">
      <c r="A926" s="10" t="s">
        <v>2795</v>
      </c>
      <c r="B926" s="11">
        <v>81.0</v>
      </c>
      <c r="C926" s="11" t="s">
        <v>17</v>
      </c>
      <c r="D926" s="11" t="s">
        <v>54</v>
      </c>
      <c r="E926" s="11" t="s">
        <v>88</v>
      </c>
      <c r="F926" s="12">
        <v>43683.0</v>
      </c>
      <c r="G926" s="11" t="s">
        <v>2796</v>
      </c>
      <c r="H926" s="11" t="s">
        <v>2797</v>
      </c>
      <c r="I926" s="11" t="s">
        <v>63</v>
      </c>
      <c r="J926" s="11">
        <v>39313.8898329137</v>
      </c>
      <c r="K926" s="11">
        <v>448.0</v>
      </c>
      <c r="L926" s="11" t="s">
        <v>50</v>
      </c>
      <c r="M926" s="12">
        <v>43693.0</v>
      </c>
      <c r="N926" s="11" t="s">
        <v>91</v>
      </c>
      <c r="O926" s="11" t="s">
        <v>25</v>
      </c>
    </row>
    <row r="927">
      <c r="A927" s="10" t="s">
        <v>2798</v>
      </c>
      <c r="B927" s="11">
        <v>36.0</v>
      </c>
      <c r="C927" s="11" t="s">
        <v>17</v>
      </c>
      <c r="D927" s="11" t="s">
        <v>18</v>
      </c>
      <c r="E927" s="11" t="s">
        <v>29</v>
      </c>
      <c r="F927" s="12">
        <v>44089.0</v>
      </c>
      <c r="G927" s="11" t="s">
        <v>2799</v>
      </c>
      <c r="H927" s="11" t="s">
        <v>2800</v>
      </c>
      <c r="I927" s="11" t="s">
        <v>73</v>
      </c>
      <c r="J927" s="11">
        <v>5624.28866875598</v>
      </c>
      <c r="K927" s="11">
        <v>380.0</v>
      </c>
      <c r="L927" s="11" t="s">
        <v>33</v>
      </c>
      <c r="M927" s="12">
        <v>44100.0</v>
      </c>
      <c r="N927" s="11" t="s">
        <v>24</v>
      </c>
      <c r="O927" s="11" t="s">
        <v>35</v>
      </c>
    </row>
    <row r="928">
      <c r="A928" s="10" t="s">
        <v>2801</v>
      </c>
      <c r="B928" s="11">
        <v>72.0</v>
      </c>
      <c r="C928" s="11" t="s">
        <v>38</v>
      </c>
      <c r="D928" s="11" t="s">
        <v>54</v>
      </c>
      <c r="E928" s="11" t="s">
        <v>19</v>
      </c>
      <c r="F928" s="12">
        <v>43769.0</v>
      </c>
      <c r="G928" s="11" t="s">
        <v>2802</v>
      </c>
      <c r="H928" s="11" t="s">
        <v>2803</v>
      </c>
      <c r="I928" s="11" t="s">
        <v>22</v>
      </c>
      <c r="J928" s="11">
        <v>5823.04806130711</v>
      </c>
      <c r="K928" s="11">
        <v>219.0</v>
      </c>
      <c r="L928" s="11" t="s">
        <v>50</v>
      </c>
      <c r="M928" s="12">
        <v>43772.0</v>
      </c>
      <c r="N928" s="11" t="s">
        <v>91</v>
      </c>
      <c r="O928" s="11" t="s">
        <v>35</v>
      </c>
    </row>
    <row r="929">
      <c r="A929" s="10" t="s">
        <v>2804</v>
      </c>
      <c r="B929" s="11">
        <v>70.0</v>
      </c>
      <c r="C929" s="11" t="s">
        <v>17</v>
      </c>
      <c r="D929" s="11" t="s">
        <v>141</v>
      </c>
      <c r="E929" s="11" t="s">
        <v>47</v>
      </c>
      <c r="F929" s="12">
        <v>44081.0</v>
      </c>
      <c r="G929" s="11" t="s">
        <v>2805</v>
      </c>
      <c r="H929" s="11" t="s">
        <v>2806</v>
      </c>
      <c r="I929" s="11" t="s">
        <v>42</v>
      </c>
      <c r="J929" s="11">
        <v>11628.6173440034</v>
      </c>
      <c r="K929" s="11">
        <v>332.0</v>
      </c>
      <c r="L929" s="11" t="s">
        <v>23</v>
      </c>
      <c r="M929" s="12">
        <v>44093.0</v>
      </c>
      <c r="N929" s="11" t="s">
        <v>91</v>
      </c>
      <c r="O929" s="11" t="s">
        <v>35</v>
      </c>
    </row>
    <row r="930">
      <c r="A930" s="10" t="s">
        <v>2807</v>
      </c>
      <c r="B930" s="11">
        <v>44.0</v>
      </c>
      <c r="C930" s="11" t="s">
        <v>38</v>
      </c>
      <c r="D930" s="11" t="s">
        <v>141</v>
      </c>
      <c r="E930" s="11" t="s">
        <v>109</v>
      </c>
      <c r="F930" s="12">
        <v>44435.0</v>
      </c>
      <c r="G930" s="11" t="s">
        <v>2808</v>
      </c>
      <c r="H930" s="11" t="s">
        <v>2809</v>
      </c>
      <c r="I930" s="11" t="s">
        <v>32</v>
      </c>
      <c r="J930" s="11">
        <v>8104.6679772966</v>
      </c>
      <c r="K930" s="11">
        <v>174.0</v>
      </c>
      <c r="L930" s="11" t="s">
        <v>50</v>
      </c>
      <c r="M930" s="12">
        <v>44463.0</v>
      </c>
      <c r="N930" s="11" t="s">
        <v>91</v>
      </c>
      <c r="O930" s="11" t="s">
        <v>35</v>
      </c>
    </row>
    <row r="931">
      <c r="A931" s="10" t="s">
        <v>2810</v>
      </c>
      <c r="B931" s="11">
        <v>81.0</v>
      </c>
      <c r="C931" s="11" t="s">
        <v>38</v>
      </c>
      <c r="D931" s="11" t="s">
        <v>39</v>
      </c>
      <c r="E931" s="11" t="s">
        <v>109</v>
      </c>
      <c r="F931" s="12">
        <v>43820.0</v>
      </c>
      <c r="G931" s="11" t="s">
        <v>2811</v>
      </c>
      <c r="H931" s="11" t="s">
        <v>2812</v>
      </c>
      <c r="I931" s="11" t="s">
        <v>73</v>
      </c>
      <c r="J931" s="11">
        <v>12093.0868137337</v>
      </c>
      <c r="K931" s="11">
        <v>246.0</v>
      </c>
      <c r="L931" s="11" t="s">
        <v>33</v>
      </c>
      <c r="M931" s="12">
        <v>43845.0</v>
      </c>
      <c r="N931" s="11" t="s">
        <v>43</v>
      </c>
      <c r="O931" s="11" t="s">
        <v>35</v>
      </c>
    </row>
    <row r="932">
      <c r="A932" s="10" t="s">
        <v>1246</v>
      </c>
      <c r="B932" s="11">
        <v>41.0</v>
      </c>
      <c r="C932" s="11" t="s">
        <v>17</v>
      </c>
      <c r="D932" s="11" t="s">
        <v>18</v>
      </c>
      <c r="E932" s="11" t="s">
        <v>109</v>
      </c>
      <c r="F932" s="12">
        <v>43731.0</v>
      </c>
      <c r="G932" s="11" t="s">
        <v>2813</v>
      </c>
      <c r="H932" s="11" t="s">
        <v>2814</v>
      </c>
      <c r="I932" s="11" t="s">
        <v>32</v>
      </c>
      <c r="J932" s="11">
        <v>29465.8170890851</v>
      </c>
      <c r="K932" s="11">
        <v>271.0</v>
      </c>
      <c r="L932" s="11" t="s">
        <v>23</v>
      </c>
      <c r="M932" s="12">
        <v>43734.0</v>
      </c>
      <c r="N932" s="11" t="s">
        <v>91</v>
      </c>
      <c r="O932" s="11" t="s">
        <v>51</v>
      </c>
    </row>
    <row r="933">
      <c r="A933" s="10" t="s">
        <v>2815</v>
      </c>
      <c r="B933" s="11">
        <v>32.0</v>
      </c>
      <c r="C933" s="11" t="s">
        <v>38</v>
      </c>
      <c r="D933" s="11" t="s">
        <v>28</v>
      </c>
      <c r="E933" s="11" t="s">
        <v>109</v>
      </c>
      <c r="F933" s="12">
        <v>44702.0</v>
      </c>
      <c r="G933" s="11" t="s">
        <v>2816</v>
      </c>
      <c r="H933" s="11" t="s">
        <v>2817</v>
      </c>
      <c r="I933" s="11" t="s">
        <v>73</v>
      </c>
      <c r="J933" s="11">
        <v>22545.9292309013</v>
      </c>
      <c r="K933" s="11">
        <v>294.0</v>
      </c>
      <c r="L933" s="11" t="s">
        <v>33</v>
      </c>
      <c r="M933" s="12">
        <v>44706.0</v>
      </c>
      <c r="N933" s="11" t="s">
        <v>57</v>
      </c>
      <c r="O933" s="11" t="s">
        <v>35</v>
      </c>
    </row>
    <row r="934">
      <c r="A934" s="10" t="s">
        <v>2818</v>
      </c>
      <c r="B934" s="11">
        <v>58.0</v>
      </c>
      <c r="C934" s="11" t="s">
        <v>38</v>
      </c>
      <c r="D934" s="11" t="s">
        <v>18</v>
      </c>
      <c r="E934" s="11" t="s">
        <v>29</v>
      </c>
      <c r="F934" s="12">
        <v>43828.0</v>
      </c>
      <c r="G934" s="11" t="s">
        <v>2819</v>
      </c>
      <c r="H934" s="11" t="s">
        <v>2820</v>
      </c>
      <c r="I934" s="11" t="s">
        <v>32</v>
      </c>
      <c r="J934" s="11">
        <v>2641.01617944814</v>
      </c>
      <c r="K934" s="11">
        <v>234.0</v>
      </c>
      <c r="L934" s="11" t="s">
        <v>50</v>
      </c>
      <c r="M934" s="12">
        <v>43834.0</v>
      </c>
      <c r="N934" s="11" t="s">
        <v>43</v>
      </c>
      <c r="O934" s="11" t="s">
        <v>25</v>
      </c>
    </row>
    <row r="935">
      <c r="A935" s="10" t="s">
        <v>2821</v>
      </c>
      <c r="B935" s="11">
        <v>33.0</v>
      </c>
      <c r="C935" s="11" t="s">
        <v>17</v>
      </c>
      <c r="D935" s="11" t="s">
        <v>39</v>
      </c>
      <c r="E935" s="11" t="s">
        <v>109</v>
      </c>
      <c r="F935" s="12">
        <v>43924.0</v>
      </c>
      <c r="G935" s="11" t="s">
        <v>2822</v>
      </c>
      <c r="H935" s="11" t="s">
        <v>2823</v>
      </c>
      <c r="I935" s="11" t="s">
        <v>73</v>
      </c>
      <c r="J935" s="11">
        <v>16527.2578729106</v>
      </c>
      <c r="K935" s="11">
        <v>395.0</v>
      </c>
      <c r="L935" s="11" t="s">
        <v>50</v>
      </c>
      <c r="M935" s="12">
        <v>43925.0</v>
      </c>
      <c r="N935" s="11" t="s">
        <v>57</v>
      </c>
      <c r="O935" s="11" t="s">
        <v>35</v>
      </c>
    </row>
    <row r="936">
      <c r="A936" s="10" t="s">
        <v>2824</v>
      </c>
      <c r="B936" s="11">
        <v>80.0</v>
      </c>
      <c r="C936" s="11" t="s">
        <v>17</v>
      </c>
      <c r="D936" s="11" t="s">
        <v>28</v>
      </c>
      <c r="E936" s="11" t="s">
        <v>19</v>
      </c>
      <c r="F936" s="12">
        <v>44910.0</v>
      </c>
      <c r="G936" s="11" t="s">
        <v>2825</v>
      </c>
      <c r="H936" s="11" t="s">
        <v>2826</v>
      </c>
      <c r="I936" s="11" t="s">
        <v>32</v>
      </c>
      <c r="J936" s="11">
        <v>13624.8292803078</v>
      </c>
      <c r="K936" s="11">
        <v>363.0</v>
      </c>
      <c r="L936" s="11" t="s">
        <v>23</v>
      </c>
      <c r="M936" s="12">
        <v>44923.0</v>
      </c>
      <c r="N936" s="11" t="s">
        <v>24</v>
      </c>
      <c r="O936" s="11" t="s">
        <v>35</v>
      </c>
    </row>
    <row r="937">
      <c r="A937" s="10" t="s">
        <v>2827</v>
      </c>
      <c r="B937" s="11">
        <v>67.0</v>
      </c>
      <c r="C937" s="11" t="s">
        <v>17</v>
      </c>
      <c r="D937" s="11" t="s">
        <v>141</v>
      </c>
      <c r="E937" s="11" t="s">
        <v>29</v>
      </c>
      <c r="F937" s="12">
        <v>44050.0</v>
      </c>
      <c r="G937" s="11" t="s">
        <v>2828</v>
      </c>
      <c r="H937" s="11" t="s">
        <v>2829</v>
      </c>
      <c r="I937" s="11" t="s">
        <v>42</v>
      </c>
      <c r="J937" s="11">
        <v>39570.0689615352</v>
      </c>
      <c r="K937" s="11">
        <v>161.0</v>
      </c>
      <c r="L937" s="11" t="s">
        <v>23</v>
      </c>
      <c r="M937" s="12">
        <v>44052.0</v>
      </c>
      <c r="N937" s="11" t="s">
        <v>43</v>
      </c>
      <c r="O937" s="11" t="s">
        <v>35</v>
      </c>
    </row>
    <row r="938">
      <c r="A938" s="10" t="s">
        <v>2830</v>
      </c>
      <c r="B938" s="11">
        <v>39.0</v>
      </c>
      <c r="C938" s="11" t="s">
        <v>17</v>
      </c>
      <c r="D938" s="11" t="s">
        <v>39</v>
      </c>
      <c r="E938" s="11" t="s">
        <v>47</v>
      </c>
      <c r="F938" s="12">
        <v>44639.0</v>
      </c>
      <c r="G938" s="11" t="s">
        <v>2831</v>
      </c>
      <c r="H938" s="11" t="s">
        <v>2832</v>
      </c>
      <c r="I938" s="11" t="s">
        <v>42</v>
      </c>
      <c r="J938" s="11">
        <v>13256.4145644399</v>
      </c>
      <c r="K938" s="11">
        <v>146.0</v>
      </c>
      <c r="L938" s="11" t="s">
        <v>23</v>
      </c>
      <c r="M938" s="12">
        <v>44640.0</v>
      </c>
      <c r="N938" s="11" t="s">
        <v>24</v>
      </c>
      <c r="O938" s="11" t="s">
        <v>25</v>
      </c>
    </row>
    <row r="939">
      <c r="A939" s="10" t="s">
        <v>2833</v>
      </c>
      <c r="B939" s="11">
        <v>52.0</v>
      </c>
      <c r="C939" s="11" t="s">
        <v>17</v>
      </c>
      <c r="D939" s="11" t="s">
        <v>28</v>
      </c>
      <c r="E939" s="11" t="s">
        <v>109</v>
      </c>
      <c r="F939" s="12">
        <v>45361.0</v>
      </c>
      <c r="G939" s="11" t="s">
        <v>2834</v>
      </c>
      <c r="H939" s="11" t="s">
        <v>2835</v>
      </c>
      <c r="I939" s="11" t="s">
        <v>32</v>
      </c>
      <c r="J939" s="11">
        <v>32633.203074129</v>
      </c>
      <c r="K939" s="11">
        <v>484.0</v>
      </c>
      <c r="L939" s="11" t="s">
        <v>33</v>
      </c>
      <c r="M939" s="12">
        <v>45377.0</v>
      </c>
      <c r="N939" s="11" t="s">
        <v>43</v>
      </c>
      <c r="O939" s="11" t="s">
        <v>25</v>
      </c>
    </row>
    <row r="940">
      <c r="A940" s="10" t="s">
        <v>2836</v>
      </c>
      <c r="B940" s="11">
        <v>49.0</v>
      </c>
      <c r="C940" s="11" t="s">
        <v>17</v>
      </c>
      <c r="D940" s="11" t="s">
        <v>66</v>
      </c>
      <c r="E940" s="11" t="s">
        <v>109</v>
      </c>
      <c r="F940" s="12">
        <v>43798.0</v>
      </c>
      <c r="G940" s="11" t="s">
        <v>2837</v>
      </c>
      <c r="H940" s="11" t="s">
        <v>2838</v>
      </c>
      <c r="I940" s="11" t="s">
        <v>22</v>
      </c>
      <c r="J940" s="11">
        <v>19720.0359027959</v>
      </c>
      <c r="K940" s="11">
        <v>114.0</v>
      </c>
      <c r="L940" s="11" t="s">
        <v>33</v>
      </c>
      <c r="M940" s="12">
        <v>43799.0</v>
      </c>
      <c r="N940" s="11" t="s">
        <v>91</v>
      </c>
      <c r="O940" s="11" t="s">
        <v>25</v>
      </c>
    </row>
    <row r="941">
      <c r="A941" s="10" t="s">
        <v>2839</v>
      </c>
      <c r="B941" s="11">
        <v>41.0</v>
      </c>
      <c r="C941" s="11" t="s">
        <v>17</v>
      </c>
      <c r="D941" s="11" t="s">
        <v>18</v>
      </c>
      <c r="E941" s="11" t="s">
        <v>88</v>
      </c>
      <c r="F941" s="12">
        <v>43663.0</v>
      </c>
      <c r="G941" s="11" t="s">
        <v>2840</v>
      </c>
      <c r="H941" s="11" t="s">
        <v>2841</v>
      </c>
      <c r="I941" s="11" t="s">
        <v>22</v>
      </c>
      <c r="J941" s="11">
        <v>46421.261252841</v>
      </c>
      <c r="K941" s="11">
        <v>124.0</v>
      </c>
      <c r="L941" s="11" t="s">
        <v>33</v>
      </c>
      <c r="M941" s="12">
        <v>43689.0</v>
      </c>
      <c r="N941" s="11" t="s">
        <v>24</v>
      </c>
      <c r="O941" s="11" t="s">
        <v>51</v>
      </c>
    </row>
    <row r="942">
      <c r="A942" s="10" t="s">
        <v>2842</v>
      </c>
      <c r="B942" s="11">
        <v>81.0</v>
      </c>
      <c r="C942" s="11" t="s">
        <v>38</v>
      </c>
      <c r="D942" s="11" t="s">
        <v>141</v>
      </c>
      <c r="E942" s="11" t="s">
        <v>88</v>
      </c>
      <c r="F942" s="12">
        <v>43978.0</v>
      </c>
      <c r="G942" s="11" t="s">
        <v>2843</v>
      </c>
      <c r="H942" s="11" t="s">
        <v>2844</v>
      </c>
      <c r="I942" s="11" t="s">
        <v>22</v>
      </c>
      <c r="J942" s="11">
        <v>10767.3766698325</v>
      </c>
      <c r="K942" s="11">
        <v>126.0</v>
      </c>
      <c r="L942" s="11" t="s">
        <v>50</v>
      </c>
      <c r="M942" s="12">
        <v>43994.0</v>
      </c>
      <c r="N942" s="11" t="s">
        <v>43</v>
      </c>
      <c r="O942" s="11" t="s">
        <v>25</v>
      </c>
    </row>
    <row r="943">
      <c r="A943" s="10" t="s">
        <v>2845</v>
      </c>
      <c r="B943" s="11">
        <v>19.0</v>
      </c>
      <c r="C943" s="11" t="s">
        <v>38</v>
      </c>
      <c r="D943" s="11" t="s">
        <v>39</v>
      </c>
      <c r="E943" s="11" t="s">
        <v>88</v>
      </c>
      <c r="F943" s="12">
        <v>43714.0</v>
      </c>
      <c r="G943" s="11" t="s">
        <v>2846</v>
      </c>
      <c r="H943" s="11" t="s">
        <v>2847</v>
      </c>
      <c r="I943" s="11" t="s">
        <v>22</v>
      </c>
      <c r="J943" s="11">
        <v>47656.5170065843</v>
      </c>
      <c r="K943" s="11">
        <v>286.0</v>
      </c>
      <c r="L943" s="11" t="s">
        <v>33</v>
      </c>
      <c r="M943" s="12">
        <v>43739.0</v>
      </c>
      <c r="N943" s="11" t="s">
        <v>57</v>
      </c>
      <c r="O943" s="11" t="s">
        <v>35</v>
      </c>
    </row>
    <row r="944">
      <c r="A944" s="10" t="s">
        <v>2848</v>
      </c>
      <c r="B944" s="11">
        <v>83.0</v>
      </c>
      <c r="C944" s="11" t="s">
        <v>17</v>
      </c>
      <c r="D944" s="11" t="s">
        <v>54</v>
      </c>
      <c r="E944" s="11" t="s">
        <v>88</v>
      </c>
      <c r="F944" s="12">
        <v>44292.0</v>
      </c>
      <c r="G944" s="11" t="s">
        <v>2849</v>
      </c>
      <c r="H944" s="11" t="s">
        <v>2850</v>
      </c>
      <c r="I944" s="11" t="s">
        <v>73</v>
      </c>
      <c r="J944" s="11">
        <v>46186.1632482473</v>
      </c>
      <c r="K944" s="11">
        <v>114.0</v>
      </c>
      <c r="L944" s="11" t="s">
        <v>50</v>
      </c>
      <c r="M944" s="12">
        <v>44322.0</v>
      </c>
      <c r="N944" s="11" t="s">
        <v>34</v>
      </c>
      <c r="O944" s="11" t="s">
        <v>51</v>
      </c>
    </row>
    <row r="945">
      <c r="A945" s="10" t="s">
        <v>2851</v>
      </c>
      <c r="B945" s="11">
        <v>36.0</v>
      </c>
      <c r="C945" s="11" t="s">
        <v>38</v>
      </c>
      <c r="D945" s="11" t="s">
        <v>46</v>
      </c>
      <c r="E945" s="11" t="s">
        <v>19</v>
      </c>
      <c r="F945" s="12">
        <v>43604.0</v>
      </c>
      <c r="G945" s="11" t="s">
        <v>2852</v>
      </c>
      <c r="H945" s="11" t="s">
        <v>2853</v>
      </c>
      <c r="I945" s="11" t="s">
        <v>63</v>
      </c>
      <c r="J945" s="11">
        <v>44148.5428825193</v>
      </c>
      <c r="K945" s="11">
        <v>336.0</v>
      </c>
      <c r="L945" s="11" t="s">
        <v>33</v>
      </c>
      <c r="M945" s="12">
        <v>43614.0</v>
      </c>
      <c r="N945" s="11" t="s">
        <v>24</v>
      </c>
      <c r="O945" s="11" t="s">
        <v>51</v>
      </c>
    </row>
    <row r="946">
      <c r="A946" s="10" t="s">
        <v>2854</v>
      </c>
      <c r="B946" s="11">
        <v>43.0</v>
      </c>
      <c r="C946" s="11" t="s">
        <v>38</v>
      </c>
      <c r="D946" s="11" t="s">
        <v>39</v>
      </c>
      <c r="E946" s="11" t="s">
        <v>19</v>
      </c>
      <c r="F946" s="12">
        <v>45193.0</v>
      </c>
      <c r="G946" s="11" t="s">
        <v>2855</v>
      </c>
      <c r="H946" s="11" t="s">
        <v>2856</v>
      </c>
      <c r="I946" s="11" t="s">
        <v>73</v>
      </c>
      <c r="J946" s="11">
        <v>12447.26511667</v>
      </c>
      <c r="K946" s="11">
        <v>360.0</v>
      </c>
      <c r="L946" s="11" t="s">
        <v>50</v>
      </c>
      <c r="M946" s="12">
        <v>45219.0</v>
      </c>
      <c r="N946" s="11" t="s">
        <v>24</v>
      </c>
      <c r="O946" s="11" t="s">
        <v>51</v>
      </c>
    </row>
    <row r="947">
      <c r="A947" s="10" t="s">
        <v>2857</v>
      </c>
      <c r="B947" s="11">
        <v>72.0</v>
      </c>
      <c r="C947" s="11" t="s">
        <v>17</v>
      </c>
      <c r="D947" s="11" t="s">
        <v>66</v>
      </c>
      <c r="E947" s="11" t="s">
        <v>47</v>
      </c>
      <c r="F947" s="12">
        <v>43738.0</v>
      </c>
      <c r="G947" s="11" t="s">
        <v>2858</v>
      </c>
      <c r="H947" s="11" t="s">
        <v>2859</v>
      </c>
      <c r="I947" s="11" t="s">
        <v>73</v>
      </c>
      <c r="J947" s="11">
        <v>43298.4336992711</v>
      </c>
      <c r="K947" s="11">
        <v>290.0</v>
      </c>
      <c r="L947" s="11" t="s">
        <v>23</v>
      </c>
      <c r="M947" s="12">
        <v>43748.0</v>
      </c>
      <c r="N947" s="11" t="s">
        <v>24</v>
      </c>
      <c r="O947" s="11" t="s">
        <v>51</v>
      </c>
    </row>
    <row r="948">
      <c r="A948" s="10" t="s">
        <v>2860</v>
      </c>
      <c r="B948" s="11">
        <v>73.0</v>
      </c>
      <c r="C948" s="11" t="s">
        <v>38</v>
      </c>
      <c r="D948" s="11" t="s">
        <v>28</v>
      </c>
      <c r="E948" s="11" t="s">
        <v>60</v>
      </c>
      <c r="F948" s="12">
        <v>44765.0</v>
      </c>
      <c r="G948" s="11" t="s">
        <v>2861</v>
      </c>
      <c r="H948" s="11" t="s">
        <v>2862</v>
      </c>
      <c r="I948" s="11" t="s">
        <v>73</v>
      </c>
      <c r="J948" s="11">
        <v>33379.5454673791</v>
      </c>
      <c r="K948" s="11">
        <v>142.0</v>
      </c>
      <c r="L948" s="11" t="s">
        <v>33</v>
      </c>
      <c r="M948" s="12">
        <v>44789.0</v>
      </c>
      <c r="N948" s="11" t="s">
        <v>34</v>
      </c>
      <c r="O948" s="11" t="s">
        <v>51</v>
      </c>
    </row>
    <row r="949">
      <c r="A949" s="10" t="s">
        <v>2863</v>
      </c>
      <c r="B949" s="11">
        <v>32.0</v>
      </c>
      <c r="C949" s="11" t="s">
        <v>17</v>
      </c>
      <c r="D949" s="11" t="s">
        <v>66</v>
      </c>
      <c r="E949" s="11" t="s">
        <v>19</v>
      </c>
      <c r="F949" s="12">
        <v>43962.0</v>
      </c>
      <c r="G949" s="11" t="s">
        <v>2864</v>
      </c>
      <c r="H949" s="11" t="s">
        <v>2865</v>
      </c>
      <c r="I949" s="11" t="s">
        <v>22</v>
      </c>
      <c r="J949" s="11">
        <v>37553.1609729174</v>
      </c>
      <c r="K949" s="11">
        <v>256.0</v>
      </c>
      <c r="L949" s="11" t="s">
        <v>33</v>
      </c>
      <c r="M949" s="12">
        <v>43988.0</v>
      </c>
      <c r="N949" s="11" t="s">
        <v>43</v>
      </c>
      <c r="O949" s="11" t="s">
        <v>35</v>
      </c>
    </row>
    <row r="950">
      <c r="A950" s="10" t="s">
        <v>2866</v>
      </c>
      <c r="B950" s="11">
        <v>39.0</v>
      </c>
      <c r="C950" s="11" t="s">
        <v>17</v>
      </c>
      <c r="D950" s="11" t="s">
        <v>46</v>
      </c>
      <c r="E950" s="11" t="s">
        <v>60</v>
      </c>
      <c r="F950" s="12">
        <v>43678.0</v>
      </c>
      <c r="G950" s="11" t="s">
        <v>2867</v>
      </c>
      <c r="H950" s="11" t="s">
        <v>2868</v>
      </c>
      <c r="I950" s="11" t="s">
        <v>42</v>
      </c>
      <c r="J950" s="11">
        <v>44931.1287719402</v>
      </c>
      <c r="K950" s="11">
        <v>194.0</v>
      </c>
      <c r="L950" s="11" t="s">
        <v>50</v>
      </c>
      <c r="M950" s="12">
        <v>43685.0</v>
      </c>
      <c r="N950" s="11" t="s">
        <v>57</v>
      </c>
      <c r="O950" s="11" t="s">
        <v>25</v>
      </c>
    </row>
    <row r="951">
      <c r="A951" s="10" t="s">
        <v>2869</v>
      </c>
      <c r="B951" s="11">
        <v>72.0</v>
      </c>
      <c r="C951" s="11" t="s">
        <v>17</v>
      </c>
      <c r="D951" s="11" t="s">
        <v>119</v>
      </c>
      <c r="E951" s="11" t="s">
        <v>60</v>
      </c>
      <c r="F951" s="12">
        <v>43714.0</v>
      </c>
      <c r="G951" s="11" t="s">
        <v>2870</v>
      </c>
      <c r="H951" s="11" t="s">
        <v>2871</v>
      </c>
      <c r="I951" s="11" t="s">
        <v>32</v>
      </c>
      <c r="J951" s="11">
        <v>44595.9708637619</v>
      </c>
      <c r="K951" s="11">
        <v>203.0</v>
      </c>
      <c r="L951" s="11" t="s">
        <v>23</v>
      </c>
      <c r="M951" s="12">
        <v>43723.0</v>
      </c>
      <c r="N951" s="11" t="s">
        <v>91</v>
      </c>
      <c r="O951" s="11" t="s">
        <v>51</v>
      </c>
    </row>
    <row r="952">
      <c r="A952" s="10" t="s">
        <v>2872</v>
      </c>
      <c r="B952" s="11">
        <v>24.0</v>
      </c>
      <c r="C952" s="11" t="s">
        <v>17</v>
      </c>
      <c r="D952" s="11" t="s">
        <v>18</v>
      </c>
      <c r="E952" s="11" t="s">
        <v>19</v>
      </c>
      <c r="F952" s="12">
        <v>44954.0</v>
      </c>
      <c r="G952" s="11" t="s">
        <v>2873</v>
      </c>
      <c r="H952" s="11" t="s">
        <v>2874</v>
      </c>
      <c r="I952" s="11" t="s">
        <v>73</v>
      </c>
      <c r="J952" s="11">
        <v>10243.9720615149</v>
      </c>
      <c r="K952" s="11">
        <v>383.0</v>
      </c>
      <c r="L952" s="11" t="s">
        <v>33</v>
      </c>
      <c r="M952" s="12">
        <v>44983.0</v>
      </c>
      <c r="N952" s="11" t="s">
        <v>57</v>
      </c>
      <c r="O952" s="11" t="s">
        <v>35</v>
      </c>
    </row>
    <row r="953">
      <c r="A953" s="10" t="s">
        <v>2875</v>
      </c>
      <c r="B953" s="11">
        <v>32.0</v>
      </c>
      <c r="C953" s="11" t="s">
        <v>38</v>
      </c>
      <c r="D953" s="11" t="s">
        <v>141</v>
      </c>
      <c r="E953" s="11" t="s">
        <v>29</v>
      </c>
      <c r="F953" s="12">
        <v>45180.0</v>
      </c>
      <c r="G953" s="11" t="s">
        <v>2876</v>
      </c>
      <c r="H953" s="11" t="s">
        <v>2877</v>
      </c>
      <c r="I953" s="11" t="s">
        <v>22</v>
      </c>
      <c r="J953" s="11">
        <v>8762.50307169242</v>
      </c>
      <c r="K953" s="11">
        <v>454.0</v>
      </c>
      <c r="L953" s="11" t="s">
        <v>33</v>
      </c>
      <c r="M953" s="12">
        <v>45210.0</v>
      </c>
      <c r="N953" s="11" t="s">
        <v>57</v>
      </c>
      <c r="O953" s="11" t="s">
        <v>51</v>
      </c>
    </row>
    <row r="954">
      <c r="A954" s="10" t="s">
        <v>2878</v>
      </c>
      <c r="B954" s="11">
        <v>57.0</v>
      </c>
      <c r="C954" s="11" t="s">
        <v>38</v>
      </c>
      <c r="D954" s="11" t="s">
        <v>54</v>
      </c>
      <c r="E954" s="11" t="s">
        <v>60</v>
      </c>
      <c r="F954" s="12">
        <v>43901.0</v>
      </c>
      <c r="G954" s="11" t="s">
        <v>2879</v>
      </c>
      <c r="H954" s="11" t="s">
        <v>2880</v>
      </c>
      <c r="I954" s="11" t="s">
        <v>32</v>
      </c>
      <c r="J954" s="11">
        <v>10363.668930673</v>
      </c>
      <c r="K954" s="11">
        <v>384.0</v>
      </c>
      <c r="L954" s="11" t="s">
        <v>33</v>
      </c>
      <c r="M954" s="12">
        <v>43908.0</v>
      </c>
      <c r="N954" s="11" t="s">
        <v>34</v>
      </c>
      <c r="O954" s="11" t="s">
        <v>25</v>
      </c>
    </row>
    <row r="955">
      <c r="A955" s="10" t="s">
        <v>2881</v>
      </c>
      <c r="B955" s="11">
        <v>56.0</v>
      </c>
      <c r="C955" s="11" t="s">
        <v>17</v>
      </c>
      <c r="D955" s="11" t="s">
        <v>18</v>
      </c>
      <c r="E955" s="11" t="s">
        <v>60</v>
      </c>
      <c r="F955" s="12">
        <v>44262.0</v>
      </c>
      <c r="G955" s="11" t="s">
        <v>2882</v>
      </c>
      <c r="H955" s="11" t="s">
        <v>2883</v>
      </c>
      <c r="I955" s="11" t="s">
        <v>32</v>
      </c>
      <c r="J955" s="11">
        <v>22827.8109032324</v>
      </c>
      <c r="K955" s="11">
        <v>124.0</v>
      </c>
      <c r="L955" s="11" t="s">
        <v>23</v>
      </c>
      <c r="M955" s="12">
        <v>44276.0</v>
      </c>
      <c r="N955" s="11" t="s">
        <v>24</v>
      </c>
      <c r="O955" s="11" t="s">
        <v>51</v>
      </c>
    </row>
    <row r="956">
      <c r="A956" s="10" t="s">
        <v>2884</v>
      </c>
      <c r="B956" s="11">
        <v>84.0</v>
      </c>
      <c r="C956" s="11" t="s">
        <v>38</v>
      </c>
      <c r="D956" s="11" t="s">
        <v>46</v>
      </c>
      <c r="E956" s="11" t="s">
        <v>60</v>
      </c>
      <c r="F956" s="12">
        <v>45385.0</v>
      </c>
      <c r="G956" s="11" t="s">
        <v>2885</v>
      </c>
      <c r="H956" s="11" t="s">
        <v>2886</v>
      </c>
      <c r="I956" s="11" t="s">
        <v>63</v>
      </c>
      <c r="J956" s="11">
        <v>22913.348727039</v>
      </c>
      <c r="K956" s="11">
        <v>238.0</v>
      </c>
      <c r="L956" s="11" t="s">
        <v>23</v>
      </c>
      <c r="M956" s="12">
        <v>45392.0</v>
      </c>
      <c r="N956" s="11" t="s">
        <v>34</v>
      </c>
      <c r="O956" s="11" t="s">
        <v>35</v>
      </c>
    </row>
    <row r="957">
      <c r="A957" s="10" t="s">
        <v>2887</v>
      </c>
      <c r="B957" s="11">
        <v>46.0</v>
      </c>
      <c r="C957" s="11" t="s">
        <v>17</v>
      </c>
      <c r="D957" s="11" t="s">
        <v>18</v>
      </c>
      <c r="E957" s="11" t="s">
        <v>19</v>
      </c>
      <c r="F957" s="12">
        <v>44920.0</v>
      </c>
      <c r="G957" s="11" t="s">
        <v>2888</v>
      </c>
      <c r="H957" s="11" t="s">
        <v>2889</v>
      </c>
      <c r="I957" s="11" t="s">
        <v>42</v>
      </c>
      <c r="J957" s="11">
        <v>33800.9084900491</v>
      </c>
      <c r="K957" s="11">
        <v>437.0</v>
      </c>
      <c r="L957" s="11" t="s">
        <v>23</v>
      </c>
      <c r="M957" s="12">
        <v>44936.0</v>
      </c>
      <c r="N957" s="11" t="s">
        <v>57</v>
      </c>
      <c r="O957" s="11" t="s">
        <v>51</v>
      </c>
    </row>
    <row r="958">
      <c r="A958" s="10" t="s">
        <v>2890</v>
      </c>
      <c r="B958" s="11">
        <v>55.0</v>
      </c>
      <c r="C958" s="11" t="s">
        <v>17</v>
      </c>
      <c r="D958" s="11" t="s">
        <v>54</v>
      </c>
      <c r="E958" s="11" t="s">
        <v>29</v>
      </c>
      <c r="F958" s="12">
        <v>43922.0</v>
      </c>
      <c r="G958" s="11" t="s">
        <v>2891</v>
      </c>
      <c r="H958" s="11" t="s">
        <v>2892</v>
      </c>
      <c r="I958" s="11" t="s">
        <v>42</v>
      </c>
      <c r="J958" s="11">
        <v>23713.923814165</v>
      </c>
      <c r="K958" s="11">
        <v>187.0</v>
      </c>
      <c r="L958" s="11" t="s">
        <v>23</v>
      </c>
      <c r="M958" s="12">
        <v>43947.0</v>
      </c>
      <c r="N958" s="11" t="s">
        <v>34</v>
      </c>
      <c r="O958" s="11" t="s">
        <v>35</v>
      </c>
    </row>
    <row r="959">
      <c r="A959" s="10" t="s">
        <v>2893</v>
      </c>
      <c r="B959" s="11">
        <v>19.0</v>
      </c>
      <c r="C959" s="11" t="s">
        <v>38</v>
      </c>
      <c r="D959" s="11" t="s">
        <v>28</v>
      </c>
      <c r="E959" s="11" t="s">
        <v>88</v>
      </c>
      <c r="F959" s="12">
        <v>43853.0</v>
      </c>
      <c r="G959" s="11" t="s">
        <v>2894</v>
      </c>
      <c r="H959" s="11" t="s">
        <v>2895</v>
      </c>
      <c r="I959" s="11" t="s">
        <v>32</v>
      </c>
      <c r="J959" s="11">
        <v>41794.3554262154</v>
      </c>
      <c r="K959" s="11">
        <v>354.0</v>
      </c>
      <c r="L959" s="11" t="s">
        <v>33</v>
      </c>
      <c r="M959" s="12">
        <v>43881.0</v>
      </c>
      <c r="N959" s="11" t="s">
        <v>43</v>
      </c>
      <c r="O959" s="11" t="s">
        <v>51</v>
      </c>
    </row>
    <row r="960">
      <c r="A960" s="10" t="s">
        <v>2896</v>
      </c>
      <c r="B960" s="11">
        <v>69.0</v>
      </c>
      <c r="C960" s="11" t="s">
        <v>38</v>
      </c>
      <c r="D960" s="11" t="s">
        <v>46</v>
      </c>
      <c r="E960" s="11" t="s">
        <v>47</v>
      </c>
      <c r="F960" s="12">
        <v>44967.0</v>
      </c>
      <c r="G960" s="11" t="s">
        <v>2897</v>
      </c>
      <c r="H960" s="11" t="s">
        <v>2898</v>
      </c>
      <c r="I960" s="11" t="s">
        <v>22</v>
      </c>
      <c r="J960" s="11">
        <v>40304.3800733008</v>
      </c>
      <c r="K960" s="11">
        <v>449.0</v>
      </c>
      <c r="L960" s="11" t="s">
        <v>33</v>
      </c>
      <c r="M960" s="12">
        <v>44982.0</v>
      </c>
      <c r="N960" s="11" t="s">
        <v>24</v>
      </c>
      <c r="O960" s="11" t="s">
        <v>35</v>
      </c>
    </row>
    <row r="961">
      <c r="A961" s="10" t="s">
        <v>2899</v>
      </c>
      <c r="B961" s="11">
        <v>69.0</v>
      </c>
      <c r="C961" s="11" t="s">
        <v>38</v>
      </c>
      <c r="D961" s="11" t="s">
        <v>18</v>
      </c>
      <c r="E961" s="11" t="s">
        <v>19</v>
      </c>
      <c r="F961" s="12">
        <v>45219.0</v>
      </c>
      <c r="G961" s="11" t="s">
        <v>2900</v>
      </c>
      <c r="H961" s="11" t="s">
        <v>2901</v>
      </c>
      <c r="I961" s="11" t="s">
        <v>32</v>
      </c>
      <c r="J961" s="11">
        <v>43825.0566704835</v>
      </c>
      <c r="K961" s="11">
        <v>329.0</v>
      </c>
      <c r="L961" s="11" t="s">
        <v>50</v>
      </c>
      <c r="M961" s="12">
        <v>45227.0</v>
      </c>
      <c r="N961" s="11" t="s">
        <v>24</v>
      </c>
      <c r="O961" s="11" t="s">
        <v>25</v>
      </c>
    </row>
    <row r="962">
      <c r="A962" s="10" t="s">
        <v>2902</v>
      </c>
      <c r="B962" s="11">
        <v>56.0</v>
      </c>
      <c r="C962" s="11" t="s">
        <v>17</v>
      </c>
      <c r="D962" s="11" t="s">
        <v>39</v>
      </c>
      <c r="E962" s="11" t="s">
        <v>88</v>
      </c>
      <c r="F962" s="12">
        <v>44027.0</v>
      </c>
      <c r="G962" s="11" t="s">
        <v>2903</v>
      </c>
      <c r="H962" s="11" t="s">
        <v>2904</v>
      </c>
      <c r="I962" s="11" t="s">
        <v>32</v>
      </c>
      <c r="J962" s="11">
        <v>16509.8932281747</v>
      </c>
      <c r="K962" s="11">
        <v>472.0</v>
      </c>
      <c r="L962" s="11" t="s">
        <v>33</v>
      </c>
      <c r="M962" s="12">
        <v>44054.0</v>
      </c>
      <c r="N962" s="11" t="s">
        <v>91</v>
      </c>
      <c r="O962" s="11" t="s">
        <v>35</v>
      </c>
    </row>
    <row r="963">
      <c r="A963" s="10" t="s">
        <v>2905</v>
      </c>
      <c r="B963" s="11">
        <v>36.0</v>
      </c>
      <c r="C963" s="11" t="s">
        <v>38</v>
      </c>
      <c r="D963" s="11" t="s">
        <v>39</v>
      </c>
      <c r="E963" s="11" t="s">
        <v>109</v>
      </c>
      <c r="F963" s="12">
        <v>44940.0</v>
      </c>
      <c r="G963" s="11" t="s">
        <v>2906</v>
      </c>
      <c r="H963" s="11" t="s">
        <v>2907</v>
      </c>
      <c r="I963" s="11" t="s">
        <v>32</v>
      </c>
      <c r="J963" s="11">
        <v>46268.7290367606</v>
      </c>
      <c r="K963" s="11">
        <v>425.0</v>
      </c>
      <c r="L963" s="11" t="s">
        <v>50</v>
      </c>
      <c r="M963" s="12">
        <v>44965.0</v>
      </c>
      <c r="N963" s="11" t="s">
        <v>43</v>
      </c>
      <c r="O963" s="11" t="s">
        <v>25</v>
      </c>
    </row>
    <row r="964">
      <c r="A964" s="10" t="s">
        <v>2908</v>
      </c>
      <c r="B964" s="11">
        <v>44.0</v>
      </c>
      <c r="C964" s="11" t="s">
        <v>17</v>
      </c>
      <c r="D964" s="11" t="s">
        <v>39</v>
      </c>
      <c r="E964" s="11" t="s">
        <v>109</v>
      </c>
      <c r="F964" s="12">
        <v>44366.0</v>
      </c>
      <c r="G964" s="11" t="s">
        <v>2909</v>
      </c>
      <c r="H964" s="11" t="s">
        <v>2910</v>
      </c>
      <c r="I964" s="11" t="s">
        <v>63</v>
      </c>
      <c r="J964" s="11">
        <v>36272.7518193057</v>
      </c>
      <c r="K964" s="11">
        <v>465.0</v>
      </c>
      <c r="L964" s="11" t="s">
        <v>33</v>
      </c>
      <c r="M964" s="12">
        <v>44391.0</v>
      </c>
      <c r="N964" s="11" t="s">
        <v>24</v>
      </c>
      <c r="O964" s="11" t="s">
        <v>25</v>
      </c>
    </row>
    <row r="965">
      <c r="A965" s="10" t="s">
        <v>2911</v>
      </c>
      <c r="B965" s="11">
        <v>32.0</v>
      </c>
      <c r="C965" s="11" t="s">
        <v>17</v>
      </c>
      <c r="D965" s="11" t="s">
        <v>141</v>
      </c>
      <c r="E965" s="11" t="s">
        <v>29</v>
      </c>
      <c r="F965" s="12">
        <v>43969.0</v>
      </c>
      <c r="G965" s="11" t="s">
        <v>2912</v>
      </c>
      <c r="H965" s="11" t="s">
        <v>2913</v>
      </c>
      <c r="I965" s="11" t="s">
        <v>32</v>
      </c>
      <c r="J965" s="11">
        <v>5614.51822677262</v>
      </c>
      <c r="K965" s="11">
        <v>169.0</v>
      </c>
      <c r="L965" s="11" t="s">
        <v>23</v>
      </c>
      <c r="M965" s="12">
        <v>43970.0</v>
      </c>
      <c r="N965" s="11" t="s">
        <v>43</v>
      </c>
      <c r="O965" s="11" t="s">
        <v>51</v>
      </c>
    </row>
    <row r="966">
      <c r="A966" s="10" t="s">
        <v>2914</v>
      </c>
      <c r="B966" s="11">
        <v>61.0</v>
      </c>
      <c r="C966" s="11" t="s">
        <v>38</v>
      </c>
      <c r="D966" s="11" t="s">
        <v>18</v>
      </c>
      <c r="E966" s="11" t="s">
        <v>109</v>
      </c>
      <c r="F966" s="12">
        <v>43967.0</v>
      </c>
      <c r="G966" s="11" t="s">
        <v>2915</v>
      </c>
      <c r="H966" s="11" t="s">
        <v>2916</v>
      </c>
      <c r="I966" s="11" t="s">
        <v>63</v>
      </c>
      <c r="J966" s="11">
        <v>21429.6739120968</v>
      </c>
      <c r="K966" s="11">
        <v>493.0</v>
      </c>
      <c r="L966" s="11" t="s">
        <v>50</v>
      </c>
      <c r="M966" s="12">
        <v>43997.0</v>
      </c>
      <c r="N966" s="11" t="s">
        <v>34</v>
      </c>
      <c r="O966" s="11" t="s">
        <v>51</v>
      </c>
    </row>
    <row r="967">
      <c r="A967" s="10" t="s">
        <v>2917</v>
      </c>
      <c r="B967" s="11">
        <v>61.0</v>
      </c>
      <c r="C967" s="11" t="s">
        <v>17</v>
      </c>
      <c r="D967" s="11" t="s">
        <v>54</v>
      </c>
      <c r="E967" s="11" t="s">
        <v>19</v>
      </c>
      <c r="F967" s="12">
        <v>44266.0</v>
      </c>
      <c r="G967" s="11" t="s">
        <v>2918</v>
      </c>
      <c r="H967" s="11" t="s">
        <v>2919</v>
      </c>
      <c r="I967" s="11" t="s">
        <v>73</v>
      </c>
      <c r="J967" s="11">
        <v>24057.4709309876</v>
      </c>
      <c r="K967" s="11">
        <v>304.0</v>
      </c>
      <c r="L967" s="11" t="s">
        <v>33</v>
      </c>
      <c r="M967" s="12">
        <v>44288.0</v>
      </c>
      <c r="N967" s="11" t="s">
        <v>24</v>
      </c>
      <c r="O967" s="11" t="s">
        <v>25</v>
      </c>
    </row>
    <row r="968">
      <c r="A968" s="10" t="s">
        <v>2920</v>
      </c>
      <c r="B968" s="11">
        <v>47.0</v>
      </c>
      <c r="C968" s="11" t="s">
        <v>17</v>
      </c>
      <c r="D968" s="11" t="s">
        <v>18</v>
      </c>
      <c r="E968" s="11" t="s">
        <v>109</v>
      </c>
      <c r="F968" s="12">
        <v>44962.0</v>
      </c>
      <c r="G968" s="11" t="s">
        <v>2921</v>
      </c>
      <c r="H968" s="11" t="s">
        <v>2922</v>
      </c>
      <c r="I968" s="11" t="s">
        <v>22</v>
      </c>
      <c r="J968" s="11">
        <v>22775.4709385453</v>
      </c>
      <c r="K968" s="11">
        <v>462.0</v>
      </c>
      <c r="L968" s="11" t="s">
        <v>50</v>
      </c>
      <c r="M968" s="12">
        <v>44969.0</v>
      </c>
      <c r="N968" s="11" t="s">
        <v>57</v>
      </c>
      <c r="O968" s="11" t="s">
        <v>51</v>
      </c>
    </row>
    <row r="969">
      <c r="A969" s="10" t="s">
        <v>2923</v>
      </c>
      <c r="B969" s="11">
        <v>49.0</v>
      </c>
      <c r="C969" s="11" t="s">
        <v>38</v>
      </c>
      <c r="D969" s="11" t="s">
        <v>28</v>
      </c>
      <c r="E969" s="11" t="s">
        <v>29</v>
      </c>
      <c r="F969" s="12">
        <v>44488.0</v>
      </c>
      <c r="G969" s="11" t="s">
        <v>2924</v>
      </c>
      <c r="H969" s="11" t="s">
        <v>2925</v>
      </c>
      <c r="I969" s="11" t="s">
        <v>73</v>
      </c>
      <c r="J969" s="11">
        <v>30953.7822567848</v>
      </c>
      <c r="K969" s="11">
        <v>186.0</v>
      </c>
      <c r="L969" s="11" t="s">
        <v>23</v>
      </c>
      <c r="M969" s="12">
        <v>44512.0</v>
      </c>
      <c r="N969" s="11" t="s">
        <v>57</v>
      </c>
      <c r="O969" s="11" t="s">
        <v>25</v>
      </c>
    </row>
    <row r="970">
      <c r="A970" s="10" t="s">
        <v>2926</v>
      </c>
      <c r="B970" s="11">
        <v>83.0</v>
      </c>
      <c r="C970" s="11" t="s">
        <v>17</v>
      </c>
      <c r="D970" s="11" t="s">
        <v>18</v>
      </c>
      <c r="E970" s="11" t="s">
        <v>60</v>
      </c>
      <c r="F970" s="12">
        <v>43715.0</v>
      </c>
      <c r="G970" s="11" t="s">
        <v>2927</v>
      </c>
      <c r="H970" s="11" t="s">
        <v>2928</v>
      </c>
      <c r="I970" s="11" t="s">
        <v>32</v>
      </c>
      <c r="J970" s="11">
        <v>12101.1306552964</v>
      </c>
      <c r="K970" s="11">
        <v>424.0</v>
      </c>
      <c r="L970" s="11" t="s">
        <v>23</v>
      </c>
      <c r="M970" s="12">
        <v>43737.0</v>
      </c>
      <c r="N970" s="11" t="s">
        <v>43</v>
      </c>
      <c r="O970" s="11" t="s">
        <v>51</v>
      </c>
    </row>
    <row r="971">
      <c r="A971" s="10" t="s">
        <v>2929</v>
      </c>
      <c r="B971" s="11">
        <v>63.0</v>
      </c>
      <c r="C971" s="11" t="s">
        <v>17</v>
      </c>
      <c r="D971" s="11" t="s">
        <v>18</v>
      </c>
      <c r="E971" s="11" t="s">
        <v>60</v>
      </c>
      <c r="F971" s="12">
        <v>44342.0</v>
      </c>
      <c r="G971" s="11" t="s">
        <v>2930</v>
      </c>
      <c r="H971" s="11" t="s">
        <v>2931</v>
      </c>
      <c r="I971" s="11" t="s">
        <v>22</v>
      </c>
      <c r="J971" s="11">
        <v>1478.1811393289</v>
      </c>
      <c r="K971" s="11">
        <v>478.0</v>
      </c>
      <c r="L971" s="11" t="s">
        <v>50</v>
      </c>
      <c r="M971" s="12">
        <v>44367.0</v>
      </c>
      <c r="N971" s="11" t="s">
        <v>34</v>
      </c>
      <c r="O971" s="11" t="s">
        <v>25</v>
      </c>
    </row>
    <row r="972">
      <c r="A972" s="10" t="s">
        <v>2932</v>
      </c>
      <c r="B972" s="11">
        <v>26.0</v>
      </c>
      <c r="C972" s="11" t="s">
        <v>38</v>
      </c>
      <c r="D972" s="11" t="s">
        <v>141</v>
      </c>
      <c r="E972" s="11" t="s">
        <v>19</v>
      </c>
      <c r="F972" s="12">
        <v>44323.0</v>
      </c>
      <c r="G972" s="11" t="s">
        <v>2933</v>
      </c>
      <c r="H972" s="11" t="s">
        <v>2934</v>
      </c>
      <c r="I972" s="11" t="s">
        <v>42</v>
      </c>
      <c r="J972" s="11">
        <v>37197.8556473132</v>
      </c>
      <c r="K972" s="11">
        <v>124.0</v>
      </c>
      <c r="L972" s="11" t="s">
        <v>23</v>
      </c>
      <c r="M972" s="12">
        <v>44343.0</v>
      </c>
      <c r="N972" s="11" t="s">
        <v>57</v>
      </c>
      <c r="O972" s="11" t="s">
        <v>51</v>
      </c>
    </row>
    <row r="973">
      <c r="A973" s="10" t="s">
        <v>2935</v>
      </c>
      <c r="B973" s="11">
        <v>20.0</v>
      </c>
      <c r="C973" s="11" t="s">
        <v>38</v>
      </c>
      <c r="D973" s="11" t="s">
        <v>66</v>
      </c>
      <c r="E973" s="11" t="s">
        <v>109</v>
      </c>
      <c r="F973" s="12">
        <v>44943.0</v>
      </c>
      <c r="G973" s="11" t="s">
        <v>2936</v>
      </c>
      <c r="H973" s="11" t="s">
        <v>2937</v>
      </c>
      <c r="I973" s="11" t="s">
        <v>32</v>
      </c>
      <c r="J973" s="11">
        <v>5407.72875451754</v>
      </c>
      <c r="K973" s="11">
        <v>294.0</v>
      </c>
      <c r="L973" s="11" t="s">
        <v>50</v>
      </c>
      <c r="M973" s="12">
        <v>44955.0</v>
      </c>
      <c r="N973" s="11" t="s">
        <v>24</v>
      </c>
      <c r="O973" s="11" t="s">
        <v>25</v>
      </c>
    </row>
    <row r="974">
      <c r="A974" s="10" t="s">
        <v>2938</v>
      </c>
      <c r="B974" s="11">
        <v>69.0</v>
      </c>
      <c r="C974" s="11" t="s">
        <v>17</v>
      </c>
      <c r="D974" s="11" t="s">
        <v>66</v>
      </c>
      <c r="E974" s="11" t="s">
        <v>60</v>
      </c>
      <c r="F974" s="12">
        <v>43895.0</v>
      </c>
      <c r="G974" s="11" t="s">
        <v>2939</v>
      </c>
      <c r="H974" s="11" t="s">
        <v>2940</v>
      </c>
      <c r="I974" s="11" t="s">
        <v>32</v>
      </c>
      <c r="J974" s="11">
        <v>6035.45806854317</v>
      </c>
      <c r="K974" s="11">
        <v>282.0</v>
      </c>
      <c r="L974" s="11" t="s">
        <v>23</v>
      </c>
      <c r="M974" s="12">
        <v>43896.0</v>
      </c>
      <c r="N974" s="11" t="s">
        <v>91</v>
      </c>
      <c r="O974" s="11" t="s">
        <v>25</v>
      </c>
    </row>
    <row r="975">
      <c r="A975" s="10" t="s">
        <v>2941</v>
      </c>
      <c r="B975" s="11">
        <v>26.0</v>
      </c>
      <c r="C975" s="11" t="s">
        <v>17</v>
      </c>
      <c r="D975" s="11" t="s">
        <v>66</v>
      </c>
      <c r="E975" s="11" t="s">
        <v>60</v>
      </c>
      <c r="F975" s="12">
        <v>44820.0</v>
      </c>
      <c r="G975" s="11" t="s">
        <v>2942</v>
      </c>
      <c r="H975" s="11" t="s">
        <v>2943</v>
      </c>
      <c r="I975" s="11" t="s">
        <v>22</v>
      </c>
      <c r="J975" s="11">
        <v>5778.24581949244</v>
      </c>
      <c r="K975" s="11">
        <v>408.0</v>
      </c>
      <c r="L975" s="11" t="s">
        <v>50</v>
      </c>
      <c r="M975" s="12">
        <v>44850.0</v>
      </c>
      <c r="N975" s="11" t="s">
        <v>43</v>
      </c>
      <c r="O975" s="11" t="s">
        <v>25</v>
      </c>
    </row>
    <row r="976">
      <c r="A976" s="10" t="s">
        <v>2944</v>
      </c>
      <c r="B976" s="11">
        <v>36.0</v>
      </c>
      <c r="C976" s="11" t="s">
        <v>17</v>
      </c>
      <c r="D976" s="11" t="s">
        <v>54</v>
      </c>
      <c r="E976" s="11" t="s">
        <v>109</v>
      </c>
      <c r="F976" s="12">
        <v>44715.0</v>
      </c>
      <c r="G976" s="11" t="s">
        <v>2945</v>
      </c>
      <c r="H976" s="11" t="s">
        <v>2946</v>
      </c>
      <c r="I976" s="11" t="s">
        <v>63</v>
      </c>
      <c r="J976" s="11">
        <v>46602.6926843485</v>
      </c>
      <c r="K976" s="11">
        <v>229.0</v>
      </c>
      <c r="L976" s="11" t="s">
        <v>50</v>
      </c>
      <c r="M976" s="12">
        <v>44740.0</v>
      </c>
      <c r="N976" s="11" t="s">
        <v>34</v>
      </c>
      <c r="O976" s="11" t="s">
        <v>51</v>
      </c>
    </row>
    <row r="977">
      <c r="A977" s="10" t="s">
        <v>2947</v>
      </c>
      <c r="B977" s="11">
        <v>27.0</v>
      </c>
      <c r="C977" s="11" t="s">
        <v>17</v>
      </c>
      <c r="D977" s="11" t="s">
        <v>66</v>
      </c>
      <c r="E977" s="11" t="s">
        <v>47</v>
      </c>
      <c r="F977" s="12">
        <v>44195.0</v>
      </c>
      <c r="G977" s="11" t="s">
        <v>2948</v>
      </c>
      <c r="H977" s="11" t="s">
        <v>2949</v>
      </c>
      <c r="I977" s="11" t="s">
        <v>32</v>
      </c>
      <c r="J977" s="11">
        <v>47789.825967887</v>
      </c>
      <c r="K977" s="11">
        <v>493.0</v>
      </c>
      <c r="L977" s="11" t="s">
        <v>33</v>
      </c>
      <c r="M977" s="12">
        <v>44222.0</v>
      </c>
      <c r="N977" s="11" t="s">
        <v>24</v>
      </c>
      <c r="O977" s="11" t="s">
        <v>51</v>
      </c>
    </row>
    <row r="978">
      <c r="A978" s="10" t="s">
        <v>2950</v>
      </c>
      <c r="B978" s="11">
        <v>60.0</v>
      </c>
      <c r="C978" s="11" t="s">
        <v>38</v>
      </c>
      <c r="D978" s="11" t="s">
        <v>18</v>
      </c>
      <c r="E978" s="11" t="s">
        <v>29</v>
      </c>
      <c r="F978" s="12">
        <v>44052.0</v>
      </c>
      <c r="G978" s="11" t="s">
        <v>2951</v>
      </c>
      <c r="H978" s="11" t="s">
        <v>2952</v>
      </c>
      <c r="I978" s="11" t="s">
        <v>42</v>
      </c>
      <c r="J978" s="11">
        <v>46608.3928886818</v>
      </c>
      <c r="K978" s="11">
        <v>142.0</v>
      </c>
      <c r="L978" s="11" t="s">
        <v>33</v>
      </c>
      <c r="M978" s="12">
        <v>44058.0</v>
      </c>
      <c r="N978" s="11" t="s">
        <v>57</v>
      </c>
      <c r="O978" s="11" t="s">
        <v>51</v>
      </c>
    </row>
    <row r="979">
      <c r="A979" s="10" t="s">
        <v>2953</v>
      </c>
      <c r="B979" s="11">
        <v>67.0</v>
      </c>
      <c r="C979" s="11" t="s">
        <v>38</v>
      </c>
      <c r="D979" s="11" t="s">
        <v>66</v>
      </c>
      <c r="E979" s="11" t="s">
        <v>109</v>
      </c>
      <c r="F979" s="12">
        <v>44265.0</v>
      </c>
      <c r="G979" s="11" t="s">
        <v>506</v>
      </c>
      <c r="H979" s="11" t="s">
        <v>2954</v>
      </c>
      <c r="I979" s="11" t="s">
        <v>63</v>
      </c>
      <c r="J979" s="11">
        <v>8709.03596282032</v>
      </c>
      <c r="K979" s="11">
        <v>187.0</v>
      </c>
      <c r="L979" s="11" t="s">
        <v>50</v>
      </c>
      <c r="M979" s="12">
        <v>44284.0</v>
      </c>
      <c r="N979" s="11" t="s">
        <v>91</v>
      </c>
      <c r="O979" s="11" t="s">
        <v>25</v>
      </c>
    </row>
    <row r="980">
      <c r="A980" s="10" t="s">
        <v>2955</v>
      </c>
      <c r="B980" s="11">
        <v>41.0</v>
      </c>
      <c r="C980" s="11" t="s">
        <v>38</v>
      </c>
      <c r="D980" s="11" t="s">
        <v>46</v>
      </c>
      <c r="E980" s="11" t="s">
        <v>19</v>
      </c>
      <c r="F980" s="12">
        <v>44270.0</v>
      </c>
      <c r="G980" s="11" t="s">
        <v>2956</v>
      </c>
      <c r="H980" s="11" t="s">
        <v>2957</v>
      </c>
      <c r="I980" s="11" t="s">
        <v>63</v>
      </c>
      <c r="J980" s="11">
        <v>18270.9952693763</v>
      </c>
      <c r="K980" s="11">
        <v>178.0</v>
      </c>
      <c r="L980" s="11" t="s">
        <v>23</v>
      </c>
      <c r="M980" s="12">
        <v>44281.0</v>
      </c>
      <c r="N980" s="11" t="s">
        <v>34</v>
      </c>
      <c r="O980" s="11" t="s">
        <v>51</v>
      </c>
    </row>
    <row r="981">
      <c r="A981" s="10" t="s">
        <v>2958</v>
      </c>
      <c r="B981" s="11">
        <v>45.0</v>
      </c>
      <c r="C981" s="11" t="s">
        <v>17</v>
      </c>
      <c r="D981" s="11" t="s">
        <v>18</v>
      </c>
      <c r="E981" s="11" t="s">
        <v>88</v>
      </c>
      <c r="F981" s="12">
        <v>44431.0</v>
      </c>
      <c r="G981" s="11" t="s">
        <v>2959</v>
      </c>
      <c r="H981" s="11" t="s">
        <v>2960</v>
      </c>
      <c r="I981" s="11" t="s">
        <v>32</v>
      </c>
      <c r="J981" s="11">
        <v>17679.0266781595</v>
      </c>
      <c r="K981" s="11">
        <v>132.0</v>
      </c>
      <c r="L981" s="11" t="s">
        <v>23</v>
      </c>
      <c r="M981" s="12">
        <v>44432.0</v>
      </c>
      <c r="N981" s="11" t="s">
        <v>57</v>
      </c>
      <c r="O981" s="11" t="s">
        <v>25</v>
      </c>
    </row>
    <row r="982">
      <c r="A982" s="10" t="s">
        <v>2961</v>
      </c>
      <c r="B982" s="11">
        <v>37.0</v>
      </c>
      <c r="C982" s="11" t="s">
        <v>17</v>
      </c>
      <c r="D982" s="11" t="s">
        <v>28</v>
      </c>
      <c r="E982" s="11" t="s">
        <v>47</v>
      </c>
      <c r="F982" s="12">
        <v>45241.0</v>
      </c>
      <c r="G982" s="11" t="s">
        <v>2962</v>
      </c>
      <c r="H982" s="11" t="s">
        <v>2963</v>
      </c>
      <c r="I982" s="11" t="s">
        <v>73</v>
      </c>
      <c r="J982" s="11">
        <v>21965.147404814</v>
      </c>
      <c r="K982" s="11">
        <v>406.0</v>
      </c>
      <c r="L982" s="11" t="s">
        <v>33</v>
      </c>
      <c r="M982" s="12">
        <v>45258.0</v>
      </c>
      <c r="N982" s="11" t="s">
        <v>57</v>
      </c>
      <c r="O982" s="11" t="s">
        <v>35</v>
      </c>
    </row>
    <row r="983">
      <c r="A983" s="10" t="s">
        <v>2964</v>
      </c>
      <c r="B983" s="11">
        <v>46.0</v>
      </c>
      <c r="C983" s="11" t="s">
        <v>17</v>
      </c>
      <c r="D983" s="11" t="s">
        <v>28</v>
      </c>
      <c r="E983" s="11" t="s">
        <v>19</v>
      </c>
      <c r="F983" s="12">
        <v>45291.0</v>
      </c>
      <c r="G983" s="11" t="s">
        <v>2965</v>
      </c>
      <c r="H983" s="11" t="s">
        <v>2966</v>
      </c>
      <c r="I983" s="11" t="s">
        <v>73</v>
      </c>
      <c r="J983" s="11">
        <v>27309.7078784393</v>
      </c>
      <c r="K983" s="11">
        <v>326.0</v>
      </c>
      <c r="L983" s="11" t="s">
        <v>33</v>
      </c>
      <c r="M983" s="12">
        <v>45318.0</v>
      </c>
      <c r="N983" s="11" t="s">
        <v>57</v>
      </c>
      <c r="O983" s="11" t="s">
        <v>35</v>
      </c>
    </row>
    <row r="984">
      <c r="A984" s="10" t="s">
        <v>2967</v>
      </c>
      <c r="B984" s="11">
        <v>71.0</v>
      </c>
      <c r="C984" s="11" t="s">
        <v>38</v>
      </c>
      <c r="D984" s="11" t="s">
        <v>28</v>
      </c>
      <c r="E984" s="11" t="s">
        <v>109</v>
      </c>
      <c r="F984" s="12">
        <v>43729.0</v>
      </c>
      <c r="G984" s="11" t="s">
        <v>2968</v>
      </c>
      <c r="H984" s="11" t="s">
        <v>2969</v>
      </c>
      <c r="I984" s="11" t="s">
        <v>73</v>
      </c>
      <c r="J984" s="11">
        <v>4437.95634965318</v>
      </c>
      <c r="K984" s="11">
        <v>406.0</v>
      </c>
      <c r="L984" s="11" t="s">
        <v>33</v>
      </c>
      <c r="M984" s="12">
        <v>43758.0</v>
      </c>
      <c r="N984" s="11" t="s">
        <v>57</v>
      </c>
      <c r="O984" s="11" t="s">
        <v>25</v>
      </c>
    </row>
    <row r="985">
      <c r="A985" s="10" t="s">
        <v>2970</v>
      </c>
      <c r="B985" s="11">
        <v>69.0</v>
      </c>
      <c r="C985" s="11" t="s">
        <v>38</v>
      </c>
      <c r="D985" s="11" t="s">
        <v>119</v>
      </c>
      <c r="E985" s="11" t="s">
        <v>88</v>
      </c>
      <c r="F985" s="12">
        <v>44869.0</v>
      </c>
      <c r="G985" s="11" t="s">
        <v>2971</v>
      </c>
      <c r="H985" s="11" t="s">
        <v>2972</v>
      </c>
      <c r="I985" s="11" t="s">
        <v>63</v>
      </c>
      <c r="J985" s="11">
        <v>15704.0892182133</v>
      </c>
      <c r="K985" s="11">
        <v>334.0</v>
      </c>
      <c r="L985" s="11" t="s">
        <v>33</v>
      </c>
      <c r="M985" s="12">
        <v>44878.0</v>
      </c>
      <c r="N985" s="11" t="s">
        <v>34</v>
      </c>
      <c r="O985" s="11" t="s">
        <v>35</v>
      </c>
    </row>
    <row r="986">
      <c r="A986" s="10" t="s">
        <v>2973</v>
      </c>
      <c r="B986" s="11">
        <v>65.0</v>
      </c>
      <c r="C986" s="11" t="s">
        <v>17</v>
      </c>
      <c r="D986" s="11" t="s">
        <v>141</v>
      </c>
      <c r="E986" s="11" t="s">
        <v>60</v>
      </c>
      <c r="F986" s="12">
        <v>43685.0</v>
      </c>
      <c r="G986" s="11" t="s">
        <v>2974</v>
      </c>
      <c r="H986" s="11" t="s">
        <v>2975</v>
      </c>
      <c r="I986" s="11" t="s">
        <v>32</v>
      </c>
      <c r="J986" s="11">
        <v>16528.8018231127</v>
      </c>
      <c r="K986" s="11">
        <v>286.0</v>
      </c>
      <c r="L986" s="11" t="s">
        <v>23</v>
      </c>
      <c r="M986" s="12">
        <v>43696.0</v>
      </c>
      <c r="N986" s="11" t="s">
        <v>24</v>
      </c>
      <c r="O986" s="11" t="s">
        <v>51</v>
      </c>
    </row>
    <row r="987">
      <c r="A987" s="10" t="s">
        <v>2976</v>
      </c>
      <c r="B987" s="11">
        <v>75.0</v>
      </c>
      <c r="C987" s="11" t="s">
        <v>38</v>
      </c>
      <c r="D987" s="11" t="s">
        <v>46</v>
      </c>
      <c r="E987" s="11" t="s">
        <v>109</v>
      </c>
      <c r="F987" s="12">
        <v>45204.0</v>
      </c>
      <c r="G987" s="11" t="s">
        <v>2977</v>
      </c>
      <c r="H987" s="11" t="s">
        <v>2978</v>
      </c>
      <c r="I987" s="11" t="s">
        <v>73</v>
      </c>
      <c r="J987" s="11">
        <v>3621.1616906829</v>
      </c>
      <c r="K987" s="11">
        <v>346.0</v>
      </c>
      <c r="L987" s="11" t="s">
        <v>50</v>
      </c>
      <c r="M987" s="12">
        <v>45207.0</v>
      </c>
      <c r="N987" s="11" t="s">
        <v>57</v>
      </c>
      <c r="O987" s="11" t="s">
        <v>35</v>
      </c>
    </row>
    <row r="988">
      <c r="A988" s="10" t="s">
        <v>2979</v>
      </c>
      <c r="B988" s="11">
        <v>77.0</v>
      </c>
      <c r="C988" s="11" t="s">
        <v>17</v>
      </c>
      <c r="D988" s="11" t="s">
        <v>46</v>
      </c>
      <c r="E988" s="11" t="s">
        <v>47</v>
      </c>
      <c r="F988" s="12">
        <v>44071.0</v>
      </c>
      <c r="G988" s="11" t="s">
        <v>2980</v>
      </c>
      <c r="H988" s="11" t="s">
        <v>2981</v>
      </c>
      <c r="I988" s="11" t="s">
        <v>63</v>
      </c>
      <c r="J988" s="11">
        <v>47863.0239195924</v>
      </c>
      <c r="K988" s="11">
        <v>159.0</v>
      </c>
      <c r="L988" s="11" t="s">
        <v>23</v>
      </c>
      <c r="M988" s="12">
        <v>44078.0</v>
      </c>
      <c r="N988" s="11" t="s">
        <v>34</v>
      </c>
      <c r="O988" s="11" t="s">
        <v>25</v>
      </c>
    </row>
    <row r="989">
      <c r="A989" s="10" t="s">
        <v>2982</v>
      </c>
      <c r="B989" s="11">
        <v>22.0</v>
      </c>
      <c r="C989" s="11" t="s">
        <v>17</v>
      </c>
      <c r="D989" s="11" t="s">
        <v>28</v>
      </c>
      <c r="E989" s="11" t="s">
        <v>29</v>
      </c>
      <c r="F989" s="12">
        <v>44020.0</v>
      </c>
      <c r="G989" s="11" t="s">
        <v>2983</v>
      </c>
      <c r="H989" s="11" t="s">
        <v>2984</v>
      </c>
      <c r="I989" s="11" t="s">
        <v>32</v>
      </c>
      <c r="J989" s="11">
        <v>46772.5811980863</v>
      </c>
      <c r="K989" s="11">
        <v>311.0</v>
      </c>
      <c r="L989" s="11" t="s">
        <v>33</v>
      </c>
      <c r="M989" s="12">
        <v>44025.0</v>
      </c>
      <c r="N989" s="11" t="s">
        <v>34</v>
      </c>
      <c r="O989" s="11" t="s">
        <v>51</v>
      </c>
    </row>
    <row r="990">
      <c r="A990" s="10" t="s">
        <v>2985</v>
      </c>
      <c r="B990" s="11">
        <v>58.0</v>
      </c>
      <c r="C990" s="11" t="s">
        <v>38</v>
      </c>
      <c r="D990" s="11" t="s">
        <v>46</v>
      </c>
      <c r="E990" s="11" t="s">
        <v>29</v>
      </c>
      <c r="F990" s="12">
        <v>45205.0</v>
      </c>
      <c r="G990" s="11" t="s">
        <v>2986</v>
      </c>
      <c r="H990" s="11" t="s">
        <v>2987</v>
      </c>
      <c r="I990" s="11" t="s">
        <v>32</v>
      </c>
      <c r="J990" s="11">
        <v>18479.7432776037</v>
      </c>
      <c r="K990" s="11">
        <v>438.0</v>
      </c>
      <c r="L990" s="11" t="s">
        <v>23</v>
      </c>
      <c r="M990" s="12">
        <v>45208.0</v>
      </c>
      <c r="N990" s="11" t="s">
        <v>34</v>
      </c>
      <c r="O990" s="11" t="s">
        <v>35</v>
      </c>
    </row>
    <row r="991">
      <c r="A991" s="10" t="s">
        <v>2988</v>
      </c>
      <c r="B991" s="11">
        <v>25.0</v>
      </c>
      <c r="C991" s="11" t="s">
        <v>38</v>
      </c>
      <c r="D991" s="11" t="s">
        <v>39</v>
      </c>
      <c r="E991" s="11" t="s">
        <v>19</v>
      </c>
      <c r="F991" s="12">
        <v>45108.0</v>
      </c>
      <c r="G991" s="11" t="s">
        <v>2989</v>
      </c>
      <c r="H991" s="11" t="s">
        <v>2990</v>
      </c>
      <c r="I991" s="11" t="s">
        <v>22</v>
      </c>
      <c r="J991" s="11">
        <v>7285.48959150567</v>
      </c>
      <c r="K991" s="11">
        <v>103.0</v>
      </c>
      <c r="L991" s="11" t="s">
        <v>23</v>
      </c>
      <c r="M991" s="12">
        <v>45112.0</v>
      </c>
      <c r="N991" s="11" t="s">
        <v>91</v>
      </c>
      <c r="O991" s="11" t="s">
        <v>25</v>
      </c>
    </row>
    <row r="992">
      <c r="A992" s="10" t="s">
        <v>2991</v>
      </c>
      <c r="B992" s="11">
        <v>83.0</v>
      </c>
      <c r="C992" s="11" t="s">
        <v>38</v>
      </c>
      <c r="D992" s="11" t="s">
        <v>18</v>
      </c>
      <c r="E992" s="11" t="s">
        <v>47</v>
      </c>
      <c r="F992" s="12">
        <v>44415.0</v>
      </c>
      <c r="G992" s="11" t="s">
        <v>2992</v>
      </c>
      <c r="H992" s="11" t="s">
        <v>2993</v>
      </c>
      <c r="I992" s="11" t="s">
        <v>22</v>
      </c>
      <c r="J992" s="11">
        <v>6818.72448001167</v>
      </c>
      <c r="K992" s="11">
        <v>101.0</v>
      </c>
      <c r="L992" s="11" t="s">
        <v>50</v>
      </c>
      <c r="M992" s="12">
        <v>44428.0</v>
      </c>
      <c r="N992" s="11" t="s">
        <v>91</v>
      </c>
      <c r="O992" s="11" t="s">
        <v>25</v>
      </c>
    </row>
    <row r="993">
      <c r="A993" s="10" t="s">
        <v>2994</v>
      </c>
      <c r="B993" s="11">
        <v>27.0</v>
      </c>
      <c r="C993" s="11" t="s">
        <v>17</v>
      </c>
      <c r="D993" s="11" t="s">
        <v>39</v>
      </c>
      <c r="E993" s="11" t="s">
        <v>88</v>
      </c>
      <c r="F993" s="12">
        <v>43964.0</v>
      </c>
      <c r="G993" s="11" t="s">
        <v>2995</v>
      </c>
      <c r="H993" s="11" t="s">
        <v>2996</v>
      </c>
      <c r="I993" s="11" t="s">
        <v>22</v>
      </c>
      <c r="J993" s="11">
        <v>14374.3129973427</v>
      </c>
      <c r="K993" s="11">
        <v>291.0</v>
      </c>
      <c r="L993" s="11" t="s">
        <v>23</v>
      </c>
      <c r="M993" s="12">
        <v>43977.0</v>
      </c>
      <c r="N993" s="11" t="s">
        <v>91</v>
      </c>
      <c r="O993" s="11" t="s">
        <v>51</v>
      </c>
    </row>
    <row r="994">
      <c r="A994" s="10" t="s">
        <v>2997</v>
      </c>
      <c r="B994" s="11">
        <v>32.0</v>
      </c>
      <c r="C994" s="11" t="s">
        <v>17</v>
      </c>
      <c r="D994" s="11" t="s">
        <v>18</v>
      </c>
      <c r="E994" s="11" t="s">
        <v>109</v>
      </c>
      <c r="F994" s="12">
        <v>45195.0</v>
      </c>
      <c r="G994" s="11" t="s">
        <v>2998</v>
      </c>
      <c r="H994" s="11" t="s">
        <v>2999</v>
      </c>
      <c r="I994" s="11" t="s">
        <v>63</v>
      </c>
      <c r="J994" s="11">
        <v>5936.17714527583</v>
      </c>
      <c r="K994" s="11">
        <v>313.0</v>
      </c>
      <c r="L994" s="11" t="s">
        <v>23</v>
      </c>
      <c r="M994" s="12">
        <v>45198.0</v>
      </c>
      <c r="N994" s="11" t="s">
        <v>43</v>
      </c>
      <c r="O994" s="11" t="s">
        <v>25</v>
      </c>
    </row>
    <row r="995">
      <c r="A995" s="10" t="s">
        <v>3000</v>
      </c>
      <c r="B995" s="11">
        <v>40.0</v>
      </c>
      <c r="C995" s="11" t="s">
        <v>17</v>
      </c>
      <c r="D995" s="11" t="s">
        <v>28</v>
      </c>
      <c r="E995" s="11" t="s">
        <v>47</v>
      </c>
      <c r="F995" s="12">
        <v>45091.0</v>
      </c>
      <c r="G995" s="11" t="s">
        <v>3001</v>
      </c>
      <c r="H995" s="11" t="s">
        <v>3002</v>
      </c>
      <c r="I995" s="11" t="s">
        <v>73</v>
      </c>
      <c r="J995" s="11">
        <v>32897.2673145643</v>
      </c>
      <c r="K995" s="11">
        <v>228.0</v>
      </c>
      <c r="L995" s="11" t="s">
        <v>23</v>
      </c>
      <c r="M995" s="12">
        <v>45092.0</v>
      </c>
      <c r="N995" s="11" t="s">
        <v>34</v>
      </c>
      <c r="O995" s="11" t="s">
        <v>35</v>
      </c>
    </row>
    <row r="996">
      <c r="A996" s="10" t="s">
        <v>3003</v>
      </c>
      <c r="B996" s="11">
        <v>25.0</v>
      </c>
      <c r="C996" s="11" t="s">
        <v>17</v>
      </c>
      <c r="D996" s="11" t="s">
        <v>66</v>
      </c>
      <c r="E996" s="11" t="s">
        <v>60</v>
      </c>
      <c r="F996" s="12">
        <v>45417.0</v>
      </c>
      <c r="G996" s="11" t="s">
        <v>3004</v>
      </c>
      <c r="H996" s="11" t="s">
        <v>3005</v>
      </c>
      <c r="I996" s="11" t="s">
        <v>73</v>
      </c>
      <c r="J996" s="11">
        <v>3963.12112831519</v>
      </c>
      <c r="K996" s="11">
        <v>415.0</v>
      </c>
      <c r="L996" s="11" t="s">
        <v>23</v>
      </c>
      <c r="M996" s="12">
        <v>45419.0</v>
      </c>
      <c r="N996" s="11" t="s">
        <v>43</v>
      </c>
      <c r="O996" s="11" t="s">
        <v>51</v>
      </c>
    </row>
    <row r="997">
      <c r="A997" s="10" t="s">
        <v>3006</v>
      </c>
      <c r="B997" s="11">
        <v>69.0</v>
      </c>
      <c r="C997" s="11" t="s">
        <v>17</v>
      </c>
      <c r="D997" s="11" t="s">
        <v>39</v>
      </c>
      <c r="E997" s="11" t="s">
        <v>60</v>
      </c>
      <c r="F997" s="12">
        <v>45019.0</v>
      </c>
      <c r="G997" s="11" t="s">
        <v>3007</v>
      </c>
      <c r="H997" s="11" t="s">
        <v>3008</v>
      </c>
      <c r="I997" s="11" t="s">
        <v>22</v>
      </c>
      <c r="J997" s="11">
        <v>16057.8201619831</v>
      </c>
      <c r="K997" s="11">
        <v>431.0</v>
      </c>
      <c r="L997" s="11" t="s">
        <v>50</v>
      </c>
      <c r="M997" s="12">
        <v>45027.0</v>
      </c>
      <c r="N997" s="11" t="s">
        <v>34</v>
      </c>
      <c r="O997" s="11" t="s">
        <v>25</v>
      </c>
    </row>
    <row r="998">
      <c r="A998" s="10" t="s">
        <v>3009</v>
      </c>
      <c r="B998" s="11">
        <v>25.0</v>
      </c>
      <c r="C998" s="11" t="s">
        <v>38</v>
      </c>
      <c r="D998" s="11" t="s">
        <v>18</v>
      </c>
      <c r="E998" s="11" t="s">
        <v>47</v>
      </c>
      <c r="F998" s="12">
        <v>44493.0</v>
      </c>
      <c r="G998" s="11" t="s">
        <v>2218</v>
      </c>
      <c r="H998" s="11" t="s">
        <v>3010</v>
      </c>
      <c r="I998" s="11" t="s">
        <v>32</v>
      </c>
      <c r="J998" s="11">
        <v>44041.5737381922</v>
      </c>
      <c r="K998" s="11">
        <v>454.0</v>
      </c>
      <c r="L998" s="11" t="s">
        <v>33</v>
      </c>
      <c r="M998" s="12">
        <v>44513.0</v>
      </c>
      <c r="N998" s="11" t="s">
        <v>34</v>
      </c>
      <c r="O998" s="11" t="s">
        <v>25</v>
      </c>
    </row>
    <row r="999">
      <c r="A999" s="10" t="s">
        <v>3011</v>
      </c>
      <c r="B999" s="11">
        <v>66.0</v>
      </c>
      <c r="C999" s="11" t="s">
        <v>38</v>
      </c>
      <c r="D999" s="11" t="s">
        <v>119</v>
      </c>
      <c r="E999" s="11" t="s">
        <v>109</v>
      </c>
      <c r="F999" s="12">
        <v>45070.0</v>
      </c>
      <c r="G999" s="11" t="s">
        <v>3012</v>
      </c>
      <c r="H999" s="11" t="s">
        <v>3013</v>
      </c>
      <c r="I999" s="11" t="s">
        <v>32</v>
      </c>
      <c r="J999" s="11">
        <v>15086.1587800273</v>
      </c>
      <c r="K999" s="11">
        <v>445.0</v>
      </c>
      <c r="L999" s="11" t="s">
        <v>23</v>
      </c>
      <c r="M999" s="12">
        <v>45086.0</v>
      </c>
      <c r="N999" s="11" t="s">
        <v>91</v>
      </c>
      <c r="O999" s="11" t="s">
        <v>51</v>
      </c>
    </row>
    <row r="1000">
      <c r="A1000" s="10" t="s">
        <v>3014</v>
      </c>
      <c r="B1000" s="11">
        <v>62.0</v>
      </c>
      <c r="C1000" s="11" t="s">
        <v>17</v>
      </c>
      <c r="D1000" s="11" t="s">
        <v>28</v>
      </c>
      <c r="E1000" s="11" t="s">
        <v>88</v>
      </c>
      <c r="F1000" s="12">
        <v>43819.0</v>
      </c>
      <c r="G1000" s="11" t="s">
        <v>3015</v>
      </c>
      <c r="H1000" s="11" t="s">
        <v>3016</v>
      </c>
      <c r="I1000" s="11" t="s">
        <v>63</v>
      </c>
      <c r="J1000" s="11">
        <v>16377.5231280267</v>
      </c>
      <c r="K1000" s="11">
        <v>174.0</v>
      </c>
      <c r="L1000" s="11" t="s">
        <v>23</v>
      </c>
      <c r="M1000" s="12">
        <v>43847.0</v>
      </c>
      <c r="N1000" s="11" t="s">
        <v>57</v>
      </c>
      <c r="O1000" s="11" t="s">
        <v>35</v>
      </c>
    </row>
    <row r="1001">
      <c r="A1001" s="10" t="s">
        <v>3017</v>
      </c>
      <c r="B1001" s="11">
        <v>30.0</v>
      </c>
      <c r="C1001" s="11" t="s">
        <v>17</v>
      </c>
      <c r="D1001" s="11" t="s">
        <v>39</v>
      </c>
      <c r="E1001" s="11" t="s">
        <v>88</v>
      </c>
      <c r="F1001" s="12">
        <v>44678.0</v>
      </c>
      <c r="G1001" s="11" t="s">
        <v>3018</v>
      </c>
      <c r="H1001" s="11" t="s">
        <v>3019</v>
      </c>
      <c r="I1001" s="11" t="s">
        <v>63</v>
      </c>
      <c r="J1001" s="11">
        <v>43488.8386274731</v>
      </c>
      <c r="K1001" s="11">
        <v>341.0</v>
      </c>
      <c r="L1001" s="11" t="s">
        <v>50</v>
      </c>
      <c r="M1001" s="12">
        <v>44685.0</v>
      </c>
      <c r="N1001" s="11" t="s">
        <v>91</v>
      </c>
      <c r="O1001" s="11" t="s">
        <v>35</v>
      </c>
    </row>
    <row r="1002">
      <c r="A1002" s="10" t="s">
        <v>3020</v>
      </c>
      <c r="B1002" s="11">
        <v>55.0</v>
      </c>
      <c r="C1002" s="11" t="s">
        <v>17</v>
      </c>
      <c r="D1002" s="11" t="s">
        <v>119</v>
      </c>
      <c r="E1002" s="11" t="s">
        <v>88</v>
      </c>
      <c r="F1002" s="12">
        <v>43783.0</v>
      </c>
      <c r="G1002" s="11" t="s">
        <v>3021</v>
      </c>
      <c r="H1002" s="11" t="s">
        <v>3022</v>
      </c>
      <c r="I1002" s="11" t="s">
        <v>73</v>
      </c>
      <c r="J1002" s="11">
        <v>43108.8880581611</v>
      </c>
      <c r="K1002" s="11">
        <v>161.0</v>
      </c>
      <c r="L1002" s="11" t="s">
        <v>33</v>
      </c>
      <c r="M1002" s="12">
        <v>43785.0</v>
      </c>
      <c r="N1002" s="11" t="s">
        <v>34</v>
      </c>
      <c r="O1002" s="11" t="s">
        <v>35</v>
      </c>
    </row>
    <row r="1003">
      <c r="F1003" s="13"/>
      <c r="M1003" s="13"/>
    </row>
    <row r="1004">
      <c r="F1004" s="13"/>
      <c r="M1004" s="13"/>
    </row>
    <row r="1005">
      <c r="F1005" s="13"/>
      <c r="M1005" s="13"/>
    </row>
    <row r="1006">
      <c r="F1006" s="13"/>
      <c r="M1006" s="13"/>
    </row>
    <row r="1007">
      <c r="F1007" s="13"/>
      <c r="M1007" s="13"/>
    </row>
    <row r="1008">
      <c r="F1008" s="13"/>
      <c r="M1008" s="13"/>
    </row>
    <row r="1009">
      <c r="F1009" s="13"/>
      <c r="M1009" s="13"/>
    </row>
    <row r="1010">
      <c r="F1010" s="13"/>
      <c r="M1010" s="13"/>
    </row>
    <row r="1011">
      <c r="F1011" s="13"/>
      <c r="M1011" s="13"/>
    </row>
    <row r="1012">
      <c r="F1012" s="13"/>
      <c r="M1012" s="13"/>
    </row>
    <row r="1013">
      <c r="F1013" s="13"/>
      <c r="M1013" s="13"/>
    </row>
    <row r="1014">
      <c r="F1014" s="13"/>
      <c r="M1014" s="13"/>
    </row>
    <row r="1015">
      <c r="F1015" s="13"/>
      <c r="M1015" s="13"/>
    </row>
    <row r="1016">
      <c r="F1016" s="13"/>
      <c r="M1016" s="13"/>
    </row>
    <row r="1017">
      <c r="F1017" s="13"/>
      <c r="M1017" s="13"/>
    </row>
    <row r="1018">
      <c r="F1018" s="13"/>
      <c r="M1018" s="13"/>
    </row>
    <row r="1019">
      <c r="F1019" s="13"/>
      <c r="M1019" s="13"/>
    </row>
    <row r="1020">
      <c r="F1020" s="13"/>
      <c r="M1020" s="13"/>
    </row>
    <row r="1021">
      <c r="F1021" s="13"/>
      <c r="M1021" s="13"/>
    </row>
    <row r="1022">
      <c r="F1022" s="13"/>
      <c r="M1022" s="13"/>
    </row>
    <row r="1023">
      <c r="F1023" s="13"/>
      <c r="M1023" s="13"/>
    </row>
    <row r="1024">
      <c r="F1024" s="13"/>
      <c r="M1024" s="13"/>
    </row>
    <row r="1025">
      <c r="F1025" s="13"/>
      <c r="M1025" s="13"/>
    </row>
    <row r="1026">
      <c r="F1026" s="13"/>
      <c r="M1026" s="13"/>
    </row>
    <row r="1027">
      <c r="F1027" s="13"/>
      <c r="M1027" s="13"/>
    </row>
    <row r="1028">
      <c r="F1028" s="13"/>
      <c r="M1028" s="13"/>
    </row>
    <row r="1029">
      <c r="F1029" s="13"/>
      <c r="M1029" s="13"/>
    </row>
    <row r="1030">
      <c r="F1030" s="13"/>
      <c r="M1030" s="13"/>
    </row>
    <row r="1031">
      <c r="F1031" s="13"/>
      <c r="M1031" s="13"/>
    </row>
    <row r="1032">
      <c r="F1032" s="13"/>
      <c r="M1032" s="13"/>
    </row>
    <row r="1033">
      <c r="F1033" s="13"/>
      <c r="M1033" s="13"/>
    </row>
    <row r="1034">
      <c r="F1034" s="13"/>
      <c r="M1034" s="13"/>
    </row>
    <row r="1035">
      <c r="F1035" s="13"/>
      <c r="M1035" s="13"/>
    </row>
    <row r="1036">
      <c r="F1036" s="13"/>
      <c r="M1036" s="13"/>
    </row>
    <row r="1037">
      <c r="F1037" s="13"/>
      <c r="M1037" s="13"/>
    </row>
    <row r="1038">
      <c r="F1038" s="13"/>
      <c r="M1038" s="13"/>
    </row>
    <row r="1039">
      <c r="F1039" s="13"/>
      <c r="M1039" s="13"/>
    </row>
    <row r="1040">
      <c r="F1040" s="13"/>
      <c r="M1040" s="13"/>
    </row>
    <row r="1041">
      <c r="F1041" s="13"/>
      <c r="M1041" s="13"/>
    </row>
    <row r="1042">
      <c r="F1042" s="13"/>
      <c r="M1042" s="13"/>
    </row>
    <row r="1043">
      <c r="F1043" s="13"/>
      <c r="M1043" s="13"/>
    </row>
    <row r="1044">
      <c r="F1044" s="13"/>
      <c r="M1044" s="13"/>
    </row>
    <row r="1045">
      <c r="F1045" s="13"/>
      <c r="M1045" s="13"/>
    </row>
    <row r="1046">
      <c r="F1046" s="13"/>
      <c r="M1046" s="13"/>
    </row>
    <row r="1047">
      <c r="F1047" s="13"/>
      <c r="M1047" s="13"/>
    </row>
    <row r="1048">
      <c r="F1048" s="13"/>
      <c r="M1048" s="13"/>
    </row>
    <row r="1049">
      <c r="F1049" s="13"/>
      <c r="M1049" s="13"/>
    </row>
    <row r="1050">
      <c r="F1050" s="13"/>
      <c r="M1050" s="13"/>
    </row>
    <row r="1051">
      <c r="F1051" s="13"/>
      <c r="M1051" s="13"/>
    </row>
    <row r="1052">
      <c r="F1052" s="13"/>
      <c r="M1052" s="13"/>
    </row>
    <row r="1053">
      <c r="F1053" s="13"/>
      <c r="M1053" s="13"/>
    </row>
    <row r="1054">
      <c r="F1054" s="13"/>
      <c r="M1054" s="13"/>
    </row>
    <row r="1055">
      <c r="F1055" s="13"/>
      <c r="M1055" s="13"/>
    </row>
    <row r="1056">
      <c r="F1056" s="13"/>
      <c r="M1056" s="13"/>
    </row>
    <row r="1057">
      <c r="F1057" s="13"/>
      <c r="M1057" s="13"/>
    </row>
    <row r="1058">
      <c r="F1058" s="13"/>
      <c r="M1058" s="13"/>
    </row>
    <row r="1059">
      <c r="F1059" s="13"/>
      <c r="M1059" s="13"/>
    </row>
    <row r="1060">
      <c r="F1060" s="13"/>
      <c r="M1060" s="13"/>
    </row>
    <row r="1061">
      <c r="F1061" s="13"/>
      <c r="M1061" s="13"/>
    </row>
    <row r="1062">
      <c r="F1062" s="13"/>
      <c r="M1062" s="13"/>
    </row>
    <row r="1063">
      <c r="F1063" s="13"/>
      <c r="M1063" s="13"/>
    </row>
    <row r="1064">
      <c r="F1064" s="13"/>
      <c r="M1064" s="13"/>
    </row>
    <row r="1065">
      <c r="F1065" s="13"/>
      <c r="M1065" s="13"/>
    </row>
    <row r="1066">
      <c r="F1066" s="13"/>
      <c r="M1066" s="13"/>
    </row>
    <row r="1067">
      <c r="F1067" s="13"/>
      <c r="M1067" s="13"/>
    </row>
    <row r="1068">
      <c r="F1068" s="13"/>
      <c r="M1068" s="13"/>
    </row>
    <row r="1069">
      <c r="F1069" s="13"/>
      <c r="M1069" s="13"/>
    </row>
    <row r="1070">
      <c r="F1070" s="13"/>
      <c r="M1070" s="13"/>
    </row>
    <row r="1071">
      <c r="F1071" s="13"/>
      <c r="M1071" s="13"/>
    </row>
    <row r="1072">
      <c r="F1072" s="13"/>
      <c r="M1072" s="13"/>
    </row>
    <row r="1073">
      <c r="F1073" s="13"/>
      <c r="M1073" s="13"/>
    </row>
    <row r="1074">
      <c r="F1074" s="13"/>
      <c r="M1074" s="13"/>
    </row>
    <row r="1075">
      <c r="F1075" s="13"/>
      <c r="M1075" s="13"/>
    </row>
    <row r="1076">
      <c r="F1076" s="13"/>
      <c r="M1076" s="13"/>
    </row>
    <row r="1077">
      <c r="F1077" s="13"/>
      <c r="M1077" s="13"/>
    </row>
    <row r="1078">
      <c r="F1078" s="13"/>
      <c r="M1078" s="13"/>
    </row>
    <row r="1079">
      <c r="F1079" s="13"/>
      <c r="M1079" s="13"/>
    </row>
    <row r="1080">
      <c r="F1080" s="13"/>
      <c r="M1080" s="13"/>
    </row>
    <row r="1081">
      <c r="F1081" s="13"/>
      <c r="M1081" s="13"/>
    </row>
    <row r="1082">
      <c r="F1082" s="13"/>
      <c r="M1082" s="13"/>
    </row>
    <row r="1083">
      <c r="F1083" s="13"/>
      <c r="M1083" s="13"/>
    </row>
    <row r="1084">
      <c r="F1084" s="13"/>
      <c r="M1084" s="13"/>
    </row>
    <row r="1085">
      <c r="F1085" s="13"/>
      <c r="M1085" s="13"/>
    </row>
    <row r="1086">
      <c r="F1086" s="13"/>
      <c r="M1086" s="13"/>
    </row>
    <row r="1087">
      <c r="F1087" s="13"/>
      <c r="M1087" s="13"/>
    </row>
    <row r="1088">
      <c r="F1088" s="13"/>
      <c r="M1088" s="13"/>
    </row>
    <row r="1089">
      <c r="F1089" s="13"/>
      <c r="M1089" s="13"/>
    </row>
    <row r="1090">
      <c r="F1090" s="13"/>
      <c r="M1090" s="13"/>
    </row>
    <row r="1091">
      <c r="F1091" s="13"/>
      <c r="M1091" s="13"/>
    </row>
    <row r="1092">
      <c r="F1092" s="13"/>
      <c r="M1092" s="13"/>
    </row>
    <row r="1093">
      <c r="F1093" s="13"/>
      <c r="M1093" s="13"/>
    </row>
    <row r="1094">
      <c r="F1094" s="13"/>
      <c r="M1094" s="13"/>
    </row>
    <row r="1095">
      <c r="F1095" s="13"/>
      <c r="M1095" s="13"/>
    </row>
    <row r="1096">
      <c r="F1096" s="13"/>
      <c r="M1096" s="13"/>
    </row>
    <row r="1097">
      <c r="F1097" s="13"/>
      <c r="M1097" s="13"/>
    </row>
    <row r="1098">
      <c r="F1098" s="13"/>
      <c r="M1098" s="13"/>
    </row>
    <row r="1099">
      <c r="F1099" s="13"/>
      <c r="M1099" s="13"/>
    </row>
    <row r="1100">
      <c r="F1100" s="13"/>
      <c r="M1100" s="13"/>
    </row>
    <row r="1101">
      <c r="F1101" s="13"/>
      <c r="M1101" s="13"/>
    </row>
    <row r="1102">
      <c r="F1102" s="13"/>
      <c r="M1102" s="13"/>
    </row>
    <row r="1103">
      <c r="F1103" s="13"/>
      <c r="M1103" s="13"/>
    </row>
    <row r="1104">
      <c r="F1104" s="13"/>
      <c r="M1104" s="13"/>
    </row>
    <row r="1105">
      <c r="F1105" s="13"/>
      <c r="M1105" s="13"/>
    </row>
    <row r="1106">
      <c r="F1106" s="13"/>
      <c r="M1106" s="13"/>
    </row>
    <row r="1107">
      <c r="F1107" s="13"/>
      <c r="M1107" s="13"/>
    </row>
    <row r="1108">
      <c r="F1108" s="13"/>
      <c r="M1108" s="13"/>
    </row>
    <row r="1109">
      <c r="F1109" s="13"/>
      <c r="M1109" s="13"/>
    </row>
    <row r="1110">
      <c r="F1110" s="13"/>
      <c r="M1110" s="13"/>
    </row>
    <row r="1111">
      <c r="F1111" s="13"/>
      <c r="M1111" s="13"/>
    </row>
    <row r="1112">
      <c r="F1112" s="13"/>
      <c r="M1112" s="13"/>
    </row>
    <row r="1113">
      <c r="F1113" s="13"/>
      <c r="M1113" s="13"/>
    </row>
    <row r="1114">
      <c r="F1114" s="13"/>
      <c r="M1114" s="13"/>
    </row>
    <row r="1115">
      <c r="F1115" s="13"/>
      <c r="M1115" s="13"/>
    </row>
    <row r="1116">
      <c r="F1116" s="13"/>
      <c r="M1116" s="13"/>
    </row>
    <row r="1117">
      <c r="F1117" s="13"/>
      <c r="M1117" s="13"/>
    </row>
    <row r="1118">
      <c r="F1118" s="13"/>
      <c r="M1118" s="13"/>
    </row>
    <row r="1119">
      <c r="F1119" s="13"/>
      <c r="M1119" s="13"/>
    </row>
    <row r="1120">
      <c r="F1120" s="13"/>
      <c r="M1120" s="13"/>
    </row>
    <row r="1121">
      <c r="F1121" s="13"/>
      <c r="M1121" s="13"/>
    </row>
    <row r="1122">
      <c r="F1122" s="13"/>
      <c r="M1122" s="13"/>
    </row>
    <row r="1123">
      <c r="F1123" s="13"/>
      <c r="M1123" s="13"/>
    </row>
    <row r="1124">
      <c r="F1124" s="13"/>
      <c r="M1124" s="13"/>
    </row>
    <row r="1125">
      <c r="F1125" s="13"/>
      <c r="M1125" s="13"/>
    </row>
    <row r="1126">
      <c r="F1126" s="13"/>
      <c r="M1126" s="13"/>
    </row>
    <row r="1127">
      <c r="F1127" s="13"/>
      <c r="M1127" s="13"/>
    </row>
    <row r="1128">
      <c r="F1128" s="13"/>
      <c r="M1128" s="13"/>
    </row>
    <row r="1129">
      <c r="F1129" s="13"/>
      <c r="M1129" s="13"/>
    </row>
    <row r="1130">
      <c r="F1130" s="13"/>
      <c r="M1130" s="13"/>
    </row>
    <row r="1131">
      <c r="F1131" s="13"/>
      <c r="M1131" s="13"/>
    </row>
    <row r="1132">
      <c r="F1132" s="13"/>
      <c r="M1132" s="13"/>
    </row>
    <row r="1133">
      <c r="F1133" s="13"/>
      <c r="M1133" s="13"/>
    </row>
    <row r="1134">
      <c r="F1134" s="13"/>
      <c r="M1134" s="13"/>
    </row>
    <row r="1135">
      <c r="F1135" s="13"/>
      <c r="M1135" s="13"/>
    </row>
    <row r="1136">
      <c r="F1136" s="13"/>
      <c r="M1136" s="13"/>
    </row>
    <row r="1137">
      <c r="F1137" s="13"/>
      <c r="M1137" s="13"/>
    </row>
    <row r="1138">
      <c r="F1138" s="13"/>
      <c r="M1138" s="13"/>
    </row>
    <row r="1139">
      <c r="F1139" s="13"/>
      <c r="M1139" s="13"/>
    </row>
    <row r="1140">
      <c r="F1140" s="13"/>
      <c r="M1140" s="13"/>
    </row>
    <row r="1141">
      <c r="F1141" s="13"/>
      <c r="M1141" s="13"/>
    </row>
    <row r="1142">
      <c r="F1142" s="13"/>
      <c r="M1142" s="13"/>
    </row>
    <row r="1143">
      <c r="F1143" s="13"/>
      <c r="M1143" s="13"/>
    </row>
    <row r="1144">
      <c r="F1144" s="13"/>
      <c r="M1144" s="13"/>
    </row>
    <row r="1145">
      <c r="F1145" s="13"/>
      <c r="M1145" s="13"/>
    </row>
    <row r="1146">
      <c r="F1146" s="13"/>
      <c r="M1146" s="13"/>
    </row>
    <row r="1147">
      <c r="F1147" s="13"/>
      <c r="M1147" s="13"/>
    </row>
    <row r="1148">
      <c r="F1148" s="13"/>
      <c r="M1148" s="13"/>
    </row>
    <row r="1149">
      <c r="F1149" s="13"/>
      <c r="M1149" s="13"/>
    </row>
    <row r="1150">
      <c r="F1150" s="13"/>
      <c r="M1150" s="13"/>
    </row>
    <row r="1151">
      <c r="F1151" s="13"/>
      <c r="M1151" s="13"/>
    </row>
    <row r="1152">
      <c r="F1152" s="13"/>
      <c r="M1152" s="13"/>
    </row>
    <row r="1153">
      <c r="F1153" s="13"/>
      <c r="M1153" s="13"/>
    </row>
    <row r="1154">
      <c r="F1154" s="13"/>
      <c r="M1154" s="13"/>
    </row>
    <row r="1155">
      <c r="F1155" s="13"/>
      <c r="M1155" s="13"/>
    </row>
    <row r="1156">
      <c r="F1156" s="13"/>
      <c r="M1156" s="13"/>
    </row>
    <row r="1157">
      <c r="F1157" s="13"/>
      <c r="M1157" s="13"/>
    </row>
    <row r="1158">
      <c r="F1158" s="13"/>
      <c r="M1158" s="13"/>
    </row>
    <row r="1159">
      <c r="F1159" s="13"/>
      <c r="M1159" s="13"/>
    </row>
    <row r="1160">
      <c r="F1160" s="13"/>
      <c r="M1160" s="13"/>
    </row>
    <row r="1161">
      <c r="F1161" s="13"/>
      <c r="M1161" s="13"/>
    </row>
    <row r="1162">
      <c r="F1162" s="13"/>
      <c r="M1162" s="13"/>
    </row>
    <row r="1163">
      <c r="F1163" s="13"/>
      <c r="M1163" s="13"/>
    </row>
    <row r="1164">
      <c r="F1164" s="13"/>
      <c r="M1164" s="13"/>
    </row>
    <row r="1165">
      <c r="F1165" s="13"/>
      <c r="M1165" s="13"/>
    </row>
    <row r="1166">
      <c r="F1166" s="13"/>
      <c r="M1166" s="13"/>
    </row>
    <row r="1167">
      <c r="F1167" s="13"/>
      <c r="M1167" s="13"/>
    </row>
    <row r="1168">
      <c r="F1168" s="13"/>
      <c r="M1168" s="13"/>
    </row>
    <row r="1169">
      <c r="F1169" s="13"/>
      <c r="M1169" s="13"/>
    </row>
    <row r="1170">
      <c r="F1170" s="13"/>
      <c r="M1170" s="13"/>
    </row>
    <row r="1171">
      <c r="F1171" s="13"/>
      <c r="M1171" s="13"/>
    </row>
    <row r="1172">
      <c r="F1172" s="13"/>
      <c r="M1172" s="13"/>
    </row>
    <row r="1173">
      <c r="F1173" s="13"/>
      <c r="M1173" s="13"/>
    </row>
    <row r="1174">
      <c r="F1174" s="13"/>
      <c r="M1174" s="13"/>
    </row>
    <row r="1175">
      <c r="F1175" s="13"/>
      <c r="M1175" s="13"/>
    </row>
    <row r="1176">
      <c r="F1176" s="13"/>
      <c r="M1176" s="13"/>
    </row>
    <row r="1177">
      <c r="F1177" s="13"/>
      <c r="M1177" s="13"/>
    </row>
    <row r="1178">
      <c r="F1178" s="13"/>
      <c r="M1178" s="13"/>
    </row>
    <row r="1179">
      <c r="F1179" s="13"/>
      <c r="M1179" s="13"/>
    </row>
    <row r="1180">
      <c r="F1180" s="13"/>
      <c r="M1180" s="13"/>
    </row>
    <row r="1181">
      <c r="F1181" s="13"/>
      <c r="M1181" s="13"/>
    </row>
    <row r="1182">
      <c r="F1182" s="13"/>
      <c r="M1182" s="13"/>
    </row>
    <row r="1183">
      <c r="F1183" s="13"/>
      <c r="M1183" s="13"/>
    </row>
    <row r="1184">
      <c r="F1184" s="13"/>
      <c r="M1184" s="13"/>
    </row>
    <row r="1185">
      <c r="F1185" s="13"/>
      <c r="M1185" s="13"/>
    </row>
    <row r="1186">
      <c r="F1186" s="13"/>
      <c r="M1186" s="13"/>
    </row>
    <row r="1187">
      <c r="F1187" s="13"/>
      <c r="M1187" s="13"/>
    </row>
    <row r="1188">
      <c r="F1188" s="13"/>
      <c r="M1188" s="13"/>
    </row>
    <row r="1189">
      <c r="F1189" s="13"/>
      <c r="M1189" s="13"/>
    </row>
    <row r="1190">
      <c r="F1190" s="13"/>
      <c r="M1190" s="13"/>
    </row>
    <row r="1191">
      <c r="F1191" s="13"/>
      <c r="M1191" s="13"/>
    </row>
    <row r="1192">
      <c r="F1192" s="13"/>
      <c r="M1192" s="13"/>
    </row>
    <row r="1193">
      <c r="F1193" s="13"/>
      <c r="M1193" s="13"/>
    </row>
    <row r="1194">
      <c r="F1194" s="13"/>
      <c r="M1194" s="13"/>
    </row>
    <row r="1195">
      <c r="F1195" s="13"/>
      <c r="M1195" s="13"/>
    </row>
    <row r="1196">
      <c r="F1196" s="13"/>
      <c r="M1196" s="13"/>
    </row>
    <row r="1197">
      <c r="F1197" s="13"/>
      <c r="M1197" s="13"/>
    </row>
    <row r="1198">
      <c r="F1198" s="13"/>
      <c r="M1198" s="13"/>
    </row>
    <row r="1199">
      <c r="F1199" s="13"/>
      <c r="M1199" s="13"/>
    </row>
    <row r="1200">
      <c r="F1200" s="13"/>
      <c r="M1200" s="13"/>
    </row>
    <row r="1201">
      <c r="F1201" s="13"/>
      <c r="M1201" s="13"/>
    </row>
    <row r="1202">
      <c r="F1202" s="13"/>
      <c r="M1202" s="13"/>
    </row>
    <row r="1203">
      <c r="F1203" s="13"/>
      <c r="M1203" s="13"/>
    </row>
    <row r="1204">
      <c r="F1204" s="13"/>
      <c r="M1204" s="13"/>
    </row>
    <row r="1205">
      <c r="F1205" s="13"/>
      <c r="M1205" s="13"/>
    </row>
    <row r="1206">
      <c r="F1206" s="13"/>
      <c r="M1206" s="13"/>
    </row>
    <row r="1207">
      <c r="F1207" s="13"/>
      <c r="M1207" s="13"/>
    </row>
    <row r="1208">
      <c r="F1208" s="13"/>
      <c r="M1208" s="13"/>
    </row>
    <row r="1209">
      <c r="F1209" s="13"/>
      <c r="M1209" s="13"/>
    </row>
    <row r="1210">
      <c r="F1210" s="13"/>
      <c r="M1210" s="13"/>
    </row>
    <row r="1211">
      <c r="F1211" s="13"/>
      <c r="M1211" s="13"/>
    </row>
    <row r="1212">
      <c r="F1212" s="13"/>
      <c r="M1212" s="13"/>
    </row>
    <row r="1213">
      <c r="F1213" s="13"/>
      <c r="M1213" s="13"/>
    </row>
    <row r="1214">
      <c r="F1214" s="13"/>
      <c r="M1214" s="13"/>
    </row>
    <row r="1215">
      <c r="F1215" s="13"/>
      <c r="M1215" s="13"/>
    </row>
    <row r="1216">
      <c r="F1216" s="13"/>
      <c r="M1216" s="13"/>
    </row>
    <row r="1217">
      <c r="F1217" s="13"/>
      <c r="M1217" s="13"/>
    </row>
    <row r="1218">
      <c r="F1218" s="13"/>
      <c r="M1218" s="13"/>
    </row>
    <row r="1219">
      <c r="F1219" s="13"/>
      <c r="M1219" s="13"/>
    </row>
    <row r="1220">
      <c r="F1220" s="13"/>
      <c r="M1220" s="13"/>
    </row>
    <row r="1221">
      <c r="F1221" s="13"/>
      <c r="M1221" s="13"/>
    </row>
    <row r="1222">
      <c r="F1222" s="13"/>
      <c r="M1222" s="13"/>
    </row>
    <row r="1223">
      <c r="F1223" s="13"/>
      <c r="M1223" s="13"/>
    </row>
    <row r="1224">
      <c r="F1224" s="13"/>
      <c r="M1224" s="13"/>
    </row>
    <row r="1225">
      <c r="F1225" s="13"/>
      <c r="M1225" s="13"/>
    </row>
    <row r="1226">
      <c r="F1226" s="13"/>
      <c r="M1226" s="13"/>
    </row>
    <row r="1227">
      <c r="F1227" s="13"/>
      <c r="M1227" s="13"/>
    </row>
    <row r="1228">
      <c r="F1228" s="13"/>
      <c r="M1228" s="13"/>
    </row>
    <row r="1229">
      <c r="F1229" s="13"/>
      <c r="M1229" s="13"/>
    </row>
    <row r="1230">
      <c r="F1230" s="13"/>
      <c r="M1230" s="13"/>
    </row>
    <row r="1231">
      <c r="F1231" s="13"/>
      <c r="M1231" s="13"/>
    </row>
    <row r="1232">
      <c r="F1232" s="13"/>
      <c r="M1232" s="13"/>
    </row>
    <row r="1233">
      <c r="F1233" s="13"/>
      <c r="M1233" s="13"/>
    </row>
    <row r="1234">
      <c r="F1234" s="13"/>
      <c r="M1234" s="13"/>
    </row>
    <row r="1235">
      <c r="F1235" s="13"/>
      <c r="M1235" s="13"/>
    </row>
    <row r="1236">
      <c r="F1236" s="13"/>
      <c r="M1236" s="13"/>
    </row>
    <row r="1237">
      <c r="F1237" s="13"/>
      <c r="M1237" s="13"/>
    </row>
    <row r="1238">
      <c r="F1238" s="13"/>
      <c r="M1238" s="13"/>
    </row>
    <row r="1239">
      <c r="F1239" s="13"/>
      <c r="M1239" s="13"/>
    </row>
    <row r="1240">
      <c r="F1240" s="13"/>
      <c r="M1240" s="13"/>
    </row>
    <row r="1241">
      <c r="F1241" s="13"/>
      <c r="M1241" s="13"/>
    </row>
    <row r="1242">
      <c r="F1242" s="13"/>
      <c r="M1242" s="13"/>
    </row>
    <row r="1243">
      <c r="F1243" s="13"/>
      <c r="M1243" s="13"/>
    </row>
    <row r="1244">
      <c r="F1244" s="13"/>
      <c r="M1244" s="13"/>
    </row>
    <row r="1245">
      <c r="F1245" s="13"/>
      <c r="M1245" s="13"/>
    </row>
    <row r="1246">
      <c r="F1246" s="13"/>
      <c r="M1246" s="13"/>
    </row>
    <row r="1247">
      <c r="F1247" s="13"/>
      <c r="M1247" s="13"/>
    </row>
    <row r="1248">
      <c r="F1248" s="13"/>
      <c r="M1248" s="13"/>
    </row>
    <row r="1249">
      <c r="F1249" s="13"/>
      <c r="M1249" s="13"/>
    </row>
    <row r="1250">
      <c r="F1250" s="13"/>
      <c r="M1250" s="13"/>
    </row>
    <row r="1251">
      <c r="F1251" s="13"/>
      <c r="M1251" s="13"/>
    </row>
    <row r="1252">
      <c r="F1252" s="13"/>
      <c r="M1252" s="13"/>
    </row>
    <row r="1253">
      <c r="F1253" s="13"/>
      <c r="M1253" s="13"/>
    </row>
    <row r="1254">
      <c r="F1254" s="13"/>
      <c r="M1254" s="13"/>
    </row>
    <row r="1255">
      <c r="F1255" s="13"/>
      <c r="M1255" s="13"/>
    </row>
    <row r="1256">
      <c r="F1256" s="13"/>
      <c r="M1256" s="13"/>
    </row>
    <row r="1257">
      <c r="F1257" s="13"/>
      <c r="M1257" s="13"/>
    </row>
    <row r="1258">
      <c r="F1258" s="13"/>
      <c r="M1258" s="13"/>
    </row>
    <row r="1259">
      <c r="F1259" s="13"/>
      <c r="M1259" s="13"/>
    </row>
    <row r="1260">
      <c r="F1260" s="13"/>
      <c r="M1260" s="13"/>
    </row>
    <row r="1261">
      <c r="F1261" s="13"/>
      <c r="M1261" s="13"/>
    </row>
    <row r="1262">
      <c r="F1262" s="13"/>
      <c r="M1262" s="13"/>
    </row>
    <row r="1263">
      <c r="F1263" s="13"/>
      <c r="M1263" s="13"/>
    </row>
    <row r="1264">
      <c r="F1264" s="13"/>
      <c r="M1264" s="13"/>
    </row>
    <row r="1265">
      <c r="F1265" s="13"/>
      <c r="M1265" s="13"/>
    </row>
    <row r="1266">
      <c r="F1266" s="13"/>
      <c r="M1266" s="13"/>
    </row>
    <row r="1267">
      <c r="F1267" s="13"/>
      <c r="M1267" s="13"/>
    </row>
    <row r="1268">
      <c r="F1268" s="13"/>
      <c r="M1268" s="13"/>
    </row>
    <row r="1269">
      <c r="F1269" s="13"/>
      <c r="M1269" s="13"/>
    </row>
    <row r="1270">
      <c r="F1270" s="13"/>
      <c r="M1270" s="13"/>
    </row>
    <row r="1271">
      <c r="F1271" s="13"/>
      <c r="M1271" s="13"/>
    </row>
    <row r="1272">
      <c r="F1272" s="13"/>
      <c r="M1272" s="13"/>
    </row>
    <row r="1273">
      <c r="F1273" s="13"/>
      <c r="M1273" s="13"/>
    </row>
    <row r="1274">
      <c r="F1274" s="13"/>
      <c r="M1274" s="13"/>
    </row>
    <row r="1275">
      <c r="F1275" s="13"/>
      <c r="M1275" s="13"/>
    </row>
    <row r="1276">
      <c r="F1276" s="13"/>
      <c r="M1276" s="13"/>
    </row>
    <row r="1277">
      <c r="F1277" s="13"/>
      <c r="M1277" s="13"/>
    </row>
    <row r="1278">
      <c r="F1278" s="13"/>
      <c r="M1278" s="13"/>
    </row>
    <row r="1279">
      <c r="F1279" s="13"/>
      <c r="M1279" s="13"/>
    </row>
    <row r="1280">
      <c r="F1280" s="13"/>
      <c r="M1280" s="13"/>
    </row>
    <row r="1281">
      <c r="F1281" s="13"/>
      <c r="M1281" s="13"/>
    </row>
    <row r="1282">
      <c r="F1282" s="13"/>
      <c r="M1282" s="13"/>
    </row>
    <row r="1283">
      <c r="F1283" s="13"/>
      <c r="M1283" s="13"/>
    </row>
    <row r="1284">
      <c r="F1284" s="13"/>
      <c r="M1284" s="13"/>
    </row>
    <row r="1285">
      <c r="F1285" s="13"/>
      <c r="M1285" s="13"/>
    </row>
    <row r="1286">
      <c r="F1286" s="13"/>
      <c r="M1286" s="13"/>
    </row>
    <row r="1287">
      <c r="F1287" s="13"/>
      <c r="M1287" s="13"/>
    </row>
    <row r="1288">
      <c r="F1288" s="13"/>
      <c r="M1288" s="13"/>
    </row>
    <row r="1289">
      <c r="F1289" s="13"/>
      <c r="M1289" s="13"/>
    </row>
    <row r="1290">
      <c r="F1290" s="13"/>
      <c r="M1290" s="13"/>
    </row>
    <row r="1291">
      <c r="F1291" s="13"/>
      <c r="M1291" s="13"/>
    </row>
    <row r="1292">
      <c r="F1292" s="13"/>
      <c r="M1292" s="13"/>
    </row>
    <row r="1293">
      <c r="F1293" s="13"/>
      <c r="M1293" s="13"/>
    </row>
    <row r="1294">
      <c r="F1294" s="13"/>
      <c r="M1294" s="13"/>
    </row>
    <row r="1295">
      <c r="F1295" s="13"/>
      <c r="M1295" s="13"/>
    </row>
    <row r="1296">
      <c r="F1296" s="13"/>
      <c r="M1296" s="13"/>
    </row>
    <row r="1297">
      <c r="F1297" s="13"/>
      <c r="M1297" s="13"/>
    </row>
    <row r="1298">
      <c r="F1298" s="13"/>
      <c r="M1298" s="13"/>
    </row>
    <row r="1299">
      <c r="F1299" s="13"/>
      <c r="M1299" s="13"/>
    </row>
    <row r="1300">
      <c r="F1300" s="13"/>
      <c r="M1300" s="13"/>
    </row>
    <row r="1301">
      <c r="F1301" s="13"/>
      <c r="M1301" s="13"/>
    </row>
    <row r="1302">
      <c r="F1302" s="13"/>
      <c r="M1302" s="13"/>
    </row>
    <row r="1303">
      <c r="F1303" s="13"/>
      <c r="M1303" s="13"/>
    </row>
    <row r="1304">
      <c r="F1304" s="13"/>
      <c r="M1304" s="13"/>
    </row>
    <row r="1305">
      <c r="F1305" s="13"/>
      <c r="M1305" s="13"/>
    </row>
    <row r="1306">
      <c r="F1306" s="13"/>
      <c r="M1306" s="13"/>
    </row>
    <row r="1307">
      <c r="F1307" s="13"/>
      <c r="M1307" s="13"/>
    </row>
    <row r="1308">
      <c r="F1308" s="13"/>
      <c r="M1308" s="13"/>
    </row>
    <row r="1309">
      <c r="F1309" s="13"/>
      <c r="M1309" s="13"/>
    </row>
    <row r="1310">
      <c r="F1310" s="13"/>
      <c r="M1310" s="13"/>
    </row>
    <row r="1311">
      <c r="F1311" s="13"/>
      <c r="M1311" s="13"/>
    </row>
    <row r="1312">
      <c r="F1312" s="13"/>
      <c r="M1312" s="13"/>
    </row>
    <row r="1313">
      <c r="F1313" s="13"/>
      <c r="M1313" s="13"/>
    </row>
    <row r="1314">
      <c r="F1314" s="13"/>
      <c r="M1314" s="13"/>
    </row>
    <row r="1315">
      <c r="F1315" s="13"/>
      <c r="M1315" s="13"/>
    </row>
    <row r="1316">
      <c r="F1316" s="13"/>
      <c r="M1316" s="13"/>
    </row>
    <row r="1317">
      <c r="F1317" s="13"/>
      <c r="M1317" s="13"/>
    </row>
    <row r="1318">
      <c r="F1318" s="13"/>
      <c r="M1318" s="13"/>
    </row>
    <row r="1319">
      <c r="F1319" s="13"/>
      <c r="M1319" s="13"/>
    </row>
    <row r="1320">
      <c r="F1320" s="13"/>
      <c r="M1320" s="13"/>
    </row>
    <row r="1321">
      <c r="F1321" s="13"/>
      <c r="M1321" s="13"/>
    </row>
    <row r="1322">
      <c r="F1322" s="13"/>
      <c r="M1322" s="13"/>
    </row>
    <row r="1323">
      <c r="F1323" s="13"/>
      <c r="M1323" s="13"/>
    </row>
    <row r="1324">
      <c r="F1324" s="13"/>
      <c r="M1324" s="13"/>
    </row>
    <row r="1325">
      <c r="F1325" s="13"/>
      <c r="M1325" s="13"/>
    </row>
    <row r="1326">
      <c r="F1326" s="13"/>
      <c r="M1326" s="13"/>
    </row>
    <row r="1327">
      <c r="F1327" s="13"/>
      <c r="M1327" s="13"/>
    </row>
    <row r="1328">
      <c r="F1328" s="13"/>
      <c r="M1328" s="13"/>
    </row>
    <row r="1329">
      <c r="F1329" s="13"/>
      <c r="M1329" s="13"/>
    </row>
    <row r="1330">
      <c r="F1330" s="13"/>
      <c r="M1330" s="13"/>
    </row>
    <row r="1331">
      <c r="F1331" s="13"/>
      <c r="M1331" s="13"/>
    </row>
    <row r="1332">
      <c r="F1332" s="13"/>
      <c r="M1332" s="13"/>
    </row>
    <row r="1333">
      <c r="F1333" s="13"/>
      <c r="M1333" s="13"/>
    </row>
    <row r="1334">
      <c r="F1334" s="13"/>
      <c r="M1334" s="13"/>
    </row>
    <row r="1335">
      <c r="F1335" s="13"/>
      <c r="M1335" s="13"/>
    </row>
    <row r="1336">
      <c r="F1336" s="13"/>
      <c r="M1336" s="13"/>
    </row>
    <row r="1337">
      <c r="F1337" s="13"/>
      <c r="M1337" s="13"/>
    </row>
    <row r="1338">
      <c r="F1338" s="13"/>
      <c r="M1338" s="13"/>
    </row>
    <row r="1339">
      <c r="F1339" s="13"/>
      <c r="M1339" s="13"/>
    </row>
    <row r="1340">
      <c r="F1340" s="13"/>
      <c r="M1340" s="13"/>
    </row>
    <row r="1341">
      <c r="F1341" s="13"/>
      <c r="M1341" s="13"/>
    </row>
    <row r="1342">
      <c r="F1342" s="13"/>
      <c r="M1342" s="13"/>
    </row>
    <row r="1343">
      <c r="F1343" s="13"/>
      <c r="M1343" s="13"/>
    </row>
    <row r="1344">
      <c r="F1344" s="13"/>
      <c r="M1344" s="13"/>
    </row>
    <row r="1345">
      <c r="F1345" s="13"/>
      <c r="M1345" s="13"/>
    </row>
    <row r="1346">
      <c r="F1346" s="13"/>
      <c r="M1346" s="13"/>
    </row>
    <row r="1347">
      <c r="F1347" s="13"/>
      <c r="M1347" s="13"/>
    </row>
    <row r="1348">
      <c r="F1348" s="13"/>
      <c r="M1348" s="13"/>
    </row>
    <row r="1349">
      <c r="F1349" s="13"/>
      <c r="M1349" s="13"/>
    </row>
    <row r="1350">
      <c r="F1350" s="13"/>
      <c r="M1350" s="13"/>
    </row>
    <row r="1351">
      <c r="F1351" s="13"/>
      <c r="M1351" s="13"/>
    </row>
    <row r="1352">
      <c r="F1352" s="13"/>
      <c r="M1352" s="13"/>
    </row>
    <row r="1353">
      <c r="F1353" s="13"/>
      <c r="M1353" s="13"/>
    </row>
    <row r="1354">
      <c r="F1354" s="13"/>
      <c r="M1354" s="13"/>
    </row>
    <row r="1355">
      <c r="F1355" s="13"/>
      <c r="M1355" s="13"/>
    </row>
    <row r="1356">
      <c r="F1356" s="13"/>
      <c r="M1356" s="13"/>
    </row>
    <row r="1357">
      <c r="F1357" s="13"/>
      <c r="M1357" s="13"/>
    </row>
    <row r="1358">
      <c r="F1358" s="13"/>
      <c r="M1358" s="13"/>
    </row>
    <row r="1359">
      <c r="F1359" s="13"/>
      <c r="M1359" s="13"/>
    </row>
    <row r="1360">
      <c r="F1360" s="13"/>
      <c r="M1360" s="13"/>
    </row>
    <row r="1361">
      <c r="F1361" s="13"/>
      <c r="M1361" s="13"/>
    </row>
    <row r="1362">
      <c r="F1362" s="13"/>
      <c r="M1362" s="13"/>
    </row>
    <row r="1363">
      <c r="F1363" s="13"/>
      <c r="M1363" s="13"/>
    </row>
    <row r="1364">
      <c r="F1364" s="13"/>
      <c r="M1364" s="13"/>
    </row>
    <row r="1365">
      <c r="F1365" s="13"/>
      <c r="M1365" s="13"/>
    </row>
    <row r="1366">
      <c r="F1366" s="13"/>
      <c r="M1366" s="13"/>
    </row>
    <row r="1367">
      <c r="F1367" s="13"/>
      <c r="M1367" s="13"/>
    </row>
    <row r="1368">
      <c r="F1368" s="13"/>
      <c r="M1368" s="13"/>
    </row>
    <row r="1369">
      <c r="F1369" s="13"/>
      <c r="M1369" s="13"/>
    </row>
    <row r="1370">
      <c r="F1370" s="13"/>
      <c r="M1370" s="13"/>
    </row>
    <row r="1371">
      <c r="F1371" s="13"/>
      <c r="M1371" s="13"/>
    </row>
    <row r="1372">
      <c r="F1372" s="13"/>
      <c r="M1372" s="13"/>
    </row>
    <row r="1373">
      <c r="F1373" s="13"/>
      <c r="M1373" s="13"/>
    </row>
    <row r="1374">
      <c r="F1374" s="13"/>
      <c r="M1374" s="13"/>
    </row>
    <row r="1375">
      <c r="F1375" s="13"/>
      <c r="M1375" s="13"/>
    </row>
    <row r="1376">
      <c r="F1376" s="13"/>
      <c r="M1376" s="13"/>
    </row>
    <row r="1377">
      <c r="F1377" s="13"/>
      <c r="M1377" s="13"/>
    </row>
    <row r="1378">
      <c r="F1378" s="13"/>
      <c r="M1378" s="13"/>
    </row>
    <row r="1379">
      <c r="F1379" s="13"/>
      <c r="M1379" s="13"/>
    </row>
    <row r="1380">
      <c r="F1380" s="13"/>
      <c r="M1380" s="13"/>
    </row>
    <row r="1381">
      <c r="F1381" s="13"/>
      <c r="M1381" s="13"/>
    </row>
    <row r="1382">
      <c r="F1382" s="13"/>
      <c r="M1382" s="13"/>
    </row>
    <row r="1383">
      <c r="F1383" s="13"/>
      <c r="M1383" s="13"/>
    </row>
    <row r="1384">
      <c r="F1384" s="13"/>
      <c r="M1384" s="13"/>
    </row>
    <row r="1385">
      <c r="F1385" s="13"/>
      <c r="M1385" s="13"/>
    </row>
    <row r="1386">
      <c r="F1386" s="13"/>
      <c r="M1386" s="13"/>
    </row>
    <row r="1387">
      <c r="F1387" s="13"/>
      <c r="M1387" s="13"/>
    </row>
    <row r="1388">
      <c r="F1388" s="13"/>
      <c r="M1388" s="13"/>
    </row>
    <row r="1389">
      <c r="F1389" s="13"/>
      <c r="M1389" s="13"/>
    </row>
    <row r="1390">
      <c r="F1390" s="13"/>
      <c r="M1390" s="13"/>
    </row>
    <row r="1391">
      <c r="F1391" s="13"/>
      <c r="M1391" s="13"/>
    </row>
    <row r="1392">
      <c r="F1392" s="13"/>
      <c r="M1392" s="13"/>
    </row>
    <row r="1393">
      <c r="F1393" s="13"/>
      <c r="M1393" s="13"/>
    </row>
    <row r="1394">
      <c r="F1394" s="13"/>
      <c r="M1394" s="13"/>
    </row>
    <row r="1395">
      <c r="F1395" s="13"/>
      <c r="M1395" s="13"/>
    </row>
    <row r="1396">
      <c r="F1396" s="13"/>
      <c r="M1396" s="13"/>
    </row>
    <row r="1397">
      <c r="F1397" s="13"/>
      <c r="M1397" s="13"/>
    </row>
    <row r="1398">
      <c r="F1398" s="13"/>
      <c r="M1398" s="13"/>
    </row>
    <row r="1399">
      <c r="F1399" s="13"/>
      <c r="M1399" s="13"/>
    </row>
    <row r="1400">
      <c r="F1400" s="13"/>
      <c r="M1400" s="13"/>
    </row>
    <row r="1401">
      <c r="F1401" s="13"/>
      <c r="M1401" s="13"/>
    </row>
    <row r="1402">
      <c r="F1402" s="13"/>
      <c r="M1402" s="13"/>
    </row>
    <row r="1403">
      <c r="F1403" s="13"/>
      <c r="M1403" s="13"/>
    </row>
    <row r="1404">
      <c r="F1404" s="13"/>
      <c r="M1404" s="13"/>
    </row>
    <row r="1405">
      <c r="F1405" s="13"/>
      <c r="M1405" s="13"/>
    </row>
    <row r="1406">
      <c r="F1406" s="13"/>
      <c r="M1406" s="13"/>
    </row>
    <row r="1407">
      <c r="F1407" s="13"/>
      <c r="M1407" s="13"/>
    </row>
    <row r="1408">
      <c r="F1408" s="13"/>
      <c r="M1408" s="13"/>
    </row>
    <row r="1409">
      <c r="F1409" s="13"/>
      <c r="M1409" s="13"/>
    </row>
    <row r="1410">
      <c r="F1410" s="13"/>
      <c r="M1410" s="13"/>
    </row>
    <row r="1411">
      <c r="F1411" s="13"/>
      <c r="M1411" s="13"/>
    </row>
    <row r="1412">
      <c r="F1412" s="13"/>
      <c r="M1412" s="13"/>
    </row>
    <row r="1413">
      <c r="F1413" s="13"/>
      <c r="M1413" s="13"/>
    </row>
    <row r="1414">
      <c r="F1414" s="13"/>
      <c r="M1414" s="13"/>
    </row>
    <row r="1415">
      <c r="F1415" s="13"/>
      <c r="M1415" s="13"/>
    </row>
    <row r="1416">
      <c r="F1416" s="13"/>
      <c r="M1416" s="13"/>
    </row>
    <row r="1417">
      <c r="F1417" s="13"/>
      <c r="M1417" s="13"/>
    </row>
    <row r="1418">
      <c r="F1418" s="13"/>
      <c r="M1418" s="13"/>
    </row>
    <row r="1419">
      <c r="F1419" s="13"/>
      <c r="M1419" s="13"/>
    </row>
    <row r="1420">
      <c r="F1420" s="13"/>
      <c r="M1420" s="13"/>
    </row>
    <row r="1421">
      <c r="F1421" s="13"/>
      <c r="M1421" s="13"/>
    </row>
    <row r="1422">
      <c r="F1422" s="13"/>
      <c r="M1422" s="13"/>
    </row>
    <row r="1423">
      <c r="F1423" s="13"/>
      <c r="M1423" s="13"/>
    </row>
    <row r="1424">
      <c r="F1424" s="13"/>
      <c r="M1424" s="13"/>
    </row>
    <row r="1425">
      <c r="F1425" s="13"/>
      <c r="M1425" s="13"/>
    </row>
    <row r="1426">
      <c r="F1426" s="13"/>
      <c r="M1426" s="13"/>
    </row>
    <row r="1427">
      <c r="F1427" s="13"/>
      <c r="M1427" s="13"/>
    </row>
    <row r="1428">
      <c r="F1428" s="13"/>
      <c r="M1428" s="13"/>
    </row>
    <row r="1429">
      <c r="F1429" s="13"/>
      <c r="M1429" s="13"/>
    </row>
    <row r="1430">
      <c r="F1430" s="13"/>
      <c r="M1430" s="13"/>
    </row>
    <row r="1431">
      <c r="F1431" s="13"/>
      <c r="M1431" s="13"/>
    </row>
    <row r="1432">
      <c r="F1432" s="13"/>
      <c r="M1432" s="13"/>
    </row>
    <row r="1433">
      <c r="F1433" s="13"/>
      <c r="M1433" s="13"/>
    </row>
    <row r="1434">
      <c r="F1434" s="13"/>
      <c r="M1434" s="13"/>
    </row>
    <row r="1435">
      <c r="F1435" s="13"/>
      <c r="M1435" s="13"/>
    </row>
    <row r="1436">
      <c r="F1436" s="13"/>
      <c r="M1436" s="13"/>
    </row>
    <row r="1437">
      <c r="F1437" s="13"/>
      <c r="M1437" s="13"/>
    </row>
    <row r="1438">
      <c r="F1438" s="13"/>
      <c r="M1438" s="13"/>
    </row>
    <row r="1439">
      <c r="F1439" s="13"/>
      <c r="M1439" s="13"/>
    </row>
    <row r="1440">
      <c r="F1440" s="13"/>
      <c r="M1440" s="13"/>
    </row>
    <row r="1441">
      <c r="F1441" s="13"/>
      <c r="M1441" s="13"/>
    </row>
    <row r="1442">
      <c r="F1442" s="13"/>
      <c r="M1442" s="13"/>
    </row>
    <row r="1443">
      <c r="F1443" s="13"/>
      <c r="M1443" s="13"/>
    </row>
    <row r="1444">
      <c r="F1444" s="13"/>
      <c r="M1444" s="13"/>
    </row>
    <row r="1445">
      <c r="F1445" s="13"/>
      <c r="M1445" s="13"/>
    </row>
    <row r="1446">
      <c r="F1446" s="13"/>
      <c r="M1446" s="13"/>
    </row>
    <row r="1447">
      <c r="F1447" s="13"/>
      <c r="M1447" s="13"/>
    </row>
    <row r="1448">
      <c r="F1448" s="13"/>
      <c r="M1448" s="13"/>
    </row>
    <row r="1449">
      <c r="F1449" s="13"/>
      <c r="M1449" s="13"/>
    </row>
    <row r="1450">
      <c r="F1450" s="13"/>
      <c r="M1450" s="13"/>
    </row>
    <row r="1451">
      <c r="F1451" s="13"/>
      <c r="M1451" s="13"/>
    </row>
    <row r="1452">
      <c r="F1452" s="13"/>
      <c r="M1452" s="13"/>
    </row>
    <row r="1453">
      <c r="F1453" s="13"/>
      <c r="M1453" s="13"/>
    </row>
    <row r="1454">
      <c r="F1454" s="13"/>
      <c r="M1454" s="13"/>
    </row>
    <row r="1455">
      <c r="F1455" s="13"/>
      <c r="M1455" s="13"/>
    </row>
    <row r="1456">
      <c r="F1456" s="13"/>
      <c r="M1456" s="13"/>
    </row>
    <row r="1457">
      <c r="F1457" s="13"/>
      <c r="M1457" s="13"/>
    </row>
    <row r="1458">
      <c r="F1458" s="13"/>
      <c r="M1458" s="13"/>
    </row>
    <row r="1459">
      <c r="F1459" s="13"/>
      <c r="M1459" s="13"/>
    </row>
    <row r="1460">
      <c r="F1460" s="13"/>
      <c r="M1460" s="13"/>
    </row>
    <row r="1461">
      <c r="F1461" s="13"/>
      <c r="M1461" s="13"/>
    </row>
    <row r="1462">
      <c r="F1462" s="13"/>
      <c r="M1462" s="13"/>
    </row>
    <row r="1463">
      <c r="F1463" s="13"/>
      <c r="M1463" s="13"/>
    </row>
    <row r="1464">
      <c r="F1464" s="13"/>
      <c r="M1464" s="13"/>
    </row>
    <row r="1465">
      <c r="F1465" s="13"/>
      <c r="M1465" s="13"/>
    </row>
    <row r="1466">
      <c r="F1466" s="13"/>
      <c r="M1466" s="13"/>
    </row>
    <row r="1467">
      <c r="F1467" s="13"/>
      <c r="M1467" s="13"/>
    </row>
    <row r="1468">
      <c r="F1468" s="13"/>
      <c r="M1468" s="13"/>
    </row>
    <row r="1469">
      <c r="F1469" s="13"/>
      <c r="M1469" s="13"/>
    </row>
    <row r="1470">
      <c r="F1470" s="13"/>
      <c r="M1470" s="13"/>
    </row>
    <row r="1471">
      <c r="F1471" s="13"/>
      <c r="M1471" s="13"/>
    </row>
    <row r="1472">
      <c r="F1472" s="13"/>
      <c r="M1472" s="13"/>
    </row>
    <row r="1473">
      <c r="F1473" s="13"/>
      <c r="M1473" s="13"/>
    </row>
    <row r="1474">
      <c r="F1474" s="13"/>
      <c r="M1474" s="13"/>
    </row>
    <row r="1475">
      <c r="F1475" s="13"/>
      <c r="M1475" s="13"/>
    </row>
    <row r="1476">
      <c r="F1476" s="13"/>
      <c r="M1476" s="13"/>
    </row>
    <row r="1477">
      <c r="F1477" s="13"/>
      <c r="M1477" s="13"/>
    </row>
    <row r="1478">
      <c r="F1478" s="13"/>
      <c r="M1478" s="13"/>
    </row>
    <row r="1479">
      <c r="F1479" s="13"/>
      <c r="M1479" s="13"/>
    </row>
    <row r="1480">
      <c r="F1480" s="13"/>
      <c r="M1480" s="13"/>
    </row>
    <row r="1481">
      <c r="F1481" s="13"/>
      <c r="M1481" s="13"/>
    </row>
    <row r="1482">
      <c r="F1482" s="13"/>
      <c r="M1482" s="13"/>
    </row>
    <row r="1483">
      <c r="F1483" s="13"/>
      <c r="M1483" s="13"/>
    </row>
    <row r="1484">
      <c r="F1484" s="13"/>
      <c r="M1484" s="13"/>
    </row>
    <row r="1485">
      <c r="F1485" s="13"/>
      <c r="M1485" s="13"/>
    </row>
    <row r="1486">
      <c r="F1486" s="13"/>
      <c r="M1486" s="13"/>
    </row>
    <row r="1487">
      <c r="F1487" s="13"/>
      <c r="M1487" s="13"/>
    </row>
    <row r="1488">
      <c r="F1488" s="13"/>
      <c r="M1488" s="13"/>
    </row>
    <row r="1489">
      <c r="F1489" s="13"/>
      <c r="M1489" s="13"/>
    </row>
    <row r="1490">
      <c r="F1490" s="13"/>
      <c r="M1490" s="13"/>
    </row>
    <row r="1491">
      <c r="F1491" s="13"/>
      <c r="M1491" s="13"/>
    </row>
    <row r="1492">
      <c r="F1492" s="13"/>
      <c r="M1492" s="13"/>
    </row>
    <row r="1493">
      <c r="F1493" s="13"/>
      <c r="M1493" s="13"/>
    </row>
    <row r="1494">
      <c r="F1494" s="13"/>
      <c r="M1494" s="13"/>
    </row>
    <row r="1495">
      <c r="F1495" s="13"/>
      <c r="M1495" s="13"/>
    </row>
    <row r="1496">
      <c r="F1496" s="13"/>
      <c r="M1496" s="13"/>
    </row>
    <row r="1497">
      <c r="F1497" s="13"/>
      <c r="M1497" s="13"/>
    </row>
    <row r="1498">
      <c r="F1498" s="13"/>
      <c r="M1498" s="13"/>
    </row>
    <row r="1499">
      <c r="F1499" s="13"/>
      <c r="M1499" s="13"/>
    </row>
    <row r="1500">
      <c r="F1500" s="13"/>
      <c r="M1500" s="13"/>
    </row>
    <row r="1501">
      <c r="F1501" s="13"/>
      <c r="M1501" s="13"/>
    </row>
    <row r="1502">
      <c r="F1502" s="13"/>
      <c r="M1502" s="13"/>
    </row>
    <row r="1503">
      <c r="F1503" s="13"/>
      <c r="M1503" s="13"/>
    </row>
    <row r="1504">
      <c r="F1504" s="13"/>
      <c r="M1504" s="13"/>
    </row>
    <row r="1505">
      <c r="F1505" s="13"/>
      <c r="M1505" s="13"/>
    </row>
    <row r="1506">
      <c r="F1506" s="13"/>
      <c r="M1506" s="13"/>
    </row>
    <row r="1507">
      <c r="F1507" s="13"/>
      <c r="M1507" s="13"/>
    </row>
    <row r="1508">
      <c r="F1508" s="13"/>
      <c r="M1508" s="13"/>
    </row>
    <row r="1509">
      <c r="F1509" s="13"/>
      <c r="M1509" s="13"/>
    </row>
    <row r="1510">
      <c r="F1510" s="13"/>
      <c r="M1510" s="13"/>
    </row>
    <row r="1511">
      <c r="F1511" s="13"/>
      <c r="M1511" s="13"/>
    </row>
    <row r="1512">
      <c r="F1512" s="13"/>
      <c r="M1512" s="13"/>
    </row>
    <row r="1513">
      <c r="F1513" s="13"/>
      <c r="M1513" s="13"/>
    </row>
    <row r="1514">
      <c r="F1514" s="13"/>
      <c r="M1514" s="13"/>
    </row>
    <row r="1515">
      <c r="F1515" s="13"/>
      <c r="M1515" s="13"/>
    </row>
    <row r="1516">
      <c r="F1516" s="13"/>
      <c r="M1516" s="13"/>
    </row>
    <row r="1517">
      <c r="F1517" s="13"/>
      <c r="M1517" s="13"/>
    </row>
    <row r="1518">
      <c r="F1518" s="13"/>
      <c r="M1518" s="13"/>
    </row>
    <row r="1519">
      <c r="F1519" s="13"/>
      <c r="M1519" s="13"/>
    </row>
    <row r="1520">
      <c r="F1520" s="13"/>
      <c r="M1520" s="13"/>
    </row>
    <row r="1521">
      <c r="F1521" s="13"/>
      <c r="M1521" s="13"/>
    </row>
    <row r="1522">
      <c r="F1522" s="13"/>
      <c r="M1522" s="13"/>
    </row>
    <row r="1523">
      <c r="F1523" s="13"/>
      <c r="M1523" s="13"/>
    </row>
    <row r="1524">
      <c r="F1524" s="13"/>
      <c r="M1524" s="13"/>
    </row>
    <row r="1525">
      <c r="F1525" s="13"/>
      <c r="M1525" s="13"/>
    </row>
    <row r="1526">
      <c r="F1526" s="13"/>
      <c r="M1526" s="13"/>
    </row>
    <row r="1527">
      <c r="F1527" s="13"/>
      <c r="M1527" s="13"/>
    </row>
    <row r="1528">
      <c r="F1528" s="13"/>
      <c r="M1528" s="13"/>
    </row>
    <row r="1529">
      <c r="F1529" s="13"/>
      <c r="M1529" s="13"/>
    </row>
    <row r="1530">
      <c r="F1530" s="13"/>
      <c r="M1530" s="13"/>
    </row>
    <row r="1531">
      <c r="F1531" s="13"/>
      <c r="M1531" s="13"/>
    </row>
    <row r="1532">
      <c r="F1532" s="13"/>
      <c r="M1532" s="13"/>
    </row>
    <row r="1533">
      <c r="F1533" s="13"/>
      <c r="M1533" s="13"/>
    </row>
    <row r="1534">
      <c r="F1534" s="13"/>
      <c r="M1534" s="13"/>
    </row>
    <row r="1535">
      <c r="F1535" s="13"/>
      <c r="M1535" s="13"/>
    </row>
    <row r="1536">
      <c r="F1536" s="13"/>
      <c r="M1536" s="13"/>
    </row>
    <row r="1537">
      <c r="F1537" s="13"/>
      <c r="M1537" s="13"/>
    </row>
    <row r="1538">
      <c r="F1538" s="13"/>
      <c r="M1538" s="13"/>
    </row>
    <row r="1539">
      <c r="F1539" s="13"/>
      <c r="M1539" s="13"/>
    </row>
    <row r="1540">
      <c r="F1540" s="13"/>
      <c r="M1540" s="13"/>
    </row>
    <row r="1541">
      <c r="F1541" s="13"/>
      <c r="M1541" s="13"/>
    </row>
    <row r="1542">
      <c r="F1542" s="13"/>
      <c r="M1542" s="13"/>
    </row>
    <row r="1543">
      <c r="F1543" s="13"/>
      <c r="M1543" s="13"/>
    </row>
    <row r="1544">
      <c r="F1544" s="13"/>
      <c r="M1544" s="13"/>
    </row>
    <row r="1545">
      <c r="F1545" s="13"/>
      <c r="M1545" s="13"/>
    </row>
    <row r="1546">
      <c r="F1546" s="13"/>
      <c r="M1546" s="13"/>
    </row>
    <row r="1547">
      <c r="F1547" s="13"/>
      <c r="M1547" s="13"/>
    </row>
    <row r="1548">
      <c r="F1548" s="13"/>
      <c r="M1548" s="13"/>
    </row>
    <row r="1549">
      <c r="F1549" s="13"/>
      <c r="M1549" s="13"/>
    </row>
    <row r="1550">
      <c r="F1550" s="13"/>
      <c r="M1550" s="13"/>
    </row>
    <row r="1551">
      <c r="F1551" s="13"/>
      <c r="M1551" s="13"/>
    </row>
    <row r="1552">
      <c r="F1552" s="13"/>
      <c r="M1552" s="13"/>
    </row>
    <row r="1553">
      <c r="F1553" s="13"/>
      <c r="M1553" s="13"/>
    </row>
    <row r="1554">
      <c r="F1554" s="13"/>
      <c r="M1554" s="13"/>
    </row>
    <row r="1555">
      <c r="F1555" s="13"/>
      <c r="M1555" s="13"/>
    </row>
    <row r="1556">
      <c r="F1556" s="13"/>
      <c r="M1556" s="13"/>
    </row>
    <row r="1557">
      <c r="F1557" s="13"/>
      <c r="M1557" s="13"/>
    </row>
    <row r="1558">
      <c r="F1558" s="13"/>
      <c r="M1558" s="13"/>
    </row>
    <row r="1559">
      <c r="F1559" s="13"/>
      <c r="M1559" s="13"/>
    </row>
    <row r="1560">
      <c r="F1560" s="13"/>
      <c r="M1560" s="13"/>
    </row>
    <row r="1561">
      <c r="F1561" s="13"/>
      <c r="M1561" s="13"/>
    </row>
    <row r="1562">
      <c r="F1562" s="13"/>
      <c r="M1562" s="13"/>
    </row>
    <row r="1563">
      <c r="F1563" s="13"/>
      <c r="M1563" s="13"/>
    </row>
    <row r="1564">
      <c r="F1564" s="13"/>
      <c r="M1564" s="13"/>
    </row>
    <row r="1565">
      <c r="F1565" s="13"/>
      <c r="M1565" s="13"/>
    </row>
    <row r="1566">
      <c r="F1566" s="13"/>
      <c r="M1566" s="13"/>
    </row>
    <row r="1567">
      <c r="F1567" s="13"/>
      <c r="M1567" s="13"/>
    </row>
    <row r="1568">
      <c r="F1568" s="13"/>
      <c r="M1568" s="13"/>
    </row>
    <row r="1569">
      <c r="F1569" s="13"/>
      <c r="M1569" s="13"/>
    </row>
    <row r="1570">
      <c r="F1570" s="13"/>
      <c r="M1570" s="13"/>
    </row>
    <row r="1571">
      <c r="F1571" s="13"/>
      <c r="M1571" s="13"/>
    </row>
    <row r="1572">
      <c r="F1572" s="13"/>
      <c r="M1572" s="13"/>
    </row>
    <row r="1573">
      <c r="F1573" s="13"/>
      <c r="M1573" s="13"/>
    </row>
    <row r="1574">
      <c r="F1574" s="13"/>
      <c r="M1574" s="13"/>
    </row>
    <row r="1575">
      <c r="F1575" s="13"/>
      <c r="M1575" s="13"/>
    </row>
    <row r="1576">
      <c r="F1576" s="13"/>
      <c r="M1576" s="13"/>
    </row>
    <row r="1577">
      <c r="F1577" s="13"/>
      <c r="M1577" s="13"/>
    </row>
    <row r="1578">
      <c r="F1578" s="13"/>
      <c r="M1578" s="13"/>
    </row>
    <row r="1579">
      <c r="F1579" s="13"/>
      <c r="M1579" s="13"/>
    </row>
    <row r="1580">
      <c r="F1580" s="13"/>
      <c r="M1580" s="13"/>
    </row>
    <row r="1581">
      <c r="F1581" s="13"/>
      <c r="M1581" s="13"/>
    </row>
    <row r="1582">
      <c r="F1582" s="13"/>
      <c r="M1582" s="13"/>
    </row>
    <row r="1583">
      <c r="F1583" s="13"/>
      <c r="M1583" s="13"/>
    </row>
    <row r="1584">
      <c r="F1584" s="13"/>
      <c r="M1584" s="13"/>
    </row>
    <row r="1585">
      <c r="F1585" s="13"/>
      <c r="M1585" s="13"/>
    </row>
    <row r="1586">
      <c r="F1586" s="13"/>
      <c r="M1586" s="13"/>
    </row>
    <row r="1587">
      <c r="F1587" s="13"/>
      <c r="M1587" s="13"/>
    </row>
    <row r="1588">
      <c r="F1588" s="13"/>
      <c r="M1588" s="13"/>
    </row>
    <row r="1589">
      <c r="F1589" s="13"/>
      <c r="M1589" s="13"/>
    </row>
    <row r="1590">
      <c r="F1590" s="13"/>
      <c r="M1590" s="13"/>
    </row>
    <row r="1591">
      <c r="F1591" s="13"/>
      <c r="M1591" s="13"/>
    </row>
    <row r="1592">
      <c r="F1592" s="13"/>
      <c r="M1592" s="13"/>
    </row>
    <row r="1593">
      <c r="F1593" s="13"/>
      <c r="M1593" s="13"/>
    </row>
    <row r="1594">
      <c r="F1594" s="13"/>
      <c r="M1594" s="13"/>
    </row>
    <row r="1595">
      <c r="F1595" s="13"/>
      <c r="M1595" s="13"/>
    </row>
    <row r="1596">
      <c r="F1596" s="13"/>
      <c r="M1596" s="13"/>
    </row>
    <row r="1597">
      <c r="F1597" s="13"/>
      <c r="M1597" s="13"/>
    </row>
    <row r="1598">
      <c r="F1598" s="13"/>
      <c r="M1598" s="13"/>
    </row>
    <row r="1599">
      <c r="F1599" s="13"/>
      <c r="M1599" s="13"/>
    </row>
    <row r="1600">
      <c r="F1600" s="13"/>
      <c r="M1600" s="13"/>
    </row>
    <row r="1601">
      <c r="F1601" s="13"/>
      <c r="M1601" s="13"/>
    </row>
    <row r="1602">
      <c r="F1602" s="13"/>
      <c r="M1602" s="13"/>
    </row>
    <row r="1603">
      <c r="F1603" s="13"/>
      <c r="M1603" s="13"/>
    </row>
    <row r="1604">
      <c r="F1604" s="13"/>
      <c r="M1604" s="13"/>
    </row>
    <row r="1605">
      <c r="F1605" s="13"/>
      <c r="M1605" s="13"/>
    </row>
    <row r="1606">
      <c r="F1606" s="13"/>
      <c r="M1606" s="13"/>
    </row>
    <row r="1607">
      <c r="F1607" s="13"/>
      <c r="M1607" s="13"/>
    </row>
    <row r="1608">
      <c r="F1608" s="13"/>
      <c r="M1608" s="13"/>
    </row>
    <row r="1609">
      <c r="F1609" s="13"/>
      <c r="M1609" s="13"/>
    </row>
    <row r="1610">
      <c r="F1610" s="13"/>
      <c r="M1610" s="13"/>
    </row>
    <row r="1611">
      <c r="F1611" s="13"/>
      <c r="M1611" s="13"/>
    </row>
    <row r="1612">
      <c r="F1612" s="13"/>
      <c r="M1612" s="13"/>
    </row>
    <row r="1613">
      <c r="F1613" s="13"/>
      <c r="M1613" s="13"/>
    </row>
    <row r="1614">
      <c r="F1614" s="13"/>
      <c r="M1614" s="13"/>
    </row>
    <row r="1615">
      <c r="F1615" s="13"/>
      <c r="M1615" s="13"/>
    </row>
    <row r="1616">
      <c r="F1616" s="13"/>
      <c r="M1616" s="13"/>
    </row>
    <row r="1617">
      <c r="F1617" s="13"/>
      <c r="M1617" s="13"/>
    </row>
    <row r="1618">
      <c r="F1618" s="13"/>
      <c r="M1618" s="13"/>
    </row>
    <row r="1619">
      <c r="F1619" s="13"/>
      <c r="M1619" s="13"/>
    </row>
    <row r="1620">
      <c r="F1620" s="13"/>
      <c r="M1620" s="13"/>
    </row>
    <row r="1621">
      <c r="F1621" s="13"/>
      <c r="M1621" s="13"/>
    </row>
    <row r="1622">
      <c r="F1622" s="13"/>
      <c r="M1622" s="13"/>
    </row>
    <row r="1623">
      <c r="F1623" s="13"/>
      <c r="M1623" s="13"/>
    </row>
    <row r="1624">
      <c r="F1624" s="13"/>
      <c r="M1624" s="13"/>
    </row>
    <row r="1625">
      <c r="F1625" s="13"/>
      <c r="M1625" s="13"/>
    </row>
    <row r="1626">
      <c r="F1626" s="13"/>
      <c r="M1626" s="13"/>
    </row>
    <row r="1627">
      <c r="F1627" s="13"/>
      <c r="M1627" s="13"/>
    </row>
    <row r="1628">
      <c r="F1628" s="13"/>
      <c r="M1628" s="13"/>
    </row>
    <row r="1629">
      <c r="F1629" s="13"/>
      <c r="M1629" s="13"/>
    </row>
    <row r="1630">
      <c r="F1630" s="13"/>
      <c r="M1630" s="13"/>
    </row>
    <row r="1631">
      <c r="F1631" s="13"/>
      <c r="M1631" s="13"/>
    </row>
    <row r="1632">
      <c r="F1632" s="13"/>
      <c r="M1632" s="13"/>
    </row>
    <row r="1633">
      <c r="F1633" s="13"/>
      <c r="M1633" s="13"/>
    </row>
    <row r="1634">
      <c r="F1634" s="13"/>
      <c r="M1634" s="13"/>
    </row>
    <row r="1635">
      <c r="F1635" s="13"/>
      <c r="M1635" s="13"/>
    </row>
    <row r="1636">
      <c r="F1636" s="13"/>
      <c r="M1636" s="13"/>
    </row>
    <row r="1637">
      <c r="F1637" s="13"/>
      <c r="M1637" s="13"/>
    </row>
    <row r="1638">
      <c r="F1638" s="13"/>
      <c r="M1638" s="13"/>
    </row>
    <row r="1639">
      <c r="F1639" s="13"/>
      <c r="M1639" s="13"/>
    </row>
    <row r="1640">
      <c r="F1640" s="13"/>
      <c r="M1640" s="13"/>
    </row>
    <row r="1641">
      <c r="F1641" s="13"/>
      <c r="M1641" s="13"/>
    </row>
    <row r="1642">
      <c r="F1642" s="13"/>
      <c r="M1642" s="13"/>
    </row>
    <row r="1643">
      <c r="F1643" s="13"/>
      <c r="M1643" s="13"/>
    </row>
    <row r="1644">
      <c r="F1644" s="13"/>
      <c r="M1644" s="13"/>
    </row>
    <row r="1645">
      <c r="F1645" s="13"/>
      <c r="M1645" s="13"/>
    </row>
    <row r="1646">
      <c r="F1646" s="13"/>
      <c r="M1646" s="13"/>
    </row>
    <row r="1647">
      <c r="F1647" s="13"/>
      <c r="M1647" s="13"/>
    </row>
    <row r="1648">
      <c r="F1648" s="13"/>
      <c r="M1648" s="13"/>
    </row>
    <row r="1649">
      <c r="F1649" s="13"/>
      <c r="M1649" s="13"/>
    </row>
    <row r="1650">
      <c r="F1650" s="13"/>
      <c r="M1650" s="13"/>
    </row>
    <row r="1651">
      <c r="F1651" s="13"/>
      <c r="M1651" s="13"/>
    </row>
    <row r="1652">
      <c r="F1652" s="13"/>
      <c r="M1652" s="13"/>
    </row>
    <row r="1653">
      <c r="F1653" s="13"/>
      <c r="M1653" s="13"/>
    </row>
    <row r="1654">
      <c r="F1654" s="13"/>
      <c r="M1654" s="13"/>
    </row>
    <row r="1655">
      <c r="F1655" s="13"/>
      <c r="M1655" s="13"/>
    </row>
    <row r="1656">
      <c r="F1656" s="13"/>
      <c r="M1656" s="13"/>
    </row>
    <row r="1657">
      <c r="F1657" s="13"/>
      <c r="M1657" s="13"/>
    </row>
    <row r="1658">
      <c r="F1658" s="13"/>
      <c r="M1658" s="13"/>
    </row>
    <row r="1659">
      <c r="F1659" s="13"/>
      <c r="M1659" s="13"/>
    </row>
    <row r="1660">
      <c r="F1660" s="13"/>
      <c r="M1660" s="13"/>
    </row>
    <row r="1661">
      <c r="F1661" s="13"/>
      <c r="M1661" s="13"/>
    </row>
    <row r="1662">
      <c r="F1662" s="13"/>
      <c r="M1662" s="13"/>
    </row>
    <row r="1663">
      <c r="F1663" s="13"/>
      <c r="M1663" s="13"/>
    </row>
    <row r="1664">
      <c r="F1664" s="13"/>
      <c r="M1664" s="13"/>
    </row>
    <row r="1665">
      <c r="F1665" s="13"/>
      <c r="M1665" s="13"/>
    </row>
    <row r="1666">
      <c r="F1666" s="13"/>
      <c r="M1666" s="13"/>
    </row>
    <row r="1667">
      <c r="F1667" s="13"/>
      <c r="M1667" s="13"/>
    </row>
    <row r="1668">
      <c r="F1668" s="13"/>
      <c r="M1668" s="13"/>
    </row>
    <row r="1669">
      <c r="F1669" s="13"/>
      <c r="M1669" s="13"/>
    </row>
    <row r="1670">
      <c r="F1670" s="13"/>
      <c r="M1670" s="13"/>
    </row>
    <row r="1671">
      <c r="F1671" s="13"/>
      <c r="M1671" s="13"/>
    </row>
    <row r="1672">
      <c r="F1672" s="13"/>
      <c r="M1672" s="13"/>
    </row>
    <row r="1673">
      <c r="F1673" s="13"/>
      <c r="M1673" s="13"/>
    </row>
    <row r="1674">
      <c r="F1674" s="13"/>
      <c r="M1674" s="13"/>
    </row>
    <row r="1675">
      <c r="F1675" s="13"/>
      <c r="M1675" s="13"/>
    </row>
    <row r="1676">
      <c r="F1676" s="13"/>
      <c r="M1676" s="13"/>
    </row>
    <row r="1677">
      <c r="F1677" s="13"/>
      <c r="M1677" s="13"/>
    </row>
    <row r="1678">
      <c r="F1678" s="13"/>
      <c r="M1678" s="13"/>
    </row>
    <row r="1679">
      <c r="F1679" s="13"/>
      <c r="M1679" s="13"/>
    </row>
    <row r="1680">
      <c r="F1680" s="13"/>
      <c r="M1680" s="13"/>
    </row>
    <row r="1681">
      <c r="F1681" s="13"/>
      <c r="M1681" s="13"/>
    </row>
    <row r="1682">
      <c r="F1682" s="13"/>
      <c r="M1682" s="13"/>
    </row>
    <row r="1683">
      <c r="F1683" s="13"/>
      <c r="M1683" s="13"/>
    </row>
    <row r="1684">
      <c r="F1684" s="13"/>
      <c r="M1684" s="13"/>
    </row>
    <row r="1685">
      <c r="F1685" s="13"/>
      <c r="M1685" s="13"/>
    </row>
    <row r="1686">
      <c r="F1686" s="13"/>
      <c r="M1686" s="13"/>
    </row>
    <row r="1687">
      <c r="F1687" s="13"/>
      <c r="M1687" s="13"/>
    </row>
    <row r="1688">
      <c r="F1688" s="13"/>
      <c r="M1688" s="13"/>
    </row>
    <row r="1689">
      <c r="F1689" s="13"/>
      <c r="M1689" s="13"/>
    </row>
    <row r="1690">
      <c r="F1690" s="13"/>
      <c r="M1690" s="13"/>
    </row>
    <row r="1691">
      <c r="F1691" s="13"/>
      <c r="M1691" s="13"/>
    </row>
    <row r="1692">
      <c r="F1692" s="13"/>
      <c r="M1692" s="13"/>
    </row>
    <row r="1693">
      <c r="F1693" s="13"/>
      <c r="M1693" s="13"/>
    </row>
    <row r="1694">
      <c r="F1694" s="13"/>
      <c r="M1694" s="13"/>
    </row>
    <row r="1695">
      <c r="F1695" s="13"/>
      <c r="M1695" s="13"/>
    </row>
    <row r="1696">
      <c r="F1696" s="13"/>
      <c r="M1696" s="13"/>
    </row>
    <row r="1697">
      <c r="F1697" s="13"/>
      <c r="M1697" s="13"/>
    </row>
    <row r="1698">
      <c r="F1698" s="13"/>
      <c r="M1698" s="13"/>
    </row>
    <row r="1699">
      <c r="F1699" s="13"/>
      <c r="M1699" s="13"/>
    </row>
    <row r="1700">
      <c r="F1700" s="13"/>
      <c r="M1700" s="13"/>
    </row>
    <row r="1701">
      <c r="F1701" s="13"/>
      <c r="M1701" s="13"/>
    </row>
    <row r="1702">
      <c r="F1702" s="13"/>
      <c r="M1702" s="13"/>
    </row>
    <row r="1703">
      <c r="F1703" s="13"/>
      <c r="M1703" s="13"/>
    </row>
    <row r="1704">
      <c r="F1704" s="13"/>
      <c r="M1704" s="13"/>
    </row>
    <row r="1705">
      <c r="F1705" s="13"/>
      <c r="M1705" s="13"/>
    </row>
    <row r="1706">
      <c r="F1706" s="13"/>
      <c r="M1706" s="13"/>
    </row>
    <row r="1707">
      <c r="F1707" s="13"/>
      <c r="M1707" s="13"/>
    </row>
    <row r="1708">
      <c r="F1708" s="13"/>
      <c r="M1708" s="13"/>
    </row>
    <row r="1709">
      <c r="F1709" s="13"/>
      <c r="M1709" s="13"/>
    </row>
    <row r="1710">
      <c r="F1710" s="13"/>
      <c r="M1710" s="13"/>
    </row>
    <row r="1711">
      <c r="F1711" s="13"/>
      <c r="M1711" s="13"/>
    </row>
    <row r="1712">
      <c r="F1712" s="13"/>
      <c r="M1712" s="13"/>
    </row>
    <row r="1713">
      <c r="F1713" s="13"/>
      <c r="M1713" s="13"/>
    </row>
    <row r="1714">
      <c r="F1714" s="13"/>
      <c r="M1714" s="13"/>
    </row>
    <row r="1715">
      <c r="F1715" s="13"/>
      <c r="M1715" s="13"/>
    </row>
    <row r="1716">
      <c r="F1716" s="13"/>
      <c r="M1716" s="13"/>
    </row>
    <row r="1717">
      <c r="F1717" s="13"/>
      <c r="M1717" s="13"/>
    </row>
    <row r="1718">
      <c r="F1718" s="13"/>
      <c r="M1718" s="13"/>
    </row>
    <row r="1719">
      <c r="F1719" s="13"/>
      <c r="M1719" s="13"/>
    </row>
    <row r="1720">
      <c r="F1720" s="13"/>
      <c r="M1720" s="13"/>
    </row>
    <row r="1721">
      <c r="F1721" s="13"/>
      <c r="M1721" s="13"/>
    </row>
    <row r="1722">
      <c r="F1722" s="13"/>
      <c r="M1722" s="13"/>
    </row>
    <row r="1723">
      <c r="F1723" s="13"/>
      <c r="M1723" s="13"/>
    </row>
    <row r="1724">
      <c r="F1724" s="13"/>
      <c r="M1724" s="13"/>
    </row>
    <row r="1725">
      <c r="F1725" s="13"/>
      <c r="M1725" s="13"/>
    </row>
    <row r="1726">
      <c r="F1726" s="13"/>
      <c r="M1726" s="13"/>
    </row>
    <row r="1727">
      <c r="F1727" s="13"/>
      <c r="M1727" s="13"/>
    </row>
    <row r="1728">
      <c r="F1728" s="13"/>
      <c r="M1728" s="13"/>
    </row>
    <row r="1729">
      <c r="F1729" s="13"/>
      <c r="M1729" s="13"/>
    </row>
    <row r="1730">
      <c r="F1730" s="13"/>
      <c r="M1730" s="13"/>
    </row>
    <row r="1731">
      <c r="F1731" s="13"/>
      <c r="M1731" s="13"/>
    </row>
    <row r="1732">
      <c r="F1732" s="13"/>
      <c r="M1732" s="13"/>
    </row>
    <row r="1733">
      <c r="F1733" s="13"/>
      <c r="M1733" s="13"/>
    </row>
    <row r="1734">
      <c r="F1734" s="13"/>
      <c r="M1734" s="13"/>
    </row>
    <row r="1735">
      <c r="F1735" s="13"/>
      <c r="M1735" s="13"/>
    </row>
    <row r="1736">
      <c r="F1736" s="13"/>
      <c r="M1736" s="13"/>
    </row>
    <row r="1737">
      <c r="F1737" s="13"/>
      <c r="M1737" s="13"/>
    </row>
    <row r="1738">
      <c r="F1738" s="13"/>
      <c r="M1738" s="13"/>
    </row>
    <row r="1739">
      <c r="F1739" s="13"/>
      <c r="M1739" s="13"/>
    </row>
    <row r="1740">
      <c r="F1740" s="13"/>
      <c r="M1740" s="13"/>
    </row>
    <row r="1741">
      <c r="F1741" s="13"/>
      <c r="M1741" s="13"/>
    </row>
    <row r="1742">
      <c r="F1742" s="13"/>
      <c r="M1742" s="13"/>
    </row>
    <row r="1743">
      <c r="F1743" s="13"/>
      <c r="M1743" s="13"/>
    </row>
    <row r="1744">
      <c r="F1744" s="13"/>
      <c r="M1744" s="13"/>
    </row>
    <row r="1745">
      <c r="F1745" s="13"/>
      <c r="M1745" s="13"/>
    </row>
    <row r="1746">
      <c r="F1746" s="13"/>
      <c r="M1746" s="13"/>
    </row>
    <row r="1747">
      <c r="F1747" s="13"/>
      <c r="M1747" s="13"/>
    </row>
    <row r="1748">
      <c r="F1748" s="13"/>
      <c r="M1748" s="13"/>
    </row>
    <row r="1749">
      <c r="F1749" s="13"/>
      <c r="M1749" s="13"/>
    </row>
    <row r="1750">
      <c r="F1750" s="13"/>
      <c r="M1750" s="13"/>
    </row>
    <row r="1751">
      <c r="F1751" s="13"/>
      <c r="M1751" s="13"/>
    </row>
    <row r="1752">
      <c r="F1752" s="13"/>
      <c r="M1752" s="13"/>
    </row>
    <row r="1753">
      <c r="F1753" s="13"/>
      <c r="M1753" s="13"/>
    </row>
    <row r="1754">
      <c r="F1754" s="13"/>
      <c r="M1754" s="13"/>
    </row>
    <row r="1755">
      <c r="F1755" s="13"/>
      <c r="M1755" s="13"/>
    </row>
    <row r="1756">
      <c r="F1756" s="13"/>
      <c r="M1756" s="13"/>
    </row>
    <row r="1757">
      <c r="F1757" s="13"/>
      <c r="M1757" s="13"/>
    </row>
    <row r="1758">
      <c r="F1758" s="13"/>
      <c r="M1758" s="13"/>
    </row>
    <row r="1759">
      <c r="F1759" s="13"/>
      <c r="M1759" s="13"/>
    </row>
    <row r="1760">
      <c r="F1760" s="13"/>
      <c r="M1760" s="13"/>
    </row>
    <row r="1761">
      <c r="F1761" s="13"/>
      <c r="M1761" s="13"/>
    </row>
    <row r="1762">
      <c r="F1762" s="13"/>
      <c r="M1762" s="13"/>
    </row>
    <row r="1763">
      <c r="F1763" s="13"/>
      <c r="M1763" s="13"/>
    </row>
    <row r="1764">
      <c r="F1764" s="13"/>
      <c r="M1764" s="13"/>
    </row>
    <row r="1765">
      <c r="F1765" s="13"/>
      <c r="M1765" s="13"/>
    </row>
    <row r="1766">
      <c r="F1766" s="13"/>
      <c r="M1766" s="13"/>
    </row>
    <row r="1767">
      <c r="F1767" s="13"/>
      <c r="M1767" s="13"/>
    </row>
    <row r="1768">
      <c r="F1768" s="13"/>
      <c r="M1768" s="13"/>
    </row>
    <row r="1769">
      <c r="F1769" s="13"/>
      <c r="M1769" s="13"/>
    </row>
    <row r="1770">
      <c r="F1770" s="13"/>
      <c r="M1770" s="13"/>
    </row>
    <row r="1771">
      <c r="F1771" s="13"/>
      <c r="M1771" s="13"/>
    </row>
    <row r="1772">
      <c r="F1772" s="13"/>
      <c r="M1772" s="13"/>
    </row>
    <row r="1773">
      <c r="F1773" s="13"/>
      <c r="M1773" s="13"/>
    </row>
    <row r="1774">
      <c r="F1774" s="13"/>
      <c r="M1774" s="13"/>
    </row>
    <row r="1775">
      <c r="F1775" s="13"/>
      <c r="M1775" s="13"/>
    </row>
    <row r="1776">
      <c r="F1776" s="13"/>
      <c r="M1776" s="13"/>
    </row>
    <row r="1777">
      <c r="F1777" s="13"/>
      <c r="M1777" s="13"/>
    </row>
    <row r="1778">
      <c r="F1778" s="13"/>
      <c r="M1778" s="13"/>
    </row>
    <row r="1779">
      <c r="F1779" s="13"/>
      <c r="M1779" s="13"/>
    </row>
    <row r="1780">
      <c r="F1780" s="13"/>
      <c r="M1780" s="13"/>
    </row>
    <row r="1781">
      <c r="F1781" s="13"/>
      <c r="M1781" s="13"/>
    </row>
    <row r="1782">
      <c r="F1782" s="13"/>
      <c r="M1782" s="13"/>
    </row>
    <row r="1783">
      <c r="F1783" s="13"/>
      <c r="M1783" s="13"/>
    </row>
    <row r="1784">
      <c r="F1784" s="13"/>
      <c r="M1784" s="13"/>
    </row>
    <row r="1785">
      <c r="F1785" s="13"/>
      <c r="M1785" s="13"/>
    </row>
    <row r="1786">
      <c r="F1786" s="13"/>
      <c r="M1786" s="13"/>
    </row>
    <row r="1787">
      <c r="F1787" s="13"/>
      <c r="M1787" s="13"/>
    </row>
    <row r="1788">
      <c r="F1788" s="13"/>
      <c r="M1788" s="13"/>
    </row>
    <row r="1789">
      <c r="F1789" s="13"/>
      <c r="M1789" s="13"/>
    </row>
    <row r="1790">
      <c r="F1790" s="13"/>
      <c r="M1790" s="13"/>
    </row>
    <row r="1791">
      <c r="F1791" s="13"/>
      <c r="M1791" s="13"/>
    </row>
    <row r="1792">
      <c r="F1792" s="13"/>
      <c r="M1792" s="13"/>
    </row>
    <row r="1793">
      <c r="F1793" s="13"/>
      <c r="M1793" s="13"/>
    </row>
    <row r="1794">
      <c r="F1794" s="13"/>
      <c r="M1794" s="13"/>
    </row>
    <row r="1795">
      <c r="F1795" s="13"/>
      <c r="M1795" s="13"/>
    </row>
    <row r="1796">
      <c r="F1796" s="13"/>
      <c r="M1796" s="13"/>
    </row>
    <row r="1797">
      <c r="F1797" s="13"/>
      <c r="M1797" s="13"/>
    </row>
    <row r="1798">
      <c r="F1798" s="13"/>
      <c r="M1798" s="13"/>
    </row>
    <row r="1799">
      <c r="F1799" s="13"/>
      <c r="M1799" s="13"/>
    </row>
    <row r="1800">
      <c r="F1800" s="13"/>
      <c r="M1800" s="13"/>
    </row>
    <row r="1801">
      <c r="F1801" s="13"/>
      <c r="M1801" s="13"/>
    </row>
    <row r="1802">
      <c r="F1802" s="13"/>
      <c r="M1802" s="13"/>
    </row>
    <row r="1803">
      <c r="F1803" s="13"/>
      <c r="M1803" s="13"/>
    </row>
    <row r="1804">
      <c r="F1804" s="13"/>
      <c r="M1804" s="13"/>
    </row>
    <row r="1805">
      <c r="F1805" s="13"/>
      <c r="M1805" s="13"/>
    </row>
    <row r="1806">
      <c r="F1806" s="13"/>
      <c r="M1806" s="13"/>
    </row>
    <row r="1807">
      <c r="F1807" s="13"/>
      <c r="M1807" s="13"/>
    </row>
    <row r="1808">
      <c r="F1808" s="13"/>
      <c r="M1808" s="13"/>
    </row>
    <row r="1809">
      <c r="F1809" s="13"/>
      <c r="M1809" s="13"/>
    </row>
    <row r="1810">
      <c r="F1810" s="13"/>
      <c r="M1810" s="13"/>
    </row>
    <row r="1811">
      <c r="F1811" s="13"/>
      <c r="M1811" s="13"/>
    </row>
    <row r="1812">
      <c r="F1812" s="13"/>
      <c r="M1812" s="13"/>
    </row>
    <row r="1813">
      <c r="F1813" s="13"/>
      <c r="M1813" s="13"/>
    </row>
    <row r="1814">
      <c r="F1814" s="13"/>
      <c r="M1814" s="13"/>
    </row>
    <row r="1815">
      <c r="F1815" s="13"/>
      <c r="M1815" s="13"/>
    </row>
    <row r="1816">
      <c r="F1816" s="13"/>
      <c r="M1816" s="13"/>
    </row>
    <row r="1817">
      <c r="F1817" s="13"/>
      <c r="M1817" s="13"/>
    </row>
    <row r="1818">
      <c r="F1818" s="13"/>
      <c r="M1818" s="13"/>
    </row>
    <row r="1819">
      <c r="F1819" s="13"/>
      <c r="M1819" s="13"/>
    </row>
    <row r="1820">
      <c r="F1820" s="13"/>
      <c r="M1820" s="13"/>
    </row>
    <row r="1821">
      <c r="F1821" s="13"/>
      <c r="M1821" s="13"/>
    </row>
    <row r="1822">
      <c r="F1822" s="13"/>
      <c r="M1822" s="13"/>
    </row>
    <row r="1823">
      <c r="F1823" s="13"/>
      <c r="M1823" s="13"/>
    </row>
    <row r="1824">
      <c r="F1824" s="13"/>
      <c r="M1824" s="13"/>
    </row>
    <row r="1825">
      <c r="F1825" s="13"/>
      <c r="M1825" s="13"/>
    </row>
    <row r="1826">
      <c r="F1826" s="13"/>
      <c r="M1826" s="13"/>
    </row>
    <row r="1827">
      <c r="F1827" s="13"/>
      <c r="M1827" s="13"/>
    </row>
    <row r="1828">
      <c r="F1828" s="13"/>
      <c r="M1828" s="13"/>
    </row>
    <row r="1829">
      <c r="F1829" s="13"/>
      <c r="M1829" s="13"/>
    </row>
    <row r="1830">
      <c r="F1830" s="13"/>
      <c r="M1830" s="13"/>
    </row>
    <row r="1831">
      <c r="F1831" s="13"/>
      <c r="M1831" s="13"/>
    </row>
    <row r="1832">
      <c r="F1832" s="13"/>
      <c r="M1832" s="13"/>
    </row>
    <row r="1833">
      <c r="F1833" s="13"/>
      <c r="M1833" s="13"/>
    </row>
    <row r="1834">
      <c r="F1834" s="13"/>
      <c r="M1834" s="13"/>
    </row>
    <row r="1835">
      <c r="F1835" s="13"/>
      <c r="M1835" s="13"/>
    </row>
    <row r="1836">
      <c r="F1836" s="13"/>
      <c r="M1836" s="13"/>
    </row>
    <row r="1837">
      <c r="F1837" s="13"/>
      <c r="M1837" s="13"/>
    </row>
    <row r="1838">
      <c r="F1838" s="13"/>
      <c r="M1838" s="13"/>
    </row>
    <row r="1839">
      <c r="F1839" s="13"/>
      <c r="M1839" s="13"/>
    </row>
    <row r="1840">
      <c r="F1840" s="13"/>
      <c r="M1840" s="13"/>
    </row>
    <row r="1841">
      <c r="F1841" s="13"/>
      <c r="M1841" s="13"/>
    </row>
    <row r="1842">
      <c r="F1842" s="13"/>
      <c r="M1842" s="13"/>
    </row>
    <row r="1843">
      <c r="F1843" s="13"/>
      <c r="M1843" s="13"/>
    </row>
    <row r="1844">
      <c r="F1844" s="13"/>
      <c r="M1844" s="13"/>
    </row>
    <row r="1845">
      <c r="F1845" s="13"/>
      <c r="M1845" s="13"/>
    </row>
    <row r="1846">
      <c r="F1846" s="13"/>
      <c r="M1846" s="13"/>
    </row>
    <row r="1847">
      <c r="F1847" s="13"/>
      <c r="M1847" s="13"/>
    </row>
    <row r="1848">
      <c r="F1848" s="13"/>
      <c r="M1848" s="13"/>
    </row>
    <row r="1849">
      <c r="F1849" s="13"/>
      <c r="M1849" s="13"/>
    </row>
    <row r="1850">
      <c r="F1850" s="13"/>
      <c r="M1850" s="13"/>
    </row>
    <row r="1851">
      <c r="F1851" s="13"/>
      <c r="M1851" s="13"/>
    </row>
    <row r="1852">
      <c r="F1852" s="13"/>
      <c r="M1852" s="13"/>
    </row>
    <row r="1853">
      <c r="F1853" s="13"/>
      <c r="M1853" s="13"/>
    </row>
    <row r="1854">
      <c r="F1854" s="13"/>
      <c r="M1854" s="13"/>
    </row>
    <row r="1855">
      <c r="F1855" s="13"/>
      <c r="M1855" s="13"/>
    </row>
    <row r="1856">
      <c r="F1856" s="13"/>
      <c r="M1856" s="13"/>
    </row>
    <row r="1857">
      <c r="F1857" s="13"/>
      <c r="M1857" s="13"/>
    </row>
    <row r="1858">
      <c r="F1858" s="13"/>
      <c r="M1858" s="13"/>
    </row>
    <row r="1859">
      <c r="F1859" s="13"/>
      <c r="M1859" s="13"/>
    </row>
    <row r="1860">
      <c r="F1860" s="13"/>
      <c r="M1860" s="13"/>
    </row>
    <row r="1861">
      <c r="F1861" s="13"/>
      <c r="M1861" s="13"/>
    </row>
    <row r="1862">
      <c r="F1862" s="13"/>
      <c r="M1862" s="13"/>
    </row>
    <row r="1863">
      <c r="F1863" s="13"/>
      <c r="M1863" s="13"/>
    </row>
    <row r="1864">
      <c r="F1864" s="13"/>
      <c r="M1864" s="13"/>
    </row>
    <row r="1865">
      <c r="F1865" s="13"/>
      <c r="M1865" s="13"/>
    </row>
    <row r="1866">
      <c r="F1866" s="13"/>
      <c r="M1866" s="13"/>
    </row>
    <row r="1867">
      <c r="F1867" s="13"/>
      <c r="M1867" s="13"/>
    </row>
    <row r="1868">
      <c r="F1868" s="13"/>
      <c r="M1868" s="13"/>
    </row>
    <row r="1869">
      <c r="F1869" s="13"/>
      <c r="M1869" s="13"/>
    </row>
    <row r="1870">
      <c r="F1870" s="13"/>
      <c r="M1870" s="13"/>
    </row>
    <row r="1871">
      <c r="F1871" s="13"/>
      <c r="M1871" s="13"/>
    </row>
    <row r="1872">
      <c r="F1872" s="13"/>
      <c r="M1872" s="13"/>
    </row>
    <row r="1873">
      <c r="F1873" s="13"/>
      <c r="M1873" s="13"/>
    </row>
    <row r="1874">
      <c r="F1874" s="13"/>
      <c r="M1874" s="13"/>
    </row>
    <row r="1875">
      <c r="F1875" s="13"/>
      <c r="M1875" s="13"/>
    </row>
    <row r="1876">
      <c r="F1876" s="13"/>
      <c r="M1876" s="13"/>
    </row>
    <row r="1877">
      <c r="F1877" s="13"/>
      <c r="M1877" s="13"/>
    </row>
    <row r="1878">
      <c r="F1878" s="13"/>
      <c r="M1878" s="13"/>
    </row>
    <row r="1879">
      <c r="F1879" s="13"/>
      <c r="M1879" s="13"/>
    </row>
    <row r="1880">
      <c r="F1880" s="13"/>
      <c r="M1880" s="13"/>
    </row>
    <row r="1881">
      <c r="F1881" s="13"/>
      <c r="M1881" s="13"/>
    </row>
    <row r="1882">
      <c r="F1882" s="13"/>
      <c r="M1882" s="13"/>
    </row>
    <row r="1883">
      <c r="F1883" s="13"/>
      <c r="M1883" s="13"/>
    </row>
    <row r="1884">
      <c r="F1884" s="13"/>
      <c r="M1884" s="13"/>
    </row>
    <row r="1885">
      <c r="F1885" s="13"/>
      <c r="M1885" s="13"/>
    </row>
    <row r="1886">
      <c r="F1886" s="13"/>
      <c r="M1886" s="13"/>
    </row>
    <row r="1887">
      <c r="F1887" s="13"/>
      <c r="M1887" s="13"/>
    </row>
    <row r="1888">
      <c r="F1888" s="13"/>
      <c r="M1888" s="13"/>
    </row>
    <row r="1889">
      <c r="F1889" s="13"/>
      <c r="M1889" s="13"/>
    </row>
    <row r="1890">
      <c r="F1890" s="13"/>
      <c r="M1890" s="13"/>
    </row>
    <row r="1891">
      <c r="F1891" s="13"/>
      <c r="M1891" s="13"/>
    </row>
    <row r="1892">
      <c r="F1892" s="13"/>
      <c r="M1892" s="13"/>
    </row>
    <row r="1893">
      <c r="F1893" s="13"/>
      <c r="M1893" s="13"/>
    </row>
    <row r="1894">
      <c r="F1894" s="13"/>
      <c r="M1894" s="13"/>
    </row>
    <row r="1895">
      <c r="F1895" s="13"/>
      <c r="M1895" s="13"/>
    </row>
    <row r="1896">
      <c r="F1896" s="13"/>
      <c r="M1896" s="13"/>
    </row>
    <row r="1897">
      <c r="F1897" s="13"/>
      <c r="M1897" s="13"/>
    </row>
    <row r="1898">
      <c r="F1898" s="13"/>
      <c r="M1898" s="13"/>
    </row>
    <row r="1899">
      <c r="F1899" s="13"/>
      <c r="M1899" s="13"/>
    </row>
    <row r="1900">
      <c r="F1900" s="13"/>
      <c r="M1900" s="13"/>
    </row>
    <row r="1901">
      <c r="F1901" s="13"/>
      <c r="M1901" s="13"/>
    </row>
    <row r="1902">
      <c r="F1902" s="13"/>
      <c r="M1902" s="13"/>
    </row>
    <row r="1903">
      <c r="F1903" s="13"/>
      <c r="M1903" s="13"/>
    </row>
    <row r="1904">
      <c r="F1904" s="13"/>
      <c r="M1904" s="13"/>
    </row>
    <row r="1905">
      <c r="F1905" s="13"/>
      <c r="M1905" s="13"/>
    </row>
    <row r="1906">
      <c r="F1906" s="13"/>
      <c r="M1906" s="13"/>
    </row>
    <row r="1907">
      <c r="F1907" s="13"/>
      <c r="M1907" s="13"/>
    </row>
    <row r="1908">
      <c r="F1908" s="13"/>
      <c r="M1908" s="13"/>
    </row>
    <row r="1909">
      <c r="F1909" s="13"/>
      <c r="M1909" s="13"/>
    </row>
    <row r="1910">
      <c r="F1910" s="13"/>
      <c r="M1910" s="13"/>
    </row>
    <row r="1911">
      <c r="F1911" s="13"/>
      <c r="M1911" s="13"/>
    </row>
    <row r="1912">
      <c r="F1912" s="13"/>
      <c r="M1912" s="13"/>
    </row>
    <row r="1913">
      <c r="F1913" s="13"/>
      <c r="M1913" s="13"/>
    </row>
    <row r="1914">
      <c r="F1914" s="13"/>
      <c r="M1914" s="13"/>
    </row>
    <row r="1915">
      <c r="F1915" s="13"/>
      <c r="M1915" s="13"/>
    </row>
    <row r="1916">
      <c r="F1916" s="13"/>
      <c r="M1916" s="13"/>
    </row>
    <row r="1917">
      <c r="F1917" s="13"/>
      <c r="M1917" s="13"/>
    </row>
    <row r="1918">
      <c r="F1918" s="13"/>
      <c r="M1918" s="13"/>
    </row>
    <row r="1919">
      <c r="F1919" s="13"/>
      <c r="M1919" s="13"/>
    </row>
    <row r="1920">
      <c r="F1920" s="13"/>
      <c r="M1920" s="13"/>
    </row>
    <row r="1921">
      <c r="F1921" s="13"/>
      <c r="M1921" s="13"/>
    </row>
    <row r="1922">
      <c r="F1922" s="13"/>
      <c r="M1922" s="13"/>
    </row>
    <row r="1923">
      <c r="F1923" s="13"/>
      <c r="M1923" s="13"/>
    </row>
    <row r="1924">
      <c r="F1924" s="13"/>
      <c r="M1924" s="13"/>
    </row>
    <row r="1925">
      <c r="F1925" s="13"/>
      <c r="M1925" s="13"/>
    </row>
    <row r="1926">
      <c r="F1926" s="13"/>
      <c r="M1926" s="13"/>
    </row>
    <row r="1927">
      <c r="F1927" s="13"/>
      <c r="M1927" s="13"/>
    </row>
    <row r="1928">
      <c r="F1928" s="13"/>
      <c r="M1928" s="13"/>
    </row>
    <row r="1929">
      <c r="F1929" s="13"/>
      <c r="M1929" s="13"/>
    </row>
    <row r="1930">
      <c r="F1930" s="13"/>
      <c r="M1930" s="13"/>
    </row>
    <row r="1931">
      <c r="F1931" s="13"/>
      <c r="M1931" s="13"/>
    </row>
    <row r="1932">
      <c r="F1932" s="13"/>
      <c r="M1932" s="13"/>
    </row>
    <row r="1933">
      <c r="F1933" s="13"/>
      <c r="M1933" s="13"/>
    </row>
    <row r="1934">
      <c r="F1934" s="13"/>
      <c r="M1934" s="13"/>
    </row>
    <row r="1935">
      <c r="F1935" s="13"/>
      <c r="M1935" s="13"/>
    </row>
    <row r="1936">
      <c r="F1936" s="13"/>
      <c r="M1936" s="13"/>
    </row>
    <row r="1937">
      <c r="F1937" s="13"/>
      <c r="M1937" s="13"/>
    </row>
    <row r="1938">
      <c r="F1938" s="13"/>
      <c r="M1938" s="13"/>
    </row>
    <row r="1939">
      <c r="F1939" s="13"/>
      <c r="M1939" s="13"/>
    </row>
    <row r="1940">
      <c r="F1940" s="13"/>
      <c r="M1940" s="13"/>
    </row>
    <row r="1941">
      <c r="F1941" s="13"/>
      <c r="M1941" s="13"/>
    </row>
    <row r="1942">
      <c r="F1942" s="13"/>
      <c r="M1942" s="13"/>
    </row>
    <row r="1943">
      <c r="F1943" s="13"/>
      <c r="M1943" s="13"/>
    </row>
    <row r="1944">
      <c r="F1944" s="13"/>
      <c r="M1944" s="13"/>
    </row>
    <row r="1945">
      <c r="F1945" s="13"/>
      <c r="M1945" s="13"/>
    </row>
    <row r="1946">
      <c r="F1946" s="13"/>
      <c r="M1946" s="13"/>
    </row>
    <row r="1947">
      <c r="F1947" s="13"/>
      <c r="M1947" s="13"/>
    </row>
    <row r="1948">
      <c r="F1948" s="13"/>
      <c r="M1948" s="13"/>
    </row>
    <row r="1949">
      <c r="F1949" s="13"/>
      <c r="M1949" s="13"/>
    </row>
    <row r="1950">
      <c r="F1950" s="13"/>
      <c r="M1950" s="13"/>
    </row>
    <row r="1951">
      <c r="F1951" s="13"/>
      <c r="M1951" s="13"/>
    </row>
    <row r="1952">
      <c r="F1952" s="13"/>
      <c r="M1952" s="13"/>
    </row>
    <row r="1953">
      <c r="F1953" s="13"/>
      <c r="M1953" s="13"/>
    </row>
    <row r="1954">
      <c r="F1954" s="13"/>
      <c r="M1954" s="13"/>
    </row>
    <row r="1955">
      <c r="F1955" s="13"/>
      <c r="M1955" s="13"/>
    </row>
    <row r="1956">
      <c r="F1956" s="13"/>
      <c r="M1956" s="13"/>
    </row>
    <row r="1957">
      <c r="F1957" s="13"/>
      <c r="M1957" s="13"/>
    </row>
    <row r="1958">
      <c r="F1958" s="13"/>
      <c r="M1958" s="13"/>
    </row>
    <row r="1959">
      <c r="F1959" s="13"/>
      <c r="M1959" s="13"/>
    </row>
    <row r="1960">
      <c r="F1960" s="13"/>
      <c r="M1960" s="13"/>
    </row>
    <row r="1961">
      <c r="F1961" s="13"/>
      <c r="M1961" s="13"/>
    </row>
    <row r="1962">
      <c r="F1962" s="13"/>
      <c r="M1962" s="13"/>
    </row>
    <row r="1963">
      <c r="F1963" s="13"/>
      <c r="M1963" s="13"/>
    </row>
    <row r="1964">
      <c r="F1964" s="13"/>
      <c r="M1964" s="13"/>
    </row>
    <row r="1965">
      <c r="F1965" s="13"/>
      <c r="M1965" s="13"/>
    </row>
    <row r="1966">
      <c r="F1966" s="13"/>
      <c r="M1966" s="13"/>
    </row>
    <row r="1967">
      <c r="F1967" s="13"/>
      <c r="M1967" s="13"/>
    </row>
    <row r="1968">
      <c r="F1968" s="13"/>
      <c r="M1968" s="13"/>
    </row>
    <row r="1969">
      <c r="F1969" s="13"/>
      <c r="M1969" s="13"/>
    </row>
    <row r="1970">
      <c r="F1970" s="13"/>
      <c r="M1970" s="13"/>
    </row>
    <row r="1971">
      <c r="F1971" s="13"/>
      <c r="M1971" s="13"/>
    </row>
    <row r="1972">
      <c r="F1972" s="13"/>
      <c r="M1972" s="13"/>
    </row>
    <row r="1973">
      <c r="F1973" s="13"/>
      <c r="M1973" s="13"/>
    </row>
    <row r="1974">
      <c r="F1974" s="13"/>
      <c r="M1974" s="13"/>
    </row>
    <row r="1975">
      <c r="F1975" s="13"/>
      <c r="M1975" s="13"/>
    </row>
    <row r="1976">
      <c r="F1976" s="13"/>
      <c r="M1976" s="13"/>
    </row>
    <row r="1977">
      <c r="F1977" s="13"/>
      <c r="M1977" s="13"/>
    </row>
    <row r="1978">
      <c r="F1978" s="13"/>
      <c r="M1978" s="13"/>
    </row>
    <row r="1979">
      <c r="F1979" s="13"/>
      <c r="M1979" s="13"/>
    </row>
    <row r="1980">
      <c r="F1980" s="13"/>
      <c r="M1980" s="13"/>
    </row>
    <row r="1981">
      <c r="F1981" s="13"/>
      <c r="M1981" s="13"/>
    </row>
    <row r="1982">
      <c r="F1982" s="13"/>
      <c r="M1982" s="13"/>
    </row>
    <row r="1983">
      <c r="F1983" s="13"/>
      <c r="M1983" s="13"/>
    </row>
    <row r="1984">
      <c r="F1984" s="13"/>
      <c r="M1984" s="13"/>
    </row>
    <row r="1985">
      <c r="F1985" s="13"/>
      <c r="M1985" s="13"/>
    </row>
    <row r="1986">
      <c r="F1986" s="13"/>
      <c r="M1986" s="13"/>
    </row>
    <row r="1987">
      <c r="F1987" s="13"/>
      <c r="M1987" s="13"/>
    </row>
    <row r="1988">
      <c r="F1988" s="13"/>
      <c r="M1988" s="13"/>
    </row>
    <row r="1989">
      <c r="F1989" s="13"/>
      <c r="M1989" s="13"/>
    </row>
    <row r="1990">
      <c r="F1990" s="13"/>
      <c r="M1990" s="13"/>
    </row>
    <row r="1991">
      <c r="F1991" s="13"/>
      <c r="M1991" s="13"/>
    </row>
    <row r="1992">
      <c r="F1992" s="13"/>
      <c r="M1992" s="13"/>
    </row>
    <row r="1993">
      <c r="F1993" s="13"/>
      <c r="M1993" s="13"/>
    </row>
    <row r="1994">
      <c r="F1994" s="13"/>
      <c r="M1994" s="13"/>
    </row>
    <row r="1995">
      <c r="F1995" s="13"/>
      <c r="M1995" s="13"/>
    </row>
    <row r="1996">
      <c r="F1996" s="13"/>
      <c r="M1996" s="13"/>
    </row>
    <row r="1997">
      <c r="F1997" s="13"/>
      <c r="M1997" s="13"/>
    </row>
    <row r="1998">
      <c r="F1998" s="13"/>
      <c r="M1998" s="13"/>
    </row>
    <row r="1999">
      <c r="F1999" s="13"/>
      <c r="M1999" s="13"/>
    </row>
    <row r="2000">
      <c r="F2000" s="13"/>
      <c r="M2000" s="13"/>
    </row>
    <row r="2001">
      <c r="F2001" s="13"/>
      <c r="M2001" s="13"/>
    </row>
    <row r="2002">
      <c r="F2002" s="13"/>
      <c r="M2002" s="13"/>
    </row>
    <row r="2003">
      <c r="F2003" s="13"/>
      <c r="M2003" s="13"/>
    </row>
    <row r="2004">
      <c r="F2004" s="13"/>
      <c r="M2004" s="13"/>
    </row>
    <row r="2005">
      <c r="F2005" s="13"/>
      <c r="M2005" s="13"/>
    </row>
    <row r="2006">
      <c r="F2006" s="13"/>
      <c r="M2006" s="13"/>
    </row>
    <row r="2007">
      <c r="F2007" s="13"/>
      <c r="M2007" s="13"/>
    </row>
    <row r="2008">
      <c r="F2008" s="13"/>
      <c r="M2008" s="13"/>
    </row>
    <row r="2009">
      <c r="F2009" s="13"/>
      <c r="M2009" s="13"/>
    </row>
    <row r="2010">
      <c r="F2010" s="13"/>
      <c r="M2010" s="13"/>
    </row>
    <row r="2011">
      <c r="F2011" s="13"/>
      <c r="M2011" s="13"/>
    </row>
    <row r="2012">
      <c r="F2012" s="13"/>
      <c r="M2012" s="13"/>
    </row>
    <row r="2013">
      <c r="F2013" s="13"/>
      <c r="M2013" s="13"/>
    </row>
    <row r="2014">
      <c r="F2014" s="13"/>
      <c r="M2014" s="13"/>
    </row>
    <row r="2015">
      <c r="F2015" s="13"/>
      <c r="M2015" s="13"/>
    </row>
    <row r="2016">
      <c r="F2016" s="13"/>
      <c r="M2016" s="13"/>
    </row>
    <row r="2017">
      <c r="F2017" s="13"/>
      <c r="M2017" s="13"/>
    </row>
    <row r="2018">
      <c r="F2018" s="13"/>
      <c r="M2018" s="13"/>
    </row>
    <row r="2019">
      <c r="F2019" s="13"/>
      <c r="M2019" s="13"/>
    </row>
    <row r="2020">
      <c r="F2020" s="13"/>
      <c r="M2020" s="13"/>
    </row>
    <row r="2021">
      <c r="F2021" s="13"/>
      <c r="M2021" s="13"/>
    </row>
    <row r="2022">
      <c r="F2022" s="13"/>
      <c r="M2022" s="13"/>
    </row>
    <row r="2023">
      <c r="F2023" s="13"/>
      <c r="M2023" s="13"/>
    </row>
    <row r="2024">
      <c r="F2024" s="13"/>
      <c r="M2024" s="13"/>
    </row>
    <row r="2025">
      <c r="F2025" s="13"/>
      <c r="M2025" s="13"/>
    </row>
    <row r="2026">
      <c r="F2026" s="13"/>
      <c r="M2026" s="13"/>
    </row>
    <row r="2027">
      <c r="F2027" s="13"/>
      <c r="M2027" s="13"/>
    </row>
    <row r="2028">
      <c r="F2028" s="13"/>
      <c r="M2028" s="13"/>
    </row>
    <row r="2029">
      <c r="F2029" s="13"/>
      <c r="M2029" s="13"/>
    </row>
    <row r="2030">
      <c r="F2030" s="13"/>
      <c r="M2030" s="13"/>
    </row>
    <row r="2031">
      <c r="F2031" s="13"/>
      <c r="M2031" s="13"/>
    </row>
    <row r="2032">
      <c r="F2032" s="13"/>
      <c r="M2032" s="13"/>
    </row>
    <row r="2033">
      <c r="F2033" s="13"/>
      <c r="M2033" s="13"/>
    </row>
    <row r="2034">
      <c r="F2034" s="13"/>
      <c r="M2034" s="13"/>
    </row>
    <row r="2035">
      <c r="F2035" s="13"/>
      <c r="M2035" s="13"/>
    </row>
    <row r="2036">
      <c r="F2036" s="13"/>
      <c r="M2036" s="13"/>
    </row>
    <row r="2037">
      <c r="F2037" s="13"/>
      <c r="M2037" s="13"/>
    </row>
    <row r="2038">
      <c r="F2038" s="13"/>
      <c r="M2038" s="13"/>
    </row>
    <row r="2039">
      <c r="F2039" s="13"/>
      <c r="M2039" s="13"/>
    </row>
    <row r="2040">
      <c r="F2040" s="13"/>
      <c r="M2040" s="13"/>
    </row>
    <row r="2041">
      <c r="F2041" s="13"/>
      <c r="M2041" s="13"/>
    </row>
    <row r="2042">
      <c r="F2042" s="13"/>
      <c r="M2042" s="13"/>
    </row>
    <row r="2043">
      <c r="F2043" s="13"/>
      <c r="M2043" s="13"/>
    </row>
    <row r="2044">
      <c r="F2044" s="13"/>
      <c r="M2044" s="13"/>
    </row>
    <row r="2045">
      <c r="F2045" s="13"/>
      <c r="M2045" s="13"/>
    </row>
    <row r="2046">
      <c r="F2046" s="13"/>
      <c r="M2046" s="13"/>
    </row>
    <row r="2047">
      <c r="F2047" s="13"/>
      <c r="M2047" s="13"/>
    </row>
    <row r="2048">
      <c r="F2048" s="13"/>
      <c r="M2048" s="13"/>
    </row>
    <row r="2049">
      <c r="F2049" s="13"/>
      <c r="M2049" s="13"/>
    </row>
    <row r="2050">
      <c r="F2050" s="13"/>
      <c r="M2050" s="13"/>
    </row>
    <row r="2051">
      <c r="F2051" s="13"/>
      <c r="M2051" s="13"/>
    </row>
    <row r="2052">
      <c r="F2052" s="13"/>
      <c r="M2052" s="13"/>
    </row>
    <row r="2053">
      <c r="F2053" s="13"/>
      <c r="M2053" s="13"/>
    </row>
    <row r="2054">
      <c r="F2054" s="13"/>
      <c r="M2054" s="13"/>
    </row>
    <row r="2055">
      <c r="F2055" s="13"/>
      <c r="M2055" s="13"/>
    </row>
    <row r="2056">
      <c r="F2056" s="13"/>
      <c r="M2056" s="13"/>
    </row>
    <row r="2057">
      <c r="F2057" s="13"/>
      <c r="M2057" s="13"/>
    </row>
    <row r="2058">
      <c r="F2058" s="13"/>
      <c r="M2058" s="13"/>
    </row>
    <row r="2059">
      <c r="F2059" s="13"/>
      <c r="M2059" s="13"/>
    </row>
    <row r="2060">
      <c r="F2060" s="13"/>
      <c r="M2060" s="13"/>
    </row>
    <row r="2061">
      <c r="F2061" s="13"/>
      <c r="M2061" s="13"/>
    </row>
    <row r="2062">
      <c r="F2062" s="13"/>
      <c r="M2062" s="13"/>
    </row>
    <row r="2063">
      <c r="F2063" s="13"/>
      <c r="M2063" s="13"/>
    </row>
    <row r="2064">
      <c r="F2064" s="13"/>
      <c r="M2064" s="13"/>
    </row>
    <row r="2065">
      <c r="F2065" s="13"/>
      <c r="M2065" s="13"/>
    </row>
    <row r="2066">
      <c r="F2066" s="13"/>
      <c r="M2066" s="13"/>
    </row>
    <row r="2067">
      <c r="F2067" s="13"/>
      <c r="M2067" s="13"/>
    </row>
    <row r="2068">
      <c r="F2068" s="13"/>
      <c r="M2068" s="13"/>
    </row>
    <row r="2069">
      <c r="F2069" s="13"/>
      <c r="M2069" s="13"/>
    </row>
    <row r="2070">
      <c r="F2070" s="13"/>
      <c r="M2070" s="13"/>
    </row>
    <row r="2071">
      <c r="F2071" s="13"/>
      <c r="M2071" s="13"/>
    </row>
    <row r="2072">
      <c r="F2072" s="13"/>
      <c r="M2072" s="13"/>
    </row>
    <row r="2073">
      <c r="F2073" s="13"/>
      <c r="M2073" s="13"/>
    </row>
    <row r="2074">
      <c r="F2074" s="13"/>
      <c r="M2074" s="13"/>
    </row>
    <row r="2075">
      <c r="F2075" s="13"/>
      <c r="M2075" s="13"/>
    </row>
    <row r="2076">
      <c r="F2076" s="13"/>
      <c r="M2076" s="13"/>
    </row>
    <row r="2077">
      <c r="F2077" s="13"/>
      <c r="M2077" s="13"/>
    </row>
    <row r="2078">
      <c r="F2078" s="13"/>
      <c r="M2078" s="13"/>
    </row>
    <row r="2079">
      <c r="F2079" s="13"/>
      <c r="M2079" s="13"/>
    </row>
    <row r="2080">
      <c r="F2080" s="13"/>
      <c r="M2080" s="13"/>
    </row>
    <row r="2081">
      <c r="F2081" s="13"/>
      <c r="M2081" s="13"/>
    </row>
    <row r="2082">
      <c r="F2082" s="13"/>
      <c r="M2082" s="13"/>
    </row>
    <row r="2083">
      <c r="F2083" s="13"/>
      <c r="M2083" s="13"/>
    </row>
    <row r="2084">
      <c r="F2084" s="13"/>
      <c r="M2084" s="13"/>
    </row>
    <row r="2085">
      <c r="F2085" s="13"/>
      <c r="M2085" s="13"/>
    </row>
    <row r="2086">
      <c r="F2086" s="13"/>
      <c r="M2086" s="13"/>
    </row>
    <row r="2087">
      <c r="F2087" s="13"/>
      <c r="M2087" s="13"/>
    </row>
    <row r="2088">
      <c r="F2088" s="13"/>
      <c r="M2088" s="13"/>
    </row>
    <row r="2089">
      <c r="F2089" s="13"/>
      <c r="M2089" s="13"/>
    </row>
    <row r="2090">
      <c r="F2090" s="13"/>
      <c r="M2090" s="13"/>
    </row>
    <row r="2091">
      <c r="F2091" s="13"/>
      <c r="M2091" s="13"/>
    </row>
    <row r="2092">
      <c r="F2092" s="13"/>
      <c r="M2092" s="13"/>
    </row>
    <row r="2093">
      <c r="F2093" s="13"/>
      <c r="M2093" s="13"/>
    </row>
    <row r="2094">
      <c r="F2094" s="13"/>
      <c r="M2094" s="13"/>
    </row>
    <row r="2095">
      <c r="F2095" s="13"/>
      <c r="M2095" s="13"/>
    </row>
    <row r="2096">
      <c r="F2096" s="13"/>
      <c r="M2096" s="13"/>
    </row>
    <row r="2097">
      <c r="F2097" s="13"/>
      <c r="M2097" s="13"/>
    </row>
    <row r="2098">
      <c r="F2098" s="13"/>
      <c r="M2098" s="13"/>
    </row>
    <row r="2099">
      <c r="F2099" s="13"/>
      <c r="M2099" s="13"/>
    </row>
    <row r="2100">
      <c r="F2100" s="13"/>
      <c r="M2100" s="13"/>
    </row>
    <row r="2101">
      <c r="F2101" s="13"/>
      <c r="M2101" s="13"/>
    </row>
    <row r="2102">
      <c r="F2102" s="13"/>
      <c r="M2102" s="13"/>
    </row>
    <row r="2103">
      <c r="F2103" s="13"/>
      <c r="M2103" s="13"/>
    </row>
    <row r="2104">
      <c r="F2104" s="13"/>
      <c r="M2104" s="13"/>
    </row>
    <row r="2105">
      <c r="F2105" s="13"/>
      <c r="M2105" s="13"/>
    </row>
    <row r="2106">
      <c r="F2106" s="13"/>
      <c r="M2106" s="13"/>
    </row>
    <row r="2107">
      <c r="F2107" s="13"/>
      <c r="M2107" s="13"/>
    </row>
    <row r="2108">
      <c r="F2108" s="13"/>
      <c r="M2108" s="13"/>
    </row>
    <row r="2109">
      <c r="F2109" s="13"/>
      <c r="M2109" s="13"/>
    </row>
    <row r="2110">
      <c r="F2110" s="13"/>
      <c r="M2110" s="13"/>
    </row>
    <row r="2111">
      <c r="F2111" s="13"/>
      <c r="M2111" s="13"/>
    </row>
    <row r="2112">
      <c r="F2112" s="13"/>
      <c r="M2112" s="13"/>
    </row>
    <row r="2113">
      <c r="F2113" s="13"/>
      <c r="M2113" s="13"/>
    </row>
    <row r="2114">
      <c r="F2114" s="13"/>
      <c r="M2114" s="13"/>
    </row>
    <row r="2115">
      <c r="F2115" s="13"/>
      <c r="M2115" s="13"/>
    </row>
    <row r="2116">
      <c r="F2116" s="13"/>
      <c r="M2116" s="13"/>
    </row>
    <row r="2117">
      <c r="F2117" s="13"/>
      <c r="M2117" s="13"/>
    </row>
    <row r="2118">
      <c r="F2118" s="13"/>
      <c r="M2118" s="13"/>
    </row>
    <row r="2119">
      <c r="F2119" s="13"/>
      <c r="M2119" s="13"/>
    </row>
    <row r="2120">
      <c r="F2120" s="13"/>
      <c r="M2120" s="13"/>
    </row>
    <row r="2121">
      <c r="F2121" s="13"/>
      <c r="M2121" s="13"/>
    </row>
    <row r="2122">
      <c r="F2122" s="13"/>
      <c r="M2122" s="13"/>
    </row>
    <row r="2123">
      <c r="F2123" s="13"/>
      <c r="M2123" s="13"/>
    </row>
    <row r="2124">
      <c r="F2124" s="13"/>
      <c r="M2124" s="13"/>
    </row>
    <row r="2125">
      <c r="F2125" s="13"/>
      <c r="M2125" s="13"/>
    </row>
    <row r="2126">
      <c r="F2126" s="13"/>
      <c r="M2126" s="13"/>
    </row>
    <row r="2127">
      <c r="F2127" s="13"/>
      <c r="M2127" s="13"/>
    </row>
    <row r="2128">
      <c r="F2128" s="13"/>
      <c r="M2128" s="13"/>
    </row>
    <row r="2129">
      <c r="F2129" s="13"/>
      <c r="M2129" s="13"/>
    </row>
    <row r="2130">
      <c r="F2130" s="13"/>
      <c r="M2130" s="13"/>
    </row>
    <row r="2131">
      <c r="F2131" s="13"/>
      <c r="M2131" s="13"/>
    </row>
    <row r="2132">
      <c r="F2132" s="13"/>
      <c r="M2132" s="13"/>
    </row>
    <row r="2133">
      <c r="F2133" s="13"/>
      <c r="M2133" s="13"/>
    </row>
    <row r="2134">
      <c r="F2134" s="13"/>
      <c r="M2134" s="13"/>
    </row>
    <row r="2135">
      <c r="F2135" s="13"/>
      <c r="M2135" s="13"/>
    </row>
    <row r="2136">
      <c r="F2136" s="13"/>
      <c r="M2136" s="13"/>
    </row>
    <row r="2137">
      <c r="F2137" s="13"/>
      <c r="M2137" s="13"/>
    </row>
    <row r="2138">
      <c r="F2138" s="13"/>
      <c r="M2138" s="13"/>
    </row>
    <row r="2139">
      <c r="F2139" s="13"/>
      <c r="M2139" s="13"/>
    </row>
    <row r="2140">
      <c r="F2140" s="13"/>
      <c r="M2140" s="13"/>
    </row>
    <row r="2141">
      <c r="F2141" s="13"/>
      <c r="M2141" s="13"/>
    </row>
    <row r="2142">
      <c r="F2142" s="13"/>
      <c r="M2142" s="13"/>
    </row>
    <row r="2143">
      <c r="F2143" s="13"/>
      <c r="M2143" s="13"/>
    </row>
    <row r="2144">
      <c r="F2144" s="13"/>
      <c r="M2144" s="13"/>
    </row>
    <row r="2145">
      <c r="F2145" s="13"/>
      <c r="M2145" s="13"/>
    </row>
    <row r="2146">
      <c r="F2146" s="13"/>
      <c r="M2146" s="13"/>
    </row>
    <row r="2147">
      <c r="F2147" s="13"/>
      <c r="M2147" s="13"/>
    </row>
    <row r="2148">
      <c r="F2148" s="13"/>
      <c r="M2148" s="13"/>
    </row>
    <row r="2149">
      <c r="F2149" s="13"/>
      <c r="M2149" s="13"/>
    </row>
    <row r="2150">
      <c r="F2150" s="13"/>
      <c r="M2150" s="13"/>
    </row>
    <row r="2151">
      <c r="F2151" s="13"/>
      <c r="M2151" s="13"/>
    </row>
    <row r="2152">
      <c r="F2152" s="13"/>
      <c r="M2152" s="13"/>
    </row>
    <row r="2153">
      <c r="F2153" s="13"/>
      <c r="M2153" s="13"/>
    </row>
    <row r="2154">
      <c r="F2154" s="13"/>
      <c r="M2154" s="13"/>
    </row>
    <row r="2155">
      <c r="F2155" s="13"/>
      <c r="M2155" s="13"/>
    </row>
    <row r="2156">
      <c r="F2156" s="13"/>
      <c r="M2156" s="13"/>
    </row>
    <row r="2157">
      <c r="F2157" s="13"/>
      <c r="M2157" s="13"/>
    </row>
    <row r="2158">
      <c r="F2158" s="13"/>
      <c r="M2158" s="13"/>
    </row>
    <row r="2159">
      <c r="F2159" s="13"/>
      <c r="M2159" s="13"/>
    </row>
    <row r="2160">
      <c r="F2160" s="13"/>
      <c r="M2160" s="13"/>
    </row>
    <row r="2161">
      <c r="F2161" s="13"/>
      <c r="M2161" s="13"/>
    </row>
    <row r="2162">
      <c r="F2162" s="13"/>
      <c r="M2162" s="13"/>
    </row>
    <row r="2163">
      <c r="F2163" s="13"/>
      <c r="M2163" s="13"/>
    </row>
    <row r="2164">
      <c r="F2164" s="13"/>
      <c r="M2164" s="13"/>
    </row>
    <row r="2165">
      <c r="F2165" s="13"/>
      <c r="M2165" s="13"/>
    </row>
    <row r="2166">
      <c r="F2166" s="13"/>
      <c r="M2166" s="13"/>
    </row>
    <row r="2167">
      <c r="F2167" s="13"/>
      <c r="M2167" s="13"/>
    </row>
    <row r="2168">
      <c r="F2168" s="13"/>
      <c r="M2168" s="13"/>
    </row>
    <row r="2169">
      <c r="F2169" s="13"/>
      <c r="M2169" s="13"/>
    </row>
    <row r="2170">
      <c r="F2170" s="13"/>
      <c r="M2170" s="13"/>
    </row>
    <row r="2171">
      <c r="F2171" s="13"/>
      <c r="M2171" s="13"/>
    </row>
    <row r="2172">
      <c r="F2172" s="13"/>
      <c r="M2172" s="13"/>
    </row>
    <row r="2173">
      <c r="F2173" s="13"/>
      <c r="M2173" s="13"/>
    </row>
    <row r="2174">
      <c r="F2174" s="13"/>
      <c r="M2174" s="13"/>
    </row>
    <row r="2175">
      <c r="F2175" s="13"/>
      <c r="M2175" s="13"/>
    </row>
    <row r="2176">
      <c r="F2176" s="13"/>
      <c r="M2176" s="13"/>
    </row>
    <row r="2177">
      <c r="F2177" s="13"/>
      <c r="M2177" s="13"/>
    </row>
    <row r="2178">
      <c r="F2178" s="13"/>
      <c r="M2178" s="13"/>
    </row>
    <row r="2179">
      <c r="F2179" s="13"/>
      <c r="M2179" s="13"/>
    </row>
    <row r="2180">
      <c r="F2180" s="13"/>
      <c r="M2180" s="13"/>
    </row>
    <row r="2181">
      <c r="F2181" s="13"/>
      <c r="M2181" s="13"/>
    </row>
    <row r="2182">
      <c r="F2182" s="13"/>
      <c r="M2182" s="13"/>
    </row>
    <row r="2183">
      <c r="F2183" s="13"/>
      <c r="M2183" s="13"/>
    </row>
    <row r="2184">
      <c r="F2184" s="13"/>
      <c r="M2184" s="13"/>
    </row>
    <row r="2185">
      <c r="F2185" s="13"/>
      <c r="M2185" s="13"/>
    </row>
    <row r="2186">
      <c r="F2186" s="13"/>
      <c r="M2186" s="13"/>
    </row>
    <row r="2187">
      <c r="F2187" s="13"/>
      <c r="M2187" s="13"/>
    </row>
    <row r="2188">
      <c r="F2188" s="13"/>
      <c r="M2188" s="13"/>
    </row>
    <row r="2189">
      <c r="F2189" s="13"/>
      <c r="M2189" s="13"/>
    </row>
    <row r="2190">
      <c r="F2190" s="13"/>
      <c r="M2190" s="13"/>
    </row>
    <row r="2191">
      <c r="F2191" s="13"/>
      <c r="M2191" s="13"/>
    </row>
    <row r="2192">
      <c r="F2192" s="13"/>
      <c r="M2192" s="13"/>
    </row>
    <row r="2193">
      <c r="F2193" s="13"/>
      <c r="M2193" s="13"/>
    </row>
    <row r="2194">
      <c r="F2194" s="13"/>
      <c r="M2194" s="13"/>
    </row>
    <row r="2195">
      <c r="F2195" s="13"/>
      <c r="M2195" s="13"/>
    </row>
    <row r="2196">
      <c r="F2196" s="13"/>
      <c r="M2196" s="13"/>
    </row>
    <row r="2197">
      <c r="F2197" s="13"/>
      <c r="M2197" s="13"/>
    </row>
    <row r="2198">
      <c r="F2198" s="13"/>
      <c r="M2198" s="13"/>
    </row>
    <row r="2199">
      <c r="F2199" s="13"/>
      <c r="M2199" s="13"/>
    </row>
    <row r="2200">
      <c r="F2200" s="13"/>
      <c r="M2200" s="13"/>
    </row>
    <row r="2201">
      <c r="F2201" s="13"/>
      <c r="M2201" s="13"/>
    </row>
    <row r="2202">
      <c r="F2202" s="13"/>
      <c r="M2202" s="13"/>
    </row>
    <row r="2203">
      <c r="F2203" s="13"/>
      <c r="M2203" s="13"/>
    </row>
    <row r="2204">
      <c r="F2204" s="13"/>
      <c r="M2204" s="13"/>
    </row>
    <row r="2205">
      <c r="F2205" s="13"/>
      <c r="M2205" s="13"/>
    </row>
    <row r="2206">
      <c r="F2206" s="13"/>
      <c r="M2206" s="13"/>
    </row>
    <row r="2207">
      <c r="F2207" s="13"/>
      <c r="M2207" s="13"/>
    </row>
    <row r="2208">
      <c r="F2208" s="13"/>
      <c r="M2208" s="13"/>
    </row>
    <row r="2209">
      <c r="F2209" s="13"/>
      <c r="M2209" s="13"/>
    </row>
    <row r="2210">
      <c r="F2210" s="13"/>
      <c r="M2210" s="13"/>
    </row>
    <row r="2211">
      <c r="F2211" s="13"/>
      <c r="M2211" s="13"/>
    </row>
    <row r="2212">
      <c r="F2212" s="13"/>
      <c r="M2212" s="13"/>
    </row>
    <row r="2213">
      <c r="F2213" s="13"/>
      <c r="M2213" s="13"/>
    </row>
    <row r="2214">
      <c r="F2214" s="13"/>
      <c r="M2214" s="13"/>
    </row>
    <row r="2215">
      <c r="F2215" s="13"/>
      <c r="M2215" s="13"/>
    </row>
    <row r="2216">
      <c r="F2216" s="13"/>
      <c r="M2216" s="13"/>
    </row>
    <row r="2217">
      <c r="F2217" s="13"/>
      <c r="M2217" s="13"/>
    </row>
    <row r="2218">
      <c r="F2218" s="13"/>
      <c r="M2218" s="13"/>
    </row>
    <row r="2219">
      <c r="F2219" s="13"/>
      <c r="M2219" s="13"/>
    </row>
    <row r="2220">
      <c r="F2220" s="13"/>
      <c r="M2220" s="13"/>
    </row>
    <row r="2221">
      <c r="F2221" s="13"/>
      <c r="M2221" s="13"/>
    </row>
    <row r="2222">
      <c r="F2222" s="13"/>
      <c r="M2222" s="13"/>
    </row>
    <row r="2223">
      <c r="F2223" s="13"/>
      <c r="M2223" s="13"/>
    </row>
    <row r="2224">
      <c r="F2224" s="13"/>
      <c r="M2224" s="13"/>
    </row>
    <row r="2225">
      <c r="F2225" s="13"/>
      <c r="M2225" s="13"/>
    </row>
    <row r="2226">
      <c r="F2226" s="13"/>
      <c r="M2226" s="13"/>
    </row>
    <row r="2227">
      <c r="F2227" s="13"/>
      <c r="M2227" s="13"/>
    </row>
    <row r="2228">
      <c r="F2228" s="13"/>
      <c r="M2228" s="13"/>
    </row>
    <row r="2229">
      <c r="F2229" s="13"/>
      <c r="M2229" s="13"/>
    </row>
    <row r="2230">
      <c r="F2230" s="13"/>
      <c r="M2230" s="13"/>
    </row>
    <row r="2231">
      <c r="F2231" s="13"/>
      <c r="M2231" s="13"/>
    </row>
    <row r="2232">
      <c r="F2232" s="13"/>
      <c r="M2232" s="13"/>
    </row>
    <row r="2233">
      <c r="F2233" s="13"/>
      <c r="M2233" s="13"/>
    </row>
    <row r="2234">
      <c r="F2234" s="13"/>
      <c r="M2234" s="13"/>
    </row>
    <row r="2235">
      <c r="F2235" s="13"/>
      <c r="M2235" s="13"/>
    </row>
    <row r="2236">
      <c r="F2236" s="13"/>
      <c r="M2236" s="13"/>
    </row>
    <row r="2237">
      <c r="F2237" s="13"/>
      <c r="M2237" s="13"/>
    </row>
    <row r="2238">
      <c r="F2238" s="13"/>
      <c r="M2238" s="13"/>
    </row>
    <row r="2239">
      <c r="F2239" s="13"/>
      <c r="M2239" s="13"/>
    </row>
    <row r="2240">
      <c r="F2240" s="13"/>
      <c r="M2240" s="13"/>
    </row>
    <row r="2241">
      <c r="F2241" s="13"/>
      <c r="M2241" s="13"/>
    </row>
    <row r="2242">
      <c r="F2242" s="13"/>
      <c r="M2242" s="13"/>
    </row>
    <row r="2243">
      <c r="F2243" s="13"/>
      <c r="M2243" s="13"/>
    </row>
    <row r="2244">
      <c r="F2244" s="13"/>
      <c r="M2244" s="13"/>
    </row>
    <row r="2245">
      <c r="F2245" s="13"/>
      <c r="M2245" s="13"/>
    </row>
    <row r="2246">
      <c r="F2246" s="13"/>
      <c r="M2246" s="13"/>
    </row>
    <row r="2247">
      <c r="F2247" s="13"/>
      <c r="M2247" s="13"/>
    </row>
    <row r="2248">
      <c r="F2248" s="13"/>
      <c r="M2248" s="13"/>
    </row>
    <row r="2249">
      <c r="F2249" s="13"/>
      <c r="M2249" s="13"/>
    </row>
    <row r="2250">
      <c r="F2250" s="13"/>
      <c r="M2250" s="13"/>
    </row>
    <row r="2251">
      <c r="F2251" s="13"/>
      <c r="M2251" s="13"/>
    </row>
    <row r="2252">
      <c r="F2252" s="13"/>
      <c r="M2252" s="13"/>
    </row>
    <row r="2253">
      <c r="F2253" s="13"/>
      <c r="M2253" s="13"/>
    </row>
    <row r="2254">
      <c r="F2254" s="13"/>
      <c r="M2254" s="13"/>
    </row>
    <row r="2255">
      <c r="F2255" s="13"/>
      <c r="M2255" s="13"/>
    </row>
    <row r="2256">
      <c r="F2256" s="13"/>
      <c r="M2256" s="13"/>
    </row>
    <row r="2257">
      <c r="F2257" s="13"/>
      <c r="M2257" s="13"/>
    </row>
    <row r="2258">
      <c r="F2258" s="13"/>
      <c r="M2258" s="13"/>
    </row>
    <row r="2259">
      <c r="F2259" s="13"/>
      <c r="M2259" s="13"/>
    </row>
    <row r="2260">
      <c r="F2260" s="13"/>
      <c r="M2260" s="13"/>
    </row>
    <row r="2261">
      <c r="F2261" s="13"/>
      <c r="M2261" s="13"/>
    </row>
    <row r="2262">
      <c r="F2262" s="13"/>
      <c r="M2262" s="13"/>
    </row>
    <row r="2263">
      <c r="F2263" s="13"/>
      <c r="M2263" s="13"/>
    </row>
    <row r="2264">
      <c r="F2264" s="13"/>
      <c r="M2264" s="13"/>
    </row>
    <row r="2265">
      <c r="F2265" s="13"/>
      <c r="M2265" s="13"/>
    </row>
    <row r="2266">
      <c r="F2266" s="13"/>
      <c r="M2266" s="13"/>
    </row>
    <row r="2267">
      <c r="F2267" s="13"/>
      <c r="M2267" s="13"/>
    </row>
    <row r="2268">
      <c r="F2268" s="13"/>
      <c r="M2268" s="13"/>
    </row>
    <row r="2269">
      <c r="F2269" s="13"/>
      <c r="M2269" s="13"/>
    </row>
    <row r="2270">
      <c r="F2270" s="13"/>
      <c r="M2270" s="13"/>
    </row>
    <row r="2271">
      <c r="F2271" s="13"/>
      <c r="M2271" s="13"/>
    </row>
    <row r="2272">
      <c r="F2272" s="13"/>
      <c r="M2272" s="13"/>
    </row>
    <row r="2273">
      <c r="F2273" s="13"/>
      <c r="M2273" s="13"/>
    </row>
    <row r="2274">
      <c r="F2274" s="13"/>
      <c r="M2274" s="13"/>
    </row>
    <row r="2275">
      <c r="F2275" s="13"/>
      <c r="M2275" s="13"/>
    </row>
    <row r="2276">
      <c r="F2276" s="13"/>
      <c r="M2276" s="13"/>
    </row>
    <row r="2277">
      <c r="F2277" s="13"/>
      <c r="M2277" s="13"/>
    </row>
    <row r="2278">
      <c r="F2278" s="13"/>
      <c r="M2278" s="13"/>
    </row>
    <row r="2279">
      <c r="F2279" s="13"/>
      <c r="M2279" s="13"/>
    </row>
    <row r="2280">
      <c r="F2280" s="13"/>
      <c r="M2280" s="13"/>
    </row>
    <row r="2281">
      <c r="F2281" s="13"/>
      <c r="M2281" s="13"/>
    </row>
    <row r="2282">
      <c r="F2282" s="13"/>
      <c r="M2282" s="13"/>
    </row>
    <row r="2283">
      <c r="F2283" s="13"/>
      <c r="M2283" s="13"/>
    </row>
    <row r="2284">
      <c r="F2284" s="13"/>
      <c r="M2284" s="13"/>
    </row>
    <row r="2285">
      <c r="F2285" s="13"/>
      <c r="M2285" s="13"/>
    </row>
    <row r="2286">
      <c r="F2286" s="13"/>
      <c r="M2286" s="13"/>
    </row>
    <row r="2287">
      <c r="F2287" s="13"/>
      <c r="M2287" s="13"/>
    </row>
    <row r="2288">
      <c r="F2288" s="13"/>
      <c r="M2288" s="13"/>
    </row>
    <row r="2289">
      <c r="F2289" s="13"/>
      <c r="M2289" s="13"/>
    </row>
    <row r="2290">
      <c r="F2290" s="13"/>
      <c r="M2290" s="13"/>
    </row>
    <row r="2291">
      <c r="F2291" s="13"/>
      <c r="M2291" s="13"/>
    </row>
    <row r="2292">
      <c r="F2292" s="13"/>
      <c r="M2292" s="13"/>
    </row>
    <row r="2293">
      <c r="F2293" s="13"/>
      <c r="M2293" s="13"/>
    </row>
    <row r="2294">
      <c r="F2294" s="13"/>
      <c r="M2294" s="13"/>
    </row>
    <row r="2295">
      <c r="F2295" s="13"/>
      <c r="M2295" s="13"/>
    </row>
    <row r="2296">
      <c r="F2296" s="13"/>
      <c r="M2296" s="13"/>
    </row>
    <row r="2297">
      <c r="F2297" s="13"/>
      <c r="M2297" s="13"/>
    </row>
    <row r="2298">
      <c r="F2298" s="13"/>
      <c r="M2298" s="13"/>
    </row>
    <row r="2299">
      <c r="F2299" s="13"/>
      <c r="M2299" s="13"/>
    </row>
    <row r="2300">
      <c r="F2300" s="13"/>
      <c r="M2300" s="13"/>
    </row>
    <row r="2301">
      <c r="F2301" s="13"/>
      <c r="M2301" s="13"/>
    </row>
    <row r="2302">
      <c r="F2302" s="13"/>
      <c r="M2302" s="13"/>
    </row>
    <row r="2303">
      <c r="F2303" s="13"/>
      <c r="M2303" s="13"/>
    </row>
    <row r="2304">
      <c r="F2304" s="13"/>
      <c r="M2304" s="13"/>
    </row>
    <row r="2305">
      <c r="F2305" s="13"/>
      <c r="M2305" s="13"/>
    </row>
    <row r="2306">
      <c r="F2306" s="13"/>
      <c r="M2306" s="13"/>
    </row>
    <row r="2307">
      <c r="F2307" s="13"/>
      <c r="M2307" s="13"/>
    </row>
    <row r="2308">
      <c r="F2308" s="13"/>
      <c r="M2308" s="13"/>
    </row>
    <row r="2309">
      <c r="F2309" s="13"/>
      <c r="M2309" s="13"/>
    </row>
    <row r="2310">
      <c r="F2310" s="13"/>
      <c r="M2310" s="13"/>
    </row>
    <row r="2311">
      <c r="F2311" s="13"/>
      <c r="M2311" s="13"/>
    </row>
    <row r="2312">
      <c r="F2312" s="13"/>
      <c r="M2312" s="13"/>
    </row>
    <row r="2313">
      <c r="F2313" s="13"/>
      <c r="M2313" s="13"/>
    </row>
    <row r="2314">
      <c r="F2314" s="13"/>
      <c r="M2314" s="13"/>
    </row>
    <row r="2315">
      <c r="F2315" s="13"/>
      <c r="M2315" s="13"/>
    </row>
    <row r="2316">
      <c r="F2316" s="13"/>
      <c r="M2316" s="13"/>
    </row>
    <row r="2317">
      <c r="F2317" s="13"/>
      <c r="M2317" s="13"/>
    </row>
    <row r="2318">
      <c r="F2318" s="13"/>
      <c r="M2318" s="13"/>
    </row>
    <row r="2319">
      <c r="F2319" s="13"/>
      <c r="M2319" s="13"/>
    </row>
    <row r="2320">
      <c r="F2320" s="13"/>
      <c r="M2320" s="13"/>
    </row>
    <row r="2321">
      <c r="F2321" s="13"/>
      <c r="M2321" s="13"/>
    </row>
    <row r="2322">
      <c r="F2322" s="13"/>
      <c r="M2322" s="13"/>
    </row>
    <row r="2323">
      <c r="F2323" s="13"/>
      <c r="M2323" s="13"/>
    </row>
    <row r="2324">
      <c r="F2324" s="13"/>
      <c r="M2324" s="13"/>
    </row>
    <row r="2325">
      <c r="F2325" s="13"/>
      <c r="M2325" s="13"/>
    </row>
    <row r="2326">
      <c r="F2326" s="13"/>
      <c r="M2326" s="13"/>
    </row>
    <row r="2327">
      <c r="F2327" s="13"/>
      <c r="M2327" s="13"/>
    </row>
    <row r="2328">
      <c r="F2328" s="13"/>
      <c r="M2328" s="13"/>
    </row>
    <row r="2329">
      <c r="F2329" s="13"/>
      <c r="M2329" s="13"/>
    </row>
    <row r="2330">
      <c r="F2330" s="13"/>
      <c r="M2330" s="13"/>
    </row>
    <row r="2331">
      <c r="F2331" s="13"/>
      <c r="M2331" s="13"/>
    </row>
    <row r="2332">
      <c r="F2332" s="13"/>
      <c r="M2332" s="13"/>
    </row>
    <row r="2333">
      <c r="F2333" s="13"/>
      <c r="M2333" s="13"/>
    </row>
    <row r="2334">
      <c r="F2334" s="13"/>
      <c r="M2334" s="13"/>
    </row>
    <row r="2335">
      <c r="F2335" s="13"/>
      <c r="M2335" s="13"/>
    </row>
    <row r="2336">
      <c r="F2336" s="13"/>
      <c r="M2336" s="13"/>
    </row>
    <row r="2337">
      <c r="F2337" s="13"/>
      <c r="M2337" s="13"/>
    </row>
    <row r="2338">
      <c r="F2338" s="13"/>
      <c r="M2338" s="13"/>
    </row>
    <row r="2339">
      <c r="F2339" s="13"/>
      <c r="M2339" s="13"/>
    </row>
    <row r="2340">
      <c r="F2340" s="13"/>
      <c r="M2340" s="13"/>
    </row>
    <row r="2341">
      <c r="F2341" s="13"/>
      <c r="M2341" s="13"/>
    </row>
    <row r="2342">
      <c r="F2342" s="13"/>
      <c r="M2342" s="13"/>
    </row>
    <row r="2343">
      <c r="F2343" s="13"/>
      <c r="M2343" s="13"/>
    </row>
    <row r="2344">
      <c r="F2344" s="13"/>
      <c r="M2344" s="13"/>
    </row>
    <row r="2345">
      <c r="F2345" s="13"/>
      <c r="M2345" s="13"/>
    </row>
    <row r="2346">
      <c r="F2346" s="13"/>
      <c r="M2346" s="13"/>
    </row>
    <row r="2347">
      <c r="F2347" s="13"/>
      <c r="M2347" s="13"/>
    </row>
    <row r="2348">
      <c r="F2348" s="13"/>
      <c r="M2348" s="13"/>
    </row>
    <row r="2349">
      <c r="F2349" s="13"/>
      <c r="M2349" s="13"/>
    </row>
    <row r="2350">
      <c r="F2350" s="13"/>
      <c r="M2350" s="13"/>
    </row>
    <row r="2351">
      <c r="F2351" s="13"/>
      <c r="M2351" s="13"/>
    </row>
    <row r="2352">
      <c r="F2352" s="13"/>
      <c r="M2352" s="13"/>
    </row>
    <row r="2353">
      <c r="F2353" s="13"/>
      <c r="M2353" s="13"/>
    </row>
    <row r="2354">
      <c r="F2354" s="13"/>
      <c r="M2354" s="13"/>
    </row>
    <row r="2355">
      <c r="F2355" s="13"/>
      <c r="M2355" s="13"/>
    </row>
    <row r="2356">
      <c r="F2356" s="13"/>
      <c r="M2356" s="13"/>
    </row>
    <row r="2357">
      <c r="F2357" s="13"/>
      <c r="M2357" s="13"/>
    </row>
    <row r="2358">
      <c r="F2358" s="13"/>
      <c r="M2358" s="13"/>
    </row>
    <row r="2359">
      <c r="F2359" s="13"/>
      <c r="M2359" s="13"/>
    </row>
    <row r="2360">
      <c r="F2360" s="13"/>
      <c r="M2360" s="13"/>
    </row>
    <row r="2361">
      <c r="F2361" s="13"/>
      <c r="M2361" s="13"/>
    </row>
    <row r="2362">
      <c r="F2362" s="13"/>
      <c r="M2362" s="13"/>
    </row>
    <row r="2363">
      <c r="F2363" s="13"/>
      <c r="M2363" s="13"/>
    </row>
    <row r="2364">
      <c r="F2364" s="13"/>
      <c r="M2364" s="13"/>
    </row>
    <row r="2365">
      <c r="F2365" s="13"/>
      <c r="M2365" s="13"/>
    </row>
    <row r="2366">
      <c r="F2366" s="13"/>
      <c r="M2366" s="13"/>
    </row>
    <row r="2367">
      <c r="F2367" s="13"/>
      <c r="M2367" s="13"/>
    </row>
    <row r="2368">
      <c r="F2368" s="13"/>
      <c r="M2368" s="13"/>
    </row>
    <row r="2369">
      <c r="F2369" s="13"/>
      <c r="M2369" s="13"/>
    </row>
    <row r="2370">
      <c r="F2370" s="13"/>
      <c r="M2370" s="13"/>
    </row>
    <row r="2371">
      <c r="F2371" s="13"/>
      <c r="M2371" s="13"/>
    </row>
    <row r="2372">
      <c r="F2372" s="13"/>
      <c r="M2372" s="13"/>
    </row>
    <row r="2373">
      <c r="F2373" s="13"/>
      <c r="M2373" s="13"/>
    </row>
    <row r="2374">
      <c r="F2374" s="13"/>
      <c r="M2374" s="13"/>
    </row>
    <row r="2375">
      <c r="F2375" s="13"/>
      <c r="M2375" s="13"/>
    </row>
    <row r="2376">
      <c r="F2376" s="13"/>
      <c r="M2376" s="13"/>
    </row>
    <row r="2377">
      <c r="F2377" s="13"/>
      <c r="M2377" s="13"/>
    </row>
    <row r="2378">
      <c r="F2378" s="13"/>
      <c r="M2378" s="13"/>
    </row>
    <row r="2379">
      <c r="F2379" s="13"/>
      <c r="M2379" s="13"/>
    </row>
    <row r="2380">
      <c r="F2380" s="13"/>
      <c r="M2380" s="13"/>
    </row>
    <row r="2381">
      <c r="F2381" s="13"/>
      <c r="M2381" s="13"/>
    </row>
    <row r="2382">
      <c r="F2382" s="13"/>
      <c r="M2382" s="13"/>
    </row>
    <row r="2383">
      <c r="F2383" s="13"/>
      <c r="M2383" s="13"/>
    </row>
    <row r="2384">
      <c r="F2384" s="13"/>
      <c r="M2384" s="13"/>
    </row>
    <row r="2385">
      <c r="F2385" s="13"/>
      <c r="M2385" s="13"/>
    </row>
    <row r="2386">
      <c r="F2386" s="13"/>
      <c r="M2386" s="13"/>
    </row>
    <row r="2387">
      <c r="F2387" s="13"/>
      <c r="M2387" s="13"/>
    </row>
    <row r="2388">
      <c r="F2388" s="13"/>
      <c r="M2388" s="13"/>
    </row>
    <row r="2389">
      <c r="F2389" s="13"/>
      <c r="M2389" s="13"/>
    </row>
    <row r="2390">
      <c r="F2390" s="13"/>
      <c r="M2390" s="13"/>
    </row>
    <row r="2391">
      <c r="F2391" s="13"/>
      <c r="M2391" s="13"/>
    </row>
    <row r="2392">
      <c r="F2392" s="13"/>
      <c r="M2392" s="13"/>
    </row>
    <row r="2393">
      <c r="F2393" s="13"/>
      <c r="M2393" s="13"/>
    </row>
    <row r="2394">
      <c r="F2394" s="13"/>
      <c r="M2394" s="13"/>
    </row>
    <row r="2395">
      <c r="F2395" s="13"/>
      <c r="M2395" s="13"/>
    </row>
    <row r="2396">
      <c r="F2396" s="13"/>
      <c r="M2396" s="13"/>
    </row>
    <row r="2397">
      <c r="F2397" s="13"/>
      <c r="M2397" s="13"/>
    </row>
    <row r="2398">
      <c r="F2398" s="13"/>
      <c r="M2398" s="13"/>
    </row>
    <row r="2399">
      <c r="F2399" s="13"/>
      <c r="M2399" s="13"/>
    </row>
    <row r="2400">
      <c r="F2400" s="13"/>
      <c r="M2400" s="13"/>
    </row>
    <row r="2401">
      <c r="F2401" s="13"/>
      <c r="M2401" s="13"/>
    </row>
    <row r="2402">
      <c r="F2402" s="13"/>
      <c r="M2402" s="13"/>
    </row>
    <row r="2403">
      <c r="F2403" s="13"/>
      <c r="M2403" s="13"/>
    </row>
    <row r="2404">
      <c r="F2404" s="13"/>
      <c r="M2404" s="13"/>
    </row>
    <row r="2405">
      <c r="F2405" s="13"/>
      <c r="M2405" s="13"/>
    </row>
    <row r="2406">
      <c r="F2406" s="13"/>
      <c r="M2406" s="13"/>
    </row>
    <row r="2407">
      <c r="F2407" s="13"/>
      <c r="M2407" s="13"/>
    </row>
    <row r="2408">
      <c r="F2408" s="13"/>
      <c r="M2408" s="13"/>
    </row>
    <row r="2409">
      <c r="F2409" s="13"/>
      <c r="M2409" s="13"/>
    </row>
    <row r="2410">
      <c r="F2410" s="13"/>
      <c r="M2410" s="13"/>
    </row>
    <row r="2411">
      <c r="F2411" s="13"/>
      <c r="M2411" s="13"/>
    </row>
    <row r="2412">
      <c r="F2412" s="13"/>
      <c r="M2412" s="13"/>
    </row>
    <row r="2413">
      <c r="F2413" s="13"/>
      <c r="M2413" s="13"/>
    </row>
    <row r="2414">
      <c r="F2414" s="13"/>
      <c r="M2414" s="13"/>
    </row>
    <row r="2415">
      <c r="F2415" s="13"/>
      <c r="M2415" s="13"/>
    </row>
    <row r="2416">
      <c r="F2416" s="13"/>
      <c r="M2416" s="13"/>
    </row>
    <row r="2417">
      <c r="F2417" s="13"/>
      <c r="M2417" s="13"/>
    </row>
    <row r="2418">
      <c r="F2418" s="13"/>
      <c r="M2418" s="13"/>
    </row>
    <row r="2419">
      <c r="F2419" s="13"/>
      <c r="M2419" s="13"/>
    </row>
    <row r="2420">
      <c r="F2420" s="13"/>
      <c r="M2420" s="13"/>
    </row>
    <row r="2421">
      <c r="F2421" s="13"/>
      <c r="M2421" s="13"/>
    </row>
    <row r="2422">
      <c r="F2422" s="13"/>
      <c r="M2422" s="13"/>
    </row>
    <row r="2423">
      <c r="F2423" s="13"/>
      <c r="M2423" s="13"/>
    </row>
    <row r="2424">
      <c r="F2424" s="13"/>
      <c r="M2424" s="13"/>
    </row>
    <row r="2425">
      <c r="F2425" s="13"/>
      <c r="M2425" s="13"/>
    </row>
    <row r="2426">
      <c r="F2426" s="13"/>
      <c r="M2426" s="13"/>
    </row>
    <row r="2427">
      <c r="F2427" s="13"/>
      <c r="M2427" s="13"/>
    </row>
    <row r="2428">
      <c r="F2428" s="13"/>
      <c r="M2428" s="13"/>
    </row>
    <row r="2429">
      <c r="F2429" s="13"/>
      <c r="M2429" s="13"/>
    </row>
    <row r="2430">
      <c r="F2430" s="13"/>
      <c r="M2430" s="13"/>
    </row>
    <row r="2431">
      <c r="F2431" s="13"/>
      <c r="M2431" s="13"/>
    </row>
    <row r="2432">
      <c r="F2432" s="13"/>
      <c r="M2432" s="13"/>
    </row>
    <row r="2433">
      <c r="F2433" s="13"/>
      <c r="M2433" s="13"/>
    </row>
    <row r="2434">
      <c r="F2434" s="13"/>
      <c r="M2434" s="13"/>
    </row>
    <row r="2435">
      <c r="F2435" s="13"/>
      <c r="M2435" s="13"/>
    </row>
    <row r="2436">
      <c r="F2436" s="13"/>
      <c r="M2436" s="13"/>
    </row>
    <row r="2437">
      <c r="F2437" s="13"/>
      <c r="M2437" s="13"/>
    </row>
    <row r="2438">
      <c r="F2438" s="13"/>
      <c r="M2438" s="13"/>
    </row>
    <row r="2439">
      <c r="F2439" s="13"/>
      <c r="M2439" s="13"/>
    </row>
    <row r="2440">
      <c r="F2440" s="13"/>
      <c r="M2440" s="13"/>
    </row>
    <row r="2441">
      <c r="F2441" s="13"/>
      <c r="M2441" s="13"/>
    </row>
    <row r="2442">
      <c r="F2442" s="13"/>
      <c r="M2442" s="13"/>
    </row>
    <row r="2443">
      <c r="F2443" s="13"/>
      <c r="M2443" s="13"/>
    </row>
    <row r="2444">
      <c r="F2444" s="13"/>
      <c r="M2444" s="13"/>
    </row>
    <row r="2445">
      <c r="F2445" s="13"/>
      <c r="M2445" s="13"/>
    </row>
    <row r="2446">
      <c r="F2446" s="13"/>
      <c r="M2446" s="13"/>
    </row>
    <row r="2447">
      <c r="F2447" s="13"/>
      <c r="M2447" s="13"/>
    </row>
    <row r="2448">
      <c r="F2448" s="13"/>
      <c r="M2448" s="13"/>
    </row>
    <row r="2449">
      <c r="F2449" s="13"/>
      <c r="M2449" s="13"/>
    </row>
    <row r="2450">
      <c r="F2450" s="13"/>
      <c r="M2450" s="13"/>
    </row>
    <row r="2451">
      <c r="F2451" s="13"/>
      <c r="M2451" s="13"/>
    </row>
    <row r="2452">
      <c r="F2452" s="13"/>
      <c r="M2452" s="13"/>
    </row>
    <row r="2453">
      <c r="F2453" s="13"/>
      <c r="M2453" s="13"/>
    </row>
    <row r="2454">
      <c r="F2454" s="13"/>
      <c r="M2454" s="13"/>
    </row>
    <row r="2455">
      <c r="F2455" s="13"/>
      <c r="M2455" s="13"/>
    </row>
    <row r="2456">
      <c r="F2456" s="13"/>
      <c r="M2456" s="13"/>
    </row>
    <row r="2457">
      <c r="F2457" s="13"/>
      <c r="M2457" s="13"/>
    </row>
    <row r="2458">
      <c r="F2458" s="13"/>
      <c r="M2458" s="13"/>
    </row>
    <row r="2459">
      <c r="F2459" s="13"/>
      <c r="M2459" s="13"/>
    </row>
    <row r="2460">
      <c r="F2460" s="13"/>
      <c r="M2460" s="13"/>
    </row>
    <row r="2461">
      <c r="F2461" s="13"/>
      <c r="M2461" s="13"/>
    </row>
    <row r="2462">
      <c r="F2462" s="13"/>
      <c r="M2462" s="13"/>
    </row>
    <row r="2463">
      <c r="F2463" s="13"/>
      <c r="M2463" s="13"/>
    </row>
    <row r="2464">
      <c r="F2464" s="13"/>
      <c r="M2464" s="13"/>
    </row>
    <row r="2465">
      <c r="F2465" s="13"/>
      <c r="M2465" s="13"/>
    </row>
    <row r="2466">
      <c r="F2466" s="13"/>
      <c r="M2466" s="13"/>
    </row>
    <row r="2467">
      <c r="F2467" s="13"/>
      <c r="M2467" s="13"/>
    </row>
    <row r="2468">
      <c r="F2468" s="13"/>
      <c r="M2468" s="13"/>
    </row>
    <row r="2469">
      <c r="F2469" s="13"/>
      <c r="M2469" s="13"/>
    </row>
    <row r="2470">
      <c r="F2470" s="13"/>
      <c r="M2470" s="13"/>
    </row>
    <row r="2471">
      <c r="F2471" s="13"/>
      <c r="M2471" s="13"/>
    </row>
    <row r="2472">
      <c r="F2472" s="13"/>
      <c r="M2472" s="13"/>
    </row>
    <row r="2473">
      <c r="F2473" s="13"/>
      <c r="M2473" s="13"/>
    </row>
    <row r="2474">
      <c r="F2474" s="13"/>
      <c r="M2474" s="13"/>
    </row>
    <row r="2475">
      <c r="F2475" s="13"/>
      <c r="M2475" s="13"/>
    </row>
    <row r="2476">
      <c r="F2476" s="13"/>
      <c r="M2476" s="13"/>
    </row>
    <row r="2477">
      <c r="F2477" s="13"/>
      <c r="M2477" s="13"/>
    </row>
    <row r="2478">
      <c r="F2478" s="13"/>
      <c r="M2478" s="13"/>
    </row>
    <row r="2479">
      <c r="F2479" s="13"/>
      <c r="M2479" s="13"/>
    </row>
    <row r="2480">
      <c r="F2480" s="13"/>
      <c r="M2480" s="13"/>
    </row>
    <row r="2481">
      <c r="F2481" s="13"/>
      <c r="M2481" s="13"/>
    </row>
    <row r="2482">
      <c r="F2482" s="13"/>
      <c r="M2482" s="13"/>
    </row>
    <row r="2483">
      <c r="F2483" s="13"/>
      <c r="M2483" s="13"/>
    </row>
    <row r="2484">
      <c r="F2484" s="13"/>
      <c r="M2484" s="13"/>
    </row>
    <row r="2485">
      <c r="F2485" s="13"/>
      <c r="M2485" s="13"/>
    </row>
    <row r="2486">
      <c r="F2486" s="13"/>
      <c r="M2486" s="13"/>
    </row>
    <row r="2487">
      <c r="F2487" s="13"/>
      <c r="M2487" s="13"/>
    </row>
    <row r="2488">
      <c r="F2488" s="13"/>
      <c r="M2488" s="13"/>
    </row>
    <row r="2489">
      <c r="F2489" s="13"/>
      <c r="M2489" s="13"/>
    </row>
    <row r="2490">
      <c r="F2490" s="13"/>
      <c r="M2490" s="13"/>
    </row>
    <row r="2491">
      <c r="F2491" s="13"/>
      <c r="M2491" s="13"/>
    </row>
    <row r="2492">
      <c r="F2492" s="13"/>
      <c r="M2492" s="13"/>
    </row>
    <row r="2493">
      <c r="F2493" s="13"/>
      <c r="M2493" s="13"/>
    </row>
    <row r="2494">
      <c r="F2494" s="13"/>
      <c r="M2494" s="13"/>
    </row>
    <row r="2495">
      <c r="F2495" s="13"/>
      <c r="M2495" s="13"/>
    </row>
    <row r="2496">
      <c r="F2496" s="13"/>
      <c r="M2496" s="13"/>
    </row>
    <row r="2497">
      <c r="F2497" s="13"/>
      <c r="M2497" s="13"/>
    </row>
    <row r="2498">
      <c r="F2498" s="13"/>
      <c r="M2498" s="13"/>
    </row>
    <row r="2499">
      <c r="F2499" s="13"/>
      <c r="M2499" s="13"/>
    </row>
    <row r="2500">
      <c r="F2500" s="13"/>
      <c r="M2500" s="13"/>
    </row>
    <row r="2501">
      <c r="F2501" s="13"/>
      <c r="M2501" s="13"/>
    </row>
    <row r="2502">
      <c r="F2502" s="13"/>
      <c r="M2502" s="13"/>
    </row>
    <row r="2503">
      <c r="F2503" s="13"/>
      <c r="M2503" s="13"/>
    </row>
    <row r="2504">
      <c r="F2504" s="13"/>
      <c r="M2504" s="13"/>
    </row>
    <row r="2505">
      <c r="F2505" s="13"/>
      <c r="M2505" s="13"/>
    </row>
    <row r="2506">
      <c r="F2506" s="13"/>
      <c r="M2506" s="13"/>
    </row>
    <row r="2507">
      <c r="F2507" s="13"/>
      <c r="M2507" s="13"/>
    </row>
    <row r="2508">
      <c r="F2508" s="13"/>
      <c r="M2508" s="13"/>
    </row>
    <row r="2509">
      <c r="F2509" s="13"/>
      <c r="M2509" s="13"/>
    </row>
    <row r="2510">
      <c r="F2510" s="13"/>
      <c r="M2510" s="13"/>
    </row>
    <row r="2511">
      <c r="F2511" s="13"/>
      <c r="M2511" s="13"/>
    </row>
    <row r="2512">
      <c r="F2512" s="13"/>
      <c r="M2512" s="13"/>
    </row>
    <row r="2513">
      <c r="F2513" s="13"/>
      <c r="M2513" s="13"/>
    </row>
    <row r="2514">
      <c r="F2514" s="13"/>
      <c r="M2514" s="13"/>
    </row>
    <row r="2515">
      <c r="F2515" s="13"/>
      <c r="M2515" s="13"/>
    </row>
    <row r="2516">
      <c r="F2516" s="13"/>
      <c r="M2516" s="13"/>
    </row>
    <row r="2517">
      <c r="F2517" s="13"/>
      <c r="M2517" s="13"/>
    </row>
    <row r="2518">
      <c r="F2518" s="13"/>
      <c r="M2518" s="13"/>
    </row>
    <row r="2519">
      <c r="F2519" s="13"/>
      <c r="M2519" s="13"/>
    </row>
    <row r="2520">
      <c r="F2520" s="13"/>
      <c r="M2520" s="13"/>
    </row>
    <row r="2521">
      <c r="F2521" s="13"/>
      <c r="M2521" s="13"/>
    </row>
    <row r="2522">
      <c r="F2522" s="13"/>
      <c r="M2522" s="13"/>
    </row>
    <row r="2523">
      <c r="F2523" s="13"/>
      <c r="M2523" s="13"/>
    </row>
    <row r="2524">
      <c r="F2524" s="13"/>
      <c r="M2524" s="13"/>
    </row>
    <row r="2525">
      <c r="F2525" s="13"/>
      <c r="M2525" s="13"/>
    </row>
    <row r="2526">
      <c r="F2526" s="13"/>
      <c r="M2526" s="13"/>
    </row>
    <row r="2527">
      <c r="F2527" s="13"/>
      <c r="M2527" s="13"/>
    </row>
    <row r="2528">
      <c r="F2528" s="13"/>
      <c r="M2528" s="13"/>
    </row>
    <row r="2529">
      <c r="F2529" s="13"/>
      <c r="M2529" s="13"/>
    </row>
    <row r="2530">
      <c r="F2530" s="13"/>
      <c r="M2530" s="13"/>
    </row>
    <row r="2531">
      <c r="F2531" s="13"/>
      <c r="M2531" s="13"/>
    </row>
    <row r="2532">
      <c r="F2532" s="13"/>
      <c r="M2532" s="13"/>
    </row>
    <row r="2533">
      <c r="F2533" s="13"/>
      <c r="M2533" s="13"/>
    </row>
    <row r="2534">
      <c r="F2534" s="13"/>
      <c r="M2534" s="13"/>
    </row>
    <row r="2535">
      <c r="F2535" s="13"/>
      <c r="M2535" s="13"/>
    </row>
    <row r="2536">
      <c r="F2536" s="13"/>
      <c r="M2536" s="13"/>
    </row>
    <row r="2537">
      <c r="F2537" s="13"/>
      <c r="M2537" s="13"/>
    </row>
    <row r="2538">
      <c r="F2538" s="13"/>
      <c r="M2538" s="13"/>
    </row>
    <row r="2539">
      <c r="F2539" s="13"/>
      <c r="M2539" s="13"/>
    </row>
    <row r="2540">
      <c r="F2540" s="13"/>
      <c r="M2540" s="13"/>
    </row>
    <row r="2541">
      <c r="F2541" s="13"/>
      <c r="M2541" s="13"/>
    </row>
    <row r="2542">
      <c r="F2542" s="13"/>
      <c r="M2542" s="13"/>
    </row>
    <row r="2543">
      <c r="F2543" s="13"/>
      <c r="M2543" s="13"/>
    </row>
    <row r="2544">
      <c r="F2544" s="13"/>
      <c r="M2544" s="13"/>
    </row>
    <row r="2545">
      <c r="F2545" s="13"/>
      <c r="M2545" s="13"/>
    </row>
    <row r="2546">
      <c r="F2546" s="13"/>
      <c r="M2546" s="13"/>
    </row>
    <row r="2547">
      <c r="F2547" s="13"/>
      <c r="M2547" s="13"/>
    </row>
    <row r="2548">
      <c r="F2548" s="13"/>
      <c r="M2548" s="13"/>
    </row>
    <row r="2549">
      <c r="F2549" s="13"/>
      <c r="M2549" s="13"/>
    </row>
    <row r="2550">
      <c r="F2550" s="13"/>
      <c r="M2550" s="13"/>
    </row>
    <row r="2551">
      <c r="F2551" s="13"/>
      <c r="M2551" s="13"/>
    </row>
    <row r="2552">
      <c r="F2552" s="13"/>
      <c r="M2552" s="13"/>
    </row>
    <row r="2553">
      <c r="F2553" s="13"/>
      <c r="M2553" s="13"/>
    </row>
    <row r="2554">
      <c r="F2554" s="13"/>
      <c r="M2554" s="13"/>
    </row>
    <row r="2555">
      <c r="F2555" s="13"/>
      <c r="M2555" s="13"/>
    </row>
    <row r="2556">
      <c r="F2556" s="13"/>
      <c r="M2556" s="13"/>
    </row>
    <row r="2557">
      <c r="F2557" s="13"/>
      <c r="M2557" s="13"/>
    </row>
    <row r="2558">
      <c r="F2558" s="13"/>
      <c r="M2558" s="13"/>
    </row>
    <row r="2559">
      <c r="F2559" s="13"/>
      <c r="M2559" s="13"/>
    </row>
    <row r="2560">
      <c r="F2560" s="13"/>
      <c r="M2560" s="13"/>
    </row>
    <row r="2561">
      <c r="F2561" s="13"/>
      <c r="M2561" s="13"/>
    </row>
    <row r="2562">
      <c r="F2562" s="13"/>
      <c r="M2562" s="13"/>
    </row>
    <row r="2563">
      <c r="F2563" s="13"/>
      <c r="M2563" s="13"/>
    </row>
    <row r="2564">
      <c r="F2564" s="13"/>
      <c r="M2564" s="13"/>
    </row>
    <row r="2565">
      <c r="F2565" s="13"/>
      <c r="M2565" s="13"/>
    </row>
    <row r="2566">
      <c r="F2566" s="13"/>
      <c r="M2566" s="13"/>
    </row>
    <row r="2567">
      <c r="F2567" s="13"/>
      <c r="M2567" s="13"/>
    </row>
    <row r="2568">
      <c r="F2568" s="13"/>
      <c r="M2568" s="13"/>
    </row>
    <row r="2569">
      <c r="F2569" s="13"/>
      <c r="M2569" s="13"/>
    </row>
    <row r="2570">
      <c r="F2570" s="13"/>
      <c r="M2570" s="13"/>
    </row>
    <row r="2571">
      <c r="F2571" s="13"/>
      <c r="M2571" s="13"/>
    </row>
    <row r="2572">
      <c r="F2572" s="13"/>
      <c r="M2572" s="13"/>
    </row>
    <row r="2573">
      <c r="F2573" s="13"/>
      <c r="M2573" s="13"/>
    </row>
    <row r="2574">
      <c r="F2574" s="13"/>
      <c r="M2574" s="13"/>
    </row>
    <row r="2575">
      <c r="F2575" s="13"/>
      <c r="M2575" s="13"/>
    </row>
    <row r="2576">
      <c r="F2576" s="13"/>
      <c r="M2576" s="13"/>
    </row>
    <row r="2577">
      <c r="F2577" s="13"/>
      <c r="M2577" s="13"/>
    </row>
    <row r="2578">
      <c r="F2578" s="13"/>
      <c r="M2578" s="13"/>
    </row>
    <row r="2579">
      <c r="F2579" s="13"/>
      <c r="M2579" s="13"/>
    </row>
    <row r="2580">
      <c r="F2580" s="13"/>
      <c r="M2580" s="13"/>
    </row>
    <row r="2581">
      <c r="F2581" s="13"/>
      <c r="M2581" s="13"/>
    </row>
    <row r="2582">
      <c r="F2582" s="13"/>
      <c r="M2582" s="13"/>
    </row>
    <row r="2583">
      <c r="F2583" s="13"/>
      <c r="M2583" s="13"/>
    </row>
    <row r="2584">
      <c r="F2584" s="13"/>
      <c r="M2584" s="13"/>
    </row>
    <row r="2585">
      <c r="F2585" s="13"/>
      <c r="M2585" s="13"/>
    </row>
    <row r="2586">
      <c r="F2586" s="13"/>
      <c r="M2586" s="13"/>
    </row>
    <row r="2587">
      <c r="F2587" s="13"/>
      <c r="M2587" s="13"/>
    </row>
    <row r="2588">
      <c r="F2588" s="13"/>
      <c r="M2588" s="13"/>
    </row>
    <row r="2589">
      <c r="F2589" s="13"/>
      <c r="M2589" s="13"/>
    </row>
    <row r="2590">
      <c r="F2590" s="13"/>
      <c r="M2590" s="13"/>
    </row>
    <row r="2591">
      <c r="F2591" s="13"/>
      <c r="M2591" s="13"/>
    </row>
    <row r="2592">
      <c r="F2592" s="13"/>
      <c r="M2592" s="13"/>
    </row>
    <row r="2593">
      <c r="F2593" s="13"/>
      <c r="M2593" s="13"/>
    </row>
    <row r="2594">
      <c r="F2594" s="13"/>
      <c r="M2594" s="13"/>
    </row>
    <row r="2595">
      <c r="F2595" s="13"/>
      <c r="M2595" s="13"/>
    </row>
    <row r="2596">
      <c r="F2596" s="13"/>
      <c r="M2596" s="13"/>
    </row>
    <row r="2597">
      <c r="F2597" s="13"/>
      <c r="M2597" s="13"/>
    </row>
    <row r="2598">
      <c r="F2598" s="13"/>
      <c r="M2598" s="13"/>
    </row>
    <row r="2599">
      <c r="F2599" s="13"/>
      <c r="M2599" s="13"/>
    </row>
    <row r="2600">
      <c r="F2600" s="13"/>
      <c r="M2600" s="13"/>
    </row>
    <row r="2601">
      <c r="F2601" s="13"/>
      <c r="M2601" s="13"/>
    </row>
    <row r="2602">
      <c r="F2602" s="13"/>
      <c r="M2602" s="13"/>
    </row>
    <row r="2603">
      <c r="F2603" s="13"/>
      <c r="M2603" s="13"/>
    </row>
    <row r="2604">
      <c r="F2604" s="13"/>
      <c r="M2604" s="13"/>
    </row>
    <row r="2605">
      <c r="F2605" s="13"/>
      <c r="M2605" s="13"/>
    </row>
    <row r="2606">
      <c r="F2606" s="13"/>
      <c r="M2606" s="13"/>
    </row>
    <row r="2607">
      <c r="F2607" s="13"/>
      <c r="M2607" s="13"/>
    </row>
    <row r="2608">
      <c r="F2608" s="13"/>
      <c r="M2608" s="13"/>
    </row>
    <row r="2609">
      <c r="F2609" s="13"/>
      <c r="M2609" s="13"/>
    </row>
    <row r="2610">
      <c r="F2610" s="13"/>
      <c r="M2610" s="13"/>
    </row>
    <row r="2611">
      <c r="F2611" s="13"/>
      <c r="M2611" s="13"/>
    </row>
    <row r="2612">
      <c r="F2612" s="13"/>
      <c r="M2612" s="13"/>
    </row>
    <row r="2613">
      <c r="F2613" s="13"/>
      <c r="M2613" s="13"/>
    </row>
    <row r="2614">
      <c r="F2614" s="13"/>
      <c r="M2614" s="13"/>
    </row>
    <row r="2615">
      <c r="F2615" s="13"/>
      <c r="M2615" s="13"/>
    </row>
    <row r="2616">
      <c r="F2616" s="13"/>
      <c r="M2616" s="13"/>
    </row>
    <row r="2617">
      <c r="F2617" s="13"/>
      <c r="M2617" s="13"/>
    </row>
    <row r="2618">
      <c r="F2618" s="13"/>
      <c r="M2618" s="13"/>
    </row>
    <row r="2619">
      <c r="F2619" s="13"/>
      <c r="M2619" s="13"/>
    </row>
    <row r="2620">
      <c r="F2620" s="13"/>
      <c r="M2620" s="13"/>
    </row>
    <row r="2621">
      <c r="F2621" s="13"/>
      <c r="M2621" s="13"/>
    </row>
    <row r="2622">
      <c r="F2622" s="13"/>
      <c r="M2622" s="13"/>
    </row>
    <row r="2623">
      <c r="F2623" s="13"/>
      <c r="M2623" s="13"/>
    </row>
    <row r="2624">
      <c r="F2624" s="13"/>
      <c r="M2624" s="13"/>
    </row>
    <row r="2625">
      <c r="F2625" s="13"/>
      <c r="M2625" s="13"/>
    </row>
    <row r="2626">
      <c r="F2626" s="13"/>
      <c r="M2626" s="13"/>
    </row>
    <row r="2627">
      <c r="F2627" s="13"/>
      <c r="M2627" s="13"/>
    </row>
    <row r="2628">
      <c r="F2628" s="13"/>
      <c r="M2628" s="13"/>
    </row>
    <row r="2629">
      <c r="F2629" s="13"/>
      <c r="M2629" s="13"/>
    </row>
    <row r="2630">
      <c r="F2630" s="13"/>
      <c r="M2630" s="13"/>
    </row>
    <row r="2631">
      <c r="F2631" s="13"/>
      <c r="M2631" s="13"/>
    </row>
    <row r="2632">
      <c r="F2632" s="13"/>
      <c r="M2632" s="13"/>
    </row>
    <row r="2633">
      <c r="F2633" s="13"/>
      <c r="M2633" s="13"/>
    </row>
    <row r="2634">
      <c r="F2634" s="13"/>
      <c r="M2634" s="13"/>
    </row>
    <row r="2635">
      <c r="F2635" s="13"/>
      <c r="M2635" s="13"/>
    </row>
    <row r="2636">
      <c r="F2636" s="13"/>
      <c r="M2636" s="13"/>
    </row>
    <row r="2637">
      <c r="F2637" s="13"/>
      <c r="M2637" s="13"/>
    </row>
    <row r="2638">
      <c r="F2638" s="13"/>
      <c r="M2638" s="13"/>
    </row>
    <row r="2639">
      <c r="F2639" s="13"/>
      <c r="M2639" s="13"/>
    </row>
    <row r="2640">
      <c r="F2640" s="13"/>
      <c r="M2640" s="13"/>
    </row>
    <row r="2641">
      <c r="F2641" s="13"/>
      <c r="M2641" s="13"/>
    </row>
    <row r="2642">
      <c r="F2642" s="13"/>
      <c r="M2642" s="13"/>
    </row>
    <row r="2643">
      <c r="F2643" s="13"/>
      <c r="M2643" s="13"/>
    </row>
    <row r="2644">
      <c r="F2644" s="13"/>
      <c r="M2644" s="13"/>
    </row>
    <row r="2645">
      <c r="F2645" s="13"/>
      <c r="M2645" s="13"/>
    </row>
    <row r="2646">
      <c r="F2646" s="13"/>
      <c r="M2646" s="13"/>
    </row>
    <row r="2647">
      <c r="F2647" s="13"/>
      <c r="M2647" s="13"/>
    </row>
    <row r="2648">
      <c r="F2648" s="13"/>
      <c r="M2648" s="13"/>
    </row>
    <row r="2649">
      <c r="F2649" s="13"/>
      <c r="M2649" s="13"/>
    </row>
    <row r="2650">
      <c r="F2650" s="13"/>
      <c r="M2650" s="13"/>
    </row>
    <row r="2651">
      <c r="F2651" s="13"/>
      <c r="M2651" s="13"/>
    </row>
    <row r="2652">
      <c r="F2652" s="13"/>
      <c r="M2652" s="13"/>
    </row>
    <row r="2653">
      <c r="F2653" s="13"/>
      <c r="M2653" s="13"/>
    </row>
    <row r="2654">
      <c r="F2654" s="13"/>
      <c r="M2654" s="13"/>
    </row>
    <row r="2655">
      <c r="F2655" s="13"/>
      <c r="M2655" s="13"/>
    </row>
    <row r="2656">
      <c r="F2656" s="13"/>
      <c r="M2656" s="13"/>
    </row>
    <row r="2657">
      <c r="F2657" s="13"/>
      <c r="M2657" s="13"/>
    </row>
    <row r="2658">
      <c r="F2658" s="13"/>
      <c r="M2658" s="13"/>
    </row>
    <row r="2659">
      <c r="F2659" s="13"/>
      <c r="M2659" s="13"/>
    </row>
    <row r="2660">
      <c r="F2660" s="13"/>
      <c r="M2660" s="13"/>
    </row>
    <row r="2661">
      <c r="F2661" s="13"/>
      <c r="M2661" s="13"/>
    </row>
    <row r="2662">
      <c r="F2662" s="13"/>
      <c r="M2662" s="13"/>
    </row>
    <row r="2663">
      <c r="F2663" s="13"/>
      <c r="M2663" s="13"/>
    </row>
    <row r="2664">
      <c r="F2664" s="13"/>
      <c r="M2664" s="13"/>
    </row>
    <row r="2665">
      <c r="F2665" s="13"/>
      <c r="M2665" s="13"/>
    </row>
    <row r="2666">
      <c r="F2666" s="13"/>
      <c r="M2666" s="13"/>
    </row>
    <row r="2667">
      <c r="F2667" s="13"/>
      <c r="M2667" s="13"/>
    </row>
    <row r="2668">
      <c r="F2668" s="13"/>
      <c r="M2668" s="13"/>
    </row>
    <row r="2669">
      <c r="F2669" s="13"/>
      <c r="M2669" s="13"/>
    </row>
    <row r="2670">
      <c r="F2670" s="13"/>
      <c r="M2670" s="13"/>
    </row>
    <row r="2671">
      <c r="F2671" s="13"/>
      <c r="M2671" s="13"/>
    </row>
    <row r="2672">
      <c r="F2672" s="13"/>
      <c r="M2672" s="13"/>
    </row>
    <row r="2673">
      <c r="F2673" s="13"/>
      <c r="M2673" s="13"/>
    </row>
    <row r="2674">
      <c r="F2674" s="13"/>
      <c r="M2674" s="13"/>
    </row>
    <row r="2675">
      <c r="F2675" s="13"/>
      <c r="M2675" s="13"/>
    </row>
    <row r="2676">
      <c r="F2676" s="13"/>
      <c r="M2676" s="13"/>
    </row>
    <row r="2677">
      <c r="F2677" s="13"/>
      <c r="M2677" s="13"/>
    </row>
    <row r="2678">
      <c r="F2678" s="13"/>
      <c r="M2678" s="13"/>
    </row>
    <row r="2679">
      <c r="F2679" s="13"/>
      <c r="M2679" s="13"/>
    </row>
    <row r="2680">
      <c r="F2680" s="13"/>
      <c r="M2680" s="13"/>
    </row>
    <row r="2681">
      <c r="F2681" s="13"/>
      <c r="M2681" s="13"/>
    </row>
    <row r="2682">
      <c r="F2682" s="13"/>
      <c r="M2682" s="13"/>
    </row>
    <row r="2683">
      <c r="F2683" s="13"/>
      <c r="M2683" s="13"/>
    </row>
    <row r="2684">
      <c r="F2684" s="13"/>
      <c r="M2684" s="13"/>
    </row>
    <row r="2685">
      <c r="F2685" s="13"/>
      <c r="M2685" s="13"/>
    </row>
    <row r="2686">
      <c r="F2686" s="13"/>
      <c r="M2686" s="13"/>
    </row>
    <row r="2687">
      <c r="F2687" s="13"/>
      <c r="M2687" s="13"/>
    </row>
    <row r="2688">
      <c r="F2688" s="13"/>
      <c r="M2688" s="13"/>
    </row>
    <row r="2689">
      <c r="F2689" s="13"/>
      <c r="M2689" s="13"/>
    </row>
    <row r="2690">
      <c r="F2690" s="13"/>
      <c r="M2690" s="13"/>
    </row>
    <row r="2691">
      <c r="F2691" s="13"/>
      <c r="M2691" s="13"/>
    </row>
    <row r="2692">
      <c r="F2692" s="13"/>
      <c r="M2692" s="13"/>
    </row>
    <row r="2693">
      <c r="F2693" s="13"/>
      <c r="M2693" s="13"/>
    </row>
    <row r="2694">
      <c r="F2694" s="13"/>
      <c r="M2694" s="13"/>
    </row>
    <row r="2695">
      <c r="F2695" s="13"/>
      <c r="M2695" s="13"/>
    </row>
    <row r="2696">
      <c r="F2696" s="13"/>
      <c r="M2696" s="13"/>
    </row>
    <row r="2697">
      <c r="F2697" s="13"/>
      <c r="M2697" s="13"/>
    </row>
    <row r="2698">
      <c r="F2698" s="13"/>
      <c r="M2698" s="13"/>
    </row>
    <row r="2699">
      <c r="F2699" s="13"/>
      <c r="M2699" s="13"/>
    </row>
    <row r="2700">
      <c r="F2700" s="13"/>
      <c r="M2700" s="13"/>
    </row>
    <row r="2701">
      <c r="F2701" s="13"/>
      <c r="M2701" s="13"/>
    </row>
    <row r="2702">
      <c r="F2702" s="13"/>
      <c r="M2702" s="13"/>
    </row>
    <row r="2703">
      <c r="F2703" s="13"/>
      <c r="M2703" s="13"/>
    </row>
    <row r="2704">
      <c r="F2704" s="13"/>
      <c r="M2704" s="13"/>
    </row>
    <row r="2705">
      <c r="F2705" s="13"/>
      <c r="M2705" s="13"/>
    </row>
    <row r="2706">
      <c r="F2706" s="13"/>
      <c r="M2706" s="13"/>
    </row>
    <row r="2707">
      <c r="F2707" s="13"/>
      <c r="M2707" s="13"/>
    </row>
    <row r="2708">
      <c r="F2708" s="13"/>
      <c r="M2708" s="13"/>
    </row>
    <row r="2709">
      <c r="F2709" s="13"/>
      <c r="M2709" s="13"/>
    </row>
    <row r="2710">
      <c r="F2710" s="13"/>
      <c r="M2710" s="13"/>
    </row>
    <row r="2711">
      <c r="F2711" s="13"/>
      <c r="M2711" s="13"/>
    </row>
    <row r="2712">
      <c r="F2712" s="13"/>
      <c r="M2712" s="13"/>
    </row>
    <row r="2713">
      <c r="F2713" s="13"/>
      <c r="M2713" s="13"/>
    </row>
    <row r="2714">
      <c r="F2714" s="13"/>
      <c r="M2714" s="13"/>
    </row>
    <row r="2715">
      <c r="F2715" s="13"/>
      <c r="M2715" s="13"/>
    </row>
    <row r="2716">
      <c r="F2716" s="13"/>
      <c r="M2716" s="13"/>
    </row>
    <row r="2717">
      <c r="F2717" s="13"/>
      <c r="M2717" s="13"/>
    </row>
    <row r="2718">
      <c r="F2718" s="13"/>
      <c r="M2718" s="13"/>
    </row>
    <row r="2719">
      <c r="F2719" s="13"/>
      <c r="M2719" s="13"/>
    </row>
    <row r="2720">
      <c r="F2720" s="13"/>
      <c r="M2720" s="13"/>
    </row>
    <row r="2721">
      <c r="F2721" s="13"/>
      <c r="M2721" s="13"/>
    </row>
    <row r="2722">
      <c r="F2722" s="13"/>
      <c r="M2722" s="13"/>
    </row>
    <row r="2723">
      <c r="F2723" s="13"/>
      <c r="M2723" s="13"/>
    </row>
    <row r="2724">
      <c r="F2724" s="13"/>
      <c r="M2724" s="13"/>
    </row>
    <row r="2725">
      <c r="F2725" s="13"/>
      <c r="M2725" s="13"/>
    </row>
    <row r="2726">
      <c r="F2726" s="13"/>
      <c r="M2726" s="13"/>
    </row>
    <row r="2727">
      <c r="F2727" s="13"/>
      <c r="M2727" s="13"/>
    </row>
    <row r="2728">
      <c r="F2728" s="13"/>
      <c r="M2728" s="13"/>
    </row>
    <row r="2729">
      <c r="F2729" s="13"/>
      <c r="M2729" s="13"/>
    </row>
    <row r="2730">
      <c r="F2730" s="13"/>
      <c r="M2730" s="13"/>
    </row>
    <row r="2731">
      <c r="F2731" s="13"/>
      <c r="M2731" s="13"/>
    </row>
    <row r="2732">
      <c r="F2732" s="13"/>
      <c r="M2732" s="13"/>
    </row>
    <row r="2733">
      <c r="F2733" s="13"/>
      <c r="M2733" s="13"/>
    </row>
    <row r="2734">
      <c r="F2734" s="13"/>
      <c r="M2734" s="13"/>
    </row>
    <row r="2735">
      <c r="F2735" s="13"/>
      <c r="M2735" s="13"/>
    </row>
    <row r="2736">
      <c r="F2736" s="13"/>
      <c r="M2736" s="13"/>
    </row>
    <row r="2737">
      <c r="F2737" s="13"/>
      <c r="M2737" s="13"/>
    </row>
    <row r="2738">
      <c r="F2738" s="13"/>
      <c r="M2738" s="13"/>
    </row>
    <row r="2739">
      <c r="F2739" s="13"/>
      <c r="M2739" s="13"/>
    </row>
    <row r="2740">
      <c r="F2740" s="13"/>
      <c r="M2740" s="13"/>
    </row>
    <row r="2741">
      <c r="F2741" s="13"/>
      <c r="M2741" s="13"/>
    </row>
    <row r="2742">
      <c r="F2742" s="13"/>
      <c r="M2742" s="13"/>
    </row>
    <row r="2743">
      <c r="F2743" s="13"/>
      <c r="M2743" s="13"/>
    </row>
    <row r="2744">
      <c r="F2744" s="13"/>
      <c r="M2744" s="13"/>
    </row>
    <row r="2745">
      <c r="F2745" s="13"/>
      <c r="M2745" s="13"/>
    </row>
    <row r="2746">
      <c r="F2746" s="13"/>
      <c r="M2746" s="13"/>
    </row>
    <row r="2747">
      <c r="F2747" s="13"/>
      <c r="M2747" s="13"/>
    </row>
    <row r="2748">
      <c r="F2748" s="13"/>
      <c r="M2748" s="13"/>
    </row>
    <row r="2749">
      <c r="F2749" s="13"/>
      <c r="M2749" s="13"/>
    </row>
    <row r="2750">
      <c r="F2750" s="13"/>
      <c r="M2750" s="13"/>
    </row>
    <row r="2751">
      <c r="F2751" s="13"/>
      <c r="M2751" s="13"/>
    </row>
    <row r="2752">
      <c r="F2752" s="13"/>
      <c r="M2752" s="13"/>
    </row>
    <row r="2753">
      <c r="F2753" s="13"/>
      <c r="M2753" s="13"/>
    </row>
    <row r="2754">
      <c r="F2754" s="13"/>
      <c r="M2754" s="13"/>
    </row>
    <row r="2755">
      <c r="F2755" s="13"/>
      <c r="M2755" s="13"/>
    </row>
    <row r="2756">
      <c r="F2756" s="13"/>
      <c r="M2756" s="13"/>
    </row>
    <row r="2757">
      <c r="F2757" s="13"/>
      <c r="M2757" s="13"/>
    </row>
    <row r="2758">
      <c r="F2758" s="13"/>
      <c r="M2758" s="13"/>
    </row>
    <row r="2759">
      <c r="F2759" s="13"/>
      <c r="M2759" s="13"/>
    </row>
    <row r="2760">
      <c r="F2760" s="13"/>
      <c r="M2760" s="13"/>
    </row>
    <row r="2761">
      <c r="F2761" s="13"/>
      <c r="M2761" s="13"/>
    </row>
    <row r="2762">
      <c r="F2762" s="13"/>
      <c r="M2762" s="13"/>
    </row>
    <row r="2763">
      <c r="F2763" s="13"/>
      <c r="M2763" s="13"/>
    </row>
    <row r="2764">
      <c r="F2764" s="13"/>
      <c r="M2764" s="13"/>
    </row>
    <row r="2765">
      <c r="F2765" s="13"/>
      <c r="M2765" s="13"/>
    </row>
    <row r="2766">
      <c r="F2766" s="13"/>
      <c r="M2766" s="13"/>
    </row>
    <row r="2767">
      <c r="F2767" s="13"/>
      <c r="M2767" s="13"/>
    </row>
    <row r="2768">
      <c r="F2768" s="13"/>
      <c r="M2768" s="13"/>
    </row>
    <row r="2769">
      <c r="F2769" s="13"/>
      <c r="M2769" s="13"/>
    </row>
    <row r="2770">
      <c r="F2770" s="13"/>
      <c r="M2770" s="13"/>
    </row>
    <row r="2771">
      <c r="F2771" s="13"/>
      <c r="M2771" s="13"/>
    </row>
    <row r="2772">
      <c r="F2772" s="13"/>
      <c r="M2772" s="13"/>
    </row>
    <row r="2773">
      <c r="F2773" s="13"/>
      <c r="M2773" s="13"/>
    </row>
    <row r="2774">
      <c r="F2774" s="13"/>
      <c r="M2774" s="13"/>
    </row>
    <row r="2775">
      <c r="F2775" s="13"/>
      <c r="M2775" s="13"/>
    </row>
    <row r="2776">
      <c r="F2776" s="13"/>
      <c r="M2776" s="13"/>
    </row>
    <row r="2777">
      <c r="F2777" s="13"/>
      <c r="M2777" s="13"/>
    </row>
    <row r="2778">
      <c r="F2778" s="13"/>
      <c r="M2778" s="13"/>
    </row>
    <row r="2779">
      <c r="F2779" s="13"/>
      <c r="M2779" s="13"/>
    </row>
    <row r="2780">
      <c r="F2780" s="13"/>
      <c r="M2780" s="13"/>
    </row>
    <row r="2781">
      <c r="F2781" s="13"/>
      <c r="M2781" s="13"/>
    </row>
    <row r="2782">
      <c r="F2782" s="13"/>
      <c r="M2782" s="13"/>
    </row>
    <row r="2783">
      <c r="F2783" s="13"/>
      <c r="M2783" s="13"/>
    </row>
    <row r="2784">
      <c r="F2784" s="13"/>
      <c r="M2784" s="13"/>
    </row>
    <row r="2785">
      <c r="F2785" s="13"/>
      <c r="M2785" s="13"/>
    </row>
    <row r="2786">
      <c r="F2786" s="13"/>
      <c r="M2786" s="13"/>
    </row>
    <row r="2787">
      <c r="F2787" s="13"/>
      <c r="M2787" s="13"/>
    </row>
    <row r="2788">
      <c r="F2788" s="13"/>
      <c r="M2788" s="13"/>
    </row>
    <row r="2789">
      <c r="F2789" s="13"/>
      <c r="M2789" s="13"/>
    </row>
    <row r="2790">
      <c r="F2790" s="13"/>
      <c r="M2790" s="13"/>
    </row>
    <row r="2791">
      <c r="F2791" s="13"/>
      <c r="M2791" s="13"/>
    </row>
    <row r="2792">
      <c r="F2792" s="13"/>
      <c r="M2792" s="13"/>
    </row>
    <row r="2793">
      <c r="F2793" s="13"/>
      <c r="M2793" s="13"/>
    </row>
    <row r="2794">
      <c r="F2794" s="13"/>
      <c r="M2794" s="13"/>
    </row>
    <row r="2795">
      <c r="F2795" s="13"/>
      <c r="M2795" s="13"/>
    </row>
    <row r="2796">
      <c r="F2796" s="13"/>
      <c r="M2796" s="13"/>
    </row>
    <row r="2797">
      <c r="F2797" s="13"/>
      <c r="M2797" s="13"/>
    </row>
    <row r="2798">
      <c r="F2798" s="13"/>
      <c r="M2798" s="13"/>
    </row>
    <row r="2799">
      <c r="F2799" s="13"/>
      <c r="M2799" s="13"/>
    </row>
    <row r="2800">
      <c r="F2800" s="13"/>
      <c r="M2800" s="13"/>
    </row>
    <row r="2801">
      <c r="F2801" s="13"/>
      <c r="M2801" s="13"/>
    </row>
    <row r="2802">
      <c r="F2802" s="13"/>
      <c r="M2802" s="13"/>
    </row>
    <row r="2803">
      <c r="F2803" s="13"/>
      <c r="M2803" s="13"/>
    </row>
    <row r="2804">
      <c r="F2804" s="13"/>
      <c r="M2804" s="13"/>
    </row>
    <row r="2805">
      <c r="F2805" s="13"/>
      <c r="M2805" s="13"/>
    </row>
    <row r="2806">
      <c r="F2806" s="13"/>
      <c r="M2806" s="13"/>
    </row>
    <row r="2807">
      <c r="F2807" s="13"/>
      <c r="M2807" s="13"/>
    </row>
    <row r="2808">
      <c r="F2808" s="13"/>
      <c r="M2808" s="13"/>
    </row>
    <row r="2809">
      <c r="F2809" s="13"/>
      <c r="M2809" s="13"/>
    </row>
    <row r="2810">
      <c r="F2810" s="13"/>
      <c r="M2810" s="13"/>
    </row>
    <row r="2811">
      <c r="F2811" s="13"/>
      <c r="M2811" s="13"/>
    </row>
    <row r="2812">
      <c r="F2812" s="13"/>
      <c r="M2812" s="13"/>
    </row>
    <row r="2813">
      <c r="F2813" s="13"/>
      <c r="M2813" s="13"/>
    </row>
    <row r="2814">
      <c r="F2814" s="13"/>
      <c r="M2814" s="13"/>
    </row>
    <row r="2815">
      <c r="F2815" s="13"/>
      <c r="M2815" s="13"/>
    </row>
    <row r="2816">
      <c r="F2816" s="13"/>
      <c r="M2816" s="13"/>
    </row>
    <row r="2817">
      <c r="F2817" s="13"/>
      <c r="M2817" s="13"/>
    </row>
    <row r="2818">
      <c r="F2818" s="13"/>
      <c r="M2818" s="13"/>
    </row>
    <row r="2819">
      <c r="F2819" s="13"/>
      <c r="M2819" s="13"/>
    </row>
    <row r="2820">
      <c r="F2820" s="13"/>
      <c r="M2820" s="13"/>
    </row>
    <row r="2821">
      <c r="F2821" s="13"/>
      <c r="M2821" s="13"/>
    </row>
    <row r="2822">
      <c r="F2822" s="13"/>
      <c r="M2822" s="13"/>
    </row>
    <row r="2823">
      <c r="F2823" s="13"/>
      <c r="M2823" s="13"/>
    </row>
    <row r="2824">
      <c r="F2824" s="13"/>
      <c r="M2824" s="13"/>
    </row>
    <row r="2825">
      <c r="F2825" s="13"/>
      <c r="M2825" s="13"/>
    </row>
    <row r="2826">
      <c r="F2826" s="13"/>
      <c r="M2826" s="13"/>
    </row>
    <row r="2827">
      <c r="F2827" s="13"/>
      <c r="M2827" s="13"/>
    </row>
    <row r="2828">
      <c r="F2828" s="13"/>
      <c r="M2828" s="13"/>
    </row>
    <row r="2829">
      <c r="F2829" s="13"/>
      <c r="M2829" s="13"/>
    </row>
    <row r="2830">
      <c r="F2830" s="13"/>
      <c r="M2830" s="13"/>
    </row>
    <row r="2831">
      <c r="F2831" s="13"/>
      <c r="M2831" s="13"/>
    </row>
    <row r="2832">
      <c r="F2832" s="13"/>
      <c r="M2832" s="13"/>
    </row>
    <row r="2833">
      <c r="F2833" s="13"/>
      <c r="M2833" s="13"/>
    </row>
    <row r="2834">
      <c r="F2834" s="13"/>
      <c r="M2834" s="13"/>
    </row>
    <row r="2835">
      <c r="F2835" s="13"/>
      <c r="M2835" s="13"/>
    </row>
    <row r="2836">
      <c r="F2836" s="13"/>
      <c r="M2836" s="13"/>
    </row>
    <row r="2837">
      <c r="F2837" s="13"/>
      <c r="M2837" s="13"/>
    </row>
    <row r="2838">
      <c r="F2838" s="13"/>
      <c r="M2838" s="13"/>
    </row>
    <row r="2839">
      <c r="F2839" s="13"/>
      <c r="M2839" s="13"/>
    </row>
    <row r="2840">
      <c r="F2840" s="13"/>
      <c r="M2840" s="13"/>
    </row>
    <row r="2841">
      <c r="F2841" s="13"/>
      <c r="M2841" s="13"/>
    </row>
    <row r="2842">
      <c r="F2842" s="13"/>
      <c r="M2842" s="13"/>
    </row>
    <row r="2843">
      <c r="F2843" s="13"/>
      <c r="M2843" s="13"/>
    </row>
    <row r="2844">
      <c r="F2844" s="13"/>
      <c r="M2844" s="13"/>
    </row>
    <row r="2845">
      <c r="F2845" s="13"/>
      <c r="M2845" s="13"/>
    </row>
    <row r="2846">
      <c r="F2846" s="13"/>
      <c r="M2846" s="13"/>
    </row>
    <row r="2847">
      <c r="F2847" s="13"/>
      <c r="M2847" s="13"/>
    </row>
    <row r="2848">
      <c r="F2848" s="13"/>
      <c r="M2848" s="13"/>
    </row>
    <row r="2849">
      <c r="F2849" s="13"/>
      <c r="M2849" s="13"/>
    </row>
    <row r="2850">
      <c r="F2850" s="13"/>
      <c r="M2850" s="13"/>
    </row>
    <row r="2851">
      <c r="F2851" s="13"/>
      <c r="M2851" s="13"/>
    </row>
    <row r="2852">
      <c r="F2852" s="13"/>
      <c r="M2852" s="13"/>
    </row>
    <row r="2853">
      <c r="F2853" s="13"/>
      <c r="M2853" s="13"/>
    </row>
    <row r="2854">
      <c r="F2854" s="13"/>
      <c r="M2854" s="13"/>
    </row>
    <row r="2855">
      <c r="F2855" s="13"/>
      <c r="M2855" s="13"/>
    </row>
    <row r="2856">
      <c r="F2856" s="13"/>
      <c r="M2856" s="13"/>
    </row>
    <row r="2857">
      <c r="F2857" s="13"/>
      <c r="M2857" s="13"/>
    </row>
    <row r="2858">
      <c r="F2858" s="13"/>
      <c r="M2858" s="13"/>
    </row>
    <row r="2859">
      <c r="F2859" s="13"/>
      <c r="M2859" s="13"/>
    </row>
    <row r="2860">
      <c r="F2860" s="13"/>
      <c r="M2860" s="13"/>
    </row>
    <row r="2861">
      <c r="F2861" s="13"/>
      <c r="M2861" s="13"/>
    </row>
    <row r="2862">
      <c r="F2862" s="13"/>
      <c r="M2862" s="13"/>
    </row>
    <row r="2863">
      <c r="F2863" s="13"/>
      <c r="M2863" s="13"/>
    </row>
    <row r="2864">
      <c r="F2864" s="13"/>
      <c r="M2864" s="13"/>
    </row>
    <row r="2865">
      <c r="F2865" s="13"/>
      <c r="M2865" s="13"/>
    </row>
    <row r="2866">
      <c r="F2866" s="13"/>
      <c r="M2866" s="13"/>
    </row>
    <row r="2867">
      <c r="F2867" s="13"/>
      <c r="M2867" s="13"/>
    </row>
    <row r="2868">
      <c r="F2868" s="13"/>
      <c r="M2868" s="13"/>
    </row>
    <row r="2869">
      <c r="F2869" s="13"/>
      <c r="M2869" s="13"/>
    </row>
    <row r="2870">
      <c r="F2870" s="13"/>
      <c r="M2870" s="13"/>
    </row>
    <row r="2871">
      <c r="F2871" s="13"/>
      <c r="M2871" s="13"/>
    </row>
    <row r="2872">
      <c r="F2872" s="13"/>
      <c r="M2872" s="13"/>
    </row>
    <row r="2873">
      <c r="F2873" s="13"/>
      <c r="M2873" s="13"/>
    </row>
    <row r="2874">
      <c r="F2874" s="13"/>
      <c r="M2874" s="13"/>
    </row>
    <row r="2875">
      <c r="F2875" s="13"/>
      <c r="M2875" s="13"/>
    </row>
    <row r="2876">
      <c r="F2876" s="13"/>
      <c r="M2876" s="13"/>
    </row>
    <row r="2877">
      <c r="F2877" s="13"/>
      <c r="M2877" s="13"/>
    </row>
    <row r="2878">
      <c r="F2878" s="13"/>
      <c r="M2878" s="13"/>
    </row>
    <row r="2879">
      <c r="F2879" s="13"/>
      <c r="M2879" s="13"/>
    </row>
    <row r="2880">
      <c r="F2880" s="13"/>
      <c r="M2880" s="13"/>
    </row>
    <row r="2881">
      <c r="F2881" s="13"/>
      <c r="M2881" s="13"/>
    </row>
    <row r="2882">
      <c r="F2882" s="13"/>
      <c r="M2882" s="13"/>
    </row>
    <row r="2883">
      <c r="F2883" s="13"/>
      <c r="M2883" s="13"/>
    </row>
    <row r="2884">
      <c r="F2884" s="13"/>
      <c r="M2884" s="13"/>
    </row>
    <row r="2885">
      <c r="F2885" s="13"/>
      <c r="M2885" s="13"/>
    </row>
    <row r="2886">
      <c r="F2886" s="13"/>
      <c r="M2886" s="13"/>
    </row>
    <row r="2887">
      <c r="F2887" s="13"/>
      <c r="M2887" s="13"/>
    </row>
    <row r="2888">
      <c r="F2888" s="13"/>
      <c r="M2888" s="13"/>
    </row>
    <row r="2889">
      <c r="F2889" s="13"/>
      <c r="M2889" s="13"/>
    </row>
    <row r="2890">
      <c r="F2890" s="13"/>
      <c r="M2890" s="13"/>
    </row>
    <row r="2891">
      <c r="F2891" s="13"/>
      <c r="M2891" s="13"/>
    </row>
    <row r="2892">
      <c r="F2892" s="13"/>
      <c r="M2892" s="13"/>
    </row>
    <row r="2893">
      <c r="F2893" s="13"/>
      <c r="M2893" s="13"/>
    </row>
    <row r="2894">
      <c r="F2894" s="13"/>
      <c r="M2894" s="13"/>
    </row>
    <row r="2895">
      <c r="F2895" s="13"/>
      <c r="M2895" s="13"/>
    </row>
    <row r="2896">
      <c r="F2896" s="13"/>
      <c r="M2896" s="13"/>
    </row>
    <row r="2897">
      <c r="F2897" s="13"/>
      <c r="M2897" s="13"/>
    </row>
    <row r="2898">
      <c r="F2898" s="13"/>
      <c r="M2898" s="13"/>
    </row>
    <row r="2899">
      <c r="F2899" s="13"/>
      <c r="M2899" s="13"/>
    </row>
    <row r="2900">
      <c r="F2900" s="13"/>
      <c r="M2900" s="13"/>
    </row>
    <row r="2901">
      <c r="F2901" s="13"/>
      <c r="M2901" s="13"/>
    </row>
    <row r="2902">
      <c r="F2902" s="13"/>
      <c r="M2902" s="13"/>
    </row>
    <row r="2903">
      <c r="F2903" s="13"/>
      <c r="M2903" s="13"/>
    </row>
    <row r="2904">
      <c r="F2904" s="13"/>
      <c r="M2904" s="13"/>
    </row>
    <row r="2905">
      <c r="F2905" s="13"/>
      <c r="M2905" s="13"/>
    </row>
    <row r="2906">
      <c r="F2906" s="13"/>
      <c r="M2906" s="13"/>
    </row>
    <row r="2907">
      <c r="F2907" s="13"/>
      <c r="M2907" s="13"/>
    </row>
    <row r="2908">
      <c r="F2908" s="13"/>
      <c r="M2908" s="13"/>
    </row>
    <row r="2909">
      <c r="F2909" s="13"/>
      <c r="M2909" s="13"/>
    </row>
    <row r="2910">
      <c r="F2910" s="13"/>
      <c r="M2910" s="13"/>
    </row>
    <row r="2911">
      <c r="F2911" s="13"/>
      <c r="M2911" s="13"/>
    </row>
    <row r="2912">
      <c r="F2912" s="13"/>
      <c r="M2912" s="13"/>
    </row>
    <row r="2913">
      <c r="F2913" s="13"/>
      <c r="M2913" s="13"/>
    </row>
    <row r="2914">
      <c r="F2914" s="13"/>
      <c r="M2914" s="13"/>
    </row>
    <row r="2915">
      <c r="F2915" s="13"/>
      <c r="M2915" s="13"/>
    </row>
    <row r="2916">
      <c r="F2916" s="13"/>
      <c r="M2916" s="13"/>
    </row>
    <row r="2917">
      <c r="F2917" s="13"/>
      <c r="M2917" s="13"/>
    </row>
    <row r="2918">
      <c r="F2918" s="13"/>
      <c r="M2918" s="13"/>
    </row>
    <row r="2919">
      <c r="F2919" s="13"/>
      <c r="M2919" s="13"/>
    </row>
    <row r="2920">
      <c r="F2920" s="13"/>
      <c r="M2920" s="13"/>
    </row>
    <row r="2921">
      <c r="F2921" s="13"/>
      <c r="M2921" s="13"/>
    </row>
    <row r="2922">
      <c r="F2922" s="13"/>
      <c r="M2922" s="13"/>
    </row>
    <row r="2923">
      <c r="F2923" s="13"/>
      <c r="M2923" s="13"/>
    </row>
    <row r="2924">
      <c r="F2924" s="13"/>
      <c r="M2924" s="13"/>
    </row>
    <row r="2925">
      <c r="F2925" s="13"/>
      <c r="M2925" s="13"/>
    </row>
    <row r="2926">
      <c r="F2926" s="13"/>
      <c r="M2926" s="13"/>
    </row>
    <row r="2927">
      <c r="F2927" s="13"/>
      <c r="M2927" s="13"/>
    </row>
    <row r="2928">
      <c r="F2928" s="13"/>
      <c r="M2928" s="13"/>
    </row>
    <row r="2929">
      <c r="F2929" s="13"/>
      <c r="M2929" s="13"/>
    </row>
    <row r="2930">
      <c r="F2930" s="13"/>
      <c r="M2930" s="13"/>
    </row>
    <row r="2931">
      <c r="F2931" s="13"/>
      <c r="M2931" s="13"/>
    </row>
    <row r="2932">
      <c r="F2932" s="13"/>
      <c r="M2932" s="13"/>
    </row>
    <row r="2933">
      <c r="F2933" s="13"/>
      <c r="M2933" s="13"/>
    </row>
    <row r="2934">
      <c r="F2934" s="13"/>
      <c r="M2934" s="13"/>
    </row>
    <row r="2935">
      <c r="F2935" s="13"/>
      <c r="M2935" s="13"/>
    </row>
    <row r="2936">
      <c r="F2936" s="13"/>
      <c r="M2936" s="13"/>
    </row>
    <row r="2937">
      <c r="F2937" s="13"/>
      <c r="M2937" s="13"/>
    </row>
    <row r="2938">
      <c r="F2938" s="13"/>
      <c r="M2938" s="13"/>
    </row>
    <row r="2939">
      <c r="F2939" s="13"/>
      <c r="M2939" s="13"/>
    </row>
    <row r="2940">
      <c r="F2940" s="13"/>
      <c r="M2940" s="13"/>
    </row>
    <row r="2941">
      <c r="F2941" s="13"/>
      <c r="M2941" s="13"/>
    </row>
    <row r="2942">
      <c r="F2942" s="13"/>
      <c r="M2942" s="13"/>
    </row>
    <row r="2943">
      <c r="F2943" s="13"/>
      <c r="M2943" s="13"/>
    </row>
    <row r="2944">
      <c r="F2944" s="13"/>
      <c r="M2944" s="13"/>
    </row>
    <row r="2945">
      <c r="F2945" s="13"/>
      <c r="M2945" s="13"/>
    </row>
    <row r="2946">
      <c r="F2946" s="13"/>
      <c r="M2946" s="13"/>
    </row>
    <row r="2947">
      <c r="F2947" s="13"/>
      <c r="M2947" s="13"/>
    </row>
    <row r="2948">
      <c r="F2948" s="13"/>
      <c r="M2948" s="13"/>
    </row>
    <row r="2949">
      <c r="F2949" s="13"/>
      <c r="M2949" s="13"/>
    </row>
    <row r="2950">
      <c r="F2950" s="13"/>
      <c r="M2950" s="13"/>
    </row>
    <row r="2951">
      <c r="F2951" s="13"/>
      <c r="M2951" s="13"/>
    </row>
    <row r="2952">
      <c r="F2952" s="13"/>
      <c r="M2952" s="13"/>
    </row>
    <row r="2953">
      <c r="F2953" s="13"/>
      <c r="M2953" s="13"/>
    </row>
    <row r="2954">
      <c r="F2954" s="13"/>
      <c r="M2954" s="13"/>
    </row>
    <row r="2955">
      <c r="F2955" s="13"/>
      <c r="M2955" s="13"/>
    </row>
    <row r="2956">
      <c r="F2956" s="13"/>
      <c r="M2956" s="13"/>
    </row>
    <row r="2957">
      <c r="F2957" s="13"/>
      <c r="M2957" s="13"/>
    </row>
    <row r="2958">
      <c r="F2958" s="13"/>
      <c r="M2958" s="13"/>
    </row>
    <row r="2959">
      <c r="F2959" s="13"/>
      <c r="M2959" s="13"/>
    </row>
    <row r="2960">
      <c r="F2960" s="13"/>
      <c r="M2960" s="13"/>
    </row>
    <row r="2961">
      <c r="F2961" s="13"/>
      <c r="M2961" s="13"/>
    </row>
    <row r="2962">
      <c r="F2962" s="13"/>
      <c r="M2962" s="13"/>
    </row>
    <row r="2963">
      <c r="F2963" s="13"/>
      <c r="M2963" s="13"/>
    </row>
    <row r="2964">
      <c r="F2964" s="13"/>
      <c r="M2964" s="13"/>
    </row>
    <row r="2965">
      <c r="F2965" s="13"/>
      <c r="M2965" s="13"/>
    </row>
    <row r="2966">
      <c r="F2966" s="13"/>
      <c r="M2966" s="13"/>
    </row>
    <row r="2967">
      <c r="F2967" s="13"/>
      <c r="M2967" s="13"/>
    </row>
    <row r="2968">
      <c r="F2968" s="13"/>
      <c r="M2968" s="13"/>
    </row>
    <row r="2969">
      <c r="F2969" s="13"/>
      <c r="M2969" s="13"/>
    </row>
    <row r="2970">
      <c r="F2970" s="13"/>
      <c r="M2970" s="13"/>
    </row>
    <row r="2971">
      <c r="F2971" s="13"/>
      <c r="M2971" s="13"/>
    </row>
    <row r="2972">
      <c r="F2972" s="13"/>
      <c r="M2972" s="13"/>
    </row>
    <row r="2973">
      <c r="F2973" s="13"/>
      <c r="M2973" s="13"/>
    </row>
    <row r="2974">
      <c r="F2974" s="13"/>
      <c r="M2974" s="13"/>
    </row>
    <row r="2975">
      <c r="F2975" s="13"/>
      <c r="M2975" s="13"/>
    </row>
    <row r="2976">
      <c r="F2976" s="13"/>
      <c r="M2976" s="13"/>
    </row>
    <row r="2977">
      <c r="F2977" s="13"/>
      <c r="M2977" s="13"/>
    </row>
    <row r="2978">
      <c r="F2978" s="13"/>
      <c r="M2978" s="13"/>
    </row>
    <row r="2979">
      <c r="F2979" s="13"/>
      <c r="M2979" s="13"/>
    </row>
    <row r="2980">
      <c r="F2980" s="13"/>
      <c r="M2980" s="13"/>
    </row>
    <row r="2981">
      <c r="F2981" s="13"/>
      <c r="M2981" s="13"/>
    </row>
    <row r="2982">
      <c r="F2982" s="13"/>
      <c r="M2982" s="13"/>
    </row>
    <row r="2983">
      <c r="F2983" s="13"/>
      <c r="M2983" s="13"/>
    </row>
    <row r="2984">
      <c r="F2984" s="13"/>
      <c r="M2984" s="13"/>
    </row>
    <row r="2985">
      <c r="F2985" s="13"/>
      <c r="M2985" s="13"/>
    </row>
    <row r="2986">
      <c r="F2986" s="13"/>
      <c r="M2986" s="13"/>
    </row>
    <row r="2987">
      <c r="F2987" s="13"/>
      <c r="M2987" s="13"/>
    </row>
    <row r="2988">
      <c r="F2988" s="13"/>
      <c r="M2988" s="13"/>
    </row>
    <row r="2989">
      <c r="F2989" s="13"/>
      <c r="M2989" s="13"/>
    </row>
    <row r="2990">
      <c r="F2990" s="13"/>
      <c r="M2990" s="13"/>
    </row>
    <row r="2991">
      <c r="F2991" s="13"/>
      <c r="M2991" s="13"/>
    </row>
    <row r="2992">
      <c r="F2992" s="13"/>
      <c r="M2992" s="13"/>
    </row>
    <row r="2993">
      <c r="F2993" s="13"/>
      <c r="M2993" s="13"/>
    </row>
    <row r="2994">
      <c r="F2994" s="13"/>
      <c r="M2994" s="13"/>
    </row>
    <row r="2995">
      <c r="F2995" s="13"/>
      <c r="M2995" s="13"/>
    </row>
    <row r="2996">
      <c r="F2996" s="13"/>
      <c r="M2996" s="13"/>
    </row>
    <row r="2997">
      <c r="F2997" s="13"/>
      <c r="M2997" s="13"/>
    </row>
    <row r="2998">
      <c r="F2998" s="13"/>
      <c r="M2998" s="13"/>
    </row>
    <row r="2999">
      <c r="F2999" s="13"/>
      <c r="M2999" s="13"/>
    </row>
    <row r="3000">
      <c r="F3000" s="13"/>
      <c r="M3000" s="13"/>
    </row>
    <row r="3001">
      <c r="F3001" s="13"/>
      <c r="M3001" s="13"/>
    </row>
    <row r="3002">
      <c r="F3002" s="13"/>
      <c r="M3002" s="13"/>
    </row>
    <row r="3003">
      <c r="F3003" s="13"/>
      <c r="M3003" s="13"/>
    </row>
    <row r="3004">
      <c r="F3004" s="13"/>
      <c r="M3004" s="13"/>
    </row>
    <row r="3005">
      <c r="F3005" s="13"/>
      <c r="M3005" s="13"/>
    </row>
    <row r="3006">
      <c r="F3006" s="13"/>
      <c r="M3006" s="13"/>
    </row>
    <row r="3007">
      <c r="F3007" s="13"/>
      <c r="M3007" s="13"/>
    </row>
    <row r="3008">
      <c r="F3008" s="13"/>
      <c r="M3008" s="13"/>
    </row>
    <row r="3009">
      <c r="F3009" s="13"/>
      <c r="M3009" s="13"/>
    </row>
    <row r="3010">
      <c r="F3010" s="13"/>
      <c r="M3010" s="13"/>
    </row>
    <row r="3011">
      <c r="F3011" s="13"/>
      <c r="M3011" s="13"/>
    </row>
    <row r="3012">
      <c r="F3012" s="13"/>
      <c r="M3012" s="13"/>
    </row>
    <row r="3013">
      <c r="F3013" s="13"/>
      <c r="M3013" s="13"/>
    </row>
    <row r="3014">
      <c r="F3014" s="13"/>
      <c r="M3014" s="13"/>
    </row>
    <row r="3015">
      <c r="F3015" s="13"/>
      <c r="M3015" s="13"/>
    </row>
    <row r="3016">
      <c r="F3016" s="13"/>
      <c r="M3016" s="13"/>
    </row>
    <row r="3017">
      <c r="F3017" s="13"/>
      <c r="M3017" s="13"/>
    </row>
    <row r="3018">
      <c r="F3018" s="13"/>
      <c r="M3018" s="13"/>
    </row>
    <row r="3019">
      <c r="F3019" s="13"/>
      <c r="M3019" s="13"/>
    </row>
    <row r="3020">
      <c r="F3020" s="13"/>
      <c r="M3020" s="13"/>
    </row>
    <row r="3021">
      <c r="F3021" s="13"/>
      <c r="M3021" s="13"/>
    </row>
    <row r="3022">
      <c r="F3022" s="13"/>
      <c r="M3022" s="13"/>
    </row>
    <row r="3023">
      <c r="F3023" s="13"/>
      <c r="M3023" s="13"/>
    </row>
    <row r="3024">
      <c r="F3024" s="13"/>
      <c r="M3024" s="13"/>
    </row>
    <row r="3025">
      <c r="F3025" s="13"/>
      <c r="M3025" s="13"/>
    </row>
    <row r="3026">
      <c r="F3026" s="13"/>
      <c r="M3026" s="13"/>
    </row>
    <row r="3027">
      <c r="F3027" s="13"/>
      <c r="M3027" s="13"/>
    </row>
    <row r="3028">
      <c r="F3028" s="13"/>
      <c r="M3028" s="13"/>
    </row>
    <row r="3029">
      <c r="F3029" s="13"/>
      <c r="M3029" s="13"/>
    </row>
    <row r="3030">
      <c r="F3030" s="13"/>
      <c r="M3030" s="13"/>
    </row>
    <row r="3031">
      <c r="F3031" s="13"/>
      <c r="M3031" s="13"/>
    </row>
    <row r="3032">
      <c r="F3032" s="13"/>
      <c r="M3032" s="13"/>
    </row>
    <row r="3033">
      <c r="F3033" s="13"/>
      <c r="M3033" s="13"/>
    </row>
    <row r="3034">
      <c r="F3034" s="13"/>
      <c r="M3034" s="13"/>
    </row>
    <row r="3035">
      <c r="F3035" s="13"/>
      <c r="M3035" s="13"/>
    </row>
    <row r="3036">
      <c r="F3036" s="13"/>
      <c r="M3036" s="13"/>
    </row>
    <row r="3037">
      <c r="F3037" s="13"/>
      <c r="M3037" s="13"/>
    </row>
    <row r="3038">
      <c r="F3038" s="13"/>
      <c r="M3038" s="13"/>
    </row>
    <row r="3039">
      <c r="F3039" s="13"/>
      <c r="M3039" s="13"/>
    </row>
    <row r="3040">
      <c r="F3040" s="13"/>
      <c r="M3040" s="13"/>
    </row>
    <row r="3041">
      <c r="F3041" s="13"/>
      <c r="M3041" s="13"/>
    </row>
    <row r="3042">
      <c r="F3042" s="13"/>
      <c r="M3042" s="13"/>
    </row>
    <row r="3043">
      <c r="F3043" s="13"/>
      <c r="M3043" s="13"/>
    </row>
    <row r="3044">
      <c r="F3044" s="13"/>
      <c r="M3044" s="13"/>
    </row>
    <row r="3045">
      <c r="F3045" s="13"/>
      <c r="M3045" s="13"/>
    </row>
    <row r="3046">
      <c r="F3046" s="13"/>
      <c r="M3046" s="13"/>
    </row>
    <row r="3047">
      <c r="F3047" s="13"/>
      <c r="M3047" s="13"/>
    </row>
    <row r="3048">
      <c r="F3048" s="13"/>
      <c r="M3048" s="13"/>
    </row>
    <row r="3049">
      <c r="F3049" s="13"/>
      <c r="M3049" s="13"/>
    </row>
    <row r="3050">
      <c r="F3050" s="13"/>
      <c r="M3050" s="13"/>
    </row>
    <row r="3051">
      <c r="F3051" s="13"/>
      <c r="M3051" s="13"/>
    </row>
    <row r="3052">
      <c r="F3052" s="13"/>
      <c r="M3052" s="13"/>
    </row>
    <row r="3053">
      <c r="F3053" s="13"/>
      <c r="M3053" s="13"/>
    </row>
    <row r="3054">
      <c r="F3054" s="13"/>
      <c r="M3054" s="13"/>
    </row>
    <row r="3055">
      <c r="F3055" s="13"/>
      <c r="M3055" s="13"/>
    </row>
    <row r="3056">
      <c r="F3056" s="13"/>
      <c r="M3056" s="13"/>
    </row>
    <row r="3057">
      <c r="F3057" s="13"/>
      <c r="M3057" s="13"/>
    </row>
    <row r="3058">
      <c r="F3058" s="13"/>
      <c r="M3058" s="13"/>
    </row>
    <row r="3059">
      <c r="F3059" s="13"/>
      <c r="M3059" s="13"/>
    </row>
    <row r="3060">
      <c r="F3060" s="13"/>
      <c r="M3060" s="13"/>
    </row>
    <row r="3061">
      <c r="F3061" s="13"/>
      <c r="M3061" s="13"/>
    </row>
    <row r="3062">
      <c r="F3062" s="13"/>
      <c r="M3062" s="13"/>
    </row>
    <row r="3063">
      <c r="F3063" s="13"/>
      <c r="M3063" s="13"/>
    </row>
    <row r="3064">
      <c r="F3064" s="13"/>
      <c r="M3064" s="13"/>
    </row>
    <row r="3065">
      <c r="F3065" s="13"/>
      <c r="M3065" s="13"/>
    </row>
    <row r="3066">
      <c r="F3066" s="13"/>
      <c r="M3066" s="13"/>
    </row>
    <row r="3067">
      <c r="F3067" s="13"/>
      <c r="M3067" s="13"/>
    </row>
    <row r="3068">
      <c r="F3068" s="13"/>
      <c r="M3068" s="13"/>
    </row>
    <row r="3069">
      <c r="F3069" s="13"/>
      <c r="M3069" s="13"/>
    </row>
    <row r="3070">
      <c r="F3070" s="13"/>
      <c r="M3070" s="13"/>
    </row>
    <row r="3071">
      <c r="F3071" s="13"/>
      <c r="M3071" s="13"/>
    </row>
    <row r="3072">
      <c r="F3072" s="13"/>
      <c r="M3072" s="13"/>
    </row>
    <row r="3073">
      <c r="F3073" s="13"/>
      <c r="M3073" s="13"/>
    </row>
    <row r="3074">
      <c r="F3074" s="13"/>
      <c r="M3074" s="13"/>
    </row>
    <row r="3075">
      <c r="F3075" s="13"/>
      <c r="M3075" s="13"/>
    </row>
    <row r="3076">
      <c r="F3076" s="13"/>
      <c r="M3076" s="13"/>
    </row>
    <row r="3077">
      <c r="F3077" s="13"/>
      <c r="M3077" s="13"/>
    </row>
    <row r="3078">
      <c r="F3078" s="13"/>
      <c r="M3078" s="13"/>
    </row>
    <row r="3079">
      <c r="F3079" s="13"/>
      <c r="M3079" s="13"/>
    </row>
    <row r="3080">
      <c r="F3080" s="13"/>
      <c r="M3080" s="13"/>
    </row>
    <row r="3081">
      <c r="F3081" s="13"/>
      <c r="M3081" s="13"/>
    </row>
    <row r="3082">
      <c r="F3082" s="13"/>
      <c r="M3082" s="13"/>
    </row>
    <row r="3083">
      <c r="F3083" s="13"/>
      <c r="M3083" s="13"/>
    </row>
    <row r="3084">
      <c r="F3084" s="13"/>
      <c r="M3084" s="13"/>
    </row>
    <row r="3085">
      <c r="F3085" s="13"/>
      <c r="M3085" s="13"/>
    </row>
    <row r="3086">
      <c r="F3086" s="13"/>
      <c r="M3086" s="13"/>
    </row>
    <row r="3087">
      <c r="F3087" s="13"/>
      <c r="M3087" s="13"/>
    </row>
    <row r="3088">
      <c r="F3088" s="13"/>
      <c r="M3088" s="13"/>
    </row>
    <row r="3089">
      <c r="F3089" s="13"/>
      <c r="M3089" s="13"/>
    </row>
    <row r="3090">
      <c r="F3090" s="13"/>
      <c r="M3090" s="13"/>
    </row>
    <row r="3091">
      <c r="F3091" s="13"/>
      <c r="M3091" s="13"/>
    </row>
    <row r="3092">
      <c r="F3092" s="13"/>
      <c r="M3092" s="13"/>
    </row>
    <row r="3093">
      <c r="F3093" s="13"/>
      <c r="M3093" s="13"/>
    </row>
    <row r="3094">
      <c r="F3094" s="13"/>
      <c r="M3094" s="13"/>
    </row>
    <row r="3095">
      <c r="F3095" s="13"/>
      <c r="M3095" s="13"/>
    </row>
    <row r="3096">
      <c r="F3096" s="13"/>
      <c r="M3096" s="13"/>
    </row>
    <row r="3097">
      <c r="F3097" s="13"/>
      <c r="M3097" s="13"/>
    </row>
    <row r="3098">
      <c r="F3098" s="13"/>
      <c r="M3098" s="13"/>
    </row>
    <row r="3099">
      <c r="F3099" s="13"/>
      <c r="M3099" s="13"/>
    </row>
    <row r="3100">
      <c r="F3100" s="13"/>
      <c r="M3100" s="13"/>
    </row>
    <row r="3101">
      <c r="F3101" s="13"/>
      <c r="M3101" s="13"/>
    </row>
    <row r="3102">
      <c r="F3102" s="13"/>
      <c r="M3102" s="13"/>
    </row>
    <row r="3103">
      <c r="F3103" s="13"/>
      <c r="M3103" s="13"/>
    </row>
    <row r="3104">
      <c r="F3104" s="13"/>
      <c r="M3104" s="13"/>
    </row>
    <row r="3105">
      <c r="F3105" s="13"/>
      <c r="M3105" s="13"/>
    </row>
    <row r="3106">
      <c r="F3106" s="13"/>
      <c r="M3106" s="13"/>
    </row>
    <row r="3107">
      <c r="F3107" s="13"/>
      <c r="M3107" s="13"/>
    </row>
    <row r="3108">
      <c r="F3108" s="13"/>
      <c r="M3108" s="13"/>
    </row>
    <row r="3109">
      <c r="F3109" s="13"/>
      <c r="M3109" s="13"/>
    </row>
    <row r="3110">
      <c r="F3110" s="13"/>
      <c r="M3110" s="13"/>
    </row>
    <row r="3111">
      <c r="F3111" s="13"/>
      <c r="M3111" s="13"/>
    </row>
    <row r="3112">
      <c r="F3112" s="13"/>
      <c r="M3112" s="13"/>
    </row>
    <row r="3113">
      <c r="F3113" s="13"/>
      <c r="M3113" s="13"/>
    </row>
    <row r="3114">
      <c r="F3114" s="13"/>
      <c r="M3114" s="13"/>
    </row>
    <row r="3115">
      <c r="F3115" s="13"/>
      <c r="M3115" s="13"/>
    </row>
    <row r="3116">
      <c r="F3116" s="13"/>
      <c r="M3116" s="13"/>
    </row>
    <row r="3117">
      <c r="F3117" s="13"/>
      <c r="M3117" s="13"/>
    </row>
    <row r="3118">
      <c r="F3118" s="13"/>
      <c r="M3118" s="13"/>
    </row>
    <row r="3119">
      <c r="F3119" s="13"/>
      <c r="M3119" s="13"/>
    </row>
    <row r="3120">
      <c r="F3120" s="13"/>
      <c r="M3120" s="13"/>
    </row>
    <row r="3121">
      <c r="F3121" s="13"/>
      <c r="M3121" s="13"/>
    </row>
    <row r="3122">
      <c r="F3122" s="13"/>
      <c r="M3122" s="13"/>
    </row>
    <row r="3123">
      <c r="F3123" s="13"/>
      <c r="M3123" s="13"/>
    </row>
    <row r="3124">
      <c r="F3124" s="13"/>
      <c r="M3124" s="13"/>
    </row>
    <row r="3125">
      <c r="F3125" s="13"/>
      <c r="M3125" s="13"/>
    </row>
    <row r="3126">
      <c r="F3126" s="13"/>
      <c r="M3126" s="13"/>
    </row>
    <row r="3127">
      <c r="F3127" s="13"/>
      <c r="M3127" s="13"/>
    </row>
    <row r="3128">
      <c r="F3128" s="13"/>
      <c r="M3128" s="13"/>
    </row>
    <row r="3129">
      <c r="F3129" s="13"/>
      <c r="M3129" s="13"/>
    </row>
    <row r="3130">
      <c r="F3130" s="13"/>
      <c r="M3130" s="13"/>
    </row>
    <row r="3131">
      <c r="F3131" s="13"/>
      <c r="M3131" s="13"/>
    </row>
    <row r="3132">
      <c r="F3132" s="13"/>
      <c r="M3132" s="13"/>
    </row>
    <row r="3133">
      <c r="F3133" s="13"/>
      <c r="M3133" s="13"/>
    </row>
    <row r="3134">
      <c r="F3134" s="13"/>
      <c r="M3134" s="13"/>
    </row>
    <row r="3135">
      <c r="F3135" s="13"/>
      <c r="M3135" s="13"/>
    </row>
    <row r="3136">
      <c r="F3136" s="13"/>
      <c r="M3136" s="13"/>
    </row>
    <row r="3137">
      <c r="F3137" s="13"/>
      <c r="M3137" s="13"/>
    </row>
    <row r="3138">
      <c r="F3138" s="13"/>
      <c r="M3138" s="13"/>
    </row>
    <row r="3139">
      <c r="F3139" s="13"/>
      <c r="M3139" s="13"/>
    </row>
    <row r="3140">
      <c r="F3140" s="13"/>
      <c r="M3140" s="13"/>
    </row>
    <row r="3141">
      <c r="F3141" s="13"/>
      <c r="M3141" s="13"/>
    </row>
    <row r="3142">
      <c r="F3142" s="13"/>
      <c r="M3142" s="13"/>
    </row>
    <row r="3143">
      <c r="F3143" s="13"/>
      <c r="M3143" s="13"/>
    </row>
    <row r="3144">
      <c r="F3144" s="13"/>
      <c r="M3144" s="13"/>
    </row>
    <row r="3145">
      <c r="F3145" s="13"/>
      <c r="M3145" s="13"/>
    </row>
    <row r="3146">
      <c r="F3146" s="13"/>
      <c r="M3146" s="13"/>
    </row>
    <row r="3147">
      <c r="F3147" s="13"/>
      <c r="M3147" s="13"/>
    </row>
    <row r="3148">
      <c r="F3148" s="13"/>
      <c r="M3148" s="13"/>
    </row>
    <row r="3149">
      <c r="F3149" s="13"/>
      <c r="M3149" s="13"/>
    </row>
    <row r="3150">
      <c r="F3150" s="13"/>
      <c r="M3150" s="13"/>
    </row>
    <row r="3151">
      <c r="F3151" s="13"/>
      <c r="M3151" s="13"/>
    </row>
    <row r="3152">
      <c r="F3152" s="13"/>
      <c r="M3152" s="13"/>
    </row>
    <row r="3153">
      <c r="F3153" s="13"/>
      <c r="M3153" s="13"/>
    </row>
    <row r="3154">
      <c r="F3154" s="13"/>
      <c r="M3154" s="13"/>
    </row>
    <row r="3155">
      <c r="F3155" s="13"/>
      <c r="M3155" s="13"/>
    </row>
    <row r="3156">
      <c r="F3156" s="13"/>
      <c r="M3156" s="13"/>
    </row>
    <row r="3157">
      <c r="F3157" s="13"/>
      <c r="M3157" s="13"/>
    </row>
    <row r="3158">
      <c r="F3158" s="13"/>
      <c r="M3158" s="13"/>
    </row>
    <row r="3159">
      <c r="F3159" s="13"/>
      <c r="M3159" s="13"/>
    </row>
    <row r="3160">
      <c r="F3160" s="13"/>
      <c r="M3160" s="13"/>
    </row>
    <row r="3161">
      <c r="F3161" s="13"/>
      <c r="M3161" s="13"/>
    </row>
    <row r="3162">
      <c r="F3162" s="13"/>
      <c r="M3162" s="13"/>
    </row>
    <row r="3163">
      <c r="F3163" s="13"/>
      <c r="M3163" s="13"/>
    </row>
    <row r="3164">
      <c r="F3164" s="13"/>
      <c r="M3164" s="13"/>
    </row>
    <row r="3165">
      <c r="F3165" s="13"/>
      <c r="M3165" s="13"/>
    </row>
    <row r="3166">
      <c r="F3166" s="13"/>
      <c r="M3166" s="13"/>
    </row>
    <row r="3167">
      <c r="F3167" s="13"/>
      <c r="M3167" s="13"/>
    </row>
    <row r="3168">
      <c r="F3168" s="13"/>
      <c r="M3168" s="13"/>
    </row>
    <row r="3169">
      <c r="F3169" s="13"/>
      <c r="M3169" s="13"/>
    </row>
    <row r="3170">
      <c r="F3170" s="13"/>
      <c r="M3170" s="13"/>
    </row>
    <row r="3171">
      <c r="F3171" s="13"/>
      <c r="M3171" s="13"/>
    </row>
    <row r="3172">
      <c r="F3172" s="13"/>
      <c r="M3172" s="13"/>
    </row>
    <row r="3173">
      <c r="F3173" s="13"/>
      <c r="M3173" s="13"/>
    </row>
    <row r="3174">
      <c r="F3174" s="13"/>
      <c r="M3174" s="13"/>
    </row>
    <row r="3175">
      <c r="F3175" s="13"/>
      <c r="M3175" s="13"/>
    </row>
    <row r="3176">
      <c r="F3176" s="13"/>
      <c r="M3176" s="13"/>
    </row>
    <row r="3177">
      <c r="F3177" s="13"/>
      <c r="M3177" s="13"/>
    </row>
    <row r="3178">
      <c r="F3178" s="13"/>
      <c r="M3178" s="13"/>
    </row>
    <row r="3179">
      <c r="F3179" s="13"/>
      <c r="M3179" s="13"/>
    </row>
    <row r="3180">
      <c r="F3180" s="13"/>
      <c r="M3180" s="13"/>
    </row>
    <row r="3181">
      <c r="F3181" s="13"/>
      <c r="M3181" s="13"/>
    </row>
    <row r="3182">
      <c r="F3182" s="13"/>
      <c r="M3182" s="13"/>
    </row>
    <row r="3183">
      <c r="F3183" s="13"/>
      <c r="M3183" s="13"/>
    </row>
    <row r="3184">
      <c r="F3184" s="13"/>
      <c r="M3184" s="13"/>
    </row>
    <row r="3185">
      <c r="F3185" s="13"/>
      <c r="M3185" s="13"/>
    </row>
    <row r="3186">
      <c r="F3186" s="13"/>
      <c r="M3186" s="13"/>
    </row>
    <row r="3187">
      <c r="F3187" s="13"/>
      <c r="M3187" s="13"/>
    </row>
    <row r="3188">
      <c r="F3188" s="13"/>
      <c r="M3188" s="13"/>
    </row>
    <row r="3189">
      <c r="F3189" s="13"/>
      <c r="M3189" s="13"/>
    </row>
    <row r="3190">
      <c r="F3190" s="13"/>
      <c r="M3190" s="13"/>
    </row>
    <row r="3191">
      <c r="F3191" s="13"/>
      <c r="M3191" s="13"/>
    </row>
    <row r="3192">
      <c r="F3192" s="13"/>
      <c r="M3192" s="13"/>
    </row>
    <row r="3193">
      <c r="F3193" s="13"/>
      <c r="M3193" s="13"/>
    </row>
    <row r="3194">
      <c r="F3194" s="13"/>
      <c r="M3194" s="13"/>
    </row>
    <row r="3195">
      <c r="F3195" s="13"/>
      <c r="M3195" s="13"/>
    </row>
    <row r="3196">
      <c r="F3196" s="13"/>
      <c r="M3196" s="13"/>
    </row>
    <row r="3197">
      <c r="F3197" s="13"/>
      <c r="M3197" s="13"/>
    </row>
    <row r="3198">
      <c r="F3198" s="13"/>
      <c r="M3198" s="13"/>
    </row>
    <row r="3199">
      <c r="F3199" s="13"/>
      <c r="M3199" s="13"/>
    </row>
    <row r="3200">
      <c r="F3200" s="13"/>
      <c r="M3200" s="13"/>
    </row>
    <row r="3201">
      <c r="F3201" s="13"/>
      <c r="M3201" s="13"/>
    </row>
    <row r="3202">
      <c r="F3202" s="13"/>
      <c r="M3202" s="13"/>
    </row>
    <row r="3203">
      <c r="F3203" s="13"/>
      <c r="M3203" s="13"/>
    </row>
    <row r="3204">
      <c r="F3204" s="13"/>
      <c r="M3204" s="13"/>
    </row>
    <row r="3205">
      <c r="F3205" s="13"/>
      <c r="M3205" s="13"/>
    </row>
    <row r="3206">
      <c r="F3206" s="13"/>
      <c r="M3206" s="13"/>
    </row>
    <row r="3207">
      <c r="F3207" s="13"/>
      <c r="M3207" s="13"/>
    </row>
    <row r="3208">
      <c r="F3208" s="13"/>
      <c r="M3208" s="13"/>
    </row>
    <row r="3209">
      <c r="F3209" s="13"/>
      <c r="M3209" s="13"/>
    </row>
    <row r="3210">
      <c r="F3210" s="13"/>
      <c r="M3210" s="13"/>
    </row>
    <row r="3211">
      <c r="F3211" s="13"/>
      <c r="M3211" s="13"/>
    </row>
    <row r="3212">
      <c r="F3212" s="13"/>
      <c r="M3212" s="13"/>
    </row>
    <row r="3213">
      <c r="F3213" s="13"/>
      <c r="M3213" s="13"/>
    </row>
    <row r="3214">
      <c r="F3214" s="13"/>
      <c r="M3214" s="13"/>
    </row>
    <row r="3215">
      <c r="F3215" s="13"/>
      <c r="M3215" s="13"/>
    </row>
    <row r="3216">
      <c r="F3216" s="13"/>
      <c r="M3216" s="13"/>
    </row>
    <row r="3217">
      <c r="F3217" s="13"/>
      <c r="M3217" s="13"/>
    </row>
    <row r="3218">
      <c r="F3218" s="13"/>
      <c r="M3218" s="13"/>
    </row>
    <row r="3219">
      <c r="F3219" s="13"/>
      <c r="M3219" s="13"/>
    </row>
    <row r="3220">
      <c r="F3220" s="13"/>
      <c r="M3220" s="13"/>
    </row>
    <row r="3221">
      <c r="F3221" s="13"/>
      <c r="M3221" s="13"/>
    </row>
    <row r="3222">
      <c r="F3222" s="13"/>
      <c r="M3222" s="13"/>
    </row>
    <row r="3223">
      <c r="F3223" s="13"/>
      <c r="M3223" s="13"/>
    </row>
    <row r="3224">
      <c r="F3224" s="13"/>
      <c r="M3224" s="13"/>
    </row>
    <row r="3225">
      <c r="F3225" s="13"/>
      <c r="M3225" s="13"/>
    </row>
    <row r="3226">
      <c r="F3226" s="13"/>
      <c r="M3226" s="13"/>
    </row>
    <row r="3227">
      <c r="F3227" s="13"/>
      <c r="M3227" s="13"/>
    </row>
    <row r="3228">
      <c r="F3228" s="13"/>
      <c r="M3228" s="13"/>
    </row>
    <row r="3229">
      <c r="F3229" s="13"/>
      <c r="M3229" s="13"/>
    </row>
    <row r="3230">
      <c r="F3230" s="13"/>
      <c r="M3230" s="13"/>
    </row>
    <row r="3231">
      <c r="F3231" s="13"/>
      <c r="M3231" s="13"/>
    </row>
    <row r="3232">
      <c r="F3232" s="13"/>
      <c r="M3232" s="13"/>
    </row>
    <row r="3233">
      <c r="F3233" s="13"/>
      <c r="M3233" s="13"/>
    </row>
    <row r="3234">
      <c r="F3234" s="13"/>
      <c r="M3234" s="13"/>
    </row>
    <row r="3235">
      <c r="F3235" s="13"/>
      <c r="M3235" s="13"/>
    </row>
    <row r="3236">
      <c r="F3236" s="13"/>
      <c r="M3236" s="13"/>
    </row>
    <row r="3237">
      <c r="F3237" s="13"/>
      <c r="M3237" s="13"/>
    </row>
    <row r="3238">
      <c r="F3238" s="13"/>
      <c r="M3238" s="13"/>
    </row>
    <row r="3239">
      <c r="F3239" s="13"/>
      <c r="M3239" s="13"/>
    </row>
    <row r="3240">
      <c r="F3240" s="13"/>
      <c r="M3240" s="13"/>
    </row>
    <row r="3241">
      <c r="F3241" s="13"/>
      <c r="M3241" s="13"/>
    </row>
    <row r="3242">
      <c r="F3242" s="13"/>
      <c r="M3242" s="13"/>
    </row>
    <row r="3243">
      <c r="F3243" s="13"/>
      <c r="M3243" s="13"/>
    </row>
    <row r="3244">
      <c r="F3244" s="13"/>
      <c r="M3244" s="13"/>
    </row>
    <row r="3245">
      <c r="F3245" s="13"/>
      <c r="M3245" s="13"/>
    </row>
    <row r="3246">
      <c r="F3246" s="13"/>
      <c r="M3246" s="13"/>
    </row>
    <row r="3247">
      <c r="F3247" s="13"/>
      <c r="M3247" s="13"/>
    </row>
    <row r="3248">
      <c r="F3248" s="13"/>
      <c r="M3248" s="13"/>
    </row>
    <row r="3249">
      <c r="F3249" s="13"/>
      <c r="M3249" s="13"/>
    </row>
    <row r="3250">
      <c r="F3250" s="13"/>
      <c r="M3250" s="13"/>
    </row>
    <row r="3251">
      <c r="F3251" s="13"/>
      <c r="M3251" s="13"/>
    </row>
    <row r="3252">
      <c r="F3252" s="13"/>
      <c r="M3252" s="13"/>
    </row>
    <row r="3253">
      <c r="F3253" s="13"/>
      <c r="M3253" s="13"/>
    </row>
    <row r="3254">
      <c r="F3254" s="13"/>
      <c r="M3254" s="13"/>
    </row>
    <row r="3255">
      <c r="F3255" s="13"/>
      <c r="M3255" s="13"/>
    </row>
    <row r="3256">
      <c r="F3256" s="13"/>
      <c r="M3256" s="13"/>
    </row>
    <row r="3257">
      <c r="F3257" s="13"/>
      <c r="M3257" s="13"/>
    </row>
    <row r="3258">
      <c r="F3258" s="13"/>
      <c r="M3258" s="13"/>
    </row>
    <row r="3259">
      <c r="F3259" s="13"/>
      <c r="M3259" s="13"/>
    </row>
    <row r="3260">
      <c r="F3260" s="13"/>
      <c r="M3260" s="13"/>
    </row>
    <row r="3261">
      <c r="F3261" s="13"/>
      <c r="M3261" s="13"/>
    </row>
    <row r="3262">
      <c r="F3262" s="13"/>
      <c r="M3262" s="13"/>
    </row>
    <row r="3263">
      <c r="F3263" s="13"/>
      <c r="M3263" s="13"/>
    </row>
    <row r="3264">
      <c r="F3264" s="13"/>
      <c r="M3264" s="13"/>
    </row>
    <row r="3265">
      <c r="F3265" s="13"/>
      <c r="M3265" s="13"/>
    </row>
    <row r="3266">
      <c r="F3266" s="13"/>
      <c r="M3266" s="13"/>
    </row>
    <row r="3267">
      <c r="F3267" s="13"/>
      <c r="M3267" s="13"/>
    </row>
    <row r="3268">
      <c r="F3268" s="13"/>
      <c r="M3268" s="13"/>
    </row>
    <row r="3269">
      <c r="F3269" s="13"/>
      <c r="M3269" s="13"/>
    </row>
    <row r="3270">
      <c r="F3270" s="13"/>
      <c r="M3270" s="13"/>
    </row>
    <row r="3271">
      <c r="F3271" s="13"/>
      <c r="M3271" s="13"/>
    </row>
    <row r="3272">
      <c r="F3272" s="13"/>
      <c r="M3272" s="13"/>
    </row>
    <row r="3273">
      <c r="F3273" s="13"/>
      <c r="M3273" s="13"/>
    </row>
    <row r="3274">
      <c r="F3274" s="13"/>
      <c r="M3274" s="13"/>
    </row>
    <row r="3275">
      <c r="F3275" s="13"/>
      <c r="M3275" s="13"/>
    </row>
    <row r="3276">
      <c r="F3276" s="13"/>
      <c r="M3276" s="13"/>
    </row>
    <row r="3277">
      <c r="F3277" s="13"/>
      <c r="M3277" s="13"/>
    </row>
    <row r="3278">
      <c r="F3278" s="13"/>
      <c r="M3278" s="13"/>
    </row>
    <row r="3279">
      <c r="F3279" s="13"/>
      <c r="M3279" s="13"/>
    </row>
    <row r="3280">
      <c r="F3280" s="13"/>
      <c r="M3280" s="13"/>
    </row>
    <row r="3281">
      <c r="F3281" s="13"/>
      <c r="M3281" s="13"/>
    </row>
    <row r="3282">
      <c r="F3282" s="13"/>
      <c r="M3282" s="13"/>
    </row>
    <row r="3283">
      <c r="F3283" s="13"/>
      <c r="M3283" s="13"/>
    </row>
    <row r="3284">
      <c r="F3284" s="13"/>
      <c r="M3284" s="13"/>
    </row>
    <row r="3285">
      <c r="F3285" s="13"/>
      <c r="M3285" s="13"/>
    </row>
    <row r="3286">
      <c r="F3286" s="13"/>
      <c r="M3286" s="13"/>
    </row>
    <row r="3287">
      <c r="F3287" s="13"/>
      <c r="M3287" s="13"/>
    </row>
    <row r="3288">
      <c r="F3288" s="13"/>
      <c r="M3288" s="13"/>
    </row>
    <row r="3289">
      <c r="F3289" s="13"/>
      <c r="M3289" s="13"/>
    </row>
    <row r="3290">
      <c r="F3290" s="13"/>
      <c r="M3290" s="13"/>
    </row>
    <row r="3291">
      <c r="F3291" s="13"/>
      <c r="M3291" s="13"/>
    </row>
    <row r="3292">
      <c r="F3292" s="13"/>
      <c r="M3292" s="13"/>
    </row>
    <row r="3293">
      <c r="F3293" s="13"/>
      <c r="M3293" s="13"/>
    </row>
    <row r="3294">
      <c r="F3294" s="13"/>
      <c r="M3294" s="13"/>
    </row>
    <row r="3295">
      <c r="F3295" s="13"/>
      <c r="M3295" s="13"/>
    </row>
    <row r="3296">
      <c r="F3296" s="13"/>
      <c r="M3296" s="13"/>
    </row>
    <row r="3297">
      <c r="F3297" s="13"/>
      <c r="M3297" s="13"/>
    </row>
    <row r="3298">
      <c r="F3298" s="13"/>
      <c r="M3298" s="13"/>
    </row>
    <row r="3299">
      <c r="F3299" s="13"/>
      <c r="M3299" s="13"/>
    </row>
    <row r="3300">
      <c r="F3300" s="13"/>
      <c r="M3300" s="13"/>
    </row>
    <row r="3301">
      <c r="F3301" s="13"/>
      <c r="M3301" s="13"/>
    </row>
    <row r="3302">
      <c r="F3302" s="13"/>
      <c r="M3302" s="13"/>
    </row>
    <row r="3303">
      <c r="F3303" s="13"/>
      <c r="M3303" s="13"/>
    </row>
    <row r="3304">
      <c r="F3304" s="13"/>
      <c r="M3304" s="13"/>
    </row>
    <row r="3305">
      <c r="F3305" s="13"/>
      <c r="M3305" s="13"/>
    </row>
    <row r="3306">
      <c r="F3306" s="13"/>
      <c r="M3306" s="13"/>
    </row>
    <row r="3307">
      <c r="F3307" s="13"/>
      <c r="M3307" s="13"/>
    </row>
    <row r="3308">
      <c r="F3308" s="13"/>
      <c r="M3308" s="13"/>
    </row>
    <row r="3309">
      <c r="F3309" s="13"/>
      <c r="M3309" s="13"/>
    </row>
    <row r="3310">
      <c r="F3310" s="13"/>
      <c r="M3310" s="13"/>
    </row>
    <row r="3311">
      <c r="F3311" s="13"/>
      <c r="M3311" s="13"/>
    </row>
    <row r="3312">
      <c r="F3312" s="13"/>
      <c r="M3312" s="13"/>
    </row>
    <row r="3313">
      <c r="F3313" s="13"/>
      <c r="M3313" s="13"/>
    </row>
    <row r="3314">
      <c r="F3314" s="13"/>
      <c r="M3314" s="13"/>
    </row>
    <row r="3315">
      <c r="F3315" s="13"/>
      <c r="M3315" s="13"/>
    </row>
    <row r="3316">
      <c r="F3316" s="13"/>
      <c r="M3316" s="13"/>
    </row>
    <row r="3317">
      <c r="F3317" s="13"/>
      <c r="M3317" s="13"/>
    </row>
    <row r="3318">
      <c r="F3318" s="13"/>
      <c r="M3318" s="13"/>
    </row>
    <row r="3319">
      <c r="F3319" s="13"/>
      <c r="M3319" s="13"/>
    </row>
    <row r="3320">
      <c r="F3320" s="13"/>
      <c r="M3320" s="13"/>
    </row>
    <row r="3321">
      <c r="F3321" s="13"/>
      <c r="M3321" s="13"/>
    </row>
    <row r="3322">
      <c r="F3322" s="13"/>
      <c r="M3322" s="13"/>
    </row>
    <row r="3323">
      <c r="F3323" s="13"/>
      <c r="M3323" s="13"/>
    </row>
    <row r="3324">
      <c r="F3324" s="13"/>
      <c r="M3324" s="13"/>
    </row>
    <row r="3325">
      <c r="F3325" s="13"/>
      <c r="M3325" s="13"/>
    </row>
    <row r="3326">
      <c r="F3326" s="13"/>
      <c r="M3326" s="13"/>
    </row>
    <row r="3327">
      <c r="F3327" s="13"/>
      <c r="M3327" s="13"/>
    </row>
    <row r="3328">
      <c r="F3328" s="13"/>
      <c r="M3328" s="13"/>
    </row>
    <row r="3329">
      <c r="F3329" s="13"/>
      <c r="M3329" s="13"/>
    </row>
    <row r="3330">
      <c r="F3330" s="13"/>
      <c r="M3330" s="13"/>
    </row>
    <row r="3331">
      <c r="F3331" s="13"/>
      <c r="M3331" s="13"/>
    </row>
    <row r="3332">
      <c r="F3332" s="13"/>
      <c r="M3332" s="13"/>
    </row>
    <row r="3333">
      <c r="F3333" s="13"/>
      <c r="M3333" s="13"/>
    </row>
    <row r="3334">
      <c r="F3334" s="13"/>
      <c r="M3334" s="13"/>
    </row>
    <row r="3335">
      <c r="F3335" s="13"/>
      <c r="M3335" s="13"/>
    </row>
    <row r="3336">
      <c r="F3336" s="13"/>
      <c r="M3336" s="13"/>
    </row>
    <row r="3337">
      <c r="F3337" s="13"/>
      <c r="M3337" s="13"/>
    </row>
    <row r="3338">
      <c r="F3338" s="13"/>
      <c r="M3338" s="13"/>
    </row>
    <row r="3339">
      <c r="F3339" s="13"/>
      <c r="M3339" s="13"/>
    </row>
    <row r="3340">
      <c r="F3340" s="13"/>
      <c r="M3340" s="13"/>
    </row>
    <row r="3341">
      <c r="F3341" s="13"/>
      <c r="M3341" s="13"/>
    </row>
    <row r="3342">
      <c r="F3342" s="13"/>
      <c r="M3342" s="13"/>
    </row>
    <row r="3343">
      <c r="F3343" s="13"/>
      <c r="M3343" s="13"/>
    </row>
    <row r="3344">
      <c r="F3344" s="13"/>
      <c r="M3344" s="13"/>
    </row>
    <row r="3345">
      <c r="F3345" s="13"/>
      <c r="M3345" s="13"/>
    </row>
    <row r="3346">
      <c r="F3346" s="13"/>
      <c r="M3346" s="13"/>
    </row>
    <row r="3347">
      <c r="F3347" s="13"/>
      <c r="M3347" s="13"/>
    </row>
    <row r="3348">
      <c r="F3348" s="13"/>
      <c r="M3348" s="13"/>
    </row>
    <row r="3349">
      <c r="F3349" s="13"/>
      <c r="M3349" s="13"/>
    </row>
    <row r="3350">
      <c r="F3350" s="13"/>
      <c r="M3350" s="13"/>
    </row>
    <row r="3351">
      <c r="F3351" s="13"/>
      <c r="M3351" s="13"/>
    </row>
    <row r="3352">
      <c r="F3352" s="13"/>
      <c r="M3352" s="13"/>
    </row>
    <row r="3353">
      <c r="F3353" s="13"/>
      <c r="M3353" s="13"/>
    </row>
    <row r="3354">
      <c r="F3354" s="13"/>
      <c r="M3354" s="13"/>
    </row>
    <row r="3355">
      <c r="F3355" s="13"/>
      <c r="M3355" s="13"/>
    </row>
    <row r="3356">
      <c r="F3356" s="13"/>
      <c r="M3356" s="13"/>
    </row>
    <row r="3357">
      <c r="F3357" s="13"/>
      <c r="M3357" s="13"/>
    </row>
    <row r="3358">
      <c r="F3358" s="13"/>
      <c r="M3358" s="13"/>
    </row>
    <row r="3359">
      <c r="F3359" s="13"/>
      <c r="M3359" s="13"/>
    </row>
    <row r="3360">
      <c r="F3360" s="13"/>
      <c r="M3360" s="13"/>
    </row>
    <row r="3361">
      <c r="F3361" s="13"/>
      <c r="M3361" s="13"/>
    </row>
    <row r="3362">
      <c r="F3362" s="13"/>
      <c r="M3362" s="13"/>
    </row>
    <row r="3363">
      <c r="F3363" s="13"/>
      <c r="M3363" s="13"/>
    </row>
    <row r="3364">
      <c r="F3364" s="13"/>
      <c r="M3364" s="13"/>
    </row>
    <row r="3365">
      <c r="F3365" s="13"/>
      <c r="M3365" s="13"/>
    </row>
    <row r="3366">
      <c r="F3366" s="13"/>
      <c r="M3366" s="13"/>
    </row>
    <row r="3367">
      <c r="F3367" s="13"/>
      <c r="M3367" s="13"/>
    </row>
    <row r="3368">
      <c r="F3368" s="13"/>
      <c r="M3368" s="13"/>
    </row>
    <row r="3369">
      <c r="F3369" s="13"/>
      <c r="M3369" s="13"/>
    </row>
    <row r="3370">
      <c r="F3370" s="13"/>
      <c r="M3370" s="13"/>
    </row>
    <row r="3371">
      <c r="F3371" s="13"/>
      <c r="M3371" s="13"/>
    </row>
    <row r="3372">
      <c r="F3372" s="13"/>
      <c r="M3372" s="13"/>
    </row>
    <row r="3373">
      <c r="F3373" s="13"/>
      <c r="M3373" s="13"/>
    </row>
    <row r="3374">
      <c r="F3374" s="13"/>
      <c r="M3374" s="13"/>
    </row>
    <row r="3375">
      <c r="F3375" s="13"/>
      <c r="M3375" s="13"/>
    </row>
    <row r="3376">
      <c r="F3376" s="13"/>
      <c r="M3376" s="13"/>
    </row>
    <row r="3377">
      <c r="F3377" s="13"/>
      <c r="M3377" s="13"/>
    </row>
    <row r="3378">
      <c r="F3378" s="13"/>
      <c r="M3378" s="13"/>
    </row>
    <row r="3379">
      <c r="F3379" s="13"/>
      <c r="M3379" s="13"/>
    </row>
    <row r="3380">
      <c r="F3380" s="13"/>
      <c r="M3380" s="13"/>
    </row>
    <row r="3381">
      <c r="F3381" s="13"/>
      <c r="M3381" s="13"/>
    </row>
    <row r="3382">
      <c r="F3382" s="13"/>
      <c r="M3382" s="13"/>
    </row>
    <row r="3383">
      <c r="F3383" s="13"/>
      <c r="M3383" s="13"/>
    </row>
    <row r="3384">
      <c r="F3384" s="13"/>
      <c r="M3384" s="13"/>
    </row>
    <row r="3385">
      <c r="F3385" s="13"/>
      <c r="M3385" s="13"/>
    </row>
    <row r="3386">
      <c r="F3386" s="13"/>
      <c r="M3386" s="13"/>
    </row>
    <row r="3387">
      <c r="F3387" s="13"/>
      <c r="M3387" s="13"/>
    </row>
    <row r="3388">
      <c r="F3388" s="13"/>
      <c r="M3388" s="13"/>
    </row>
    <row r="3389">
      <c r="F3389" s="13"/>
      <c r="M3389" s="13"/>
    </row>
    <row r="3390">
      <c r="F3390" s="13"/>
      <c r="M3390" s="13"/>
    </row>
    <row r="3391">
      <c r="F3391" s="13"/>
      <c r="M3391" s="13"/>
    </row>
    <row r="3392">
      <c r="F3392" s="13"/>
      <c r="M3392" s="13"/>
    </row>
    <row r="3393">
      <c r="F3393" s="13"/>
      <c r="M3393" s="13"/>
    </row>
    <row r="3394">
      <c r="F3394" s="13"/>
      <c r="M3394" s="13"/>
    </row>
    <row r="3395">
      <c r="F3395" s="13"/>
      <c r="M3395" s="13"/>
    </row>
    <row r="3396">
      <c r="F3396" s="13"/>
      <c r="M3396" s="13"/>
    </row>
    <row r="3397">
      <c r="F3397" s="13"/>
      <c r="M3397" s="13"/>
    </row>
    <row r="3398">
      <c r="F3398" s="13"/>
      <c r="M3398" s="13"/>
    </row>
    <row r="3399">
      <c r="F3399" s="13"/>
      <c r="M3399" s="13"/>
    </row>
    <row r="3400">
      <c r="F3400" s="13"/>
      <c r="M3400" s="13"/>
    </row>
    <row r="3401">
      <c r="F3401" s="13"/>
      <c r="M3401" s="13"/>
    </row>
    <row r="3402">
      <c r="F3402" s="13"/>
      <c r="M3402" s="13"/>
    </row>
    <row r="3403">
      <c r="F3403" s="13"/>
      <c r="M3403" s="13"/>
    </row>
    <row r="3404">
      <c r="F3404" s="13"/>
      <c r="M3404" s="13"/>
    </row>
    <row r="3405">
      <c r="F3405" s="13"/>
      <c r="M3405" s="13"/>
    </row>
    <row r="3406">
      <c r="F3406" s="13"/>
      <c r="M3406" s="13"/>
    </row>
    <row r="3407">
      <c r="F3407" s="13"/>
      <c r="M3407" s="13"/>
    </row>
    <row r="3408">
      <c r="F3408" s="13"/>
      <c r="M3408" s="13"/>
    </row>
    <row r="3409">
      <c r="F3409" s="13"/>
      <c r="M3409" s="13"/>
    </row>
    <row r="3410">
      <c r="F3410" s="13"/>
      <c r="M3410" s="13"/>
    </row>
    <row r="3411">
      <c r="F3411" s="13"/>
      <c r="M3411" s="13"/>
    </row>
    <row r="3412">
      <c r="F3412" s="13"/>
      <c r="M3412" s="13"/>
    </row>
    <row r="3413">
      <c r="F3413" s="13"/>
      <c r="M3413" s="13"/>
    </row>
    <row r="3414">
      <c r="F3414" s="13"/>
      <c r="M3414" s="13"/>
    </row>
    <row r="3415">
      <c r="F3415" s="13"/>
      <c r="M3415" s="13"/>
    </row>
    <row r="3416">
      <c r="F3416" s="13"/>
      <c r="M3416" s="13"/>
    </row>
    <row r="3417">
      <c r="F3417" s="13"/>
      <c r="M3417" s="13"/>
    </row>
    <row r="3418">
      <c r="F3418" s="13"/>
      <c r="M3418" s="13"/>
    </row>
    <row r="3419">
      <c r="F3419" s="13"/>
      <c r="M3419" s="13"/>
    </row>
    <row r="3420">
      <c r="F3420" s="13"/>
      <c r="M3420" s="13"/>
    </row>
    <row r="3421">
      <c r="F3421" s="13"/>
      <c r="M3421" s="13"/>
    </row>
    <row r="3422">
      <c r="F3422" s="13"/>
      <c r="M3422" s="13"/>
    </row>
    <row r="3423">
      <c r="F3423" s="13"/>
      <c r="M3423" s="13"/>
    </row>
    <row r="3424">
      <c r="F3424" s="13"/>
      <c r="M3424" s="13"/>
    </row>
    <row r="3425">
      <c r="F3425" s="13"/>
      <c r="M3425" s="13"/>
    </row>
    <row r="3426">
      <c r="F3426" s="13"/>
      <c r="M3426" s="13"/>
    </row>
    <row r="3427">
      <c r="F3427" s="13"/>
      <c r="M3427" s="13"/>
    </row>
    <row r="3428">
      <c r="F3428" s="13"/>
      <c r="M3428" s="13"/>
    </row>
    <row r="3429">
      <c r="F3429" s="13"/>
      <c r="M3429" s="13"/>
    </row>
    <row r="3430">
      <c r="F3430" s="13"/>
      <c r="M3430" s="13"/>
    </row>
    <row r="3431">
      <c r="F3431" s="13"/>
      <c r="M3431" s="13"/>
    </row>
    <row r="3432">
      <c r="F3432" s="13"/>
      <c r="M3432" s="13"/>
    </row>
    <row r="3433">
      <c r="F3433" s="13"/>
      <c r="M3433" s="13"/>
    </row>
    <row r="3434">
      <c r="F3434" s="13"/>
      <c r="M3434" s="13"/>
    </row>
    <row r="3435">
      <c r="F3435" s="13"/>
      <c r="M3435" s="13"/>
    </row>
    <row r="3436">
      <c r="F3436" s="13"/>
      <c r="M3436" s="13"/>
    </row>
    <row r="3437">
      <c r="F3437" s="13"/>
      <c r="M3437" s="13"/>
    </row>
    <row r="3438">
      <c r="F3438" s="13"/>
      <c r="M3438" s="13"/>
    </row>
    <row r="3439">
      <c r="F3439" s="13"/>
      <c r="M3439" s="13"/>
    </row>
    <row r="3440">
      <c r="F3440" s="13"/>
      <c r="M3440" s="13"/>
    </row>
    <row r="3441">
      <c r="F3441" s="13"/>
      <c r="M3441" s="13"/>
    </row>
    <row r="3442">
      <c r="F3442" s="13"/>
      <c r="M3442" s="13"/>
    </row>
    <row r="3443">
      <c r="F3443" s="13"/>
      <c r="M3443" s="13"/>
    </row>
    <row r="3444">
      <c r="F3444" s="13"/>
      <c r="M3444" s="13"/>
    </row>
    <row r="3445">
      <c r="F3445" s="13"/>
      <c r="M3445" s="13"/>
    </row>
    <row r="3446">
      <c r="F3446" s="13"/>
      <c r="M3446" s="13"/>
    </row>
    <row r="3447">
      <c r="F3447" s="13"/>
      <c r="M3447" s="13"/>
    </row>
    <row r="3448">
      <c r="F3448" s="13"/>
      <c r="M3448" s="13"/>
    </row>
    <row r="3449">
      <c r="F3449" s="13"/>
      <c r="M3449" s="13"/>
    </row>
    <row r="3450">
      <c r="F3450" s="13"/>
      <c r="M3450" s="13"/>
    </row>
    <row r="3451">
      <c r="F3451" s="13"/>
      <c r="M3451" s="13"/>
    </row>
    <row r="3452">
      <c r="F3452" s="13"/>
      <c r="M3452" s="13"/>
    </row>
    <row r="3453">
      <c r="F3453" s="13"/>
      <c r="M3453" s="13"/>
    </row>
    <row r="3454">
      <c r="F3454" s="13"/>
      <c r="M3454" s="13"/>
    </row>
    <row r="3455">
      <c r="F3455" s="13"/>
      <c r="M3455" s="13"/>
    </row>
    <row r="3456">
      <c r="F3456" s="13"/>
      <c r="M3456" s="13"/>
    </row>
    <row r="3457">
      <c r="F3457" s="13"/>
      <c r="M3457" s="13"/>
    </row>
    <row r="3458">
      <c r="F3458" s="13"/>
      <c r="M3458" s="13"/>
    </row>
    <row r="3459">
      <c r="F3459" s="13"/>
      <c r="M3459" s="13"/>
    </row>
    <row r="3460">
      <c r="F3460" s="13"/>
      <c r="M3460" s="13"/>
    </row>
    <row r="3461">
      <c r="F3461" s="13"/>
      <c r="M3461" s="13"/>
    </row>
    <row r="3462">
      <c r="F3462" s="13"/>
      <c r="M3462" s="13"/>
    </row>
    <row r="3463">
      <c r="F3463" s="13"/>
      <c r="M3463" s="13"/>
    </row>
    <row r="3464">
      <c r="F3464" s="13"/>
      <c r="M3464" s="13"/>
    </row>
    <row r="3465">
      <c r="F3465" s="13"/>
      <c r="M3465" s="13"/>
    </row>
    <row r="3466">
      <c r="F3466" s="13"/>
      <c r="M3466" s="13"/>
    </row>
    <row r="3467">
      <c r="F3467" s="13"/>
      <c r="M3467" s="13"/>
    </row>
    <row r="3468">
      <c r="F3468" s="13"/>
      <c r="M3468" s="13"/>
    </row>
    <row r="3469">
      <c r="F3469" s="13"/>
      <c r="M3469" s="13"/>
    </row>
    <row r="3470">
      <c r="F3470" s="13"/>
      <c r="M3470" s="13"/>
    </row>
    <row r="3471">
      <c r="F3471" s="13"/>
      <c r="M3471" s="13"/>
    </row>
    <row r="3472">
      <c r="F3472" s="13"/>
      <c r="M3472" s="13"/>
    </row>
    <row r="3473">
      <c r="F3473" s="13"/>
      <c r="M3473" s="13"/>
    </row>
    <row r="3474">
      <c r="F3474" s="13"/>
      <c r="M3474" s="13"/>
    </row>
    <row r="3475">
      <c r="F3475" s="13"/>
      <c r="M3475" s="13"/>
    </row>
    <row r="3476">
      <c r="F3476" s="13"/>
      <c r="M3476" s="13"/>
    </row>
    <row r="3477">
      <c r="F3477" s="13"/>
      <c r="M3477" s="13"/>
    </row>
    <row r="3478">
      <c r="F3478" s="13"/>
      <c r="M3478" s="13"/>
    </row>
    <row r="3479">
      <c r="F3479" s="13"/>
      <c r="M3479" s="13"/>
    </row>
    <row r="3480">
      <c r="F3480" s="13"/>
      <c r="M3480" s="13"/>
    </row>
    <row r="3481">
      <c r="F3481" s="13"/>
      <c r="M3481" s="13"/>
    </row>
    <row r="3482">
      <c r="F3482" s="13"/>
      <c r="M3482" s="13"/>
    </row>
    <row r="3483">
      <c r="F3483" s="13"/>
      <c r="M3483" s="13"/>
    </row>
    <row r="3484">
      <c r="F3484" s="13"/>
      <c r="M3484" s="13"/>
    </row>
    <row r="3485">
      <c r="F3485" s="13"/>
      <c r="M3485" s="13"/>
    </row>
    <row r="3486">
      <c r="F3486" s="13"/>
      <c r="M3486" s="13"/>
    </row>
    <row r="3487">
      <c r="F3487" s="13"/>
      <c r="M3487" s="13"/>
    </row>
    <row r="3488">
      <c r="F3488" s="13"/>
      <c r="M3488" s="13"/>
    </row>
    <row r="3489">
      <c r="F3489" s="13"/>
      <c r="M3489" s="13"/>
    </row>
    <row r="3490">
      <c r="F3490" s="13"/>
      <c r="M3490" s="13"/>
    </row>
    <row r="3491">
      <c r="F3491" s="13"/>
      <c r="M3491" s="13"/>
    </row>
    <row r="3492">
      <c r="F3492" s="13"/>
      <c r="M3492" s="13"/>
    </row>
    <row r="3493">
      <c r="F3493" s="13"/>
      <c r="M3493" s="13"/>
    </row>
    <row r="3494">
      <c r="F3494" s="13"/>
      <c r="M3494" s="13"/>
    </row>
    <row r="3495">
      <c r="F3495" s="13"/>
      <c r="M3495" s="13"/>
    </row>
    <row r="3496">
      <c r="F3496" s="13"/>
      <c r="M3496" s="13"/>
    </row>
    <row r="3497">
      <c r="F3497" s="13"/>
      <c r="M3497" s="13"/>
    </row>
    <row r="3498">
      <c r="F3498" s="13"/>
      <c r="M3498" s="13"/>
    </row>
    <row r="3499">
      <c r="F3499" s="13"/>
      <c r="M3499" s="13"/>
    </row>
    <row r="3500">
      <c r="F3500" s="13"/>
      <c r="M3500" s="13"/>
    </row>
    <row r="3501">
      <c r="F3501" s="13"/>
      <c r="M3501" s="13"/>
    </row>
    <row r="3502">
      <c r="F3502" s="13"/>
      <c r="M3502" s="13"/>
    </row>
    <row r="3503">
      <c r="F3503" s="13"/>
      <c r="M3503" s="13"/>
    </row>
    <row r="3504">
      <c r="F3504" s="13"/>
      <c r="M3504" s="13"/>
    </row>
    <row r="3505">
      <c r="F3505" s="13"/>
      <c r="M3505" s="13"/>
    </row>
    <row r="3506">
      <c r="F3506" s="13"/>
      <c r="M3506" s="13"/>
    </row>
    <row r="3507">
      <c r="F3507" s="13"/>
      <c r="M3507" s="13"/>
    </row>
    <row r="3508">
      <c r="F3508" s="13"/>
      <c r="M3508" s="13"/>
    </row>
    <row r="3509">
      <c r="F3509" s="13"/>
      <c r="M3509" s="13"/>
    </row>
    <row r="3510">
      <c r="F3510" s="13"/>
      <c r="M3510" s="13"/>
    </row>
    <row r="3511">
      <c r="F3511" s="13"/>
      <c r="M3511" s="13"/>
    </row>
    <row r="3512">
      <c r="F3512" s="13"/>
      <c r="M3512" s="13"/>
    </row>
    <row r="3513">
      <c r="F3513" s="13"/>
      <c r="M3513" s="13"/>
    </row>
    <row r="3514">
      <c r="F3514" s="13"/>
      <c r="M3514" s="13"/>
    </row>
    <row r="3515">
      <c r="F3515" s="13"/>
      <c r="M3515" s="13"/>
    </row>
    <row r="3516">
      <c r="F3516" s="13"/>
      <c r="M3516" s="13"/>
    </row>
    <row r="3517">
      <c r="F3517" s="13"/>
      <c r="M3517" s="13"/>
    </row>
    <row r="3518">
      <c r="F3518" s="13"/>
      <c r="M3518" s="13"/>
    </row>
    <row r="3519">
      <c r="F3519" s="13"/>
      <c r="M3519" s="13"/>
    </row>
    <row r="3520">
      <c r="F3520" s="13"/>
      <c r="M3520" s="13"/>
    </row>
    <row r="3521">
      <c r="F3521" s="13"/>
      <c r="M3521" s="13"/>
    </row>
    <row r="3522">
      <c r="F3522" s="13"/>
      <c r="M3522" s="13"/>
    </row>
    <row r="3523">
      <c r="F3523" s="13"/>
      <c r="M3523" s="13"/>
    </row>
    <row r="3524">
      <c r="F3524" s="13"/>
      <c r="M3524" s="13"/>
    </row>
    <row r="3525">
      <c r="F3525" s="13"/>
      <c r="M3525" s="13"/>
    </row>
    <row r="3526">
      <c r="F3526" s="13"/>
      <c r="M3526" s="13"/>
    </row>
    <row r="3527">
      <c r="F3527" s="13"/>
      <c r="M3527" s="13"/>
    </row>
    <row r="3528">
      <c r="F3528" s="13"/>
      <c r="M3528" s="13"/>
    </row>
    <row r="3529">
      <c r="F3529" s="13"/>
      <c r="M3529" s="13"/>
    </row>
    <row r="3530">
      <c r="F3530" s="13"/>
      <c r="M3530" s="13"/>
    </row>
    <row r="3531">
      <c r="F3531" s="13"/>
      <c r="M3531" s="13"/>
    </row>
    <row r="3532">
      <c r="F3532" s="13"/>
      <c r="M3532" s="13"/>
    </row>
    <row r="3533">
      <c r="F3533" s="13"/>
      <c r="M3533" s="13"/>
    </row>
    <row r="3534">
      <c r="F3534" s="13"/>
      <c r="M3534" s="13"/>
    </row>
    <row r="3535">
      <c r="F3535" s="13"/>
      <c r="M3535" s="13"/>
    </row>
    <row r="3536">
      <c r="F3536" s="13"/>
      <c r="M3536" s="13"/>
    </row>
    <row r="3537">
      <c r="F3537" s="13"/>
      <c r="M3537" s="13"/>
    </row>
    <row r="3538">
      <c r="F3538" s="13"/>
      <c r="M3538" s="13"/>
    </row>
    <row r="3539">
      <c r="F3539" s="13"/>
      <c r="M3539" s="13"/>
    </row>
    <row r="3540">
      <c r="F3540" s="13"/>
      <c r="M3540" s="13"/>
    </row>
    <row r="3541">
      <c r="F3541" s="13"/>
      <c r="M3541" s="13"/>
    </row>
    <row r="3542">
      <c r="F3542" s="13"/>
      <c r="M3542" s="13"/>
    </row>
    <row r="3543">
      <c r="F3543" s="13"/>
      <c r="M3543" s="13"/>
    </row>
    <row r="3544">
      <c r="F3544" s="13"/>
      <c r="M3544" s="13"/>
    </row>
    <row r="3545">
      <c r="F3545" s="13"/>
      <c r="M3545" s="13"/>
    </row>
    <row r="3546">
      <c r="F3546" s="13"/>
      <c r="M3546" s="13"/>
    </row>
    <row r="3547">
      <c r="F3547" s="13"/>
      <c r="M3547" s="13"/>
    </row>
    <row r="3548">
      <c r="F3548" s="13"/>
      <c r="M3548" s="13"/>
    </row>
    <row r="3549">
      <c r="F3549" s="13"/>
      <c r="M3549" s="13"/>
    </row>
    <row r="3550">
      <c r="F3550" s="13"/>
      <c r="M3550" s="13"/>
    </row>
    <row r="3551">
      <c r="F3551" s="13"/>
      <c r="M3551" s="13"/>
    </row>
    <row r="3552">
      <c r="F3552" s="13"/>
      <c r="M3552" s="13"/>
    </row>
    <row r="3553">
      <c r="F3553" s="13"/>
      <c r="M3553" s="13"/>
    </row>
    <row r="3554">
      <c r="F3554" s="13"/>
      <c r="M3554" s="13"/>
    </row>
    <row r="3555">
      <c r="F3555" s="13"/>
      <c r="M3555" s="13"/>
    </row>
    <row r="3556">
      <c r="F3556" s="13"/>
      <c r="M3556" s="13"/>
    </row>
    <row r="3557">
      <c r="F3557" s="13"/>
      <c r="M3557" s="13"/>
    </row>
    <row r="3558">
      <c r="F3558" s="13"/>
      <c r="M3558" s="13"/>
    </row>
    <row r="3559">
      <c r="F3559" s="13"/>
      <c r="M3559" s="13"/>
    </row>
    <row r="3560">
      <c r="F3560" s="13"/>
      <c r="M3560" s="13"/>
    </row>
    <row r="3561">
      <c r="F3561" s="13"/>
      <c r="M3561" s="13"/>
    </row>
    <row r="3562">
      <c r="F3562" s="13"/>
      <c r="M3562" s="13"/>
    </row>
    <row r="3563">
      <c r="F3563" s="13"/>
      <c r="M3563" s="13"/>
    </row>
    <row r="3564">
      <c r="F3564" s="13"/>
      <c r="M3564" s="13"/>
    </row>
    <row r="3565">
      <c r="F3565" s="13"/>
      <c r="M3565" s="13"/>
    </row>
    <row r="3566">
      <c r="F3566" s="13"/>
      <c r="M3566" s="13"/>
    </row>
    <row r="3567">
      <c r="F3567" s="13"/>
      <c r="M3567" s="13"/>
    </row>
    <row r="3568">
      <c r="F3568" s="13"/>
      <c r="M3568" s="13"/>
    </row>
    <row r="3569">
      <c r="F3569" s="13"/>
      <c r="M3569" s="13"/>
    </row>
    <row r="3570">
      <c r="F3570" s="13"/>
      <c r="M3570" s="13"/>
    </row>
    <row r="3571">
      <c r="F3571" s="13"/>
      <c r="M3571" s="13"/>
    </row>
    <row r="3572">
      <c r="F3572" s="13"/>
      <c r="M3572" s="13"/>
    </row>
    <row r="3573">
      <c r="F3573" s="13"/>
      <c r="M3573" s="13"/>
    </row>
    <row r="3574">
      <c r="F3574" s="13"/>
      <c r="M3574" s="13"/>
    </row>
    <row r="3575">
      <c r="F3575" s="13"/>
      <c r="M3575" s="13"/>
    </row>
    <row r="3576">
      <c r="F3576" s="13"/>
      <c r="M3576" s="13"/>
    </row>
    <row r="3577">
      <c r="F3577" s="13"/>
      <c r="M3577" s="13"/>
    </row>
    <row r="3578">
      <c r="F3578" s="13"/>
      <c r="M3578" s="13"/>
    </row>
    <row r="3579">
      <c r="F3579" s="13"/>
      <c r="M3579" s="13"/>
    </row>
    <row r="3580">
      <c r="F3580" s="13"/>
      <c r="M3580" s="13"/>
    </row>
    <row r="3581">
      <c r="F3581" s="13"/>
      <c r="M3581" s="13"/>
    </row>
    <row r="3582">
      <c r="F3582" s="13"/>
      <c r="M3582" s="13"/>
    </row>
    <row r="3583">
      <c r="F3583" s="13"/>
      <c r="M3583" s="13"/>
    </row>
    <row r="3584">
      <c r="F3584" s="13"/>
      <c r="M3584" s="13"/>
    </row>
    <row r="3585">
      <c r="F3585" s="13"/>
      <c r="M3585" s="13"/>
    </row>
    <row r="3586">
      <c r="F3586" s="13"/>
      <c r="M3586" s="13"/>
    </row>
    <row r="3587">
      <c r="F3587" s="13"/>
      <c r="M3587" s="13"/>
    </row>
    <row r="3588">
      <c r="F3588" s="13"/>
      <c r="M3588" s="13"/>
    </row>
    <row r="3589">
      <c r="F3589" s="13"/>
      <c r="M3589" s="13"/>
    </row>
    <row r="3590">
      <c r="F3590" s="13"/>
      <c r="M3590" s="13"/>
    </row>
    <row r="3591">
      <c r="F3591" s="13"/>
      <c r="M3591" s="13"/>
    </row>
    <row r="3592">
      <c r="F3592" s="13"/>
      <c r="M3592" s="13"/>
    </row>
    <row r="3593">
      <c r="F3593" s="13"/>
      <c r="M3593" s="13"/>
    </row>
    <row r="3594">
      <c r="F3594" s="13"/>
      <c r="M3594" s="13"/>
    </row>
    <row r="3595">
      <c r="F3595" s="13"/>
      <c r="M3595" s="13"/>
    </row>
    <row r="3596">
      <c r="F3596" s="13"/>
      <c r="M3596" s="13"/>
    </row>
    <row r="3597">
      <c r="F3597" s="13"/>
      <c r="M3597" s="13"/>
    </row>
    <row r="3598">
      <c r="F3598" s="13"/>
      <c r="M3598" s="13"/>
    </row>
    <row r="3599">
      <c r="F3599" s="13"/>
      <c r="M3599" s="13"/>
    </row>
    <row r="3600">
      <c r="F3600" s="13"/>
      <c r="M3600" s="13"/>
    </row>
    <row r="3601">
      <c r="F3601" s="13"/>
      <c r="M3601" s="13"/>
    </row>
    <row r="3602">
      <c r="F3602" s="13"/>
      <c r="M3602" s="13"/>
    </row>
    <row r="3603">
      <c r="F3603" s="13"/>
      <c r="M3603" s="13"/>
    </row>
    <row r="3604">
      <c r="F3604" s="13"/>
      <c r="M3604" s="13"/>
    </row>
    <row r="3605">
      <c r="F3605" s="13"/>
      <c r="M3605" s="13"/>
    </row>
    <row r="3606">
      <c r="F3606" s="13"/>
      <c r="M3606" s="13"/>
    </row>
    <row r="3607">
      <c r="F3607" s="13"/>
      <c r="M3607" s="13"/>
    </row>
    <row r="3608">
      <c r="F3608" s="13"/>
      <c r="M3608" s="13"/>
    </row>
    <row r="3609">
      <c r="F3609" s="13"/>
      <c r="M3609" s="13"/>
    </row>
    <row r="3610">
      <c r="F3610" s="13"/>
      <c r="M3610" s="13"/>
    </row>
    <row r="3611">
      <c r="F3611" s="13"/>
      <c r="M3611" s="13"/>
    </row>
    <row r="3612">
      <c r="F3612" s="13"/>
      <c r="M3612" s="13"/>
    </row>
    <row r="3613">
      <c r="F3613" s="13"/>
      <c r="M3613" s="13"/>
    </row>
    <row r="3614">
      <c r="F3614" s="13"/>
      <c r="M3614" s="13"/>
    </row>
    <row r="3615">
      <c r="F3615" s="13"/>
      <c r="M3615" s="13"/>
    </row>
    <row r="3616">
      <c r="F3616" s="13"/>
      <c r="M3616" s="13"/>
    </row>
    <row r="3617">
      <c r="F3617" s="13"/>
      <c r="M3617" s="13"/>
    </row>
    <row r="3618">
      <c r="F3618" s="13"/>
      <c r="M3618" s="13"/>
    </row>
    <row r="3619">
      <c r="F3619" s="13"/>
      <c r="M3619" s="13"/>
    </row>
    <row r="3620">
      <c r="F3620" s="13"/>
      <c r="M3620" s="13"/>
    </row>
    <row r="3621">
      <c r="F3621" s="13"/>
      <c r="M3621" s="13"/>
    </row>
    <row r="3622">
      <c r="F3622" s="13"/>
      <c r="M3622" s="13"/>
    </row>
    <row r="3623">
      <c r="F3623" s="13"/>
      <c r="M3623" s="13"/>
    </row>
    <row r="3624">
      <c r="F3624" s="13"/>
      <c r="M3624" s="13"/>
    </row>
    <row r="3625">
      <c r="F3625" s="13"/>
      <c r="M3625" s="13"/>
    </row>
    <row r="3626">
      <c r="F3626" s="13"/>
      <c r="M3626" s="13"/>
    </row>
    <row r="3627">
      <c r="F3627" s="13"/>
      <c r="M3627" s="13"/>
    </row>
    <row r="3628">
      <c r="F3628" s="13"/>
      <c r="M3628" s="13"/>
    </row>
    <row r="3629">
      <c r="F3629" s="13"/>
      <c r="M3629" s="13"/>
    </row>
    <row r="3630">
      <c r="F3630" s="13"/>
      <c r="M3630" s="13"/>
    </row>
    <row r="3631">
      <c r="F3631" s="13"/>
      <c r="M3631" s="13"/>
    </row>
    <row r="3632">
      <c r="F3632" s="13"/>
      <c r="M3632" s="13"/>
    </row>
    <row r="3633">
      <c r="F3633" s="13"/>
      <c r="M3633" s="13"/>
    </row>
    <row r="3634">
      <c r="F3634" s="13"/>
      <c r="M3634" s="13"/>
    </row>
    <row r="3635">
      <c r="F3635" s="13"/>
      <c r="M3635" s="13"/>
    </row>
    <row r="3636">
      <c r="F3636" s="13"/>
      <c r="M3636" s="13"/>
    </row>
    <row r="3637">
      <c r="F3637" s="13"/>
      <c r="M3637" s="13"/>
    </row>
    <row r="3638">
      <c r="F3638" s="13"/>
      <c r="M3638" s="13"/>
    </row>
    <row r="3639">
      <c r="F3639" s="13"/>
      <c r="M3639" s="13"/>
    </row>
    <row r="3640">
      <c r="F3640" s="13"/>
      <c r="M3640" s="13"/>
    </row>
    <row r="3641">
      <c r="F3641" s="13"/>
      <c r="M3641" s="13"/>
    </row>
    <row r="3642">
      <c r="F3642" s="13"/>
      <c r="M3642" s="13"/>
    </row>
    <row r="3643">
      <c r="F3643" s="13"/>
      <c r="M3643" s="13"/>
    </row>
    <row r="3644">
      <c r="F3644" s="13"/>
      <c r="M3644" s="13"/>
    </row>
    <row r="3645">
      <c r="F3645" s="13"/>
      <c r="M3645" s="13"/>
    </row>
    <row r="3646">
      <c r="F3646" s="13"/>
      <c r="M3646" s="13"/>
    </row>
    <row r="3647">
      <c r="F3647" s="13"/>
      <c r="M3647" s="13"/>
    </row>
    <row r="3648">
      <c r="F3648" s="13"/>
      <c r="M3648" s="13"/>
    </row>
    <row r="3649">
      <c r="F3649" s="13"/>
      <c r="M3649" s="13"/>
    </row>
    <row r="3650">
      <c r="F3650" s="13"/>
      <c r="M3650" s="13"/>
    </row>
    <row r="3651">
      <c r="F3651" s="13"/>
      <c r="M3651" s="13"/>
    </row>
    <row r="3652">
      <c r="F3652" s="13"/>
      <c r="M3652" s="13"/>
    </row>
    <row r="3653">
      <c r="F3653" s="13"/>
      <c r="M3653" s="13"/>
    </row>
    <row r="3654">
      <c r="F3654" s="13"/>
      <c r="M3654" s="13"/>
    </row>
    <row r="3655">
      <c r="F3655" s="13"/>
      <c r="M3655" s="13"/>
    </row>
    <row r="3656">
      <c r="F3656" s="13"/>
      <c r="M3656" s="13"/>
    </row>
    <row r="3657">
      <c r="F3657" s="13"/>
      <c r="M3657" s="13"/>
    </row>
    <row r="3658">
      <c r="F3658" s="13"/>
      <c r="M3658" s="13"/>
    </row>
    <row r="3659">
      <c r="F3659" s="13"/>
      <c r="M3659" s="13"/>
    </row>
    <row r="3660">
      <c r="F3660" s="13"/>
      <c r="M3660" s="13"/>
    </row>
    <row r="3661">
      <c r="F3661" s="13"/>
      <c r="M3661" s="13"/>
    </row>
    <row r="3662">
      <c r="F3662" s="13"/>
      <c r="M3662" s="13"/>
    </row>
    <row r="3663">
      <c r="F3663" s="13"/>
      <c r="M3663" s="13"/>
    </row>
    <row r="3664">
      <c r="F3664" s="13"/>
      <c r="M3664" s="13"/>
    </row>
    <row r="3665">
      <c r="F3665" s="13"/>
      <c r="M3665" s="13"/>
    </row>
    <row r="3666">
      <c r="F3666" s="13"/>
      <c r="M3666" s="13"/>
    </row>
    <row r="3667">
      <c r="F3667" s="13"/>
      <c r="M3667" s="13"/>
    </row>
    <row r="3668">
      <c r="F3668" s="13"/>
      <c r="M3668" s="13"/>
    </row>
    <row r="3669">
      <c r="F3669" s="13"/>
      <c r="M3669" s="13"/>
    </row>
    <row r="3670">
      <c r="F3670" s="13"/>
      <c r="M3670" s="13"/>
    </row>
    <row r="3671">
      <c r="F3671" s="13"/>
      <c r="M3671" s="13"/>
    </row>
    <row r="3672">
      <c r="F3672" s="13"/>
      <c r="M3672" s="13"/>
    </row>
    <row r="3673">
      <c r="F3673" s="13"/>
      <c r="M3673" s="13"/>
    </row>
    <row r="3674">
      <c r="F3674" s="13"/>
      <c r="M3674" s="13"/>
    </row>
    <row r="3675">
      <c r="F3675" s="13"/>
      <c r="M3675" s="13"/>
    </row>
    <row r="3676">
      <c r="F3676" s="13"/>
      <c r="M3676" s="13"/>
    </row>
    <row r="3677">
      <c r="F3677" s="13"/>
      <c r="M3677" s="13"/>
    </row>
    <row r="3678">
      <c r="F3678" s="13"/>
      <c r="M3678" s="13"/>
    </row>
    <row r="3679">
      <c r="F3679" s="13"/>
      <c r="M3679" s="13"/>
    </row>
    <row r="3680">
      <c r="F3680" s="13"/>
      <c r="M3680" s="13"/>
    </row>
    <row r="3681">
      <c r="F3681" s="13"/>
      <c r="M3681" s="13"/>
    </row>
    <row r="3682">
      <c r="F3682" s="13"/>
      <c r="M3682" s="13"/>
    </row>
    <row r="3683">
      <c r="F3683" s="13"/>
      <c r="M3683" s="13"/>
    </row>
    <row r="3684">
      <c r="F3684" s="13"/>
      <c r="M3684" s="13"/>
    </row>
    <row r="3685">
      <c r="F3685" s="13"/>
      <c r="M3685" s="13"/>
    </row>
    <row r="3686">
      <c r="F3686" s="13"/>
      <c r="M3686" s="13"/>
    </row>
    <row r="3687">
      <c r="F3687" s="13"/>
      <c r="M3687" s="13"/>
    </row>
    <row r="3688">
      <c r="F3688" s="13"/>
      <c r="M3688" s="13"/>
    </row>
    <row r="3689">
      <c r="F3689" s="13"/>
      <c r="M3689" s="13"/>
    </row>
    <row r="3690">
      <c r="F3690" s="13"/>
      <c r="M3690" s="13"/>
    </row>
    <row r="3691">
      <c r="F3691" s="13"/>
      <c r="M3691" s="13"/>
    </row>
    <row r="3692">
      <c r="F3692" s="13"/>
      <c r="M3692" s="13"/>
    </row>
    <row r="3693">
      <c r="F3693" s="13"/>
      <c r="M3693" s="13"/>
    </row>
    <row r="3694">
      <c r="F3694" s="13"/>
      <c r="M3694" s="13"/>
    </row>
    <row r="3695">
      <c r="F3695" s="13"/>
      <c r="M3695" s="13"/>
    </row>
    <row r="3696">
      <c r="F3696" s="13"/>
      <c r="M3696" s="13"/>
    </row>
    <row r="3697">
      <c r="F3697" s="13"/>
      <c r="M3697" s="13"/>
    </row>
    <row r="3698">
      <c r="F3698" s="13"/>
      <c r="M3698" s="13"/>
    </row>
    <row r="3699">
      <c r="F3699" s="13"/>
      <c r="M3699" s="13"/>
    </row>
    <row r="3700">
      <c r="F3700" s="13"/>
      <c r="M3700" s="13"/>
    </row>
    <row r="3701">
      <c r="F3701" s="13"/>
      <c r="M3701" s="13"/>
    </row>
    <row r="3702">
      <c r="F3702" s="13"/>
      <c r="M3702" s="13"/>
    </row>
    <row r="3703">
      <c r="F3703" s="13"/>
      <c r="M3703" s="13"/>
    </row>
    <row r="3704">
      <c r="F3704" s="13"/>
      <c r="M3704" s="13"/>
    </row>
    <row r="3705">
      <c r="F3705" s="13"/>
      <c r="M3705" s="13"/>
    </row>
    <row r="3706">
      <c r="F3706" s="13"/>
      <c r="M3706" s="13"/>
    </row>
    <row r="3707">
      <c r="F3707" s="13"/>
      <c r="M3707" s="13"/>
    </row>
    <row r="3708">
      <c r="F3708" s="13"/>
      <c r="M3708" s="13"/>
    </row>
    <row r="3709">
      <c r="F3709" s="13"/>
      <c r="M3709" s="13"/>
    </row>
    <row r="3710">
      <c r="F3710" s="13"/>
      <c r="M3710" s="13"/>
    </row>
    <row r="3711">
      <c r="F3711" s="13"/>
      <c r="M3711" s="13"/>
    </row>
    <row r="3712">
      <c r="F3712" s="13"/>
      <c r="M3712" s="13"/>
    </row>
    <row r="3713">
      <c r="F3713" s="13"/>
      <c r="M3713" s="13"/>
    </row>
    <row r="3714">
      <c r="F3714" s="13"/>
      <c r="M3714" s="13"/>
    </row>
    <row r="3715">
      <c r="F3715" s="13"/>
      <c r="M3715" s="13"/>
    </row>
    <row r="3716">
      <c r="F3716" s="13"/>
      <c r="M3716" s="13"/>
    </row>
    <row r="3717">
      <c r="F3717" s="13"/>
      <c r="M3717" s="13"/>
    </row>
    <row r="3718">
      <c r="F3718" s="13"/>
      <c r="M3718" s="13"/>
    </row>
    <row r="3719">
      <c r="F3719" s="13"/>
      <c r="M3719" s="13"/>
    </row>
    <row r="3720">
      <c r="F3720" s="13"/>
      <c r="M3720" s="13"/>
    </row>
    <row r="3721">
      <c r="F3721" s="13"/>
      <c r="M3721" s="13"/>
    </row>
    <row r="3722">
      <c r="F3722" s="13"/>
      <c r="M3722" s="13"/>
    </row>
    <row r="3723">
      <c r="F3723" s="13"/>
      <c r="M3723" s="13"/>
    </row>
    <row r="3724">
      <c r="F3724" s="13"/>
      <c r="M3724" s="13"/>
    </row>
    <row r="3725">
      <c r="F3725" s="13"/>
      <c r="M3725" s="13"/>
    </row>
    <row r="3726">
      <c r="F3726" s="13"/>
      <c r="M3726" s="13"/>
    </row>
    <row r="3727">
      <c r="F3727" s="13"/>
      <c r="M3727" s="13"/>
    </row>
    <row r="3728">
      <c r="F3728" s="13"/>
      <c r="M3728" s="13"/>
    </row>
    <row r="3729">
      <c r="F3729" s="13"/>
      <c r="M3729" s="13"/>
    </row>
    <row r="3730">
      <c r="F3730" s="13"/>
      <c r="M3730" s="13"/>
    </row>
    <row r="3731">
      <c r="F3731" s="13"/>
      <c r="M3731" s="13"/>
    </row>
    <row r="3732">
      <c r="F3732" s="13"/>
      <c r="M3732" s="13"/>
    </row>
    <row r="3733">
      <c r="F3733" s="13"/>
      <c r="M3733" s="13"/>
    </row>
    <row r="3734">
      <c r="F3734" s="13"/>
      <c r="M3734" s="13"/>
    </row>
    <row r="3735">
      <c r="F3735" s="13"/>
      <c r="M3735" s="13"/>
    </row>
    <row r="3736">
      <c r="F3736" s="13"/>
      <c r="M3736" s="13"/>
    </row>
    <row r="3737">
      <c r="F3737" s="13"/>
      <c r="M3737" s="13"/>
    </row>
    <row r="3738">
      <c r="F3738" s="13"/>
      <c r="M3738" s="13"/>
    </row>
    <row r="3739">
      <c r="F3739" s="13"/>
      <c r="M3739" s="13"/>
    </row>
    <row r="3740">
      <c r="F3740" s="13"/>
      <c r="M3740" s="13"/>
    </row>
    <row r="3741">
      <c r="F3741" s="13"/>
      <c r="M3741" s="13"/>
    </row>
    <row r="3742">
      <c r="F3742" s="13"/>
      <c r="M3742" s="13"/>
    </row>
    <row r="3743">
      <c r="F3743" s="13"/>
      <c r="M3743" s="13"/>
    </row>
    <row r="3744">
      <c r="F3744" s="13"/>
      <c r="M3744" s="13"/>
    </row>
    <row r="3745">
      <c r="F3745" s="13"/>
      <c r="M3745" s="13"/>
    </row>
    <row r="3746">
      <c r="F3746" s="13"/>
      <c r="M3746" s="13"/>
    </row>
    <row r="3747">
      <c r="F3747" s="13"/>
      <c r="M3747" s="13"/>
    </row>
    <row r="3748">
      <c r="F3748" s="13"/>
      <c r="M3748" s="13"/>
    </row>
    <row r="3749">
      <c r="F3749" s="13"/>
      <c r="M3749" s="13"/>
    </row>
    <row r="3750">
      <c r="F3750" s="13"/>
      <c r="M3750" s="13"/>
    </row>
    <row r="3751">
      <c r="F3751" s="13"/>
      <c r="M3751" s="13"/>
    </row>
    <row r="3752">
      <c r="F3752" s="13"/>
      <c r="M3752" s="13"/>
    </row>
    <row r="3753">
      <c r="F3753" s="13"/>
      <c r="M3753" s="13"/>
    </row>
    <row r="3754">
      <c r="F3754" s="13"/>
      <c r="M3754" s="13"/>
    </row>
    <row r="3755">
      <c r="F3755" s="13"/>
      <c r="M3755" s="13"/>
    </row>
    <row r="3756">
      <c r="F3756" s="13"/>
      <c r="M3756" s="13"/>
    </row>
    <row r="3757">
      <c r="F3757" s="13"/>
      <c r="M3757" s="13"/>
    </row>
    <row r="3758">
      <c r="F3758" s="13"/>
      <c r="M3758" s="13"/>
    </row>
    <row r="3759">
      <c r="F3759" s="13"/>
      <c r="M3759" s="13"/>
    </row>
    <row r="3760">
      <c r="F3760" s="13"/>
      <c r="M3760" s="13"/>
    </row>
    <row r="3761">
      <c r="F3761" s="13"/>
      <c r="M3761" s="13"/>
    </row>
    <row r="3762">
      <c r="F3762" s="13"/>
      <c r="M3762" s="13"/>
    </row>
    <row r="3763">
      <c r="F3763" s="13"/>
      <c r="M3763" s="13"/>
    </row>
    <row r="3764">
      <c r="F3764" s="13"/>
      <c r="M3764" s="13"/>
    </row>
    <row r="3765">
      <c r="F3765" s="13"/>
      <c r="M3765" s="13"/>
    </row>
    <row r="3766">
      <c r="F3766" s="13"/>
      <c r="M3766" s="13"/>
    </row>
    <row r="3767">
      <c r="F3767" s="13"/>
      <c r="M3767" s="13"/>
    </row>
    <row r="3768">
      <c r="F3768" s="13"/>
      <c r="M3768" s="13"/>
    </row>
    <row r="3769">
      <c r="F3769" s="13"/>
      <c r="M3769" s="13"/>
    </row>
    <row r="3770">
      <c r="F3770" s="13"/>
      <c r="M3770" s="13"/>
    </row>
    <row r="3771">
      <c r="F3771" s="13"/>
      <c r="M3771" s="13"/>
    </row>
    <row r="3772">
      <c r="F3772" s="13"/>
      <c r="M3772" s="13"/>
    </row>
    <row r="3773">
      <c r="F3773" s="13"/>
      <c r="M3773" s="13"/>
    </row>
    <row r="3774">
      <c r="F3774" s="13"/>
      <c r="M3774" s="13"/>
    </row>
    <row r="3775">
      <c r="F3775" s="13"/>
      <c r="M3775" s="13"/>
    </row>
    <row r="3776">
      <c r="F3776" s="13"/>
      <c r="M3776" s="13"/>
    </row>
    <row r="3777">
      <c r="F3777" s="13"/>
      <c r="M3777" s="13"/>
    </row>
    <row r="3778">
      <c r="F3778" s="13"/>
      <c r="M3778" s="13"/>
    </row>
    <row r="3779">
      <c r="F3779" s="13"/>
      <c r="M3779" s="13"/>
    </row>
    <row r="3780">
      <c r="F3780" s="13"/>
      <c r="M3780" s="13"/>
    </row>
    <row r="3781">
      <c r="F3781" s="13"/>
      <c r="M3781" s="13"/>
    </row>
    <row r="3782">
      <c r="F3782" s="13"/>
      <c r="M3782" s="13"/>
    </row>
    <row r="3783">
      <c r="F3783" s="13"/>
      <c r="M3783" s="13"/>
    </row>
    <row r="3784">
      <c r="F3784" s="13"/>
      <c r="M3784" s="13"/>
    </row>
    <row r="3785">
      <c r="F3785" s="13"/>
      <c r="M3785" s="13"/>
    </row>
    <row r="3786">
      <c r="F3786" s="13"/>
      <c r="M3786" s="13"/>
    </row>
    <row r="3787">
      <c r="F3787" s="13"/>
      <c r="M3787" s="13"/>
    </row>
    <row r="3788">
      <c r="F3788" s="13"/>
      <c r="M3788" s="13"/>
    </row>
    <row r="3789">
      <c r="F3789" s="13"/>
      <c r="M3789" s="13"/>
    </row>
    <row r="3790">
      <c r="F3790" s="13"/>
      <c r="M3790" s="13"/>
    </row>
    <row r="3791">
      <c r="F3791" s="13"/>
      <c r="M3791" s="13"/>
    </row>
    <row r="3792">
      <c r="F3792" s="13"/>
      <c r="M3792" s="13"/>
    </row>
    <row r="3793">
      <c r="F3793" s="13"/>
      <c r="M3793" s="13"/>
    </row>
    <row r="3794">
      <c r="F3794" s="13"/>
      <c r="M3794" s="13"/>
    </row>
    <row r="3795">
      <c r="F3795" s="13"/>
      <c r="M3795" s="13"/>
    </row>
    <row r="3796">
      <c r="F3796" s="13"/>
      <c r="M3796" s="13"/>
    </row>
    <row r="3797">
      <c r="F3797" s="13"/>
      <c r="M3797" s="13"/>
    </row>
    <row r="3798">
      <c r="F3798" s="13"/>
      <c r="M3798" s="13"/>
    </row>
    <row r="3799">
      <c r="F3799" s="13"/>
      <c r="M3799" s="13"/>
    </row>
    <row r="3800">
      <c r="F3800" s="13"/>
      <c r="M3800" s="13"/>
    </row>
    <row r="3801">
      <c r="F3801" s="13"/>
      <c r="M3801" s="13"/>
    </row>
    <row r="3802">
      <c r="F3802" s="13"/>
      <c r="M3802" s="13"/>
    </row>
    <row r="3803">
      <c r="F3803" s="13"/>
      <c r="M3803" s="13"/>
    </row>
    <row r="3804">
      <c r="F3804" s="13"/>
      <c r="M3804" s="13"/>
    </row>
    <row r="3805">
      <c r="F3805" s="13"/>
      <c r="M3805" s="13"/>
    </row>
    <row r="3806">
      <c r="F3806" s="13"/>
      <c r="M3806" s="13"/>
    </row>
    <row r="3807">
      <c r="F3807" s="13"/>
      <c r="M3807" s="13"/>
    </row>
    <row r="3808">
      <c r="F3808" s="13"/>
      <c r="M3808" s="13"/>
    </row>
    <row r="3809">
      <c r="F3809" s="13"/>
      <c r="M3809" s="13"/>
    </row>
    <row r="3810">
      <c r="F3810" s="13"/>
      <c r="M3810" s="13"/>
    </row>
    <row r="3811">
      <c r="F3811" s="13"/>
      <c r="M3811" s="13"/>
    </row>
    <row r="3812">
      <c r="F3812" s="13"/>
      <c r="M3812" s="13"/>
    </row>
    <row r="3813">
      <c r="F3813" s="13"/>
      <c r="M3813" s="13"/>
    </row>
    <row r="3814">
      <c r="F3814" s="13"/>
      <c r="M3814" s="13"/>
    </row>
    <row r="3815">
      <c r="F3815" s="13"/>
      <c r="M3815" s="13"/>
    </row>
    <row r="3816">
      <c r="F3816" s="13"/>
      <c r="M3816" s="13"/>
    </row>
    <row r="3817">
      <c r="F3817" s="13"/>
      <c r="M3817" s="13"/>
    </row>
    <row r="3818">
      <c r="F3818" s="13"/>
      <c r="M3818" s="13"/>
    </row>
    <row r="3819">
      <c r="F3819" s="13"/>
      <c r="M3819" s="13"/>
    </row>
    <row r="3820">
      <c r="F3820" s="13"/>
      <c r="M3820" s="13"/>
    </row>
    <row r="3821">
      <c r="F3821" s="13"/>
      <c r="M3821" s="13"/>
    </row>
    <row r="3822">
      <c r="F3822" s="13"/>
      <c r="M3822" s="13"/>
    </row>
    <row r="3823">
      <c r="F3823" s="13"/>
      <c r="M3823" s="13"/>
    </row>
    <row r="3824">
      <c r="F3824" s="13"/>
      <c r="M3824" s="13"/>
    </row>
    <row r="3825">
      <c r="F3825" s="13"/>
      <c r="M3825" s="13"/>
    </row>
    <row r="3826">
      <c r="F3826" s="13"/>
      <c r="M3826" s="13"/>
    </row>
    <row r="3827">
      <c r="F3827" s="13"/>
      <c r="M3827" s="13"/>
    </row>
    <row r="3828">
      <c r="F3828" s="13"/>
      <c r="M3828" s="13"/>
    </row>
    <row r="3829">
      <c r="F3829" s="13"/>
      <c r="M3829" s="13"/>
    </row>
    <row r="3830">
      <c r="F3830" s="13"/>
      <c r="M3830" s="13"/>
    </row>
    <row r="3831">
      <c r="F3831" s="13"/>
      <c r="M3831" s="13"/>
    </row>
    <row r="3832">
      <c r="F3832" s="13"/>
      <c r="M3832" s="13"/>
    </row>
    <row r="3833">
      <c r="F3833" s="13"/>
      <c r="M3833" s="13"/>
    </row>
    <row r="3834">
      <c r="F3834" s="13"/>
      <c r="M3834" s="13"/>
    </row>
    <row r="3835">
      <c r="F3835" s="13"/>
      <c r="M3835" s="13"/>
    </row>
    <row r="3836">
      <c r="F3836" s="13"/>
      <c r="M3836" s="13"/>
    </row>
    <row r="3837">
      <c r="F3837" s="13"/>
      <c r="M3837" s="13"/>
    </row>
    <row r="3838">
      <c r="F3838" s="13"/>
      <c r="M3838" s="13"/>
    </row>
    <row r="3839">
      <c r="F3839" s="13"/>
      <c r="M3839" s="13"/>
    </row>
    <row r="3840">
      <c r="F3840" s="13"/>
      <c r="M3840" s="13"/>
    </row>
    <row r="3841">
      <c r="F3841" s="13"/>
      <c r="M3841" s="13"/>
    </row>
    <row r="3842">
      <c r="F3842" s="13"/>
      <c r="M3842" s="13"/>
    </row>
    <row r="3843">
      <c r="F3843" s="13"/>
      <c r="M3843" s="13"/>
    </row>
    <row r="3844">
      <c r="F3844" s="13"/>
      <c r="M3844" s="13"/>
    </row>
    <row r="3845">
      <c r="F3845" s="13"/>
      <c r="M3845" s="13"/>
    </row>
    <row r="3846">
      <c r="F3846" s="13"/>
      <c r="M3846" s="13"/>
    </row>
    <row r="3847">
      <c r="F3847" s="13"/>
      <c r="M3847" s="13"/>
    </row>
    <row r="3848">
      <c r="F3848" s="13"/>
      <c r="M3848" s="13"/>
    </row>
    <row r="3849">
      <c r="F3849" s="13"/>
      <c r="M3849" s="13"/>
    </row>
    <row r="3850">
      <c r="F3850" s="13"/>
      <c r="M3850" s="13"/>
    </row>
    <row r="3851">
      <c r="F3851" s="13"/>
      <c r="M3851" s="13"/>
    </row>
    <row r="3852">
      <c r="F3852" s="13"/>
      <c r="M3852" s="13"/>
    </row>
    <row r="3853">
      <c r="F3853" s="13"/>
      <c r="M3853" s="13"/>
    </row>
    <row r="3854">
      <c r="F3854" s="13"/>
      <c r="M3854" s="13"/>
    </row>
    <row r="3855">
      <c r="F3855" s="13"/>
      <c r="M3855" s="13"/>
    </row>
    <row r="3856">
      <c r="F3856" s="13"/>
      <c r="M3856" s="13"/>
    </row>
    <row r="3857">
      <c r="F3857" s="13"/>
      <c r="M3857" s="13"/>
    </row>
    <row r="3858">
      <c r="F3858" s="13"/>
      <c r="M3858" s="13"/>
    </row>
    <row r="3859">
      <c r="F3859" s="13"/>
      <c r="M3859" s="13"/>
    </row>
    <row r="3860">
      <c r="F3860" s="13"/>
      <c r="M3860" s="13"/>
    </row>
    <row r="3861">
      <c r="F3861" s="13"/>
      <c r="M3861" s="13"/>
    </row>
    <row r="3862">
      <c r="F3862" s="13"/>
      <c r="M3862" s="13"/>
    </row>
    <row r="3863">
      <c r="F3863" s="13"/>
      <c r="M3863" s="13"/>
    </row>
    <row r="3864">
      <c r="F3864" s="13"/>
      <c r="M3864" s="13"/>
    </row>
    <row r="3865">
      <c r="F3865" s="13"/>
      <c r="M3865" s="13"/>
    </row>
    <row r="3866">
      <c r="F3866" s="13"/>
      <c r="M3866" s="13"/>
    </row>
    <row r="3867">
      <c r="F3867" s="13"/>
      <c r="M3867" s="13"/>
    </row>
    <row r="3868">
      <c r="F3868" s="13"/>
      <c r="M3868" s="13"/>
    </row>
    <row r="3869">
      <c r="F3869" s="13"/>
      <c r="M3869" s="13"/>
    </row>
    <row r="3870">
      <c r="F3870" s="13"/>
      <c r="M3870" s="13"/>
    </row>
    <row r="3871">
      <c r="F3871" s="13"/>
      <c r="M3871" s="13"/>
    </row>
    <row r="3872">
      <c r="F3872" s="13"/>
      <c r="M3872" s="13"/>
    </row>
    <row r="3873">
      <c r="F3873" s="13"/>
      <c r="M3873" s="13"/>
    </row>
    <row r="3874">
      <c r="F3874" s="13"/>
      <c r="M3874" s="13"/>
    </row>
    <row r="3875">
      <c r="F3875" s="13"/>
      <c r="M3875" s="13"/>
    </row>
    <row r="3876">
      <c r="F3876" s="13"/>
      <c r="M3876" s="13"/>
    </row>
    <row r="3877">
      <c r="F3877" s="13"/>
      <c r="M3877" s="13"/>
    </row>
    <row r="3878">
      <c r="F3878" s="13"/>
      <c r="M3878" s="13"/>
    </row>
    <row r="3879">
      <c r="F3879" s="13"/>
      <c r="M3879" s="13"/>
    </row>
    <row r="3880">
      <c r="F3880" s="13"/>
      <c r="M3880" s="13"/>
    </row>
    <row r="3881">
      <c r="F3881" s="13"/>
      <c r="M3881" s="13"/>
    </row>
    <row r="3882">
      <c r="F3882" s="13"/>
      <c r="M3882" s="13"/>
    </row>
    <row r="3883">
      <c r="F3883" s="13"/>
      <c r="M3883" s="13"/>
    </row>
    <row r="3884">
      <c r="F3884" s="13"/>
      <c r="M3884" s="13"/>
    </row>
    <row r="3885">
      <c r="F3885" s="13"/>
      <c r="M3885" s="13"/>
    </row>
    <row r="3886">
      <c r="F3886" s="13"/>
      <c r="M3886" s="13"/>
    </row>
    <row r="3887">
      <c r="F3887" s="13"/>
      <c r="M3887" s="13"/>
    </row>
    <row r="3888">
      <c r="F3888" s="13"/>
      <c r="M3888" s="13"/>
    </row>
    <row r="3889">
      <c r="F3889" s="13"/>
      <c r="M3889" s="13"/>
    </row>
    <row r="3890">
      <c r="F3890" s="13"/>
      <c r="M3890" s="13"/>
    </row>
    <row r="3891">
      <c r="F3891" s="13"/>
      <c r="M3891" s="13"/>
    </row>
    <row r="3892">
      <c r="F3892" s="13"/>
      <c r="M3892" s="13"/>
    </row>
    <row r="3893">
      <c r="F3893" s="13"/>
      <c r="M3893" s="13"/>
    </row>
    <row r="3894">
      <c r="F3894" s="13"/>
      <c r="M3894" s="13"/>
    </row>
    <row r="3895">
      <c r="F3895" s="13"/>
      <c r="M3895" s="13"/>
    </row>
    <row r="3896">
      <c r="F3896" s="13"/>
      <c r="M3896" s="13"/>
    </row>
    <row r="3897">
      <c r="F3897" s="13"/>
      <c r="M3897" s="13"/>
    </row>
    <row r="3898">
      <c r="F3898" s="13"/>
      <c r="M3898" s="13"/>
    </row>
    <row r="3899">
      <c r="F3899" s="13"/>
      <c r="M3899" s="13"/>
    </row>
    <row r="3900">
      <c r="F3900" s="13"/>
      <c r="M3900" s="13"/>
    </row>
    <row r="3901">
      <c r="F3901" s="13"/>
      <c r="M3901" s="13"/>
    </row>
    <row r="3902">
      <c r="F3902" s="13"/>
      <c r="M3902" s="13"/>
    </row>
    <row r="3903">
      <c r="F3903" s="13"/>
      <c r="M3903" s="13"/>
    </row>
    <row r="3904">
      <c r="F3904" s="13"/>
      <c r="M3904" s="13"/>
    </row>
    <row r="3905">
      <c r="F3905" s="13"/>
      <c r="M3905" s="13"/>
    </row>
    <row r="3906">
      <c r="F3906" s="13"/>
      <c r="M3906" s="13"/>
    </row>
    <row r="3907">
      <c r="F3907" s="13"/>
      <c r="M3907" s="13"/>
    </row>
    <row r="3908">
      <c r="F3908" s="13"/>
      <c r="M3908" s="13"/>
    </row>
    <row r="3909">
      <c r="F3909" s="13"/>
      <c r="M3909" s="13"/>
    </row>
    <row r="3910">
      <c r="F3910" s="13"/>
      <c r="M3910" s="13"/>
    </row>
    <row r="3911">
      <c r="F3911" s="13"/>
      <c r="M3911" s="13"/>
    </row>
    <row r="3912">
      <c r="F3912" s="13"/>
      <c r="M3912" s="13"/>
    </row>
    <row r="3913">
      <c r="F3913" s="13"/>
      <c r="M3913" s="13"/>
    </row>
    <row r="3914">
      <c r="F3914" s="13"/>
      <c r="M3914" s="13"/>
    </row>
    <row r="3915">
      <c r="F3915" s="13"/>
      <c r="M3915" s="13"/>
    </row>
    <row r="3916">
      <c r="F3916" s="13"/>
      <c r="M3916" s="13"/>
    </row>
    <row r="3917">
      <c r="F3917" s="13"/>
      <c r="M3917" s="13"/>
    </row>
    <row r="3918">
      <c r="F3918" s="13"/>
      <c r="M3918" s="13"/>
    </row>
    <row r="3919">
      <c r="F3919" s="13"/>
      <c r="M3919" s="13"/>
    </row>
    <row r="3920">
      <c r="F3920" s="13"/>
      <c r="M3920" s="13"/>
    </row>
    <row r="3921">
      <c r="F3921" s="13"/>
      <c r="M3921" s="13"/>
    </row>
    <row r="3922">
      <c r="F3922" s="13"/>
      <c r="M3922" s="13"/>
    </row>
    <row r="3923">
      <c r="F3923" s="13"/>
      <c r="M3923" s="13"/>
    </row>
    <row r="3924">
      <c r="F3924" s="13"/>
      <c r="M3924" s="13"/>
    </row>
    <row r="3925">
      <c r="F3925" s="13"/>
      <c r="M3925" s="13"/>
    </row>
    <row r="3926">
      <c r="F3926" s="13"/>
      <c r="M3926" s="13"/>
    </row>
    <row r="3927">
      <c r="F3927" s="13"/>
      <c r="M3927" s="13"/>
    </row>
    <row r="3928">
      <c r="F3928" s="13"/>
      <c r="M3928" s="13"/>
    </row>
    <row r="3929">
      <c r="F3929" s="13"/>
      <c r="M3929" s="13"/>
    </row>
    <row r="3930">
      <c r="F3930" s="13"/>
      <c r="M3930" s="13"/>
    </row>
    <row r="3931">
      <c r="F3931" s="13"/>
      <c r="M3931" s="13"/>
    </row>
    <row r="3932">
      <c r="F3932" s="13"/>
      <c r="M3932" s="13"/>
    </row>
    <row r="3933">
      <c r="F3933" s="13"/>
      <c r="M3933" s="13"/>
    </row>
    <row r="3934">
      <c r="F3934" s="13"/>
      <c r="M3934" s="13"/>
    </row>
    <row r="3935">
      <c r="F3935" s="13"/>
      <c r="M3935" s="13"/>
    </row>
    <row r="3936">
      <c r="F3936" s="13"/>
      <c r="M3936" s="13"/>
    </row>
    <row r="3937">
      <c r="F3937" s="13"/>
      <c r="M3937" s="13"/>
    </row>
    <row r="3938">
      <c r="F3938" s="13"/>
      <c r="M3938" s="13"/>
    </row>
    <row r="3939">
      <c r="F3939" s="13"/>
      <c r="M3939" s="13"/>
    </row>
    <row r="3940">
      <c r="F3940" s="13"/>
      <c r="M3940" s="13"/>
    </row>
    <row r="3941">
      <c r="F3941" s="13"/>
      <c r="M3941" s="13"/>
    </row>
    <row r="3942">
      <c r="F3942" s="13"/>
      <c r="M3942" s="13"/>
    </row>
    <row r="3943">
      <c r="F3943" s="13"/>
      <c r="M3943" s="13"/>
    </row>
    <row r="3944">
      <c r="F3944" s="13"/>
      <c r="M3944" s="13"/>
    </row>
    <row r="3945">
      <c r="F3945" s="13"/>
      <c r="M3945" s="13"/>
    </row>
    <row r="3946">
      <c r="F3946" s="13"/>
      <c r="M3946" s="13"/>
    </row>
    <row r="3947">
      <c r="F3947" s="13"/>
      <c r="M3947" s="13"/>
    </row>
    <row r="3948">
      <c r="F3948" s="13"/>
      <c r="M3948" s="13"/>
    </row>
    <row r="3949">
      <c r="F3949" s="13"/>
      <c r="M3949" s="13"/>
    </row>
    <row r="3950">
      <c r="F3950" s="13"/>
      <c r="M3950" s="13"/>
    </row>
    <row r="3951">
      <c r="F3951" s="13"/>
      <c r="M3951" s="13"/>
    </row>
    <row r="3952">
      <c r="F3952" s="13"/>
      <c r="M3952" s="13"/>
    </row>
    <row r="3953">
      <c r="F3953" s="13"/>
      <c r="M3953" s="13"/>
    </row>
    <row r="3954">
      <c r="F3954" s="13"/>
      <c r="M3954" s="13"/>
    </row>
    <row r="3955">
      <c r="F3955" s="13"/>
      <c r="M3955" s="13"/>
    </row>
    <row r="3956">
      <c r="F3956" s="13"/>
      <c r="M3956" s="13"/>
    </row>
    <row r="3957">
      <c r="F3957" s="13"/>
      <c r="M3957" s="13"/>
    </row>
    <row r="3958">
      <c r="F3958" s="13"/>
      <c r="M3958" s="13"/>
    </row>
    <row r="3959">
      <c r="F3959" s="13"/>
      <c r="M3959" s="13"/>
    </row>
    <row r="3960">
      <c r="F3960" s="13"/>
      <c r="M3960" s="13"/>
    </row>
    <row r="3961">
      <c r="F3961" s="13"/>
      <c r="M3961" s="13"/>
    </row>
    <row r="3962">
      <c r="F3962" s="13"/>
      <c r="M3962" s="13"/>
    </row>
    <row r="3963">
      <c r="F3963" s="13"/>
      <c r="M3963" s="13"/>
    </row>
    <row r="3964">
      <c r="F3964" s="13"/>
      <c r="M3964" s="13"/>
    </row>
    <row r="3965">
      <c r="F3965" s="13"/>
      <c r="M3965" s="13"/>
    </row>
    <row r="3966">
      <c r="F3966" s="13"/>
      <c r="M3966" s="13"/>
    </row>
    <row r="3967">
      <c r="F3967" s="13"/>
      <c r="M3967" s="13"/>
    </row>
    <row r="3968">
      <c r="F3968" s="13"/>
      <c r="M3968" s="13"/>
    </row>
    <row r="3969">
      <c r="F3969" s="13"/>
      <c r="M3969" s="13"/>
    </row>
    <row r="3970">
      <c r="F3970" s="13"/>
      <c r="M3970" s="13"/>
    </row>
    <row r="3971">
      <c r="F3971" s="13"/>
      <c r="M3971" s="13"/>
    </row>
    <row r="3972">
      <c r="F3972" s="13"/>
      <c r="M3972" s="13"/>
    </row>
    <row r="3973">
      <c r="F3973" s="13"/>
      <c r="M3973" s="13"/>
    </row>
    <row r="3974">
      <c r="F3974" s="13"/>
      <c r="M3974" s="13"/>
    </row>
    <row r="3975">
      <c r="F3975" s="13"/>
      <c r="M3975" s="13"/>
    </row>
    <row r="3976">
      <c r="F3976" s="13"/>
      <c r="M3976" s="13"/>
    </row>
    <row r="3977">
      <c r="F3977" s="13"/>
      <c r="M3977" s="13"/>
    </row>
    <row r="3978">
      <c r="F3978" s="13"/>
      <c r="M3978" s="13"/>
    </row>
    <row r="3979">
      <c r="F3979" s="13"/>
      <c r="M3979" s="13"/>
    </row>
    <row r="3980">
      <c r="F3980" s="13"/>
      <c r="M3980" s="13"/>
    </row>
    <row r="3981">
      <c r="F3981" s="13"/>
      <c r="M3981" s="13"/>
    </row>
    <row r="3982">
      <c r="F3982" s="13"/>
      <c r="M3982" s="13"/>
    </row>
    <row r="3983">
      <c r="F3983" s="13"/>
      <c r="M3983" s="13"/>
    </row>
    <row r="3984">
      <c r="F3984" s="13"/>
      <c r="M3984" s="13"/>
    </row>
    <row r="3985">
      <c r="F3985" s="13"/>
      <c r="M3985" s="13"/>
    </row>
    <row r="3986">
      <c r="F3986" s="13"/>
      <c r="M3986" s="13"/>
    </row>
    <row r="3987">
      <c r="F3987" s="13"/>
      <c r="M3987" s="13"/>
    </row>
    <row r="3988">
      <c r="F3988" s="13"/>
      <c r="M3988" s="13"/>
    </row>
    <row r="3989">
      <c r="F3989" s="13"/>
      <c r="M3989" s="13"/>
    </row>
    <row r="3990">
      <c r="F3990" s="13"/>
      <c r="M3990" s="13"/>
    </row>
    <row r="3991">
      <c r="F3991" s="13"/>
      <c r="M3991" s="13"/>
    </row>
    <row r="3992">
      <c r="F3992" s="13"/>
      <c r="M3992" s="13"/>
    </row>
    <row r="3993">
      <c r="F3993" s="13"/>
      <c r="M3993" s="13"/>
    </row>
    <row r="3994">
      <c r="F3994" s="13"/>
      <c r="M3994" s="13"/>
    </row>
    <row r="3995">
      <c r="F3995" s="13"/>
      <c r="M3995" s="13"/>
    </row>
    <row r="3996">
      <c r="F3996" s="13"/>
      <c r="M3996" s="13"/>
    </row>
    <row r="3997">
      <c r="F3997" s="13"/>
      <c r="M3997" s="13"/>
    </row>
    <row r="3998">
      <c r="F3998" s="13"/>
      <c r="M3998" s="13"/>
    </row>
    <row r="3999">
      <c r="F3999" s="13"/>
      <c r="M3999" s="13"/>
    </row>
    <row r="4000">
      <c r="F4000" s="13"/>
      <c r="M4000" s="13"/>
    </row>
    <row r="4001">
      <c r="F4001" s="13"/>
      <c r="M4001" s="13"/>
    </row>
    <row r="4002">
      <c r="F4002" s="13"/>
      <c r="M4002" s="13"/>
    </row>
    <row r="4003">
      <c r="F4003" s="13"/>
      <c r="M4003" s="13"/>
    </row>
    <row r="4004">
      <c r="F4004" s="13"/>
      <c r="M4004" s="13"/>
    </row>
    <row r="4005">
      <c r="F4005" s="13"/>
      <c r="M4005" s="13"/>
    </row>
    <row r="4006">
      <c r="F4006" s="13"/>
      <c r="M4006" s="13"/>
    </row>
    <row r="4007">
      <c r="F4007" s="13"/>
      <c r="M4007" s="13"/>
    </row>
    <row r="4008">
      <c r="F4008" s="13"/>
      <c r="M4008" s="13"/>
    </row>
    <row r="4009">
      <c r="F4009" s="13"/>
      <c r="M4009" s="13"/>
    </row>
    <row r="4010">
      <c r="F4010" s="13"/>
      <c r="M4010" s="13"/>
    </row>
    <row r="4011">
      <c r="F4011" s="13"/>
      <c r="M4011" s="13"/>
    </row>
    <row r="4012">
      <c r="F4012" s="13"/>
      <c r="M4012" s="13"/>
    </row>
    <row r="4013">
      <c r="F4013" s="13"/>
      <c r="M4013" s="13"/>
    </row>
    <row r="4014">
      <c r="F4014" s="13"/>
      <c r="M4014" s="13"/>
    </row>
    <row r="4015">
      <c r="F4015" s="13"/>
      <c r="M4015" s="13"/>
    </row>
    <row r="4016">
      <c r="F4016" s="13"/>
      <c r="M4016" s="13"/>
    </row>
    <row r="4017">
      <c r="F4017" s="13"/>
      <c r="M4017" s="13"/>
    </row>
    <row r="4018">
      <c r="F4018" s="13"/>
      <c r="M4018" s="13"/>
    </row>
    <row r="4019">
      <c r="F4019" s="13"/>
      <c r="M4019" s="13"/>
    </row>
    <row r="4020">
      <c r="F4020" s="13"/>
      <c r="M4020" s="13"/>
    </row>
    <row r="4021">
      <c r="F4021" s="13"/>
      <c r="M4021" s="13"/>
    </row>
    <row r="4022">
      <c r="F4022" s="13"/>
      <c r="M4022" s="13"/>
    </row>
    <row r="4023">
      <c r="F4023" s="13"/>
      <c r="M4023" s="13"/>
    </row>
    <row r="4024">
      <c r="F4024" s="13"/>
      <c r="M4024" s="13"/>
    </row>
    <row r="4025">
      <c r="F4025" s="13"/>
      <c r="M4025" s="13"/>
    </row>
    <row r="4026">
      <c r="F4026" s="13"/>
      <c r="M4026" s="13"/>
    </row>
    <row r="4027">
      <c r="F4027" s="13"/>
      <c r="M4027" s="13"/>
    </row>
    <row r="4028">
      <c r="F4028" s="13"/>
      <c r="M4028" s="13"/>
    </row>
    <row r="4029">
      <c r="F4029" s="13"/>
      <c r="M4029" s="13"/>
    </row>
    <row r="4030">
      <c r="F4030" s="13"/>
      <c r="M4030" s="13"/>
    </row>
    <row r="4031">
      <c r="F4031" s="13"/>
      <c r="M4031" s="13"/>
    </row>
    <row r="4032">
      <c r="F4032" s="13"/>
      <c r="M4032" s="13"/>
    </row>
    <row r="4033">
      <c r="F4033" s="13"/>
      <c r="M4033" s="13"/>
    </row>
    <row r="4034">
      <c r="F4034" s="13"/>
      <c r="M4034" s="13"/>
    </row>
    <row r="4035">
      <c r="F4035" s="13"/>
      <c r="M4035" s="13"/>
    </row>
    <row r="4036">
      <c r="F4036" s="13"/>
      <c r="M4036" s="13"/>
    </row>
    <row r="4037">
      <c r="F4037" s="13"/>
      <c r="M4037" s="13"/>
    </row>
    <row r="4038">
      <c r="F4038" s="13"/>
      <c r="M4038" s="13"/>
    </row>
    <row r="4039">
      <c r="F4039" s="13"/>
      <c r="M4039" s="13"/>
    </row>
    <row r="4040">
      <c r="F4040" s="13"/>
      <c r="M4040" s="13"/>
    </row>
    <row r="4041">
      <c r="F4041" s="13"/>
      <c r="M4041" s="13"/>
    </row>
    <row r="4042">
      <c r="F4042" s="13"/>
      <c r="M4042" s="13"/>
    </row>
    <row r="4043">
      <c r="F4043" s="13"/>
      <c r="M4043" s="13"/>
    </row>
    <row r="4044">
      <c r="F4044" s="13"/>
      <c r="M4044" s="13"/>
    </row>
    <row r="4045">
      <c r="F4045" s="13"/>
      <c r="M4045" s="13"/>
    </row>
    <row r="4046">
      <c r="F4046" s="13"/>
      <c r="M4046" s="13"/>
    </row>
    <row r="4047">
      <c r="F4047" s="13"/>
      <c r="M4047" s="13"/>
    </row>
    <row r="4048">
      <c r="F4048" s="13"/>
      <c r="M4048" s="13"/>
    </row>
    <row r="4049">
      <c r="F4049" s="13"/>
      <c r="M4049" s="13"/>
    </row>
    <row r="4050">
      <c r="F4050" s="13"/>
      <c r="M4050" s="13"/>
    </row>
    <row r="4051">
      <c r="F4051" s="13"/>
      <c r="M4051" s="13"/>
    </row>
    <row r="4052">
      <c r="F4052" s="13"/>
      <c r="M4052" s="13"/>
    </row>
    <row r="4053">
      <c r="F4053" s="13"/>
      <c r="M4053" s="13"/>
    </row>
    <row r="4054">
      <c r="F4054" s="13"/>
      <c r="M4054" s="13"/>
    </row>
    <row r="4055">
      <c r="F4055" s="13"/>
      <c r="M4055" s="13"/>
    </row>
    <row r="4056">
      <c r="F4056" s="13"/>
      <c r="M4056" s="13"/>
    </row>
    <row r="4057">
      <c r="F4057" s="13"/>
      <c r="M4057" s="13"/>
    </row>
    <row r="4058">
      <c r="F4058" s="13"/>
      <c r="M4058" s="13"/>
    </row>
    <row r="4059">
      <c r="F4059" s="13"/>
      <c r="M4059" s="13"/>
    </row>
    <row r="4060">
      <c r="F4060" s="13"/>
      <c r="M4060" s="13"/>
    </row>
    <row r="4061">
      <c r="F4061" s="13"/>
      <c r="M4061" s="13"/>
    </row>
    <row r="4062">
      <c r="F4062" s="13"/>
      <c r="M4062" s="13"/>
    </row>
    <row r="4063">
      <c r="F4063" s="13"/>
      <c r="M4063" s="13"/>
    </row>
    <row r="4064">
      <c r="F4064" s="13"/>
      <c r="M4064" s="13"/>
    </row>
    <row r="4065">
      <c r="F4065" s="13"/>
      <c r="M4065" s="13"/>
    </row>
    <row r="4066">
      <c r="F4066" s="13"/>
      <c r="M4066" s="13"/>
    </row>
    <row r="4067">
      <c r="F4067" s="13"/>
      <c r="M4067" s="13"/>
    </row>
    <row r="4068">
      <c r="F4068" s="13"/>
      <c r="M4068" s="13"/>
    </row>
    <row r="4069">
      <c r="F4069" s="13"/>
      <c r="M4069" s="13"/>
    </row>
    <row r="4070">
      <c r="F4070" s="13"/>
      <c r="M4070" s="13"/>
    </row>
    <row r="4071">
      <c r="F4071" s="13"/>
      <c r="M4071" s="13"/>
    </row>
    <row r="4072">
      <c r="F4072" s="13"/>
      <c r="M4072" s="13"/>
    </row>
    <row r="4073">
      <c r="F4073" s="13"/>
      <c r="M4073" s="13"/>
    </row>
    <row r="4074">
      <c r="F4074" s="13"/>
      <c r="M4074" s="13"/>
    </row>
    <row r="4075">
      <c r="F4075" s="13"/>
      <c r="M4075" s="13"/>
    </row>
    <row r="4076">
      <c r="F4076" s="13"/>
      <c r="M4076" s="13"/>
    </row>
    <row r="4077">
      <c r="F4077" s="13"/>
      <c r="M4077" s="13"/>
    </row>
    <row r="4078">
      <c r="F4078" s="13"/>
      <c r="M4078" s="13"/>
    </row>
    <row r="4079">
      <c r="F4079" s="13"/>
      <c r="M4079" s="13"/>
    </row>
    <row r="4080">
      <c r="F4080" s="13"/>
      <c r="M4080" s="13"/>
    </row>
    <row r="4081">
      <c r="F4081" s="13"/>
      <c r="M4081" s="13"/>
    </row>
    <row r="4082">
      <c r="F4082" s="13"/>
      <c r="M4082" s="13"/>
    </row>
    <row r="4083">
      <c r="F4083" s="13"/>
      <c r="M4083" s="13"/>
    </row>
    <row r="4084">
      <c r="F4084" s="13"/>
      <c r="M4084" s="13"/>
    </row>
    <row r="4085">
      <c r="F4085" s="13"/>
      <c r="M4085" s="13"/>
    </row>
    <row r="4086">
      <c r="F4086" s="13"/>
      <c r="M4086" s="13"/>
    </row>
    <row r="4087">
      <c r="F4087" s="13"/>
      <c r="M4087" s="13"/>
    </row>
    <row r="4088">
      <c r="F4088" s="13"/>
      <c r="M4088" s="13"/>
    </row>
    <row r="4089">
      <c r="F4089" s="13"/>
      <c r="M4089" s="13"/>
    </row>
    <row r="4090">
      <c r="F4090" s="13"/>
      <c r="M4090" s="13"/>
    </row>
    <row r="4091">
      <c r="F4091" s="13"/>
      <c r="M4091" s="13"/>
    </row>
    <row r="4092">
      <c r="F4092" s="13"/>
      <c r="M4092" s="13"/>
    </row>
    <row r="4093">
      <c r="F4093" s="13"/>
      <c r="M4093" s="13"/>
    </row>
    <row r="4094">
      <c r="F4094" s="13"/>
      <c r="M4094" s="13"/>
    </row>
    <row r="4095">
      <c r="F4095" s="13"/>
      <c r="M4095" s="13"/>
    </row>
    <row r="4096">
      <c r="F4096" s="13"/>
      <c r="M4096" s="13"/>
    </row>
    <row r="4097">
      <c r="F4097" s="13"/>
      <c r="M4097" s="13"/>
    </row>
    <row r="4098">
      <c r="F4098" s="13"/>
      <c r="M4098" s="13"/>
    </row>
    <row r="4099">
      <c r="F4099" s="13"/>
      <c r="M4099" s="13"/>
    </row>
    <row r="4100">
      <c r="F4100" s="13"/>
      <c r="M4100" s="13"/>
    </row>
    <row r="4101">
      <c r="F4101" s="13"/>
      <c r="M4101" s="13"/>
    </row>
    <row r="4102">
      <c r="F4102" s="13"/>
      <c r="M4102" s="13"/>
    </row>
    <row r="4103">
      <c r="F4103" s="13"/>
      <c r="M4103" s="13"/>
    </row>
    <row r="4104">
      <c r="F4104" s="13"/>
      <c r="M4104" s="13"/>
    </row>
    <row r="4105">
      <c r="F4105" s="13"/>
      <c r="M4105" s="13"/>
    </row>
    <row r="4106">
      <c r="F4106" s="13"/>
      <c r="M4106" s="13"/>
    </row>
    <row r="4107">
      <c r="F4107" s="13"/>
      <c r="M4107" s="13"/>
    </row>
    <row r="4108">
      <c r="F4108" s="13"/>
      <c r="M4108" s="13"/>
    </row>
    <row r="4109">
      <c r="F4109" s="13"/>
      <c r="M4109" s="13"/>
    </row>
    <row r="4110">
      <c r="F4110" s="13"/>
      <c r="M4110" s="13"/>
    </row>
    <row r="4111">
      <c r="F4111" s="13"/>
      <c r="M4111" s="13"/>
    </row>
    <row r="4112">
      <c r="F4112" s="13"/>
      <c r="M4112" s="13"/>
    </row>
    <row r="4113">
      <c r="F4113" s="13"/>
      <c r="M4113" s="13"/>
    </row>
    <row r="4114">
      <c r="F4114" s="13"/>
      <c r="M4114" s="13"/>
    </row>
    <row r="4115">
      <c r="F4115" s="13"/>
      <c r="M4115" s="13"/>
    </row>
    <row r="4116">
      <c r="F4116" s="13"/>
      <c r="M4116" s="13"/>
    </row>
    <row r="4117">
      <c r="F4117" s="13"/>
      <c r="M4117" s="13"/>
    </row>
    <row r="4118">
      <c r="F4118" s="13"/>
      <c r="M4118" s="13"/>
    </row>
    <row r="4119">
      <c r="F4119" s="13"/>
      <c r="M4119" s="13"/>
    </row>
    <row r="4120">
      <c r="F4120" s="13"/>
      <c r="M4120" s="13"/>
    </row>
    <row r="4121">
      <c r="F4121" s="13"/>
      <c r="M4121" s="13"/>
    </row>
    <row r="4122">
      <c r="F4122" s="13"/>
      <c r="M4122" s="13"/>
    </row>
    <row r="4123">
      <c r="F4123" s="13"/>
      <c r="M4123" s="13"/>
    </row>
    <row r="4124">
      <c r="F4124" s="13"/>
      <c r="M4124" s="13"/>
    </row>
    <row r="4125">
      <c r="F4125" s="13"/>
      <c r="M4125" s="13"/>
    </row>
    <row r="4126">
      <c r="F4126" s="13"/>
      <c r="M4126" s="13"/>
    </row>
    <row r="4127">
      <c r="F4127" s="13"/>
      <c r="M4127" s="13"/>
    </row>
    <row r="4128">
      <c r="F4128" s="13"/>
      <c r="M4128" s="13"/>
    </row>
    <row r="4129">
      <c r="F4129" s="13"/>
      <c r="M4129" s="13"/>
    </row>
    <row r="4130">
      <c r="F4130" s="13"/>
      <c r="M4130" s="13"/>
    </row>
    <row r="4131">
      <c r="F4131" s="13"/>
      <c r="M4131" s="13"/>
    </row>
    <row r="4132">
      <c r="F4132" s="13"/>
      <c r="M4132" s="13"/>
    </row>
    <row r="4133">
      <c r="F4133" s="13"/>
      <c r="M4133" s="13"/>
    </row>
    <row r="4134">
      <c r="F4134" s="13"/>
      <c r="M4134" s="13"/>
    </row>
    <row r="4135">
      <c r="F4135" s="13"/>
      <c r="M4135" s="13"/>
    </row>
    <row r="4136">
      <c r="F4136" s="13"/>
      <c r="M4136" s="13"/>
    </row>
    <row r="4137">
      <c r="F4137" s="13"/>
      <c r="M4137" s="13"/>
    </row>
    <row r="4138">
      <c r="F4138" s="13"/>
      <c r="M4138" s="13"/>
    </row>
    <row r="4139">
      <c r="F4139" s="13"/>
      <c r="M4139" s="13"/>
    </row>
    <row r="4140">
      <c r="F4140" s="13"/>
      <c r="M4140" s="13"/>
    </row>
    <row r="4141">
      <c r="F4141" s="13"/>
      <c r="M4141" s="13"/>
    </row>
    <row r="4142">
      <c r="F4142" s="13"/>
      <c r="M4142" s="13"/>
    </row>
    <row r="4143">
      <c r="F4143" s="13"/>
      <c r="M4143" s="13"/>
    </row>
    <row r="4144">
      <c r="F4144" s="13"/>
      <c r="M4144" s="13"/>
    </row>
    <row r="4145">
      <c r="F4145" s="13"/>
      <c r="M4145" s="13"/>
    </row>
    <row r="4146">
      <c r="F4146" s="13"/>
      <c r="M4146" s="13"/>
    </row>
    <row r="4147">
      <c r="F4147" s="13"/>
      <c r="M4147" s="13"/>
    </row>
    <row r="4148">
      <c r="F4148" s="13"/>
      <c r="M4148" s="13"/>
    </row>
    <row r="4149">
      <c r="F4149" s="13"/>
      <c r="M4149" s="13"/>
    </row>
    <row r="4150">
      <c r="F4150" s="13"/>
      <c r="M4150" s="13"/>
    </row>
    <row r="4151">
      <c r="F4151" s="13"/>
      <c r="M4151" s="13"/>
    </row>
    <row r="4152">
      <c r="F4152" s="13"/>
      <c r="M4152" s="13"/>
    </row>
    <row r="4153">
      <c r="F4153" s="13"/>
      <c r="M4153" s="13"/>
    </row>
    <row r="4154">
      <c r="F4154" s="13"/>
      <c r="M4154" s="13"/>
    </row>
    <row r="4155">
      <c r="F4155" s="13"/>
      <c r="M4155" s="13"/>
    </row>
    <row r="4156">
      <c r="F4156" s="13"/>
      <c r="M4156" s="13"/>
    </row>
    <row r="4157">
      <c r="F4157" s="13"/>
      <c r="M4157" s="13"/>
    </row>
    <row r="4158">
      <c r="F4158" s="13"/>
      <c r="M4158" s="13"/>
    </row>
    <row r="4159">
      <c r="F4159" s="13"/>
      <c r="M4159" s="13"/>
    </row>
    <row r="4160">
      <c r="F4160" s="13"/>
      <c r="M4160" s="13"/>
    </row>
    <row r="4161">
      <c r="F4161" s="13"/>
      <c r="M4161" s="13"/>
    </row>
    <row r="4162">
      <c r="F4162" s="13"/>
      <c r="M4162" s="13"/>
    </row>
    <row r="4163">
      <c r="F4163" s="13"/>
      <c r="M4163" s="13"/>
    </row>
    <row r="4164">
      <c r="F4164" s="13"/>
      <c r="M4164" s="13"/>
    </row>
    <row r="4165">
      <c r="F4165" s="13"/>
      <c r="M4165" s="13"/>
    </row>
    <row r="4166">
      <c r="F4166" s="13"/>
      <c r="M4166" s="13"/>
    </row>
    <row r="4167">
      <c r="F4167" s="13"/>
      <c r="M4167" s="13"/>
    </row>
    <row r="4168">
      <c r="F4168" s="13"/>
      <c r="M4168" s="13"/>
    </row>
    <row r="4169">
      <c r="F4169" s="13"/>
      <c r="M4169" s="13"/>
    </row>
    <row r="4170">
      <c r="F4170" s="13"/>
      <c r="M4170" s="13"/>
    </row>
    <row r="4171">
      <c r="F4171" s="13"/>
      <c r="M4171" s="13"/>
    </row>
    <row r="4172">
      <c r="F4172" s="13"/>
      <c r="M4172" s="13"/>
    </row>
    <row r="4173">
      <c r="F4173" s="13"/>
      <c r="M4173" s="13"/>
    </row>
    <row r="4174">
      <c r="F4174" s="13"/>
      <c r="M4174" s="13"/>
    </row>
    <row r="4175">
      <c r="F4175" s="13"/>
      <c r="M4175" s="13"/>
    </row>
    <row r="4176">
      <c r="F4176" s="13"/>
      <c r="M4176" s="13"/>
    </row>
    <row r="4177">
      <c r="F4177" s="13"/>
      <c r="M4177" s="13"/>
    </row>
    <row r="4178">
      <c r="F4178" s="13"/>
      <c r="M4178" s="13"/>
    </row>
    <row r="4179">
      <c r="F4179" s="13"/>
      <c r="M4179" s="13"/>
    </row>
    <row r="4180">
      <c r="F4180" s="13"/>
      <c r="M4180" s="13"/>
    </row>
    <row r="4181">
      <c r="F4181" s="13"/>
      <c r="M4181" s="13"/>
    </row>
    <row r="4182">
      <c r="F4182" s="13"/>
      <c r="M4182" s="13"/>
    </row>
    <row r="4183">
      <c r="F4183" s="13"/>
      <c r="M4183" s="13"/>
    </row>
    <row r="4184">
      <c r="F4184" s="13"/>
      <c r="M4184" s="13"/>
    </row>
    <row r="4185">
      <c r="F4185" s="13"/>
      <c r="M4185" s="13"/>
    </row>
    <row r="4186">
      <c r="F4186" s="13"/>
      <c r="M4186" s="13"/>
    </row>
    <row r="4187">
      <c r="F4187" s="13"/>
      <c r="M4187" s="13"/>
    </row>
    <row r="4188">
      <c r="F4188" s="13"/>
      <c r="M4188" s="13"/>
    </row>
    <row r="4189">
      <c r="F4189" s="13"/>
      <c r="M4189" s="13"/>
    </row>
    <row r="4190">
      <c r="F4190" s="13"/>
      <c r="M4190" s="13"/>
    </row>
    <row r="4191">
      <c r="F4191" s="13"/>
      <c r="M4191" s="13"/>
    </row>
    <row r="4192">
      <c r="F4192" s="13"/>
      <c r="M4192" s="13"/>
    </row>
    <row r="4193">
      <c r="F4193" s="13"/>
      <c r="M4193" s="13"/>
    </row>
    <row r="4194">
      <c r="F4194" s="13"/>
      <c r="M4194" s="13"/>
    </row>
    <row r="4195">
      <c r="F4195" s="13"/>
      <c r="M4195" s="13"/>
    </row>
    <row r="4196">
      <c r="F4196" s="13"/>
      <c r="M4196" s="13"/>
    </row>
    <row r="4197">
      <c r="F4197" s="13"/>
      <c r="M4197" s="13"/>
    </row>
    <row r="4198">
      <c r="F4198" s="13"/>
      <c r="M4198" s="13"/>
    </row>
    <row r="4199">
      <c r="F4199" s="13"/>
      <c r="M4199" s="13"/>
    </row>
    <row r="4200">
      <c r="F4200" s="13"/>
      <c r="M4200" s="13"/>
    </row>
    <row r="4201">
      <c r="F4201" s="13"/>
      <c r="M4201" s="13"/>
    </row>
    <row r="4202">
      <c r="F4202" s="13"/>
      <c r="M4202" s="13"/>
    </row>
    <row r="4203">
      <c r="F4203" s="13"/>
      <c r="M4203" s="13"/>
    </row>
    <row r="4204">
      <c r="F4204" s="13"/>
      <c r="M4204" s="13"/>
    </row>
    <row r="4205">
      <c r="F4205" s="13"/>
      <c r="M4205" s="13"/>
    </row>
    <row r="4206">
      <c r="F4206" s="13"/>
      <c r="M4206" s="13"/>
    </row>
    <row r="4207">
      <c r="F4207" s="13"/>
      <c r="M4207" s="13"/>
    </row>
    <row r="4208">
      <c r="F4208" s="13"/>
      <c r="M4208" s="13"/>
    </row>
    <row r="4209">
      <c r="F4209" s="13"/>
      <c r="M4209" s="13"/>
    </row>
    <row r="4210">
      <c r="F4210" s="13"/>
      <c r="M4210" s="13"/>
    </row>
    <row r="4211">
      <c r="F4211" s="13"/>
      <c r="M4211" s="13"/>
    </row>
    <row r="4212">
      <c r="F4212" s="13"/>
      <c r="M4212" s="13"/>
    </row>
    <row r="4213">
      <c r="F4213" s="13"/>
      <c r="M4213" s="13"/>
    </row>
    <row r="4214">
      <c r="F4214" s="13"/>
      <c r="M4214" s="13"/>
    </row>
    <row r="4215">
      <c r="F4215" s="13"/>
      <c r="M4215" s="13"/>
    </row>
    <row r="4216">
      <c r="F4216" s="13"/>
      <c r="M4216" s="13"/>
    </row>
    <row r="4217">
      <c r="F4217" s="13"/>
      <c r="M4217" s="13"/>
    </row>
    <row r="4218">
      <c r="F4218" s="13"/>
      <c r="M4218" s="13"/>
    </row>
    <row r="4219">
      <c r="F4219" s="13"/>
      <c r="M4219" s="13"/>
    </row>
    <row r="4220">
      <c r="F4220" s="13"/>
      <c r="M4220" s="13"/>
    </row>
    <row r="4221">
      <c r="F4221" s="13"/>
      <c r="M4221" s="13"/>
    </row>
    <row r="4222">
      <c r="F4222" s="13"/>
      <c r="M4222" s="13"/>
    </row>
    <row r="4223">
      <c r="F4223" s="13"/>
      <c r="M4223" s="13"/>
    </row>
    <row r="4224">
      <c r="F4224" s="13"/>
      <c r="M4224" s="13"/>
    </row>
    <row r="4225">
      <c r="F4225" s="13"/>
      <c r="M4225" s="13"/>
    </row>
    <row r="4226">
      <c r="F4226" s="13"/>
      <c r="M4226" s="13"/>
    </row>
    <row r="4227">
      <c r="F4227" s="13"/>
      <c r="M4227" s="13"/>
    </row>
    <row r="4228">
      <c r="F4228" s="13"/>
      <c r="M4228" s="13"/>
    </row>
    <row r="4229">
      <c r="F4229" s="13"/>
      <c r="M4229" s="13"/>
    </row>
    <row r="4230">
      <c r="F4230" s="13"/>
      <c r="M4230" s="13"/>
    </row>
    <row r="4231">
      <c r="F4231" s="13"/>
      <c r="M4231" s="13"/>
    </row>
    <row r="4232">
      <c r="F4232" s="13"/>
      <c r="M4232" s="13"/>
    </row>
    <row r="4233">
      <c r="F4233" s="13"/>
      <c r="M4233" s="13"/>
    </row>
    <row r="4234">
      <c r="F4234" s="13"/>
      <c r="M4234" s="13"/>
    </row>
    <row r="4235">
      <c r="F4235" s="13"/>
      <c r="M4235" s="13"/>
    </row>
    <row r="4236">
      <c r="F4236" s="13"/>
      <c r="M4236" s="13"/>
    </row>
    <row r="4237">
      <c r="F4237" s="13"/>
      <c r="M4237" s="13"/>
    </row>
    <row r="4238">
      <c r="F4238" s="13"/>
      <c r="M4238" s="13"/>
    </row>
    <row r="4239">
      <c r="F4239" s="13"/>
      <c r="M4239" s="13"/>
    </row>
    <row r="4240">
      <c r="F4240" s="13"/>
      <c r="M4240" s="13"/>
    </row>
    <row r="4241">
      <c r="F4241" s="13"/>
      <c r="M4241" s="13"/>
    </row>
    <row r="4242">
      <c r="F4242" s="13"/>
      <c r="M4242" s="13"/>
    </row>
    <row r="4243">
      <c r="F4243" s="13"/>
      <c r="M4243" s="13"/>
    </row>
    <row r="4244">
      <c r="F4244" s="13"/>
      <c r="M4244" s="13"/>
    </row>
    <row r="4245">
      <c r="F4245" s="13"/>
      <c r="M4245" s="13"/>
    </row>
    <row r="4246">
      <c r="F4246" s="13"/>
      <c r="M4246" s="13"/>
    </row>
    <row r="4247">
      <c r="F4247" s="13"/>
      <c r="M4247" s="13"/>
    </row>
    <row r="4248">
      <c r="F4248" s="13"/>
      <c r="M4248" s="13"/>
    </row>
    <row r="4249">
      <c r="F4249" s="13"/>
      <c r="M4249" s="13"/>
    </row>
    <row r="4250">
      <c r="F4250" s="13"/>
      <c r="M4250" s="13"/>
    </row>
    <row r="4251">
      <c r="F4251" s="13"/>
      <c r="M4251" s="13"/>
    </row>
    <row r="4252">
      <c r="F4252" s="13"/>
      <c r="M4252" s="13"/>
    </row>
    <row r="4253">
      <c r="F4253" s="13"/>
      <c r="M4253" s="13"/>
    </row>
    <row r="4254">
      <c r="F4254" s="13"/>
      <c r="M4254" s="13"/>
    </row>
    <row r="4255">
      <c r="F4255" s="13"/>
      <c r="M4255" s="13"/>
    </row>
    <row r="4256">
      <c r="F4256" s="13"/>
      <c r="M4256" s="13"/>
    </row>
    <row r="4257">
      <c r="F4257" s="13"/>
      <c r="M4257" s="13"/>
    </row>
    <row r="4258">
      <c r="F4258" s="13"/>
      <c r="M4258" s="13"/>
    </row>
    <row r="4259">
      <c r="F4259" s="13"/>
      <c r="M4259" s="13"/>
    </row>
    <row r="4260">
      <c r="F4260" s="13"/>
      <c r="M4260" s="13"/>
    </row>
    <row r="4261">
      <c r="F4261" s="13"/>
      <c r="M4261" s="13"/>
    </row>
    <row r="4262">
      <c r="F4262" s="13"/>
      <c r="M4262" s="13"/>
    </row>
    <row r="4263">
      <c r="F4263" s="13"/>
      <c r="M4263" s="13"/>
    </row>
    <row r="4264">
      <c r="F4264" s="13"/>
      <c r="M4264" s="13"/>
    </row>
    <row r="4265">
      <c r="F4265" s="13"/>
      <c r="M4265" s="13"/>
    </row>
    <row r="4266">
      <c r="F4266" s="13"/>
      <c r="M4266" s="13"/>
    </row>
    <row r="4267">
      <c r="F4267" s="13"/>
      <c r="M4267" s="13"/>
    </row>
    <row r="4268">
      <c r="F4268" s="13"/>
      <c r="M4268" s="13"/>
    </row>
    <row r="4269">
      <c r="F4269" s="13"/>
      <c r="M4269" s="13"/>
    </row>
    <row r="4270">
      <c r="F4270" s="13"/>
      <c r="M4270" s="13"/>
    </row>
    <row r="4271">
      <c r="F4271" s="13"/>
      <c r="M4271" s="13"/>
    </row>
    <row r="4272">
      <c r="F4272" s="13"/>
      <c r="M4272" s="13"/>
    </row>
    <row r="4273">
      <c r="F4273" s="13"/>
      <c r="M4273" s="13"/>
    </row>
    <row r="4274">
      <c r="F4274" s="13"/>
      <c r="M4274" s="13"/>
    </row>
    <row r="4275">
      <c r="F4275" s="13"/>
      <c r="M4275" s="13"/>
    </row>
    <row r="4276">
      <c r="F4276" s="13"/>
      <c r="M4276" s="13"/>
    </row>
    <row r="4277">
      <c r="F4277" s="13"/>
      <c r="M4277" s="13"/>
    </row>
    <row r="4278">
      <c r="F4278" s="13"/>
      <c r="M4278" s="13"/>
    </row>
    <row r="4279">
      <c r="F4279" s="13"/>
      <c r="M4279" s="13"/>
    </row>
    <row r="4280">
      <c r="F4280" s="13"/>
      <c r="M4280" s="13"/>
    </row>
    <row r="4281">
      <c r="F4281" s="13"/>
      <c r="M4281" s="13"/>
    </row>
    <row r="4282">
      <c r="F4282" s="13"/>
      <c r="M4282" s="13"/>
    </row>
    <row r="4283">
      <c r="F4283" s="13"/>
      <c r="M4283" s="13"/>
    </row>
    <row r="4284">
      <c r="F4284" s="13"/>
      <c r="M4284" s="13"/>
    </row>
    <row r="4285">
      <c r="F4285" s="13"/>
      <c r="M4285" s="13"/>
    </row>
    <row r="4286">
      <c r="F4286" s="13"/>
      <c r="M4286" s="13"/>
    </row>
    <row r="4287">
      <c r="F4287" s="13"/>
      <c r="M4287" s="13"/>
    </row>
    <row r="4288">
      <c r="F4288" s="13"/>
      <c r="M4288" s="13"/>
    </row>
    <row r="4289">
      <c r="F4289" s="13"/>
      <c r="M4289" s="13"/>
    </row>
    <row r="4290">
      <c r="F4290" s="13"/>
      <c r="M4290" s="13"/>
    </row>
    <row r="4291">
      <c r="F4291" s="13"/>
      <c r="M4291" s="13"/>
    </row>
    <row r="4292">
      <c r="F4292" s="13"/>
      <c r="M4292" s="13"/>
    </row>
    <row r="4293">
      <c r="F4293" s="13"/>
      <c r="M4293" s="13"/>
    </row>
    <row r="4294">
      <c r="F4294" s="13"/>
      <c r="M4294" s="13"/>
    </row>
    <row r="4295">
      <c r="F4295" s="13"/>
      <c r="M4295" s="13"/>
    </row>
    <row r="4296">
      <c r="F4296" s="13"/>
      <c r="M4296" s="13"/>
    </row>
    <row r="4297">
      <c r="F4297" s="13"/>
      <c r="M4297" s="13"/>
    </row>
    <row r="4298">
      <c r="F4298" s="13"/>
      <c r="M4298" s="13"/>
    </row>
    <row r="4299">
      <c r="F4299" s="13"/>
      <c r="M4299" s="13"/>
    </row>
    <row r="4300">
      <c r="F4300" s="13"/>
      <c r="M4300" s="13"/>
    </row>
    <row r="4301">
      <c r="F4301" s="13"/>
      <c r="M4301" s="13"/>
    </row>
    <row r="4302">
      <c r="F4302" s="13"/>
      <c r="M4302" s="13"/>
    </row>
    <row r="4303">
      <c r="F4303" s="13"/>
      <c r="M4303" s="13"/>
    </row>
    <row r="4304">
      <c r="F4304" s="13"/>
      <c r="M4304" s="13"/>
    </row>
    <row r="4305">
      <c r="F4305" s="13"/>
      <c r="M4305" s="13"/>
    </row>
    <row r="4306">
      <c r="F4306" s="13"/>
      <c r="M4306" s="13"/>
    </row>
    <row r="4307">
      <c r="F4307" s="13"/>
      <c r="M4307" s="13"/>
    </row>
    <row r="4308">
      <c r="F4308" s="13"/>
      <c r="M4308" s="13"/>
    </row>
    <row r="4309">
      <c r="F4309" s="13"/>
      <c r="M4309" s="13"/>
    </row>
    <row r="4310">
      <c r="F4310" s="13"/>
      <c r="M4310" s="13"/>
    </row>
    <row r="4311">
      <c r="F4311" s="13"/>
      <c r="M4311" s="13"/>
    </row>
    <row r="4312">
      <c r="F4312" s="13"/>
      <c r="M4312" s="13"/>
    </row>
    <row r="4313">
      <c r="F4313" s="13"/>
      <c r="M4313" s="13"/>
    </row>
    <row r="4314">
      <c r="F4314" s="13"/>
      <c r="M4314" s="13"/>
    </row>
    <row r="4315">
      <c r="F4315" s="13"/>
      <c r="M4315" s="13"/>
    </row>
    <row r="4316">
      <c r="F4316" s="13"/>
      <c r="M4316" s="13"/>
    </row>
    <row r="4317">
      <c r="F4317" s="13"/>
      <c r="M4317" s="13"/>
    </row>
    <row r="4318">
      <c r="F4318" s="13"/>
      <c r="M4318" s="13"/>
    </row>
    <row r="4319">
      <c r="F4319" s="13"/>
      <c r="M4319" s="13"/>
    </row>
    <row r="4320">
      <c r="F4320" s="13"/>
      <c r="M4320" s="13"/>
    </row>
    <row r="4321">
      <c r="F4321" s="13"/>
      <c r="M4321" s="13"/>
    </row>
    <row r="4322">
      <c r="F4322" s="13"/>
      <c r="M4322" s="13"/>
    </row>
    <row r="4323">
      <c r="F4323" s="13"/>
      <c r="M4323" s="13"/>
    </row>
    <row r="4324">
      <c r="F4324" s="13"/>
      <c r="M4324" s="13"/>
    </row>
    <row r="4325">
      <c r="F4325" s="13"/>
      <c r="M4325" s="13"/>
    </row>
    <row r="4326">
      <c r="F4326" s="13"/>
      <c r="M4326" s="13"/>
    </row>
    <row r="4327">
      <c r="F4327" s="13"/>
      <c r="M4327" s="13"/>
    </row>
    <row r="4328">
      <c r="F4328" s="13"/>
      <c r="M4328" s="13"/>
    </row>
    <row r="4329">
      <c r="F4329" s="13"/>
      <c r="M4329" s="13"/>
    </row>
    <row r="4330">
      <c r="F4330" s="13"/>
      <c r="M4330" s="13"/>
    </row>
    <row r="4331">
      <c r="F4331" s="13"/>
      <c r="M4331" s="13"/>
    </row>
    <row r="4332">
      <c r="F4332" s="13"/>
      <c r="M4332" s="13"/>
    </row>
    <row r="4333">
      <c r="F4333" s="13"/>
      <c r="M4333" s="13"/>
    </row>
    <row r="4334">
      <c r="F4334" s="13"/>
      <c r="M4334" s="13"/>
    </row>
    <row r="4335">
      <c r="F4335" s="13"/>
      <c r="M4335" s="13"/>
    </row>
    <row r="4336">
      <c r="F4336" s="13"/>
      <c r="M4336" s="13"/>
    </row>
    <row r="4337">
      <c r="F4337" s="13"/>
      <c r="M4337" s="13"/>
    </row>
    <row r="4338">
      <c r="F4338" s="13"/>
      <c r="M4338" s="13"/>
    </row>
    <row r="4339">
      <c r="F4339" s="13"/>
      <c r="M4339" s="13"/>
    </row>
    <row r="4340">
      <c r="F4340" s="13"/>
      <c r="M4340" s="13"/>
    </row>
    <row r="4341">
      <c r="F4341" s="13"/>
      <c r="M4341" s="13"/>
    </row>
    <row r="4342">
      <c r="F4342" s="13"/>
      <c r="M4342" s="13"/>
    </row>
    <row r="4343">
      <c r="F4343" s="13"/>
      <c r="M4343" s="13"/>
    </row>
    <row r="4344">
      <c r="F4344" s="13"/>
      <c r="M4344" s="13"/>
    </row>
    <row r="4345">
      <c r="F4345" s="13"/>
      <c r="M4345" s="13"/>
    </row>
    <row r="4346">
      <c r="F4346" s="13"/>
      <c r="M4346" s="13"/>
    </row>
    <row r="4347">
      <c r="F4347" s="13"/>
      <c r="M4347" s="13"/>
    </row>
    <row r="4348">
      <c r="F4348" s="13"/>
      <c r="M4348" s="13"/>
    </row>
    <row r="4349">
      <c r="F4349" s="13"/>
      <c r="M4349" s="13"/>
    </row>
    <row r="4350">
      <c r="F4350" s="13"/>
      <c r="M4350" s="13"/>
    </row>
    <row r="4351">
      <c r="F4351" s="13"/>
      <c r="M4351" s="13"/>
    </row>
    <row r="4352">
      <c r="F4352" s="13"/>
      <c r="M4352" s="13"/>
    </row>
    <row r="4353">
      <c r="F4353" s="13"/>
      <c r="M4353" s="13"/>
    </row>
    <row r="4354">
      <c r="F4354" s="13"/>
      <c r="M4354" s="13"/>
    </row>
    <row r="4355">
      <c r="F4355" s="13"/>
      <c r="M4355" s="13"/>
    </row>
    <row r="4356">
      <c r="F4356" s="13"/>
      <c r="M4356" s="13"/>
    </row>
    <row r="4357">
      <c r="F4357" s="13"/>
      <c r="M4357" s="13"/>
    </row>
    <row r="4358">
      <c r="F4358" s="13"/>
      <c r="M4358" s="13"/>
    </row>
    <row r="4359">
      <c r="F4359" s="13"/>
      <c r="M4359" s="13"/>
    </row>
    <row r="4360">
      <c r="F4360" s="13"/>
      <c r="M4360" s="13"/>
    </row>
    <row r="4361">
      <c r="F4361" s="13"/>
      <c r="M4361" s="13"/>
    </row>
    <row r="4362">
      <c r="F4362" s="13"/>
      <c r="M4362" s="13"/>
    </row>
    <row r="4363">
      <c r="F4363" s="13"/>
      <c r="M4363" s="13"/>
    </row>
    <row r="4364">
      <c r="F4364" s="13"/>
      <c r="M4364" s="13"/>
    </row>
    <row r="4365">
      <c r="F4365" s="13"/>
      <c r="M4365" s="13"/>
    </row>
    <row r="4366">
      <c r="F4366" s="13"/>
      <c r="M4366" s="13"/>
    </row>
    <row r="4367">
      <c r="F4367" s="13"/>
      <c r="M4367" s="13"/>
    </row>
    <row r="4368">
      <c r="F4368" s="13"/>
      <c r="M4368" s="13"/>
    </row>
    <row r="4369">
      <c r="F4369" s="13"/>
      <c r="M4369" s="13"/>
    </row>
    <row r="4370">
      <c r="F4370" s="13"/>
      <c r="M4370" s="13"/>
    </row>
    <row r="4371">
      <c r="F4371" s="13"/>
      <c r="M4371" s="13"/>
    </row>
    <row r="4372">
      <c r="F4372" s="13"/>
      <c r="M4372" s="13"/>
    </row>
    <row r="4373">
      <c r="F4373" s="13"/>
      <c r="M4373" s="13"/>
    </row>
    <row r="4374">
      <c r="F4374" s="13"/>
      <c r="M4374" s="13"/>
    </row>
    <row r="4375">
      <c r="F4375" s="13"/>
      <c r="M4375" s="13"/>
    </row>
    <row r="4376">
      <c r="F4376" s="13"/>
      <c r="M4376" s="13"/>
    </row>
    <row r="4377">
      <c r="F4377" s="13"/>
      <c r="M4377" s="13"/>
    </row>
    <row r="4378">
      <c r="F4378" s="13"/>
      <c r="M4378" s="13"/>
    </row>
    <row r="4379">
      <c r="F4379" s="13"/>
      <c r="M4379" s="13"/>
    </row>
    <row r="4380">
      <c r="F4380" s="13"/>
      <c r="M4380" s="13"/>
    </row>
    <row r="4381">
      <c r="F4381" s="13"/>
      <c r="M4381" s="13"/>
    </row>
    <row r="4382">
      <c r="F4382" s="13"/>
      <c r="M4382" s="13"/>
    </row>
    <row r="4383">
      <c r="F4383" s="13"/>
      <c r="M4383" s="13"/>
    </row>
    <row r="4384">
      <c r="F4384" s="13"/>
      <c r="M4384" s="13"/>
    </row>
    <row r="4385">
      <c r="F4385" s="13"/>
      <c r="M4385" s="13"/>
    </row>
    <row r="4386">
      <c r="F4386" s="13"/>
      <c r="M4386" s="13"/>
    </row>
    <row r="4387">
      <c r="F4387" s="13"/>
      <c r="M4387" s="13"/>
    </row>
    <row r="4388">
      <c r="F4388" s="13"/>
      <c r="M4388" s="13"/>
    </row>
    <row r="4389">
      <c r="F4389" s="13"/>
      <c r="M4389" s="13"/>
    </row>
    <row r="4390">
      <c r="F4390" s="13"/>
      <c r="M4390" s="13"/>
    </row>
    <row r="4391">
      <c r="F4391" s="13"/>
      <c r="M4391" s="13"/>
    </row>
    <row r="4392">
      <c r="F4392" s="13"/>
      <c r="M4392" s="13"/>
    </row>
    <row r="4393">
      <c r="F4393" s="13"/>
      <c r="M4393" s="13"/>
    </row>
    <row r="4394">
      <c r="F4394" s="13"/>
      <c r="M4394" s="13"/>
    </row>
    <row r="4395">
      <c r="F4395" s="13"/>
      <c r="M4395" s="13"/>
    </row>
    <row r="4396">
      <c r="F4396" s="13"/>
      <c r="M4396" s="13"/>
    </row>
    <row r="4397">
      <c r="F4397" s="13"/>
      <c r="M4397" s="13"/>
    </row>
    <row r="4398">
      <c r="F4398" s="13"/>
      <c r="M4398" s="13"/>
    </row>
    <row r="4399">
      <c r="F4399" s="13"/>
      <c r="M4399" s="13"/>
    </row>
    <row r="4400">
      <c r="F4400" s="13"/>
      <c r="M4400" s="13"/>
    </row>
    <row r="4401">
      <c r="F4401" s="13"/>
      <c r="M4401" s="13"/>
    </row>
    <row r="4402">
      <c r="F4402" s="13"/>
      <c r="M4402" s="13"/>
    </row>
    <row r="4403">
      <c r="F4403" s="13"/>
      <c r="M4403" s="13"/>
    </row>
    <row r="4404">
      <c r="F4404" s="13"/>
      <c r="M4404" s="13"/>
    </row>
    <row r="4405">
      <c r="F4405" s="13"/>
      <c r="M4405" s="13"/>
    </row>
    <row r="4406">
      <c r="F4406" s="13"/>
      <c r="M4406" s="13"/>
    </row>
    <row r="4407">
      <c r="F4407" s="13"/>
      <c r="M4407" s="13"/>
    </row>
    <row r="4408">
      <c r="F4408" s="13"/>
      <c r="M4408" s="13"/>
    </row>
    <row r="4409">
      <c r="F4409" s="13"/>
      <c r="M4409" s="13"/>
    </row>
    <row r="4410">
      <c r="F4410" s="13"/>
      <c r="M4410" s="13"/>
    </row>
    <row r="4411">
      <c r="F4411" s="13"/>
      <c r="M4411" s="13"/>
    </row>
    <row r="4412">
      <c r="F4412" s="13"/>
      <c r="M4412" s="13"/>
    </row>
    <row r="4413">
      <c r="F4413" s="13"/>
      <c r="M4413" s="13"/>
    </row>
    <row r="4414">
      <c r="F4414" s="13"/>
      <c r="M4414" s="13"/>
    </row>
    <row r="4415">
      <c r="F4415" s="13"/>
      <c r="M4415" s="13"/>
    </row>
    <row r="4416">
      <c r="F4416" s="13"/>
      <c r="M4416" s="13"/>
    </row>
    <row r="4417">
      <c r="F4417" s="13"/>
      <c r="M4417" s="13"/>
    </row>
    <row r="4418">
      <c r="F4418" s="13"/>
      <c r="M4418" s="13"/>
    </row>
    <row r="4419">
      <c r="F4419" s="13"/>
      <c r="M4419" s="13"/>
    </row>
    <row r="4420">
      <c r="F4420" s="13"/>
      <c r="M4420" s="13"/>
    </row>
    <row r="4421">
      <c r="F4421" s="13"/>
      <c r="M4421" s="13"/>
    </row>
    <row r="4422">
      <c r="F4422" s="13"/>
      <c r="M4422" s="13"/>
    </row>
    <row r="4423">
      <c r="F4423" s="13"/>
      <c r="M4423" s="13"/>
    </row>
    <row r="4424">
      <c r="F4424" s="13"/>
      <c r="M4424" s="13"/>
    </row>
    <row r="4425">
      <c r="F4425" s="13"/>
      <c r="M4425" s="13"/>
    </row>
    <row r="4426">
      <c r="F4426" s="13"/>
      <c r="M4426" s="13"/>
    </row>
    <row r="4427">
      <c r="F4427" s="13"/>
      <c r="M4427" s="13"/>
    </row>
    <row r="4428">
      <c r="F4428" s="13"/>
      <c r="M4428" s="13"/>
    </row>
    <row r="4429">
      <c r="F4429" s="13"/>
      <c r="M4429" s="13"/>
    </row>
    <row r="4430">
      <c r="F4430" s="13"/>
      <c r="M4430" s="13"/>
    </row>
    <row r="4431">
      <c r="F4431" s="13"/>
      <c r="M4431" s="13"/>
    </row>
    <row r="4432">
      <c r="F4432" s="13"/>
      <c r="M4432" s="13"/>
    </row>
    <row r="4433">
      <c r="F4433" s="13"/>
      <c r="M4433" s="13"/>
    </row>
    <row r="4434">
      <c r="F4434" s="13"/>
      <c r="M4434" s="13"/>
    </row>
    <row r="4435">
      <c r="F4435" s="13"/>
      <c r="M4435" s="13"/>
    </row>
    <row r="4436">
      <c r="F4436" s="13"/>
      <c r="M4436" s="13"/>
    </row>
    <row r="4437">
      <c r="F4437" s="13"/>
      <c r="M4437" s="13"/>
    </row>
    <row r="4438">
      <c r="F4438" s="13"/>
      <c r="M4438" s="13"/>
    </row>
    <row r="4439">
      <c r="F4439" s="13"/>
      <c r="M4439" s="13"/>
    </row>
    <row r="4440">
      <c r="F4440" s="13"/>
      <c r="M4440" s="13"/>
    </row>
    <row r="4441">
      <c r="F4441" s="13"/>
      <c r="M4441" s="13"/>
    </row>
    <row r="4442">
      <c r="F4442" s="13"/>
      <c r="M4442" s="13"/>
    </row>
    <row r="4443">
      <c r="F4443" s="13"/>
      <c r="M4443" s="13"/>
    </row>
    <row r="4444">
      <c r="F4444" s="13"/>
      <c r="M4444" s="13"/>
    </row>
    <row r="4445">
      <c r="F4445" s="13"/>
      <c r="M4445" s="13"/>
    </row>
    <row r="4446">
      <c r="F4446" s="13"/>
      <c r="M4446" s="13"/>
    </row>
    <row r="4447">
      <c r="F4447" s="13"/>
      <c r="M4447" s="13"/>
    </row>
    <row r="4448">
      <c r="F4448" s="13"/>
      <c r="M4448" s="13"/>
    </row>
    <row r="4449">
      <c r="F4449" s="13"/>
      <c r="M4449" s="13"/>
    </row>
    <row r="4450">
      <c r="F4450" s="13"/>
      <c r="M4450" s="13"/>
    </row>
    <row r="4451">
      <c r="F4451" s="13"/>
      <c r="M4451" s="13"/>
    </row>
    <row r="4452">
      <c r="F4452" s="13"/>
      <c r="M4452" s="13"/>
    </row>
    <row r="4453">
      <c r="F4453" s="13"/>
      <c r="M4453" s="13"/>
    </row>
    <row r="4454">
      <c r="F4454" s="13"/>
      <c r="M4454" s="13"/>
    </row>
    <row r="4455">
      <c r="F4455" s="13"/>
      <c r="M4455" s="13"/>
    </row>
    <row r="4456">
      <c r="F4456" s="13"/>
      <c r="M4456" s="13"/>
    </row>
    <row r="4457">
      <c r="F4457" s="13"/>
      <c r="M4457" s="13"/>
    </row>
    <row r="4458">
      <c r="F4458" s="13"/>
      <c r="M4458" s="13"/>
    </row>
    <row r="4459">
      <c r="F4459" s="13"/>
      <c r="M4459" s="13"/>
    </row>
    <row r="4460">
      <c r="F4460" s="13"/>
      <c r="M4460" s="13"/>
    </row>
    <row r="4461">
      <c r="F4461" s="13"/>
      <c r="M4461" s="13"/>
    </row>
    <row r="4462">
      <c r="F4462" s="13"/>
      <c r="M4462" s="13"/>
    </row>
    <row r="4463">
      <c r="F4463" s="13"/>
      <c r="M4463" s="13"/>
    </row>
    <row r="4464">
      <c r="F4464" s="13"/>
      <c r="M4464" s="13"/>
    </row>
    <row r="4465">
      <c r="F4465" s="13"/>
      <c r="M4465" s="13"/>
    </row>
    <row r="4466">
      <c r="F4466" s="13"/>
      <c r="M4466" s="13"/>
    </row>
    <row r="4467">
      <c r="F4467" s="13"/>
      <c r="M4467" s="13"/>
    </row>
    <row r="4468">
      <c r="F4468" s="13"/>
      <c r="M4468" s="13"/>
    </row>
    <row r="4469">
      <c r="F4469" s="13"/>
      <c r="M4469" s="13"/>
    </row>
    <row r="4470">
      <c r="F4470" s="13"/>
      <c r="M4470" s="13"/>
    </row>
    <row r="4471">
      <c r="F4471" s="13"/>
      <c r="M4471" s="13"/>
    </row>
    <row r="4472">
      <c r="F4472" s="13"/>
      <c r="M4472" s="13"/>
    </row>
    <row r="4473">
      <c r="F4473" s="13"/>
      <c r="M4473" s="13"/>
    </row>
    <row r="4474">
      <c r="F4474" s="13"/>
      <c r="M4474" s="13"/>
    </row>
    <row r="4475">
      <c r="F4475" s="13"/>
      <c r="M4475" s="13"/>
    </row>
    <row r="4476">
      <c r="F4476" s="13"/>
      <c r="M4476" s="13"/>
    </row>
    <row r="4477">
      <c r="F4477" s="13"/>
      <c r="M4477" s="13"/>
    </row>
    <row r="4478">
      <c r="F4478" s="13"/>
      <c r="M4478" s="13"/>
    </row>
    <row r="4479">
      <c r="F4479" s="13"/>
      <c r="M4479" s="13"/>
    </row>
    <row r="4480">
      <c r="F4480" s="13"/>
      <c r="M4480" s="13"/>
    </row>
    <row r="4481">
      <c r="F4481" s="13"/>
      <c r="M4481" s="13"/>
    </row>
    <row r="4482">
      <c r="F4482" s="13"/>
      <c r="M4482" s="13"/>
    </row>
    <row r="4483">
      <c r="F4483" s="13"/>
      <c r="M4483" s="13"/>
    </row>
    <row r="4484">
      <c r="F4484" s="13"/>
      <c r="M4484" s="13"/>
    </row>
    <row r="4485">
      <c r="F4485" s="13"/>
      <c r="M4485" s="13"/>
    </row>
    <row r="4486">
      <c r="F4486" s="13"/>
      <c r="M4486" s="13"/>
    </row>
    <row r="4487">
      <c r="F4487" s="13"/>
      <c r="M4487" s="13"/>
    </row>
    <row r="4488">
      <c r="F4488" s="13"/>
      <c r="M4488" s="13"/>
    </row>
    <row r="4489">
      <c r="F4489" s="13"/>
      <c r="M4489" s="13"/>
    </row>
    <row r="4490">
      <c r="F4490" s="13"/>
      <c r="M4490" s="13"/>
    </row>
    <row r="4491">
      <c r="F4491" s="13"/>
      <c r="M4491" s="13"/>
    </row>
    <row r="4492">
      <c r="F4492" s="13"/>
      <c r="M4492" s="13"/>
    </row>
    <row r="4493">
      <c r="F4493" s="13"/>
      <c r="M4493" s="13"/>
    </row>
    <row r="4494">
      <c r="F4494" s="13"/>
      <c r="M4494" s="13"/>
    </row>
    <row r="4495">
      <c r="F4495" s="13"/>
      <c r="M4495" s="13"/>
    </row>
    <row r="4496">
      <c r="F4496" s="13"/>
      <c r="M4496" s="13"/>
    </row>
    <row r="4497">
      <c r="F4497" s="13"/>
      <c r="M4497" s="13"/>
    </row>
    <row r="4498">
      <c r="F4498" s="13"/>
      <c r="M4498" s="13"/>
    </row>
    <row r="4499">
      <c r="F4499" s="13"/>
      <c r="M4499" s="13"/>
    </row>
    <row r="4500">
      <c r="F4500" s="13"/>
      <c r="M4500" s="13"/>
    </row>
    <row r="4501">
      <c r="F4501" s="13"/>
      <c r="M4501" s="13"/>
    </row>
    <row r="4502">
      <c r="F4502" s="13"/>
      <c r="M4502" s="13"/>
    </row>
    <row r="4503">
      <c r="F4503" s="13"/>
      <c r="M4503" s="13"/>
    </row>
    <row r="4504">
      <c r="F4504" s="13"/>
      <c r="M4504" s="13"/>
    </row>
    <row r="4505">
      <c r="F4505" s="13"/>
      <c r="M4505" s="13"/>
    </row>
    <row r="4506">
      <c r="F4506" s="13"/>
      <c r="M4506" s="13"/>
    </row>
    <row r="4507">
      <c r="F4507" s="13"/>
      <c r="M4507" s="13"/>
    </row>
    <row r="4508">
      <c r="F4508" s="13"/>
      <c r="M4508" s="13"/>
    </row>
    <row r="4509">
      <c r="F4509" s="13"/>
      <c r="M4509" s="13"/>
    </row>
    <row r="4510">
      <c r="F4510" s="13"/>
      <c r="M4510" s="13"/>
    </row>
    <row r="4511">
      <c r="F4511" s="13"/>
      <c r="M4511" s="13"/>
    </row>
    <row r="4512">
      <c r="F4512" s="13"/>
      <c r="M4512" s="13"/>
    </row>
    <row r="4513">
      <c r="F4513" s="13"/>
      <c r="M4513" s="13"/>
    </row>
    <row r="4514">
      <c r="F4514" s="13"/>
      <c r="M4514" s="13"/>
    </row>
    <row r="4515">
      <c r="F4515" s="13"/>
      <c r="M4515" s="13"/>
    </row>
    <row r="4516">
      <c r="F4516" s="13"/>
      <c r="M4516" s="13"/>
    </row>
    <row r="4517">
      <c r="F4517" s="13"/>
      <c r="M4517" s="13"/>
    </row>
    <row r="4518">
      <c r="F4518" s="13"/>
      <c r="M4518" s="13"/>
    </row>
    <row r="4519">
      <c r="F4519" s="13"/>
      <c r="M4519" s="13"/>
    </row>
    <row r="4520">
      <c r="F4520" s="13"/>
      <c r="M4520" s="13"/>
    </row>
    <row r="4521">
      <c r="F4521" s="13"/>
      <c r="M4521" s="13"/>
    </row>
    <row r="4522">
      <c r="F4522" s="13"/>
      <c r="M4522" s="13"/>
    </row>
    <row r="4523">
      <c r="F4523" s="13"/>
      <c r="M4523" s="13"/>
    </row>
    <row r="4524">
      <c r="F4524" s="13"/>
      <c r="M4524" s="13"/>
    </row>
    <row r="4525">
      <c r="F4525" s="13"/>
      <c r="M4525" s="13"/>
    </row>
    <row r="4526">
      <c r="F4526" s="13"/>
      <c r="M4526" s="13"/>
    </row>
    <row r="4527">
      <c r="F4527" s="13"/>
      <c r="M4527" s="13"/>
    </row>
    <row r="4528">
      <c r="F4528" s="13"/>
      <c r="M4528" s="13"/>
    </row>
    <row r="4529">
      <c r="F4529" s="13"/>
      <c r="M4529" s="13"/>
    </row>
    <row r="4530">
      <c r="F4530" s="13"/>
      <c r="M4530" s="13"/>
    </row>
    <row r="4531">
      <c r="F4531" s="13"/>
      <c r="M4531" s="13"/>
    </row>
    <row r="4532">
      <c r="F4532" s="13"/>
      <c r="M4532" s="13"/>
    </row>
    <row r="4533">
      <c r="F4533" s="13"/>
      <c r="M4533" s="13"/>
    </row>
    <row r="4534">
      <c r="F4534" s="13"/>
      <c r="M4534" s="13"/>
    </row>
    <row r="4535">
      <c r="F4535" s="13"/>
      <c r="M4535" s="13"/>
    </row>
    <row r="4536">
      <c r="F4536" s="13"/>
      <c r="M4536" s="13"/>
    </row>
    <row r="4537">
      <c r="F4537" s="13"/>
      <c r="M4537" s="13"/>
    </row>
    <row r="4538">
      <c r="F4538" s="13"/>
      <c r="M4538" s="13"/>
    </row>
    <row r="4539">
      <c r="F4539" s="13"/>
      <c r="M4539" s="13"/>
    </row>
    <row r="4540">
      <c r="F4540" s="13"/>
      <c r="M4540" s="13"/>
    </row>
    <row r="4541">
      <c r="F4541" s="13"/>
      <c r="M4541" s="13"/>
    </row>
    <row r="4542">
      <c r="F4542" s="13"/>
      <c r="M4542" s="13"/>
    </row>
    <row r="4543">
      <c r="F4543" s="13"/>
      <c r="M4543" s="13"/>
    </row>
    <row r="4544">
      <c r="F4544" s="13"/>
      <c r="M4544" s="13"/>
    </row>
    <row r="4545">
      <c r="F4545" s="13"/>
      <c r="M4545" s="13"/>
    </row>
    <row r="4546">
      <c r="F4546" s="13"/>
      <c r="M4546" s="13"/>
    </row>
    <row r="4547">
      <c r="F4547" s="13"/>
      <c r="M4547" s="13"/>
    </row>
    <row r="4548">
      <c r="F4548" s="13"/>
      <c r="M4548" s="13"/>
    </row>
    <row r="4549">
      <c r="F4549" s="13"/>
      <c r="M4549" s="13"/>
    </row>
    <row r="4550">
      <c r="F4550" s="13"/>
      <c r="M4550" s="13"/>
    </row>
    <row r="4551">
      <c r="F4551" s="13"/>
      <c r="M4551" s="13"/>
    </row>
    <row r="4552">
      <c r="F4552" s="13"/>
      <c r="M4552" s="13"/>
    </row>
    <row r="4553">
      <c r="F4553" s="13"/>
      <c r="M4553" s="13"/>
    </row>
    <row r="4554">
      <c r="F4554" s="13"/>
      <c r="M4554" s="13"/>
    </row>
    <row r="4555">
      <c r="F4555" s="13"/>
      <c r="M4555" s="13"/>
    </row>
    <row r="4556">
      <c r="F4556" s="13"/>
      <c r="M4556" s="13"/>
    </row>
    <row r="4557">
      <c r="F4557" s="13"/>
      <c r="M4557" s="13"/>
    </row>
    <row r="4558">
      <c r="F4558" s="13"/>
      <c r="M4558" s="13"/>
    </row>
    <row r="4559">
      <c r="F4559" s="13"/>
      <c r="M4559" s="13"/>
    </row>
    <row r="4560">
      <c r="F4560" s="13"/>
      <c r="M4560" s="13"/>
    </row>
    <row r="4561">
      <c r="F4561" s="13"/>
      <c r="M4561" s="13"/>
    </row>
    <row r="4562">
      <c r="F4562" s="13"/>
      <c r="M4562" s="13"/>
    </row>
    <row r="4563">
      <c r="F4563" s="13"/>
      <c r="M4563" s="13"/>
    </row>
    <row r="4564">
      <c r="F4564" s="13"/>
      <c r="M4564" s="13"/>
    </row>
    <row r="4565">
      <c r="F4565" s="13"/>
      <c r="M4565" s="13"/>
    </row>
    <row r="4566">
      <c r="F4566" s="13"/>
      <c r="M4566" s="13"/>
    </row>
    <row r="4567">
      <c r="F4567" s="13"/>
      <c r="M4567" s="13"/>
    </row>
    <row r="4568">
      <c r="F4568" s="13"/>
      <c r="M4568" s="13"/>
    </row>
    <row r="4569">
      <c r="F4569" s="13"/>
      <c r="M4569" s="13"/>
    </row>
    <row r="4570">
      <c r="F4570" s="13"/>
      <c r="M4570" s="13"/>
    </row>
    <row r="4571">
      <c r="F4571" s="13"/>
      <c r="M4571" s="13"/>
    </row>
    <row r="4572">
      <c r="F4572" s="13"/>
      <c r="M4572" s="13"/>
    </row>
    <row r="4573">
      <c r="F4573" s="13"/>
      <c r="M4573" s="13"/>
    </row>
    <row r="4574">
      <c r="F4574" s="13"/>
      <c r="M4574" s="13"/>
    </row>
    <row r="4575">
      <c r="F4575" s="13"/>
      <c r="M4575" s="13"/>
    </row>
    <row r="4576">
      <c r="F4576" s="13"/>
      <c r="M4576" s="13"/>
    </row>
    <row r="4577">
      <c r="F4577" s="13"/>
      <c r="M4577" s="13"/>
    </row>
    <row r="4578">
      <c r="F4578" s="13"/>
      <c r="M4578" s="13"/>
    </row>
    <row r="4579">
      <c r="F4579" s="13"/>
      <c r="M4579" s="13"/>
    </row>
    <row r="4580">
      <c r="F4580" s="13"/>
      <c r="M4580" s="13"/>
    </row>
    <row r="4581">
      <c r="F4581" s="13"/>
      <c r="M4581" s="13"/>
    </row>
    <row r="4582">
      <c r="F4582" s="13"/>
      <c r="M4582" s="13"/>
    </row>
    <row r="4583">
      <c r="F4583" s="13"/>
      <c r="M4583" s="13"/>
    </row>
    <row r="4584">
      <c r="F4584" s="13"/>
      <c r="M4584" s="13"/>
    </row>
    <row r="4585">
      <c r="F4585" s="13"/>
      <c r="M4585" s="13"/>
    </row>
    <row r="4586">
      <c r="F4586" s="13"/>
      <c r="M4586" s="13"/>
    </row>
    <row r="4587">
      <c r="F4587" s="13"/>
      <c r="M4587" s="13"/>
    </row>
    <row r="4588">
      <c r="F4588" s="13"/>
      <c r="M4588" s="13"/>
    </row>
    <row r="4589">
      <c r="F4589" s="13"/>
      <c r="M4589" s="13"/>
    </row>
    <row r="4590">
      <c r="F4590" s="13"/>
      <c r="M4590" s="13"/>
    </row>
    <row r="4591">
      <c r="F4591" s="13"/>
      <c r="M4591" s="13"/>
    </row>
    <row r="4592">
      <c r="F4592" s="13"/>
      <c r="M4592" s="13"/>
    </row>
    <row r="4593">
      <c r="F4593" s="13"/>
      <c r="M4593" s="13"/>
    </row>
    <row r="4594">
      <c r="F4594" s="13"/>
      <c r="M4594" s="13"/>
    </row>
    <row r="4595">
      <c r="F4595" s="13"/>
      <c r="M4595" s="13"/>
    </row>
    <row r="4596">
      <c r="F4596" s="13"/>
      <c r="M4596" s="13"/>
    </row>
    <row r="4597">
      <c r="F4597" s="13"/>
      <c r="M4597" s="13"/>
    </row>
    <row r="4598">
      <c r="F4598" s="13"/>
      <c r="M4598" s="13"/>
    </row>
    <row r="4599">
      <c r="F4599" s="13"/>
      <c r="M4599" s="13"/>
    </row>
    <row r="4600">
      <c r="F4600" s="13"/>
      <c r="M4600" s="13"/>
    </row>
    <row r="4601">
      <c r="F4601" s="13"/>
      <c r="M4601" s="13"/>
    </row>
    <row r="4602">
      <c r="F4602" s="13"/>
      <c r="M4602" s="13"/>
    </row>
    <row r="4603">
      <c r="F4603" s="13"/>
      <c r="M4603" s="13"/>
    </row>
    <row r="4604">
      <c r="F4604" s="13"/>
      <c r="M4604" s="13"/>
    </row>
    <row r="4605">
      <c r="F4605" s="13"/>
      <c r="M4605" s="13"/>
    </row>
    <row r="4606">
      <c r="F4606" s="13"/>
      <c r="M4606" s="13"/>
    </row>
    <row r="4607">
      <c r="F4607" s="13"/>
      <c r="M4607" s="13"/>
    </row>
    <row r="4608">
      <c r="F4608" s="13"/>
      <c r="M4608" s="13"/>
    </row>
    <row r="4609">
      <c r="F4609" s="13"/>
      <c r="M4609" s="13"/>
    </row>
    <row r="4610">
      <c r="F4610" s="13"/>
      <c r="M4610" s="13"/>
    </row>
    <row r="4611">
      <c r="F4611" s="13"/>
      <c r="M4611" s="13"/>
    </row>
    <row r="4612">
      <c r="F4612" s="13"/>
      <c r="M4612" s="13"/>
    </row>
    <row r="4613">
      <c r="F4613" s="13"/>
      <c r="M4613" s="13"/>
    </row>
    <row r="4614">
      <c r="F4614" s="13"/>
      <c r="M4614" s="13"/>
    </row>
    <row r="4615">
      <c r="F4615" s="13"/>
      <c r="M4615" s="13"/>
    </row>
    <row r="4616">
      <c r="F4616" s="13"/>
      <c r="M4616" s="13"/>
    </row>
    <row r="4617">
      <c r="F4617" s="13"/>
      <c r="M4617" s="13"/>
    </row>
    <row r="4618">
      <c r="F4618" s="13"/>
      <c r="M4618" s="13"/>
    </row>
    <row r="4619">
      <c r="F4619" s="13"/>
      <c r="M4619" s="13"/>
    </row>
    <row r="4620">
      <c r="F4620" s="13"/>
      <c r="M4620" s="13"/>
    </row>
    <row r="4621">
      <c r="F4621" s="13"/>
      <c r="M4621" s="13"/>
    </row>
    <row r="4622">
      <c r="F4622" s="13"/>
      <c r="M4622" s="13"/>
    </row>
    <row r="4623">
      <c r="F4623" s="13"/>
      <c r="M4623" s="13"/>
    </row>
    <row r="4624">
      <c r="F4624" s="13"/>
      <c r="M4624" s="13"/>
    </row>
    <row r="4625">
      <c r="F4625" s="13"/>
      <c r="M4625" s="13"/>
    </row>
    <row r="4626">
      <c r="F4626" s="13"/>
      <c r="M4626" s="13"/>
    </row>
    <row r="4627">
      <c r="F4627" s="13"/>
      <c r="M4627" s="13"/>
    </row>
    <row r="4628">
      <c r="F4628" s="13"/>
      <c r="M4628" s="13"/>
    </row>
    <row r="4629">
      <c r="F4629" s="13"/>
      <c r="M4629" s="13"/>
    </row>
    <row r="4630">
      <c r="F4630" s="13"/>
      <c r="M4630" s="13"/>
    </row>
    <row r="4631">
      <c r="F4631" s="13"/>
      <c r="M4631" s="13"/>
    </row>
    <row r="4632">
      <c r="F4632" s="13"/>
      <c r="M4632" s="13"/>
    </row>
    <row r="4633">
      <c r="F4633" s="13"/>
      <c r="M4633" s="13"/>
    </row>
    <row r="4634">
      <c r="F4634" s="13"/>
      <c r="M4634" s="13"/>
    </row>
    <row r="4635">
      <c r="F4635" s="13"/>
      <c r="M4635" s="13"/>
    </row>
    <row r="4636">
      <c r="F4636" s="13"/>
      <c r="M4636" s="13"/>
    </row>
    <row r="4637">
      <c r="F4637" s="13"/>
      <c r="M4637" s="13"/>
    </row>
    <row r="4638">
      <c r="F4638" s="13"/>
      <c r="M4638" s="13"/>
    </row>
    <row r="4639">
      <c r="F4639" s="13"/>
      <c r="M4639" s="13"/>
    </row>
    <row r="4640">
      <c r="F4640" s="13"/>
      <c r="M4640" s="13"/>
    </row>
    <row r="4641">
      <c r="F4641" s="13"/>
      <c r="M4641" s="13"/>
    </row>
    <row r="4642">
      <c r="F4642" s="13"/>
      <c r="M4642" s="13"/>
    </row>
    <row r="4643">
      <c r="F4643" s="13"/>
      <c r="M4643" s="13"/>
    </row>
    <row r="4644">
      <c r="F4644" s="13"/>
      <c r="M4644" s="13"/>
    </row>
    <row r="4645">
      <c r="F4645" s="13"/>
      <c r="M4645" s="13"/>
    </row>
    <row r="4646">
      <c r="F4646" s="13"/>
      <c r="M4646" s="13"/>
    </row>
    <row r="4647">
      <c r="F4647" s="13"/>
      <c r="M4647" s="13"/>
    </row>
    <row r="4648">
      <c r="F4648" s="13"/>
      <c r="M4648" s="13"/>
    </row>
    <row r="4649">
      <c r="F4649" s="13"/>
      <c r="M4649" s="13"/>
    </row>
    <row r="4650">
      <c r="F4650" s="13"/>
      <c r="M4650" s="13"/>
    </row>
    <row r="4651">
      <c r="F4651" s="13"/>
      <c r="M4651" s="13"/>
    </row>
    <row r="4652">
      <c r="F4652" s="13"/>
      <c r="M4652" s="13"/>
    </row>
    <row r="4653">
      <c r="F4653" s="13"/>
      <c r="M4653" s="13"/>
    </row>
    <row r="4654">
      <c r="F4654" s="13"/>
      <c r="M4654" s="13"/>
    </row>
    <row r="4655">
      <c r="F4655" s="13"/>
      <c r="M4655" s="13"/>
    </row>
    <row r="4656">
      <c r="F4656" s="13"/>
      <c r="M4656" s="13"/>
    </row>
    <row r="4657">
      <c r="F4657" s="13"/>
      <c r="M4657" s="13"/>
    </row>
    <row r="4658">
      <c r="F4658" s="13"/>
      <c r="M4658" s="13"/>
    </row>
    <row r="4659">
      <c r="F4659" s="13"/>
      <c r="M4659" s="13"/>
    </row>
    <row r="4660">
      <c r="F4660" s="13"/>
      <c r="M4660" s="13"/>
    </row>
    <row r="4661">
      <c r="F4661" s="13"/>
      <c r="M4661" s="13"/>
    </row>
    <row r="4662">
      <c r="F4662" s="13"/>
      <c r="M4662" s="13"/>
    </row>
    <row r="4663">
      <c r="F4663" s="13"/>
      <c r="M4663" s="13"/>
    </row>
    <row r="4664">
      <c r="F4664" s="13"/>
      <c r="M4664" s="13"/>
    </row>
    <row r="4665">
      <c r="F4665" s="13"/>
      <c r="M4665" s="13"/>
    </row>
    <row r="4666">
      <c r="F4666" s="13"/>
      <c r="M4666" s="13"/>
    </row>
    <row r="4667">
      <c r="F4667" s="13"/>
      <c r="M4667" s="13"/>
    </row>
    <row r="4668">
      <c r="F4668" s="13"/>
      <c r="M4668" s="13"/>
    </row>
    <row r="4669">
      <c r="F4669" s="13"/>
      <c r="M4669" s="13"/>
    </row>
    <row r="4670">
      <c r="F4670" s="13"/>
      <c r="M4670" s="13"/>
    </row>
    <row r="4671">
      <c r="F4671" s="13"/>
      <c r="M4671" s="13"/>
    </row>
    <row r="4672">
      <c r="F4672" s="13"/>
      <c r="M4672" s="13"/>
    </row>
    <row r="4673">
      <c r="F4673" s="13"/>
      <c r="M4673" s="13"/>
    </row>
    <row r="4674">
      <c r="F4674" s="13"/>
      <c r="M4674" s="13"/>
    </row>
    <row r="4675">
      <c r="F4675" s="13"/>
      <c r="M4675" s="13"/>
    </row>
    <row r="4676">
      <c r="F4676" s="13"/>
      <c r="M4676" s="13"/>
    </row>
    <row r="4677">
      <c r="F4677" s="13"/>
      <c r="M4677" s="13"/>
    </row>
    <row r="4678">
      <c r="F4678" s="13"/>
      <c r="M4678" s="13"/>
    </row>
    <row r="4679">
      <c r="F4679" s="13"/>
      <c r="M4679" s="13"/>
    </row>
    <row r="4680">
      <c r="F4680" s="13"/>
      <c r="M4680" s="13"/>
    </row>
    <row r="4681">
      <c r="F4681" s="13"/>
      <c r="M4681" s="13"/>
    </row>
    <row r="4682">
      <c r="F4682" s="13"/>
      <c r="M4682" s="13"/>
    </row>
    <row r="4683">
      <c r="F4683" s="13"/>
      <c r="M4683" s="13"/>
    </row>
    <row r="4684">
      <c r="F4684" s="13"/>
      <c r="M4684" s="13"/>
    </row>
    <row r="4685">
      <c r="F4685" s="13"/>
      <c r="M4685" s="13"/>
    </row>
    <row r="4686">
      <c r="F4686" s="13"/>
      <c r="M4686" s="13"/>
    </row>
    <row r="4687">
      <c r="F4687" s="13"/>
      <c r="M4687" s="13"/>
    </row>
    <row r="4688">
      <c r="F4688" s="13"/>
      <c r="M4688" s="13"/>
    </row>
    <row r="4689">
      <c r="F4689" s="13"/>
      <c r="M4689" s="13"/>
    </row>
    <row r="4690">
      <c r="F4690" s="13"/>
      <c r="M4690" s="13"/>
    </row>
    <row r="4691">
      <c r="F4691" s="13"/>
      <c r="M4691" s="13"/>
    </row>
    <row r="4692">
      <c r="F4692" s="13"/>
      <c r="M4692" s="13"/>
    </row>
    <row r="4693">
      <c r="F4693" s="13"/>
      <c r="M4693" s="13"/>
    </row>
    <row r="4694">
      <c r="F4694" s="13"/>
      <c r="M4694" s="13"/>
    </row>
    <row r="4695">
      <c r="F4695" s="13"/>
      <c r="M4695" s="13"/>
    </row>
    <row r="4696">
      <c r="F4696" s="13"/>
      <c r="M4696" s="13"/>
    </row>
    <row r="4697">
      <c r="F4697" s="13"/>
      <c r="M4697" s="13"/>
    </row>
    <row r="4698">
      <c r="F4698" s="13"/>
      <c r="M4698" s="13"/>
    </row>
    <row r="4699">
      <c r="F4699" s="13"/>
      <c r="M4699" s="13"/>
    </row>
    <row r="4700">
      <c r="F4700" s="13"/>
      <c r="M4700" s="13"/>
    </row>
    <row r="4701">
      <c r="F4701" s="13"/>
      <c r="M4701" s="13"/>
    </row>
    <row r="4702">
      <c r="F4702" s="13"/>
      <c r="M4702" s="13"/>
    </row>
    <row r="4703">
      <c r="F4703" s="13"/>
      <c r="M4703" s="13"/>
    </row>
    <row r="4704">
      <c r="F4704" s="13"/>
      <c r="M4704" s="13"/>
    </row>
    <row r="4705">
      <c r="F4705" s="13"/>
      <c r="M4705" s="13"/>
    </row>
    <row r="4706">
      <c r="F4706" s="13"/>
      <c r="M4706" s="13"/>
    </row>
    <row r="4707">
      <c r="F4707" s="13"/>
      <c r="M4707" s="13"/>
    </row>
    <row r="4708">
      <c r="F4708" s="13"/>
      <c r="M4708" s="13"/>
    </row>
    <row r="4709">
      <c r="F4709" s="13"/>
      <c r="M4709" s="13"/>
    </row>
    <row r="4710">
      <c r="F4710" s="13"/>
      <c r="M4710" s="13"/>
    </row>
    <row r="4711">
      <c r="F4711" s="13"/>
      <c r="M4711" s="13"/>
    </row>
    <row r="4712">
      <c r="F4712" s="13"/>
      <c r="M4712" s="13"/>
    </row>
    <row r="4713">
      <c r="F4713" s="13"/>
      <c r="M4713" s="13"/>
    </row>
    <row r="4714">
      <c r="F4714" s="13"/>
      <c r="M4714" s="13"/>
    </row>
    <row r="4715">
      <c r="F4715" s="13"/>
      <c r="M4715" s="13"/>
    </row>
    <row r="4716">
      <c r="F4716" s="13"/>
      <c r="M4716" s="13"/>
    </row>
    <row r="4717">
      <c r="F4717" s="13"/>
      <c r="M4717" s="13"/>
    </row>
    <row r="4718">
      <c r="F4718" s="13"/>
      <c r="M4718" s="13"/>
    </row>
    <row r="4719">
      <c r="F4719" s="13"/>
      <c r="M4719" s="13"/>
    </row>
    <row r="4720">
      <c r="F4720" s="13"/>
      <c r="M4720" s="13"/>
    </row>
    <row r="4721">
      <c r="F4721" s="13"/>
      <c r="M4721" s="13"/>
    </row>
    <row r="4722">
      <c r="F4722" s="13"/>
      <c r="M4722" s="13"/>
    </row>
    <row r="4723">
      <c r="F4723" s="13"/>
      <c r="M4723" s="13"/>
    </row>
    <row r="4724">
      <c r="F4724" s="13"/>
      <c r="M4724" s="13"/>
    </row>
    <row r="4725">
      <c r="F4725" s="13"/>
      <c r="M4725" s="13"/>
    </row>
    <row r="4726">
      <c r="F4726" s="13"/>
      <c r="M4726" s="13"/>
    </row>
    <row r="4727">
      <c r="F4727" s="13"/>
      <c r="M4727" s="13"/>
    </row>
    <row r="4728">
      <c r="F4728" s="13"/>
      <c r="M4728" s="13"/>
    </row>
    <row r="4729">
      <c r="F4729" s="13"/>
      <c r="M4729" s="13"/>
    </row>
    <row r="4730">
      <c r="F4730" s="13"/>
      <c r="M4730" s="13"/>
    </row>
    <row r="4731">
      <c r="F4731" s="13"/>
      <c r="M4731" s="13"/>
    </row>
    <row r="4732">
      <c r="F4732" s="13"/>
      <c r="M4732" s="13"/>
    </row>
    <row r="4733">
      <c r="F4733" s="13"/>
      <c r="M4733" s="13"/>
    </row>
    <row r="4734">
      <c r="F4734" s="13"/>
      <c r="M4734" s="13"/>
    </row>
    <row r="4735">
      <c r="F4735" s="13"/>
      <c r="M4735" s="13"/>
    </row>
    <row r="4736">
      <c r="F4736" s="13"/>
      <c r="M4736" s="13"/>
    </row>
    <row r="4737">
      <c r="F4737" s="13"/>
      <c r="M4737" s="13"/>
    </row>
    <row r="4738">
      <c r="F4738" s="13"/>
      <c r="M4738" s="13"/>
    </row>
    <row r="4739">
      <c r="F4739" s="13"/>
      <c r="M4739" s="13"/>
    </row>
    <row r="4740">
      <c r="F4740" s="13"/>
      <c r="M4740" s="13"/>
    </row>
    <row r="4741">
      <c r="F4741" s="13"/>
      <c r="M4741" s="13"/>
    </row>
    <row r="4742">
      <c r="F4742" s="13"/>
      <c r="M4742" s="13"/>
    </row>
    <row r="4743">
      <c r="F4743" s="13"/>
      <c r="M4743" s="13"/>
    </row>
    <row r="4744">
      <c r="F4744" s="13"/>
      <c r="M4744" s="13"/>
    </row>
    <row r="4745">
      <c r="F4745" s="13"/>
      <c r="M4745" s="13"/>
    </row>
    <row r="4746">
      <c r="F4746" s="13"/>
      <c r="M4746" s="13"/>
    </row>
    <row r="4747">
      <c r="F4747" s="13"/>
      <c r="M4747" s="13"/>
    </row>
    <row r="4748">
      <c r="F4748" s="13"/>
      <c r="M4748" s="13"/>
    </row>
    <row r="4749">
      <c r="F4749" s="13"/>
      <c r="M4749" s="13"/>
    </row>
    <row r="4750">
      <c r="F4750" s="13"/>
      <c r="M4750" s="13"/>
    </row>
    <row r="4751">
      <c r="F4751" s="13"/>
      <c r="M4751" s="13"/>
    </row>
    <row r="4752">
      <c r="F4752" s="13"/>
      <c r="M4752" s="13"/>
    </row>
    <row r="4753">
      <c r="F4753" s="13"/>
      <c r="M4753" s="13"/>
    </row>
    <row r="4754">
      <c r="F4754" s="13"/>
      <c r="M4754" s="13"/>
    </row>
    <row r="4755">
      <c r="F4755" s="13"/>
      <c r="M4755" s="13"/>
    </row>
    <row r="4756">
      <c r="F4756" s="13"/>
      <c r="M4756" s="13"/>
    </row>
    <row r="4757">
      <c r="F4757" s="13"/>
      <c r="M4757" s="13"/>
    </row>
    <row r="4758">
      <c r="F4758" s="13"/>
      <c r="M4758" s="13"/>
    </row>
    <row r="4759">
      <c r="F4759" s="13"/>
      <c r="M4759" s="13"/>
    </row>
    <row r="4760">
      <c r="F4760" s="13"/>
      <c r="M4760" s="13"/>
    </row>
    <row r="4761">
      <c r="F4761" s="13"/>
      <c r="M4761" s="13"/>
    </row>
    <row r="4762">
      <c r="F4762" s="13"/>
      <c r="M4762" s="13"/>
    </row>
    <row r="4763">
      <c r="F4763" s="13"/>
      <c r="M4763" s="13"/>
    </row>
    <row r="4764">
      <c r="F4764" s="13"/>
      <c r="M4764" s="13"/>
    </row>
    <row r="4765">
      <c r="F4765" s="13"/>
      <c r="M4765" s="13"/>
    </row>
    <row r="4766">
      <c r="F4766" s="13"/>
      <c r="M4766" s="13"/>
    </row>
    <row r="4767">
      <c r="F4767" s="13"/>
      <c r="M4767" s="13"/>
    </row>
    <row r="4768">
      <c r="F4768" s="13"/>
      <c r="M4768" s="13"/>
    </row>
    <row r="4769">
      <c r="F4769" s="13"/>
      <c r="M4769" s="13"/>
    </row>
    <row r="4770">
      <c r="F4770" s="13"/>
      <c r="M4770" s="13"/>
    </row>
    <row r="4771">
      <c r="F4771" s="13"/>
      <c r="M4771" s="13"/>
    </row>
    <row r="4772">
      <c r="F4772" s="13"/>
      <c r="M4772" s="13"/>
    </row>
    <row r="4773">
      <c r="F4773" s="13"/>
      <c r="M4773" s="13"/>
    </row>
    <row r="4774">
      <c r="F4774" s="13"/>
      <c r="M4774" s="13"/>
    </row>
    <row r="4775">
      <c r="F4775" s="13"/>
      <c r="M4775" s="13"/>
    </row>
    <row r="4776">
      <c r="F4776" s="13"/>
      <c r="M4776" s="13"/>
    </row>
    <row r="4777">
      <c r="F4777" s="13"/>
      <c r="M4777" s="13"/>
    </row>
    <row r="4778">
      <c r="F4778" s="13"/>
      <c r="M4778" s="13"/>
    </row>
    <row r="4779">
      <c r="F4779" s="13"/>
      <c r="M4779" s="13"/>
    </row>
    <row r="4780">
      <c r="F4780" s="13"/>
      <c r="M4780" s="13"/>
    </row>
    <row r="4781">
      <c r="F4781" s="13"/>
      <c r="M4781" s="13"/>
    </row>
    <row r="4782">
      <c r="F4782" s="13"/>
      <c r="M4782" s="13"/>
    </row>
    <row r="4783">
      <c r="F4783" s="13"/>
      <c r="M4783" s="13"/>
    </row>
    <row r="4784">
      <c r="F4784" s="13"/>
      <c r="M4784" s="13"/>
    </row>
    <row r="4785">
      <c r="F4785" s="13"/>
      <c r="M4785" s="13"/>
    </row>
    <row r="4786">
      <c r="F4786" s="13"/>
      <c r="M4786" s="13"/>
    </row>
    <row r="4787">
      <c r="F4787" s="13"/>
      <c r="M4787" s="13"/>
    </row>
    <row r="4788">
      <c r="F4788" s="13"/>
      <c r="M4788" s="13"/>
    </row>
    <row r="4789">
      <c r="F4789" s="13"/>
      <c r="M4789" s="13"/>
    </row>
    <row r="4790">
      <c r="F4790" s="13"/>
      <c r="M4790" s="13"/>
    </row>
    <row r="4791">
      <c r="F4791" s="13"/>
      <c r="M4791" s="13"/>
    </row>
    <row r="4792">
      <c r="F4792" s="13"/>
      <c r="M4792" s="13"/>
    </row>
    <row r="4793">
      <c r="F4793" s="13"/>
      <c r="M4793" s="13"/>
    </row>
    <row r="4794">
      <c r="F4794" s="13"/>
      <c r="M4794" s="13"/>
    </row>
    <row r="4795">
      <c r="F4795" s="13"/>
      <c r="M4795" s="13"/>
    </row>
    <row r="4796">
      <c r="F4796" s="13"/>
      <c r="M4796" s="13"/>
    </row>
    <row r="4797">
      <c r="F4797" s="13"/>
      <c r="M4797" s="13"/>
    </row>
    <row r="4798">
      <c r="F4798" s="13"/>
      <c r="M4798" s="13"/>
    </row>
    <row r="4799">
      <c r="F4799" s="13"/>
      <c r="M4799" s="13"/>
    </row>
    <row r="4800">
      <c r="F4800" s="13"/>
      <c r="M4800" s="13"/>
    </row>
    <row r="4801">
      <c r="F4801" s="13"/>
      <c r="M4801" s="13"/>
    </row>
    <row r="4802">
      <c r="F4802" s="13"/>
      <c r="M4802" s="13"/>
    </row>
    <row r="4803">
      <c r="F4803" s="13"/>
      <c r="M4803" s="13"/>
    </row>
    <row r="4804">
      <c r="F4804" s="13"/>
      <c r="M4804" s="13"/>
    </row>
    <row r="4805">
      <c r="F4805" s="13"/>
      <c r="M4805" s="13"/>
    </row>
    <row r="4806">
      <c r="F4806" s="13"/>
      <c r="M4806" s="13"/>
    </row>
    <row r="4807">
      <c r="F4807" s="13"/>
      <c r="M4807" s="13"/>
    </row>
    <row r="4808">
      <c r="F4808" s="13"/>
      <c r="M4808" s="13"/>
    </row>
    <row r="4809">
      <c r="F4809" s="13"/>
      <c r="M4809" s="13"/>
    </row>
    <row r="4810">
      <c r="F4810" s="13"/>
      <c r="M4810" s="13"/>
    </row>
    <row r="4811">
      <c r="F4811" s="13"/>
      <c r="M4811" s="13"/>
    </row>
    <row r="4812">
      <c r="F4812" s="13"/>
      <c r="M4812" s="13"/>
    </row>
    <row r="4813">
      <c r="F4813" s="13"/>
      <c r="M4813" s="13"/>
    </row>
    <row r="4814">
      <c r="F4814" s="13"/>
      <c r="M4814" s="13"/>
    </row>
    <row r="4815">
      <c r="F4815" s="13"/>
      <c r="M4815" s="13"/>
    </row>
    <row r="4816">
      <c r="F4816" s="13"/>
      <c r="M4816" s="13"/>
    </row>
    <row r="4817">
      <c r="F4817" s="13"/>
      <c r="M4817" s="13"/>
    </row>
    <row r="4818">
      <c r="F4818" s="13"/>
      <c r="M4818" s="13"/>
    </row>
    <row r="4819">
      <c r="F4819" s="13"/>
      <c r="M4819" s="13"/>
    </row>
    <row r="4820">
      <c r="F4820" s="13"/>
      <c r="M4820" s="13"/>
    </row>
    <row r="4821">
      <c r="F4821" s="13"/>
      <c r="M4821" s="13"/>
    </row>
    <row r="4822">
      <c r="F4822" s="13"/>
      <c r="M4822" s="13"/>
    </row>
    <row r="4823">
      <c r="F4823" s="13"/>
      <c r="M4823" s="13"/>
    </row>
    <row r="4824">
      <c r="F4824" s="13"/>
      <c r="M4824" s="13"/>
    </row>
    <row r="4825">
      <c r="F4825" s="13"/>
      <c r="M4825" s="13"/>
    </row>
    <row r="4826">
      <c r="F4826" s="13"/>
      <c r="M4826" s="13"/>
    </row>
    <row r="4827">
      <c r="F4827" s="13"/>
      <c r="M4827" s="13"/>
    </row>
    <row r="4828">
      <c r="F4828" s="13"/>
      <c r="M4828" s="13"/>
    </row>
    <row r="4829">
      <c r="F4829" s="13"/>
      <c r="M4829" s="13"/>
    </row>
    <row r="4830">
      <c r="F4830" s="13"/>
      <c r="M4830" s="13"/>
    </row>
    <row r="4831">
      <c r="F4831" s="13"/>
      <c r="M4831" s="13"/>
    </row>
    <row r="4832">
      <c r="F4832" s="13"/>
      <c r="M4832" s="13"/>
    </row>
    <row r="4833">
      <c r="F4833" s="13"/>
      <c r="M4833" s="13"/>
    </row>
    <row r="4834">
      <c r="F4834" s="13"/>
      <c r="M4834" s="13"/>
    </row>
    <row r="4835">
      <c r="F4835" s="13"/>
      <c r="M4835" s="13"/>
    </row>
    <row r="4836">
      <c r="F4836" s="13"/>
      <c r="M4836" s="13"/>
    </row>
    <row r="4837">
      <c r="F4837" s="13"/>
      <c r="M4837" s="13"/>
    </row>
    <row r="4838">
      <c r="F4838" s="13"/>
      <c r="M4838" s="13"/>
    </row>
    <row r="4839">
      <c r="F4839" s="13"/>
      <c r="M4839" s="13"/>
    </row>
    <row r="4840">
      <c r="F4840" s="13"/>
      <c r="M4840" s="13"/>
    </row>
    <row r="4841">
      <c r="F4841" s="13"/>
      <c r="M4841" s="13"/>
    </row>
    <row r="4842">
      <c r="F4842" s="13"/>
      <c r="M4842" s="13"/>
    </row>
    <row r="4843">
      <c r="F4843" s="13"/>
      <c r="M4843" s="13"/>
    </row>
    <row r="4844">
      <c r="F4844" s="13"/>
      <c r="M4844" s="13"/>
    </row>
    <row r="4845">
      <c r="F4845" s="13"/>
      <c r="M4845" s="13"/>
    </row>
    <row r="4846">
      <c r="F4846" s="13"/>
      <c r="M4846" s="13"/>
    </row>
    <row r="4847">
      <c r="F4847" s="13"/>
      <c r="M4847" s="13"/>
    </row>
    <row r="4848">
      <c r="F4848" s="13"/>
      <c r="M4848" s="13"/>
    </row>
    <row r="4849">
      <c r="F4849" s="13"/>
      <c r="M4849" s="13"/>
    </row>
    <row r="4850">
      <c r="F4850" s="13"/>
      <c r="M4850" s="13"/>
    </row>
    <row r="4851">
      <c r="F4851" s="13"/>
      <c r="M4851" s="13"/>
    </row>
    <row r="4852">
      <c r="F4852" s="13"/>
      <c r="M4852" s="13"/>
    </row>
    <row r="4853">
      <c r="F4853" s="13"/>
      <c r="M4853" s="13"/>
    </row>
    <row r="4854">
      <c r="F4854" s="13"/>
      <c r="M4854" s="13"/>
    </row>
    <row r="4855">
      <c r="F4855" s="13"/>
      <c r="M4855" s="13"/>
    </row>
    <row r="4856">
      <c r="F4856" s="13"/>
      <c r="M4856" s="13"/>
    </row>
    <row r="4857">
      <c r="F4857" s="13"/>
      <c r="M4857" s="13"/>
    </row>
    <row r="4858">
      <c r="F4858" s="13"/>
      <c r="M4858" s="13"/>
    </row>
    <row r="4859">
      <c r="F4859" s="13"/>
      <c r="M4859" s="13"/>
    </row>
    <row r="4860">
      <c r="F4860" s="13"/>
      <c r="M4860" s="13"/>
    </row>
    <row r="4861">
      <c r="F4861" s="13"/>
      <c r="M4861" s="13"/>
    </row>
    <row r="4862">
      <c r="F4862" s="13"/>
      <c r="M4862" s="13"/>
    </row>
    <row r="4863">
      <c r="F4863" s="13"/>
      <c r="M4863" s="13"/>
    </row>
    <row r="4864">
      <c r="F4864" s="13"/>
      <c r="M4864" s="13"/>
    </row>
    <row r="4865">
      <c r="F4865" s="13"/>
      <c r="M4865" s="13"/>
    </row>
    <row r="4866">
      <c r="F4866" s="13"/>
      <c r="M4866" s="13"/>
    </row>
    <row r="4867">
      <c r="F4867" s="13"/>
      <c r="M4867" s="13"/>
    </row>
    <row r="4868">
      <c r="F4868" s="13"/>
      <c r="M4868" s="13"/>
    </row>
    <row r="4869">
      <c r="F4869" s="13"/>
      <c r="M4869" s="13"/>
    </row>
    <row r="4870">
      <c r="F4870" s="13"/>
      <c r="M4870" s="13"/>
    </row>
    <row r="4871">
      <c r="F4871" s="13"/>
      <c r="M4871" s="13"/>
    </row>
    <row r="4872">
      <c r="F4872" s="13"/>
      <c r="M4872" s="13"/>
    </row>
    <row r="4873">
      <c r="F4873" s="13"/>
      <c r="M4873" s="13"/>
    </row>
    <row r="4874">
      <c r="F4874" s="13"/>
      <c r="M4874" s="13"/>
    </row>
    <row r="4875">
      <c r="F4875" s="13"/>
      <c r="M4875" s="13"/>
    </row>
    <row r="4876">
      <c r="F4876" s="13"/>
      <c r="M4876" s="13"/>
    </row>
    <row r="4877">
      <c r="F4877" s="13"/>
      <c r="M4877" s="13"/>
    </row>
    <row r="4878">
      <c r="F4878" s="13"/>
      <c r="M4878" s="13"/>
    </row>
    <row r="4879">
      <c r="F4879" s="13"/>
      <c r="M4879" s="13"/>
    </row>
    <row r="4880">
      <c r="F4880" s="13"/>
      <c r="M4880" s="13"/>
    </row>
    <row r="4881">
      <c r="F4881" s="13"/>
      <c r="M4881" s="13"/>
    </row>
    <row r="4882">
      <c r="F4882" s="13"/>
      <c r="M4882" s="13"/>
    </row>
    <row r="4883">
      <c r="F4883" s="13"/>
      <c r="M4883" s="13"/>
    </row>
    <row r="4884">
      <c r="F4884" s="13"/>
      <c r="M4884" s="13"/>
    </row>
    <row r="4885">
      <c r="F4885" s="13"/>
      <c r="M4885" s="13"/>
    </row>
    <row r="4886">
      <c r="F4886" s="13"/>
      <c r="M4886" s="13"/>
    </row>
    <row r="4887">
      <c r="F4887" s="13"/>
      <c r="M4887" s="13"/>
    </row>
    <row r="4888">
      <c r="F4888" s="13"/>
      <c r="M4888" s="13"/>
    </row>
    <row r="4889">
      <c r="F4889" s="13"/>
      <c r="M4889" s="13"/>
    </row>
    <row r="4890">
      <c r="F4890" s="13"/>
      <c r="M4890" s="13"/>
    </row>
    <row r="4891">
      <c r="F4891" s="13"/>
      <c r="M4891" s="13"/>
    </row>
    <row r="4892">
      <c r="F4892" s="13"/>
      <c r="M4892" s="13"/>
    </row>
    <row r="4893">
      <c r="F4893" s="13"/>
      <c r="M4893" s="13"/>
    </row>
    <row r="4894">
      <c r="F4894" s="13"/>
      <c r="M4894" s="13"/>
    </row>
    <row r="4895">
      <c r="F4895" s="13"/>
      <c r="M4895" s="13"/>
    </row>
    <row r="4896">
      <c r="F4896" s="13"/>
      <c r="M4896" s="13"/>
    </row>
    <row r="4897">
      <c r="F4897" s="13"/>
      <c r="M4897" s="13"/>
    </row>
    <row r="4898">
      <c r="F4898" s="13"/>
      <c r="M4898" s="13"/>
    </row>
    <row r="4899">
      <c r="F4899" s="13"/>
      <c r="M4899" s="13"/>
    </row>
    <row r="4900">
      <c r="F4900" s="13"/>
      <c r="M4900" s="13"/>
    </row>
    <row r="4901">
      <c r="F4901" s="13"/>
      <c r="M4901" s="13"/>
    </row>
    <row r="4902">
      <c r="F4902" s="13"/>
      <c r="M4902" s="13"/>
    </row>
    <row r="4903">
      <c r="F4903" s="13"/>
      <c r="M4903" s="13"/>
    </row>
    <row r="4904">
      <c r="F4904" s="13"/>
      <c r="M4904" s="13"/>
    </row>
    <row r="4905">
      <c r="F4905" s="13"/>
      <c r="M4905" s="13"/>
    </row>
    <row r="4906">
      <c r="F4906" s="13"/>
      <c r="M4906" s="13"/>
    </row>
    <row r="4907">
      <c r="F4907" s="13"/>
      <c r="M4907" s="13"/>
    </row>
    <row r="4908">
      <c r="F4908" s="13"/>
      <c r="M4908" s="13"/>
    </row>
    <row r="4909">
      <c r="F4909" s="13"/>
      <c r="M4909" s="13"/>
    </row>
    <row r="4910">
      <c r="F4910" s="13"/>
      <c r="M4910" s="13"/>
    </row>
    <row r="4911">
      <c r="F4911" s="13"/>
      <c r="M4911" s="13"/>
    </row>
    <row r="4912">
      <c r="F4912" s="13"/>
      <c r="M4912" s="13"/>
    </row>
    <row r="4913">
      <c r="F4913" s="13"/>
      <c r="M4913" s="13"/>
    </row>
    <row r="4914">
      <c r="F4914" s="13"/>
      <c r="M4914" s="13"/>
    </row>
    <row r="4915">
      <c r="F4915" s="13"/>
      <c r="M4915" s="13"/>
    </row>
    <row r="4916">
      <c r="F4916" s="13"/>
      <c r="M4916" s="13"/>
    </row>
    <row r="4917">
      <c r="F4917" s="13"/>
      <c r="M4917" s="13"/>
    </row>
    <row r="4918">
      <c r="F4918" s="13"/>
      <c r="M4918" s="13"/>
    </row>
    <row r="4919">
      <c r="F4919" s="13"/>
      <c r="M4919" s="13"/>
    </row>
    <row r="4920">
      <c r="F4920" s="13"/>
      <c r="M4920" s="13"/>
    </row>
    <row r="4921">
      <c r="F4921" s="13"/>
      <c r="M4921" s="13"/>
    </row>
    <row r="4922">
      <c r="F4922" s="13"/>
      <c r="M4922" s="13"/>
    </row>
    <row r="4923">
      <c r="F4923" s="13"/>
      <c r="M4923" s="13"/>
    </row>
    <row r="4924">
      <c r="F4924" s="13"/>
      <c r="M4924" s="13"/>
    </row>
    <row r="4925">
      <c r="F4925" s="13"/>
      <c r="M4925" s="13"/>
    </row>
    <row r="4926">
      <c r="F4926" s="13"/>
      <c r="M4926" s="13"/>
    </row>
    <row r="4927">
      <c r="F4927" s="13"/>
      <c r="M4927" s="13"/>
    </row>
    <row r="4928">
      <c r="F4928" s="13"/>
      <c r="M4928" s="13"/>
    </row>
    <row r="4929">
      <c r="F4929" s="13"/>
      <c r="M4929" s="13"/>
    </row>
    <row r="4930">
      <c r="F4930" s="13"/>
      <c r="M4930" s="13"/>
    </row>
    <row r="4931">
      <c r="F4931" s="13"/>
      <c r="M4931" s="13"/>
    </row>
    <row r="4932">
      <c r="F4932" s="13"/>
      <c r="M4932" s="13"/>
    </row>
    <row r="4933">
      <c r="F4933" s="13"/>
      <c r="M4933" s="13"/>
    </row>
    <row r="4934">
      <c r="F4934" s="13"/>
      <c r="M4934" s="13"/>
    </row>
    <row r="4935">
      <c r="F4935" s="13"/>
      <c r="M4935" s="13"/>
    </row>
    <row r="4936">
      <c r="F4936" s="13"/>
      <c r="M4936" s="13"/>
    </row>
    <row r="4937">
      <c r="F4937" s="13"/>
      <c r="M4937" s="13"/>
    </row>
    <row r="4938">
      <c r="F4938" s="13"/>
      <c r="M4938" s="13"/>
    </row>
    <row r="4939">
      <c r="F4939" s="13"/>
      <c r="M4939" s="13"/>
    </row>
    <row r="4940">
      <c r="F4940" s="13"/>
      <c r="M4940" s="13"/>
    </row>
    <row r="4941">
      <c r="F4941" s="13"/>
      <c r="M4941" s="13"/>
    </row>
    <row r="4942">
      <c r="F4942" s="13"/>
      <c r="M4942" s="13"/>
    </row>
    <row r="4943">
      <c r="F4943" s="13"/>
      <c r="M4943" s="13"/>
    </row>
    <row r="4944">
      <c r="F4944" s="13"/>
      <c r="M4944" s="13"/>
    </row>
    <row r="4945">
      <c r="F4945" s="13"/>
      <c r="M4945" s="13"/>
    </row>
    <row r="4946">
      <c r="F4946" s="13"/>
      <c r="M4946" s="13"/>
    </row>
    <row r="4947">
      <c r="F4947" s="13"/>
      <c r="M4947" s="13"/>
    </row>
    <row r="4948">
      <c r="F4948" s="13"/>
      <c r="M4948" s="13"/>
    </row>
    <row r="4949">
      <c r="F4949" s="13"/>
      <c r="M4949" s="13"/>
    </row>
    <row r="4950">
      <c r="F4950" s="13"/>
      <c r="M4950" s="13"/>
    </row>
    <row r="4951">
      <c r="F4951" s="13"/>
      <c r="M4951" s="13"/>
    </row>
    <row r="4952">
      <c r="F4952" s="13"/>
      <c r="M4952" s="13"/>
    </row>
    <row r="4953">
      <c r="F4953" s="13"/>
      <c r="M4953" s="13"/>
    </row>
    <row r="4954">
      <c r="F4954" s="13"/>
      <c r="M4954" s="13"/>
    </row>
    <row r="4955">
      <c r="F4955" s="13"/>
      <c r="M4955" s="13"/>
    </row>
    <row r="4956">
      <c r="F4956" s="13"/>
      <c r="M4956" s="13"/>
    </row>
    <row r="4957">
      <c r="F4957" s="13"/>
      <c r="M4957" s="13"/>
    </row>
    <row r="4958">
      <c r="F4958" s="13"/>
      <c r="M4958" s="13"/>
    </row>
    <row r="4959">
      <c r="F4959" s="13"/>
      <c r="M4959" s="13"/>
    </row>
    <row r="4960">
      <c r="F4960" s="13"/>
      <c r="M4960" s="13"/>
    </row>
    <row r="4961">
      <c r="F4961" s="13"/>
      <c r="M4961" s="13"/>
    </row>
    <row r="4962">
      <c r="F4962" s="13"/>
      <c r="M4962" s="13"/>
    </row>
    <row r="4963">
      <c r="F4963" s="13"/>
      <c r="M4963" s="13"/>
    </row>
    <row r="4964">
      <c r="F4964" s="13"/>
      <c r="M4964" s="13"/>
    </row>
    <row r="4965">
      <c r="F4965" s="13"/>
      <c r="M4965" s="13"/>
    </row>
    <row r="4966">
      <c r="F4966" s="13"/>
      <c r="M4966" s="13"/>
    </row>
    <row r="4967">
      <c r="F4967" s="13"/>
      <c r="M4967" s="13"/>
    </row>
    <row r="4968">
      <c r="F4968" s="13"/>
      <c r="M4968" s="13"/>
    </row>
    <row r="4969">
      <c r="F4969" s="13"/>
      <c r="M4969" s="13"/>
    </row>
    <row r="4970">
      <c r="F4970" s="13"/>
      <c r="M4970" s="13"/>
    </row>
    <row r="4971">
      <c r="F4971" s="13"/>
      <c r="M4971" s="13"/>
    </row>
    <row r="4972">
      <c r="F4972" s="13"/>
      <c r="M4972" s="13"/>
    </row>
    <row r="4973">
      <c r="F4973" s="13"/>
      <c r="M4973" s="13"/>
    </row>
    <row r="4974">
      <c r="F4974" s="13"/>
      <c r="M4974" s="13"/>
    </row>
    <row r="4975">
      <c r="F4975" s="13"/>
      <c r="M4975" s="13"/>
    </row>
    <row r="4976">
      <c r="F4976" s="13"/>
      <c r="M4976" s="13"/>
    </row>
    <row r="4977">
      <c r="F4977" s="13"/>
      <c r="M4977" s="13"/>
    </row>
    <row r="4978">
      <c r="F4978" s="13"/>
      <c r="M4978" s="13"/>
    </row>
    <row r="4979">
      <c r="F4979" s="13"/>
      <c r="M4979" s="13"/>
    </row>
    <row r="4980">
      <c r="F4980" s="13"/>
      <c r="M4980" s="13"/>
    </row>
    <row r="4981">
      <c r="F4981" s="13"/>
      <c r="M4981" s="13"/>
    </row>
    <row r="4982">
      <c r="F4982" s="13"/>
      <c r="M4982" s="13"/>
    </row>
    <row r="4983">
      <c r="F4983" s="13"/>
      <c r="M4983" s="13"/>
    </row>
    <row r="4984">
      <c r="F4984" s="13"/>
      <c r="M4984" s="13"/>
    </row>
    <row r="4985">
      <c r="F4985" s="13"/>
      <c r="M4985" s="13"/>
    </row>
    <row r="4986">
      <c r="F4986" s="13"/>
      <c r="M4986" s="13"/>
    </row>
    <row r="4987">
      <c r="F4987" s="13"/>
      <c r="M4987" s="13"/>
    </row>
    <row r="4988">
      <c r="F4988" s="13"/>
      <c r="M4988" s="13"/>
    </row>
    <row r="4989">
      <c r="F4989" s="13"/>
      <c r="M4989" s="13"/>
    </row>
    <row r="4990">
      <c r="F4990" s="13"/>
      <c r="M4990" s="13"/>
    </row>
    <row r="4991">
      <c r="F4991" s="13"/>
      <c r="M4991" s="13"/>
    </row>
    <row r="4992">
      <c r="F4992" s="13"/>
      <c r="M4992" s="13"/>
    </row>
    <row r="4993">
      <c r="F4993" s="13"/>
      <c r="M4993" s="13"/>
    </row>
    <row r="4994">
      <c r="F4994" s="13"/>
      <c r="M4994" s="13"/>
    </row>
    <row r="4995">
      <c r="F4995" s="13"/>
      <c r="M4995" s="13"/>
    </row>
    <row r="4996">
      <c r="F4996" s="13"/>
      <c r="M4996" s="13"/>
    </row>
    <row r="4997">
      <c r="F4997" s="13"/>
      <c r="M4997" s="13"/>
    </row>
    <row r="4998">
      <c r="F4998" s="13"/>
      <c r="M4998" s="13"/>
    </row>
    <row r="4999">
      <c r="F4999" s="13"/>
      <c r="M4999" s="13"/>
    </row>
    <row r="5000">
      <c r="F5000" s="13"/>
      <c r="M5000" s="13"/>
    </row>
    <row r="5001">
      <c r="F5001" s="13"/>
      <c r="M5001" s="13"/>
    </row>
    <row r="5002">
      <c r="F5002" s="13"/>
      <c r="M5002" s="13"/>
    </row>
    <row r="5003">
      <c r="F5003" s="13"/>
      <c r="M5003" s="13"/>
    </row>
    <row r="5004">
      <c r="F5004" s="13"/>
      <c r="M5004" s="13"/>
    </row>
    <row r="5005">
      <c r="F5005" s="13"/>
      <c r="M5005" s="13"/>
    </row>
    <row r="5006">
      <c r="F5006" s="13"/>
      <c r="M5006" s="13"/>
    </row>
    <row r="5007">
      <c r="F5007" s="13"/>
      <c r="M5007" s="13"/>
    </row>
    <row r="5008">
      <c r="F5008" s="13"/>
      <c r="M5008" s="13"/>
    </row>
    <row r="5009">
      <c r="F5009" s="13"/>
      <c r="M5009" s="13"/>
    </row>
    <row r="5010">
      <c r="F5010" s="13"/>
      <c r="M5010" s="13"/>
    </row>
    <row r="5011">
      <c r="F5011" s="13"/>
      <c r="M5011" s="13"/>
    </row>
    <row r="5012">
      <c r="F5012" s="13"/>
      <c r="M5012" s="13"/>
    </row>
    <row r="5013">
      <c r="F5013" s="13"/>
      <c r="M5013" s="13"/>
    </row>
    <row r="5014">
      <c r="F5014" s="13"/>
      <c r="M5014" s="13"/>
    </row>
    <row r="5015">
      <c r="F5015" s="13"/>
      <c r="M5015" s="13"/>
    </row>
    <row r="5016">
      <c r="F5016" s="13"/>
      <c r="M5016" s="13"/>
    </row>
    <row r="5017">
      <c r="F5017" s="13"/>
      <c r="M5017" s="13"/>
    </row>
    <row r="5018">
      <c r="F5018" s="13"/>
      <c r="M5018" s="13"/>
    </row>
    <row r="5019">
      <c r="F5019" s="13"/>
      <c r="M5019" s="13"/>
    </row>
    <row r="5020">
      <c r="F5020" s="13"/>
      <c r="M5020" s="13"/>
    </row>
    <row r="5021">
      <c r="F5021" s="13"/>
      <c r="M5021" s="13"/>
    </row>
    <row r="5022">
      <c r="F5022" s="13"/>
      <c r="M5022" s="13"/>
    </row>
    <row r="5023">
      <c r="F5023" s="13"/>
      <c r="M5023" s="13"/>
    </row>
    <row r="5024">
      <c r="F5024" s="13"/>
      <c r="M5024" s="13"/>
    </row>
    <row r="5025">
      <c r="F5025" s="13"/>
      <c r="M5025" s="13"/>
    </row>
    <row r="5026">
      <c r="F5026" s="13"/>
      <c r="M5026" s="13"/>
    </row>
    <row r="5027">
      <c r="F5027" s="13"/>
      <c r="M5027" s="13"/>
    </row>
    <row r="5028">
      <c r="F5028" s="13"/>
      <c r="M5028" s="13"/>
    </row>
    <row r="5029">
      <c r="F5029" s="13"/>
      <c r="M5029" s="13"/>
    </row>
    <row r="5030">
      <c r="F5030" s="13"/>
      <c r="M5030" s="13"/>
    </row>
    <row r="5031">
      <c r="F5031" s="13"/>
      <c r="M5031" s="13"/>
    </row>
    <row r="5032">
      <c r="F5032" s="13"/>
      <c r="M5032" s="13"/>
    </row>
    <row r="5033">
      <c r="F5033" s="13"/>
      <c r="M5033" s="13"/>
    </row>
    <row r="5034">
      <c r="F5034" s="13"/>
      <c r="M5034" s="13"/>
    </row>
    <row r="5035">
      <c r="F5035" s="13"/>
      <c r="M5035" s="13"/>
    </row>
    <row r="5036">
      <c r="F5036" s="13"/>
      <c r="M5036" s="13"/>
    </row>
    <row r="5037">
      <c r="F5037" s="13"/>
      <c r="M5037" s="13"/>
    </row>
    <row r="5038">
      <c r="F5038" s="13"/>
      <c r="M5038" s="13"/>
    </row>
    <row r="5039">
      <c r="F5039" s="13"/>
      <c r="M5039" s="13"/>
    </row>
    <row r="5040">
      <c r="F5040" s="13"/>
      <c r="M5040" s="13"/>
    </row>
    <row r="5041">
      <c r="F5041" s="13"/>
      <c r="M5041" s="13"/>
    </row>
    <row r="5042">
      <c r="F5042" s="13"/>
      <c r="M5042" s="13"/>
    </row>
    <row r="5043">
      <c r="F5043" s="13"/>
      <c r="M5043" s="13"/>
    </row>
    <row r="5044">
      <c r="F5044" s="13"/>
      <c r="M5044" s="13"/>
    </row>
    <row r="5045">
      <c r="F5045" s="13"/>
      <c r="M5045" s="13"/>
    </row>
    <row r="5046">
      <c r="F5046" s="13"/>
      <c r="M5046" s="13"/>
    </row>
    <row r="5047">
      <c r="F5047" s="13"/>
      <c r="M5047" s="13"/>
    </row>
    <row r="5048">
      <c r="F5048" s="13"/>
      <c r="M5048" s="13"/>
    </row>
    <row r="5049">
      <c r="F5049" s="13"/>
      <c r="M5049" s="13"/>
    </row>
    <row r="5050">
      <c r="F5050" s="13"/>
      <c r="M5050" s="13"/>
    </row>
    <row r="5051">
      <c r="F5051" s="13"/>
      <c r="M5051" s="13"/>
    </row>
    <row r="5052">
      <c r="F5052" s="13"/>
      <c r="M5052" s="13"/>
    </row>
    <row r="5053">
      <c r="F5053" s="13"/>
      <c r="M5053" s="13"/>
    </row>
    <row r="5054">
      <c r="F5054" s="13"/>
      <c r="M5054" s="13"/>
    </row>
    <row r="5055">
      <c r="F5055" s="13"/>
      <c r="M5055" s="13"/>
    </row>
    <row r="5056">
      <c r="F5056" s="13"/>
      <c r="M5056" s="13"/>
    </row>
    <row r="5057">
      <c r="F5057" s="13"/>
      <c r="M5057" s="13"/>
    </row>
    <row r="5058">
      <c r="F5058" s="13"/>
      <c r="M5058" s="13"/>
    </row>
    <row r="5059">
      <c r="F5059" s="13"/>
      <c r="M5059" s="13"/>
    </row>
    <row r="5060">
      <c r="F5060" s="13"/>
      <c r="M5060" s="13"/>
    </row>
    <row r="5061">
      <c r="F5061" s="13"/>
      <c r="M5061" s="13"/>
    </row>
    <row r="5062">
      <c r="F5062" s="13"/>
      <c r="M5062" s="13"/>
    </row>
    <row r="5063">
      <c r="F5063" s="13"/>
      <c r="M5063" s="13"/>
    </row>
    <row r="5064">
      <c r="F5064" s="13"/>
      <c r="M5064" s="13"/>
    </row>
    <row r="5065">
      <c r="F5065" s="13"/>
      <c r="M5065" s="13"/>
    </row>
    <row r="5066">
      <c r="F5066" s="13"/>
      <c r="M5066" s="13"/>
    </row>
    <row r="5067">
      <c r="F5067" s="13"/>
      <c r="M5067" s="13"/>
    </row>
    <row r="5068">
      <c r="F5068" s="13"/>
      <c r="M5068" s="13"/>
    </row>
    <row r="5069">
      <c r="F5069" s="13"/>
      <c r="M5069" s="13"/>
    </row>
    <row r="5070">
      <c r="F5070" s="13"/>
      <c r="M5070" s="13"/>
    </row>
    <row r="5071">
      <c r="F5071" s="13"/>
      <c r="M5071" s="13"/>
    </row>
    <row r="5072">
      <c r="F5072" s="13"/>
      <c r="M5072" s="13"/>
    </row>
    <row r="5073">
      <c r="F5073" s="13"/>
      <c r="M5073" s="13"/>
    </row>
    <row r="5074">
      <c r="F5074" s="13"/>
      <c r="M5074" s="13"/>
    </row>
    <row r="5075">
      <c r="F5075" s="13"/>
      <c r="M5075" s="13"/>
    </row>
    <row r="5076">
      <c r="F5076" s="13"/>
      <c r="M5076" s="13"/>
    </row>
    <row r="5077">
      <c r="F5077" s="13"/>
      <c r="M5077" s="13"/>
    </row>
    <row r="5078">
      <c r="F5078" s="13"/>
      <c r="M5078" s="13"/>
    </row>
    <row r="5079">
      <c r="F5079" s="13"/>
      <c r="M5079" s="13"/>
    </row>
    <row r="5080">
      <c r="F5080" s="13"/>
      <c r="M5080" s="13"/>
    </row>
    <row r="5081">
      <c r="F5081" s="13"/>
      <c r="M5081" s="13"/>
    </row>
    <row r="5082">
      <c r="F5082" s="13"/>
      <c r="M5082" s="13"/>
    </row>
    <row r="5083">
      <c r="F5083" s="13"/>
      <c r="M5083" s="13"/>
    </row>
    <row r="5084">
      <c r="F5084" s="13"/>
      <c r="M5084" s="13"/>
    </row>
    <row r="5085">
      <c r="F5085" s="13"/>
      <c r="M5085" s="13"/>
    </row>
    <row r="5086">
      <c r="F5086" s="13"/>
      <c r="M5086" s="13"/>
    </row>
    <row r="5087">
      <c r="F5087" s="13"/>
      <c r="M5087" s="13"/>
    </row>
    <row r="5088">
      <c r="F5088" s="13"/>
      <c r="M5088" s="13"/>
    </row>
    <row r="5089">
      <c r="F5089" s="13"/>
      <c r="M5089" s="13"/>
    </row>
    <row r="5090">
      <c r="F5090" s="13"/>
      <c r="M5090" s="13"/>
    </row>
    <row r="5091">
      <c r="F5091" s="13"/>
      <c r="M5091" s="13"/>
    </row>
    <row r="5092">
      <c r="F5092" s="13"/>
      <c r="M5092" s="13"/>
    </row>
    <row r="5093">
      <c r="F5093" s="13"/>
      <c r="M5093" s="13"/>
    </row>
    <row r="5094">
      <c r="F5094" s="13"/>
      <c r="M5094" s="13"/>
    </row>
    <row r="5095">
      <c r="F5095" s="13"/>
      <c r="M5095" s="13"/>
    </row>
    <row r="5096">
      <c r="F5096" s="13"/>
      <c r="M5096" s="13"/>
    </row>
    <row r="5097">
      <c r="F5097" s="13"/>
      <c r="M5097" s="13"/>
    </row>
    <row r="5098">
      <c r="F5098" s="13"/>
      <c r="M5098" s="13"/>
    </row>
    <row r="5099">
      <c r="F5099" s="13"/>
      <c r="M5099" s="13"/>
    </row>
    <row r="5100">
      <c r="F5100" s="13"/>
      <c r="M5100" s="13"/>
    </row>
    <row r="5101">
      <c r="F5101" s="13"/>
      <c r="M5101" s="13"/>
    </row>
    <row r="5102">
      <c r="F5102" s="13"/>
      <c r="M5102" s="13"/>
    </row>
    <row r="5103">
      <c r="F5103" s="13"/>
      <c r="M5103" s="13"/>
    </row>
    <row r="5104">
      <c r="F5104" s="13"/>
      <c r="M5104" s="13"/>
    </row>
    <row r="5105">
      <c r="F5105" s="13"/>
      <c r="M5105" s="13"/>
    </row>
    <row r="5106">
      <c r="F5106" s="13"/>
      <c r="M5106" s="13"/>
    </row>
    <row r="5107">
      <c r="F5107" s="13"/>
      <c r="M5107" s="13"/>
    </row>
    <row r="5108">
      <c r="F5108" s="13"/>
      <c r="M5108" s="13"/>
    </row>
    <row r="5109">
      <c r="F5109" s="13"/>
      <c r="M5109" s="13"/>
    </row>
    <row r="5110">
      <c r="F5110" s="13"/>
      <c r="M5110" s="13"/>
    </row>
    <row r="5111">
      <c r="F5111" s="13"/>
      <c r="M5111" s="13"/>
    </row>
    <row r="5112">
      <c r="F5112" s="13"/>
      <c r="M5112" s="13"/>
    </row>
    <row r="5113">
      <c r="F5113" s="13"/>
      <c r="M5113" s="13"/>
    </row>
    <row r="5114">
      <c r="F5114" s="13"/>
      <c r="M5114" s="13"/>
    </row>
    <row r="5115">
      <c r="F5115" s="13"/>
      <c r="M5115" s="13"/>
    </row>
    <row r="5116">
      <c r="F5116" s="13"/>
      <c r="M5116" s="13"/>
    </row>
    <row r="5117">
      <c r="F5117" s="13"/>
      <c r="M5117" s="13"/>
    </row>
    <row r="5118">
      <c r="F5118" s="13"/>
      <c r="M5118" s="13"/>
    </row>
    <row r="5119">
      <c r="F5119" s="13"/>
      <c r="M5119" s="13"/>
    </row>
    <row r="5120">
      <c r="F5120" s="13"/>
      <c r="M5120" s="13"/>
    </row>
    <row r="5121">
      <c r="F5121" s="13"/>
      <c r="M5121" s="13"/>
    </row>
    <row r="5122">
      <c r="F5122" s="13"/>
      <c r="M5122" s="13"/>
    </row>
    <row r="5123">
      <c r="F5123" s="13"/>
      <c r="M5123" s="13"/>
    </row>
    <row r="5124">
      <c r="F5124" s="13"/>
      <c r="M5124" s="13"/>
    </row>
    <row r="5125">
      <c r="F5125" s="13"/>
      <c r="M5125" s="13"/>
    </row>
    <row r="5126">
      <c r="F5126" s="13"/>
      <c r="M5126" s="13"/>
    </row>
    <row r="5127">
      <c r="F5127" s="13"/>
      <c r="M5127" s="13"/>
    </row>
    <row r="5128">
      <c r="F5128" s="13"/>
      <c r="M5128" s="13"/>
    </row>
    <row r="5129">
      <c r="F5129" s="13"/>
      <c r="M5129" s="13"/>
    </row>
    <row r="5130">
      <c r="F5130" s="13"/>
      <c r="M5130" s="13"/>
    </row>
    <row r="5131">
      <c r="F5131" s="13"/>
      <c r="M5131" s="13"/>
    </row>
    <row r="5132">
      <c r="F5132" s="13"/>
      <c r="M5132" s="13"/>
    </row>
    <row r="5133">
      <c r="F5133" s="13"/>
      <c r="M5133" s="13"/>
    </row>
    <row r="5134">
      <c r="F5134" s="13"/>
      <c r="M5134" s="13"/>
    </row>
    <row r="5135">
      <c r="F5135" s="13"/>
      <c r="M5135" s="13"/>
    </row>
    <row r="5136">
      <c r="F5136" s="13"/>
      <c r="M5136" s="13"/>
    </row>
    <row r="5137">
      <c r="F5137" s="13"/>
      <c r="M5137" s="13"/>
    </row>
    <row r="5138">
      <c r="F5138" s="13"/>
      <c r="M5138" s="13"/>
    </row>
    <row r="5139">
      <c r="F5139" s="13"/>
      <c r="M5139" s="13"/>
    </row>
    <row r="5140">
      <c r="F5140" s="13"/>
      <c r="M5140" s="13"/>
    </row>
    <row r="5141">
      <c r="F5141" s="13"/>
      <c r="M5141" s="13"/>
    </row>
    <row r="5142">
      <c r="F5142" s="13"/>
      <c r="M5142" s="13"/>
    </row>
    <row r="5143">
      <c r="F5143" s="13"/>
      <c r="M5143" s="13"/>
    </row>
    <row r="5144">
      <c r="F5144" s="13"/>
      <c r="M5144" s="13"/>
    </row>
    <row r="5145">
      <c r="F5145" s="13"/>
      <c r="M5145" s="13"/>
    </row>
    <row r="5146">
      <c r="F5146" s="13"/>
      <c r="M5146" s="13"/>
    </row>
    <row r="5147">
      <c r="F5147" s="13"/>
      <c r="M5147" s="13"/>
    </row>
    <row r="5148">
      <c r="F5148" s="13"/>
      <c r="M5148" s="13"/>
    </row>
    <row r="5149">
      <c r="F5149" s="13"/>
      <c r="M5149" s="13"/>
    </row>
    <row r="5150">
      <c r="F5150" s="13"/>
      <c r="M5150" s="13"/>
    </row>
    <row r="5151">
      <c r="F5151" s="13"/>
      <c r="M5151" s="13"/>
    </row>
    <row r="5152">
      <c r="F5152" s="13"/>
      <c r="M5152" s="13"/>
    </row>
    <row r="5153">
      <c r="F5153" s="13"/>
      <c r="M5153" s="13"/>
    </row>
    <row r="5154">
      <c r="F5154" s="13"/>
      <c r="M5154" s="13"/>
    </row>
    <row r="5155">
      <c r="F5155" s="13"/>
      <c r="M5155" s="13"/>
    </row>
    <row r="5156">
      <c r="F5156" s="13"/>
      <c r="M5156" s="13"/>
    </row>
    <row r="5157">
      <c r="F5157" s="13"/>
      <c r="M5157" s="13"/>
    </row>
    <row r="5158">
      <c r="F5158" s="13"/>
      <c r="M5158" s="13"/>
    </row>
    <row r="5159">
      <c r="F5159" s="13"/>
      <c r="M5159" s="13"/>
    </row>
    <row r="5160">
      <c r="F5160" s="13"/>
      <c r="M5160" s="13"/>
    </row>
    <row r="5161">
      <c r="F5161" s="13"/>
      <c r="M5161" s="13"/>
    </row>
    <row r="5162">
      <c r="F5162" s="13"/>
      <c r="M5162" s="13"/>
    </row>
    <row r="5163">
      <c r="F5163" s="13"/>
      <c r="M5163" s="13"/>
    </row>
    <row r="5164">
      <c r="F5164" s="13"/>
      <c r="M5164" s="13"/>
    </row>
    <row r="5165">
      <c r="F5165" s="13"/>
      <c r="M5165" s="13"/>
    </row>
    <row r="5166">
      <c r="F5166" s="13"/>
      <c r="M5166" s="13"/>
    </row>
    <row r="5167">
      <c r="F5167" s="13"/>
      <c r="M5167" s="13"/>
    </row>
    <row r="5168">
      <c r="F5168" s="13"/>
      <c r="M5168" s="13"/>
    </row>
    <row r="5169">
      <c r="F5169" s="13"/>
      <c r="M5169" s="13"/>
    </row>
    <row r="5170">
      <c r="F5170" s="13"/>
      <c r="M5170" s="13"/>
    </row>
    <row r="5171">
      <c r="F5171" s="13"/>
      <c r="M5171" s="13"/>
    </row>
    <row r="5172">
      <c r="F5172" s="13"/>
      <c r="M5172" s="13"/>
    </row>
    <row r="5173">
      <c r="F5173" s="13"/>
      <c r="M5173" s="13"/>
    </row>
    <row r="5174">
      <c r="F5174" s="13"/>
      <c r="M5174" s="13"/>
    </row>
    <row r="5175">
      <c r="F5175" s="13"/>
      <c r="M5175" s="13"/>
    </row>
    <row r="5176">
      <c r="F5176" s="13"/>
      <c r="M5176" s="13"/>
    </row>
    <row r="5177">
      <c r="F5177" s="13"/>
      <c r="M5177" s="13"/>
    </row>
    <row r="5178">
      <c r="F5178" s="13"/>
      <c r="M5178" s="13"/>
    </row>
    <row r="5179">
      <c r="F5179" s="13"/>
      <c r="M5179" s="13"/>
    </row>
    <row r="5180">
      <c r="F5180" s="13"/>
      <c r="M5180" s="13"/>
    </row>
    <row r="5181">
      <c r="F5181" s="13"/>
      <c r="M5181" s="13"/>
    </row>
    <row r="5182">
      <c r="F5182" s="13"/>
      <c r="M5182" s="13"/>
    </row>
    <row r="5183">
      <c r="F5183" s="13"/>
      <c r="M5183" s="13"/>
    </row>
    <row r="5184">
      <c r="F5184" s="13"/>
      <c r="M5184" s="13"/>
    </row>
    <row r="5185">
      <c r="F5185" s="13"/>
      <c r="M5185" s="13"/>
    </row>
    <row r="5186">
      <c r="F5186" s="13"/>
      <c r="M5186" s="13"/>
    </row>
    <row r="5187">
      <c r="F5187" s="13"/>
      <c r="M5187" s="13"/>
    </row>
    <row r="5188">
      <c r="F5188" s="13"/>
      <c r="M5188" s="13"/>
    </row>
    <row r="5189">
      <c r="F5189" s="13"/>
      <c r="M5189" s="13"/>
    </row>
    <row r="5190">
      <c r="F5190" s="13"/>
      <c r="M5190" s="13"/>
    </row>
    <row r="5191">
      <c r="F5191" s="13"/>
      <c r="M5191" s="13"/>
    </row>
    <row r="5192">
      <c r="F5192" s="13"/>
      <c r="M5192" s="13"/>
    </row>
    <row r="5193">
      <c r="F5193" s="13"/>
      <c r="M5193" s="13"/>
    </row>
    <row r="5194">
      <c r="F5194" s="13"/>
      <c r="M5194" s="13"/>
    </row>
    <row r="5195">
      <c r="F5195" s="13"/>
      <c r="M5195" s="13"/>
    </row>
    <row r="5196">
      <c r="F5196" s="13"/>
      <c r="M5196" s="13"/>
    </row>
    <row r="5197">
      <c r="F5197" s="13"/>
      <c r="M5197" s="13"/>
    </row>
    <row r="5198">
      <c r="F5198" s="13"/>
      <c r="M5198" s="13"/>
    </row>
    <row r="5199">
      <c r="F5199" s="13"/>
      <c r="M5199" s="13"/>
    </row>
    <row r="5200">
      <c r="F5200" s="13"/>
      <c r="M5200" s="13"/>
    </row>
    <row r="5201">
      <c r="F5201" s="13"/>
      <c r="M5201" s="13"/>
    </row>
    <row r="5202">
      <c r="F5202" s="13"/>
      <c r="M5202" s="13"/>
    </row>
    <row r="5203">
      <c r="F5203" s="13"/>
      <c r="M5203" s="13"/>
    </row>
    <row r="5204">
      <c r="F5204" s="13"/>
      <c r="M5204" s="13"/>
    </row>
    <row r="5205">
      <c r="F5205" s="13"/>
      <c r="M5205" s="13"/>
    </row>
    <row r="5206">
      <c r="F5206" s="13"/>
      <c r="M5206" s="13"/>
    </row>
    <row r="5207">
      <c r="F5207" s="13"/>
      <c r="M5207" s="13"/>
    </row>
    <row r="5208">
      <c r="F5208" s="13"/>
      <c r="M5208" s="13"/>
    </row>
    <row r="5209">
      <c r="F5209" s="13"/>
      <c r="M5209" s="13"/>
    </row>
    <row r="5210">
      <c r="F5210" s="13"/>
      <c r="M5210" s="13"/>
    </row>
    <row r="5211">
      <c r="F5211" s="13"/>
      <c r="M5211" s="13"/>
    </row>
    <row r="5212">
      <c r="F5212" s="13"/>
      <c r="M5212" s="13"/>
    </row>
    <row r="5213">
      <c r="F5213" s="13"/>
      <c r="M5213" s="13"/>
    </row>
    <row r="5214">
      <c r="F5214" s="13"/>
      <c r="M5214" s="13"/>
    </row>
    <row r="5215">
      <c r="F5215" s="13"/>
      <c r="M5215" s="13"/>
    </row>
    <row r="5216">
      <c r="F5216" s="13"/>
      <c r="M5216" s="13"/>
    </row>
    <row r="5217">
      <c r="F5217" s="13"/>
      <c r="M5217" s="13"/>
    </row>
    <row r="5218">
      <c r="F5218" s="13"/>
      <c r="M5218" s="13"/>
    </row>
    <row r="5219">
      <c r="F5219" s="13"/>
      <c r="M5219" s="13"/>
    </row>
    <row r="5220">
      <c r="F5220" s="13"/>
      <c r="M5220" s="13"/>
    </row>
    <row r="5221">
      <c r="F5221" s="13"/>
      <c r="M5221" s="13"/>
    </row>
    <row r="5222">
      <c r="F5222" s="13"/>
      <c r="M5222" s="13"/>
    </row>
    <row r="5223">
      <c r="F5223" s="13"/>
      <c r="M5223" s="13"/>
    </row>
    <row r="5224">
      <c r="F5224" s="13"/>
      <c r="M5224" s="13"/>
    </row>
    <row r="5225">
      <c r="F5225" s="13"/>
      <c r="M5225" s="13"/>
    </row>
    <row r="5226">
      <c r="F5226" s="13"/>
      <c r="M5226" s="13"/>
    </row>
    <row r="5227">
      <c r="F5227" s="13"/>
      <c r="M5227" s="13"/>
    </row>
    <row r="5228">
      <c r="F5228" s="13"/>
      <c r="M5228" s="13"/>
    </row>
    <row r="5229">
      <c r="F5229" s="13"/>
      <c r="M5229" s="13"/>
    </row>
    <row r="5230">
      <c r="F5230" s="13"/>
      <c r="M5230" s="13"/>
    </row>
    <row r="5231">
      <c r="F5231" s="13"/>
      <c r="M5231" s="13"/>
    </row>
    <row r="5232">
      <c r="F5232" s="13"/>
      <c r="M5232" s="13"/>
    </row>
    <row r="5233">
      <c r="F5233" s="13"/>
      <c r="M5233" s="13"/>
    </row>
    <row r="5234">
      <c r="F5234" s="13"/>
      <c r="M5234" s="13"/>
    </row>
    <row r="5235">
      <c r="F5235" s="13"/>
      <c r="M5235" s="13"/>
    </row>
    <row r="5236">
      <c r="F5236" s="13"/>
      <c r="M5236" s="13"/>
    </row>
    <row r="5237">
      <c r="F5237" s="13"/>
      <c r="M5237" s="13"/>
    </row>
    <row r="5238">
      <c r="F5238" s="13"/>
      <c r="M5238" s="13"/>
    </row>
    <row r="5239">
      <c r="F5239" s="13"/>
      <c r="M5239" s="13"/>
    </row>
    <row r="5240">
      <c r="F5240" s="13"/>
      <c r="M5240" s="13"/>
    </row>
    <row r="5241">
      <c r="F5241" s="13"/>
      <c r="M5241" s="13"/>
    </row>
    <row r="5242">
      <c r="F5242" s="13"/>
      <c r="M5242" s="13"/>
    </row>
    <row r="5243">
      <c r="F5243" s="13"/>
      <c r="M5243" s="13"/>
    </row>
    <row r="5244">
      <c r="F5244" s="13"/>
      <c r="M5244" s="13"/>
    </row>
    <row r="5245">
      <c r="F5245" s="13"/>
      <c r="M5245" s="13"/>
    </row>
    <row r="5246">
      <c r="F5246" s="13"/>
      <c r="M5246" s="13"/>
    </row>
    <row r="5247">
      <c r="F5247" s="13"/>
      <c r="M5247" s="13"/>
    </row>
    <row r="5248">
      <c r="F5248" s="13"/>
      <c r="M5248" s="13"/>
    </row>
    <row r="5249">
      <c r="F5249" s="13"/>
      <c r="M5249" s="13"/>
    </row>
    <row r="5250">
      <c r="F5250" s="13"/>
      <c r="M5250" s="13"/>
    </row>
    <row r="5251">
      <c r="F5251" s="13"/>
      <c r="M5251" s="13"/>
    </row>
    <row r="5252">
      <c r="F5252" s="13"/>
      <c r="M5252" s="13"/>
    </row>
    <row r="5253">
      <c r="F5253" s="13"/>
      <c r="M5253" s="13"/>
    </row>
    <row r="5254">
      <c r="F5254" s="13"/>
      <c r="M5254" s="13"/>
    </row>
    <row r="5255">
      <c r="F5255" s="13"/>
      <c r="M5255" s="13"/>
    </row>
    <row r="5256">
      <c r="F5256" s="13"/>
      <c r="M5256" s="13"/>
    </row>
    <row r="5257">
      <c r="F5257" s="13"/>
      <c r="M5257" s="13"/>
    </row>
    <row r="5258">
      <c r="F5258" s="13"/>
      <c r="M5258" s="13"/>
    </row>
    <row r="5259">
      <c r="F5259" s="13"/>
      <c r="M5259" s="13"/>
    </row>
    <row r="5260">
      <c r="F5260" s="13"/>
      <c r="M5260" s="13"/>
    </row>
    <row r="5261">
      <c r="F5261" s="13"/>
      <c r="M5261" s="13"/>
    </row>
    <row r="5262">
      <c r="F5262" s="13"/>
      <c r="M5262" s="13"/>
    </row>
    <row r="5263">
      <c r="F5263" s="13"/>
      <c r="M5263" s="13"/>
    </row>
    <row r="5264">
      <c r="F5264" s="13"/>
      <c r="M5264" s="13"/>
    </row>
    <row r="5265">
      <c r="F5265" s="13"/>
      <c r="M5265" s="13"/>
    </row>
    <row r="5266">
      <c r="F5266" s="13"/>
      <c r="M5266" s="13"/>
    </row>
    <row r="5267">
      <c r="F5267" s="13"/>
      <c r="M5267" s="13"/>
    </row>
    <row r="5268">
      <c r="F5268" s="13"/>
      <c r="M5268" s="13"/>
    </row>
    <row r="5269">
      <c r="F5269" s="13"/>
      <c r="M5269" s="13"/>
    </row>
    <row r="5270">
      <c r="F5270" s="13"/>
      <c r="M5270" s="13"/>
    </row>
    <row r="5271">
      <c r="F5271" s="13"/>
      <c r="M5271" s="13"/>
    </row>
    <row r="5272">
      <c r="F5272" s="13"/>
      <c r="M5272" s="13"/>
    </row>
    <row r="5273">
      <c r="F5273" s="13"/>
      <c r="M5273" s="13"/>
    </row>
    <row r="5274">
      <c r="F5274" s="13"/>
      <c r="M5274" s="13"/>
    </row>
    <row r="5275">
      <c r="F5275" s="13"/>
      <c r="M5275" s="13"/>
    </row>
    <row r="5276">
      <c r="F5276" s="13"/>
      <c r="M5276" s="13"/>
    </row>
    <row r="5277">
      <c r="F5277" s="13"/>
      <c r="M5277" s="13"/>
    </row>
    <row r="5278">
      <c r="F5278" s="13"/>
      <c r="M5278" s="13"/>
    </row>
    <row r="5279">
      <c r="F5279" s="13"/>
      <c r="M5279" s="13"/>
    </row>
    <row r="5280">
      <c r="F5280" s="13"/>
      <c r="M5280" s="13"/>
    </row>
    <row r="5281">
      <c r="F5281" s="13"/>
      <c r="M5281" s="13"/>
    </row>
    <row r="5282">
      <c r="F5282" s="13"/>
      <c r="M5282" s="13"/>
    </row>
    <row r="5283">
      <c r="F5283" s="13"/>
      <c r="M5283" s="13"/>
    </row>
    <row r="5284">
      <c r="F5284" s="13"/>
      <c r="M5284" s="13"/>
    </row>
    <row r="5285">
      <c r="F5285" s="13"/>
      <c r="M5285" s="13"/>
    </row>
    <row r="5286">
      <c r="F5286" s="13"/>
      <c r="M5286" s="13"/>
    </row>
    <row r="5287">
      <c r="F5287" s="13"/>
      <c r="M5287" s="13"/>
    </row>
    <row r="5288">
      <c r="F5288" s="13"/>
      <c r="M5288" s="13"/>
    </row>
    <row r="5289">
      <c r="F5289" s="13"/>
      <c r="M5289" s="13"/>
    </row>
    <row r="5290">
      <c r="F5290" s="13"/>
      <c r="M5290" s="13"/>
    </row>
    <row r="5291">
      <c r="F5291" s="13"/>
      <c r="M5291" s="13"/>
    </row>
    <row r="5292">
      <c r="F5292" s="13"/>
      <c r="M5292" s="13"/>
    </row>
    <row r="5293">
      <c r="F5293" s="13"/>
      <c r="M5293" s="13"/>
    </row>
    <row r="5294">
      <c r="F5294" s="13"/>
      <c r="M5294" s="13"/>
    </row>
    <row r="5295">
      <c r="F5295" s="13"/>
      <c r="M5295" s="13"/>
    </row>
    <row r="5296">
      <c r="F5296" s="13"/>
      <c r="M5296" s="13"/>
    </row>
    <row r="5297">
      <c r="F5297" s="13"/>
      <c r="M5297" s="13"/>
    </row>
    <row r="5298">
      <c r="F5298" s="13"/>
      <c r="M5298" s="13"/>
    </row>
    <row r="5299">
      <c r="F5299" s="13"/>
      <c r="M5299" s="13"/>
    </row>
    <row r="5300">
      <c r="F5300" s="13"/>
      <c r="M5300" s="13"/>
    </row>
    <row r="5301">
      <c r="F5301" s="13"/>
      <c r="M5301" s="13"/>
    </row>
    <row r="5302">
      <c r="F5302" s="13"/>
      <c r="M5302" s="13"/>
    </row>
    <row r="5303">
      <c r="F5303" s="13"/>
      <c r="M5303" s="13"/>
    </row>
    <row r="5304">
      <c r="F5304" s="13"/>
      <c r="M5304" s="13"/>
    </row>
    <row r="5305">
      <c r="F5305" s="13"/>
      <c r="M5305" s="13"/>
    </row>
    <row r="5306">
      <c r="F5306" s="13"/>
      <c r="M5306" s="13"/>
    </row>
    <row r="5307">
      <c r="F5307" s="13"/>
      <c r="M5307" s="13"/>
    </row>
    <row r="5308">
      <c r="F5308" s="13"/>
      <c r="M5308" s="13"/>
    </row>
    <row r="5309">
      <c r="F5309" s="13"/>
      <c r="M5309" s="13"/>
    </row>
    <row r="5310">
      <c r="F5310" s="13"/>
      <c r="M5310" s="13"/>
    </row>
    <row r="5311">
      <c r="F5311" s="13"/>
      <c r="M5311" s="13"/>
    </row>
    <row r="5312">
      <c r="F5312" s="13"/>
      <c r="M5312" s="13"/>
    </row>
    <row r="5313">
      <c r="F5313" s="13"/>
      <c r="M5313" s="13"/>
    </row>
    <row r="5314">
      <c r="F5314" s="13"/>
      <c r="M5314" s="13"/>
    </row>
    <row r="5315">
      <c r="F5315" s="13"/>
      <c r="M5315" s="13"/>
    </row>
    <row r="5316">
      <c r="F5316" s="13"/>
      <c r="M5316" s="13"/>
    </row>
    <row r="5317">
      <c r="F5317" s="13"/>
      <c r="M5317" s="13"/>
    </row>
    <row r="5318">
      <c r="F5318" s="13"/>
      <c r="M5318" s="13"/>
    </row>
    <row r="5319">
      <c r="F5319" s="13"/>
      <c r="M5319" s="13"/>
    </row>
    <row r="5320">
      <c r="F5320" s="13"/>
      <c r="M5320" s="13"/>
    </row>
    <row r="5321">
      <c r="F5321" s="13"/>
      <c r="M5321" s="13"/>
    </row>
    <row r="5322">
      <c r="F5322" s="13"/>
      <c r="M5322" s="13"/>
    </row>
    <row r="5323">
      <c r="F5323" s="13"/>
      <c r="M5323" s="13"/>
    </row>
    <row r="5324">
      <c r="F5324" s="13"/>
      <c r="M5324" s="13"/>
    </row>
    <row r="5325">
      <c r="F5325" s="13"/>
      <c r="M5325" s="13"/>
    </row>
    <row r="5326">
      <c r="F5326" s="13"/>
      <c r="M5326" s="13"/>
    </row>
    <row r="5327">
      <c r="F5327" s="13"/>
      <c r="M5327" s="13"/>
    </row>
    <row r="5328">
      <c r="F5328" s="13"/>
      <c r="M5328" s="13"/>
    </row>
    <row r="5329">
      <c r="F5329" s="13"/>
      <c r="M5329" s="13"/>
    </row>
    <row r="5330">
      <c r="F5330" s="13"/>
      <c r="M5330" s="13"/>
    </row>
    <row r="5331">
      <c r="F5331" s="13"/>
      <c r="M5331" s="13"/>
    </row>
    <row r="5332">
      <c r="F5332" s="13"/>
      <c r="M5332" s="13"/>
    </row>
    <row r="5333">
      <c r="F5333" s="13"/>
      <c r="M5333" s="13"/>
    </row>
    <row r="5334">
      <c r="F5334" s="13"/>
      <c r="M5334" s="13"/>
    </row>
    <row r="5335">
      <c r="F5335" s="13"/>
      <c r="M5335" s="13"/>
    </row>
    <row r="5336">
      <c r="F5336" s="13"/>
      <c r="M5336" s="13"/>
    </row>
    <row r="5337">
      <c r="F5337" s="13"/>
      <c r="M5337" s="13"/>
    </row>
    <row r="5338">
      <c r="F5338" s="13"/>
      <c r="M5338" s="13"/>
    </row>
    <row r="5339">
      <c r="F5339" s="13"/>
      <c r="M5339" s="13"/>
    </row>
    <row r="5340">
      <c r="F5340" s="13"/>
      <c r="M5340" s="13"/>
    </row>
    <row r="5341">
      <c r="F5341" s="13"/>
      <c r="M5341" s="13"/>
    </row>
    <row r="5342">
      <c r="F5342" s="13"/>
      <c r="M5342" s="13"/>
    </row>
    <row r="5343">
      <c r="F5343" s="13"/>
      <c r="M5343" s="13"/>
    </row>
    <row r="5344">
      <c r="F5344" s="13"/>
      <c r="M5344" s="13"/>
    </row>
    <row r="5345">
      <c r="F5345" s="13"/>
      <c r="M5345" s="13"/>
    </row>
    <row r="5346">
      <c r="F5346" s="13"/>
      <c r="M5346" s="13"/>
    </row>
    <row r="5347">
      <c r="F5347" s="13"/>
      <c r="M5347" s="13"/>
    </row>
    <row r="5348">
      <c r="F5348" s="13"/>
      <c r="M5348" s="13"/>
    </row>
    <row r="5349">
      <c r="F5349" s="13"/>
      <c r="M5349" s="13"/>
    </row>
    <row r="5350">
      <c r="F5350" s="13"/>
      <c r="M5350" s="13"/>
    </row>
    <row r="5351">
      <c r="F5351" s="13"/>
      <c r="M5351" s="13"/>
    </row>
    <row r="5352">
      <c r="F5352" s="13"/>
      <c r="M5352" s="13"/>
    </row>
    <row r="5353">
      <c r="F5353" s="13"/>
      <c r="M5353" s="13"/>
    </row>
    <row r="5354">
      <c r="F5354" s="13"/>
      <c r="M5354" s="13"/>
    </row>
    <row r="5355">
      <c r="F5355" s="13"/>
      <c r="M5355" s="13"/>
    </row>
    <row r="5356">
      <c r="F5356" s="13"/>
      <c r="M5356" s="13"/>
    </row>
    <row r="5357">
      <c r="F5357" s="13"/>
      <c r="M5357" s="13"/>
    </row>
    <row r="5358">
      <c r="F5358" s="13"/>
      <c r="M5358" s="13"/>
    </row>
    <row r="5359">
      <c r="F5359" s="13"/>
      <c r="M5359" s="13"/>
    </row>
    <row r="5360">
      <c r="F5360" s="13"/>
      <c r="M5360" s="13"/>
    </row>
    <row r="5361">
      <c r="F5361" s="13"/>
      <c r="M5361" s="13"/>
    </row>
    <row r="5362">
      <c r="F5362" s="13"/>
      <c r="M5362" s="13"/>
    </row>
    <row r="5363">
      <c r="F5363" s="13"/>
      <c r="M5363" s="13"/>
    </row>
    <row r="5364">
      <c r="F5364" s="13"/>
      <c r="M5364" s="13"/>
    </row>
    <row r="5365">
      <c r="F5365" s="13"/>
      <c r="M5365" s="13"/>
    </row>
    <row r="5366">
      <c r="F5366" s="13"/>
      <c r="M5366" s="13"/>
    </row>
    <row r="5367">
      <c r="F5367" s="13"/>
      <c r="M5367" s="13"/>
    </row>
    <row r="5368">
      <c r="F5368" s="13"/>
      <c r="M5368" s="13"/>
    </row>
    <row r="5369">
      <c r="F5369" s="13"/>
      <c r="M5369" s="13"/>
    </row>
    <row r="5370">
      <c r="F5370" s="13"/>
      <c r="M5370" s="13"/>
    </row>
    <row r="5371">
      <c r="F5371" s="13"/>
      <c r="M5371" s="13"/>
    </row>
    <row r="5372">
      <c r="F5372" s="13"/>
      <c r="M5372" s="13"/>
    </row>
    <row r="5373">
      <c r="F5373" s="13"/>
      <c r="M5373" s="13"/>
    </row>
    <row r="5374">
      <c r="F5374" s="13"/>
      <c r="M5374" s="13"/>
    </row>
    <row r="5375">
      <c r="F5375" s="13"/>
      <c r="M5375" s="13"/>
    </row>
    <row r="5376">
      <c r="F5376" s="13"/>
      <c r="M5376" s="13"/>
    </row>
    <row r="5377">
      <c r="F5377" s="13"/>
      <c r="M5377" s="13"/>
    </row>
    <row r="5378">
      <c r="F5378" s="13"/>
      <c r="M5378" s="13"/>
    </row>
    <row r="5379">
      <c r="F5379" s="13"/>
      <c r="M5379" s="13"/>
    </row>
    <row r="5380">
      <c r="F5380" s="13"/>
      <c r="M5380" s="13"/>
    </row>
    <row r="5381">
      <c r="F5381" s="13"/>
      <c r="M5381" s="13"/>
    </row>
    <row r="5382">
      <c r="F5382" s="13"/>
      <c r="M5382" s="13"/>
    </row>
    <row r="5383">
      <c r="F5383" s="13"/>
      <c r="M5383" s="13"/>
    </row>
    <row r="5384">
      <c r="F5384" s="13"/>
      <c r="M5384" s="13"/>
    </row>
    <row r="5385">
      <c r="F5385" s="13"/>
      <c r="M5385" s="13"/>
    </row>
    <row r="5386">
      <c r="F5386" s="13"/>
      <c r="M5386" s="13"/>
    </row>
    <row r="5387">
      <c r="F5387" s="13"/>
      <c r="M5387" s="13"/>
    </row>
    <row r="5388">
      <c r="F5388" s="13"/>
      <c r="M5388" s="13"/>
    </row>
    <row r="5389">
      <c r="F5389" s="13"/>
      <c r="M5389" s="13"/>
    </row>
    <row r="5390">
      <c r="F5390" s="13"/>
      <c r="M5390" s="13"/>
    </row>
    <row r="5391">
      <c r="F5391" s="13"/>
      <c r="M5391" s="13"/>
    </row>
    <row r="5392">
      <c r="F5392" s="13"/>
      <c r="M5392" s="13"/>
    </row>
    <row r="5393">
      <c r="F5393" s="13"/>
      <c r="M5393" s="13"/>
    </row>
    <row r="5394">
      <c r="F5394" s="13"/>
      <c r="M5394" s="13"/>
    </row>
    <row r="5395">
      <c r="F5395" s="13"/>
      <c r="M5395" s="13"/>
    </row>
    <row r="5396">
      <c r="F5396" s="13"/>
      <c r="M5396" s="13"/>
    </row>
    <row r="5397">
      <c r="F5397" s="13"/>
      <c r="M5397" s="13"/>
    </row>
    <row r="5398">
      <c r="F5398" s="13"/>
      <c r="M5398" s="13"/>
    </row>
    <row r="5399">
      <c r="F5399" s="13"/>
      <c r="M5399" s="13"/>
    </row>
    <row r="5400">
      <c r="F5400" s="13"/>
      <c r="M5400" s="13"/>
    </row>
    <row r="5401">
      <c r="F5401" s="13"/>
      <c r="M5401" s="13"/>
    </row>
    <row r="5402">
      <c r="F5402" s="13"/>
      <c r="M5402" s="13"/>
    </row>
    <row r="5403">
      <c r="F5403" s="13"/>
      <c r="M5403" s="13"/>
    </row>
    <row r="5404">
      <c r="F5404" s="13"/>
      <c r="M5404" s="13"/>
    </row>
    <row r="5405">
      <c r="F5405" s="13"/>
      <c r="M5405" s="13"/>
    </row>
    <row r="5406">
      <c r="F5406" s="13"/>
      <c r="M5406" s="13"/>
    </row>
    <row r="5407">
      <c r="F5407" s="13"/>
      <c r="M5407" s="13"/>
    </row>
    <row r="5408">
      <c r="F5408" s="13"/>
      <c r="M5408" s="13"/>
    </row>
    <row r="5409">
      <c r="F5409" s="13"/>
      <c r="M5409" s="13"/>
    </row>
    <row r="5410">
      <c r="F5410" s="13"/>
      <c r="M5410" s="13"/>
    </row>
    <row r="5411">
      <c r="F5411" s="13"/>
      <c r="M5411" s="13"/>
    </row>
    <row r="5412">
      <c r="F5412" s="13"/>
      <c r="M5412" s="13"/>
    </row>
    <row r="5413">
      <c r="F5413" s="13"/>
      <c r="M5413" s="13"/>
    </row>
    <row r="5414">
      <c r="F5414" s="13"/>
      <c r="M5414" s="13"/>
    </row>
    <row r="5415">
      <c r="F5415" s="13"/>
      <c r="M5415" s="13"/>
    </row>
    <row r="5416">
      <c r="F5416" s="13"/>
      <c r="M5416" s="13"/>
    </row>
    <row r="5417">
      <c r="F5417" s="13"/>
      <c r="M5417" s="13"/>
    </row>
    <row r="5418">
      <c r="F5418" s="13"/>
      <c r="M5418" s="13"/>
    </row>
    <row r="5419">
      <c r="F5419" s="13"/>
      <c r="M5419" s="13"/>
    </row>
    <row r="5420">
      <c r="F5420" s="13"/>
      <c r="M5420" s="13"/>
    </row>
    <row r="5421">
      <c r="F5421" s="13"/>
      <c r="M5421" s="13"/>
    </row>
    <row r="5422">
      <c r="F5422" s="13"/>
      <c r="M5422" s="13"/>
    </row>
    <row r="5423">
      <c r="F5423" s="13"/>
      <c r="M5423" s="13"/>
    </row>
    <row r="5424">
      <c r="F5424" s="13"/>
      <c r="M5424" s="13"/>
    </row>
    <row r="5425">
      <c r="F5425" s="13"/>
      <c r="M5425" s="13"/>
    </row>
    <row r="5426">
      <c r="F5426" s="13"/>
      <c r="M5426" s="13"/>
    </row>
    <row r="5427">
      <c r="F5427" s="13"/>
      <c r="M5427" s="13"/>
    </row>
    <row r="5428">
      <c r="F5428" s="13"/>
      <c r="M5428" s="13"/>
    </row>
    <row r="5429">
      <c r="F5429" s="13"/>
      <c r="M5429" s="13"/>
    </row>
    <row r="5430">
      <c r="F5430" s="13"/>
      <c r="M5430" s="13"/>
    </row>
    <row r="5431">
      <c r="F5431" s="13"/>
      <c r="M5431" s="13"/>
    </row>
    <row r="5432">
      <c r="F5432" s="13"/>
      <c r="M5432" s="13"/>
    </row>
    <row r="5433">
      <c r="F5433" s="13"/>
      <c r="M5433" s="13"/>
    </row>
    <row r="5434">
      <c r="F5434" s="13"/>
      <c r="M5434" s="13"/>
    </row>
    <row r="5435">
      <c r="F5435" s="13"/>
      <c r="M5435" s="13"/>
    </row>
    <row r="5436">
      <c r="F5436" s="13"/>
      <c r="M5436" s="13"/>
    </row>
    <row r="5437">
      <c r="F5437" s="13"/>
      <c r="M5437" s="13"/>
    </row>
    <row r="5438">
      <c r="F5438" s="13"/>
      <c r="M5438" s="13"/>
    </row>
    <row r="5439">
      <c r="F5439" s="13"/>
      <c r="M5439" s="13"/>
    </row>
    <row r="5440">
      <c r="F5440" s="13"/>
      <c r="M5440" s="13"/>
    </row>
    <row r="5441">
      <c r="F5441" s="13"/>
      <c r="M5441" s="13"/>
    </row>
    <row r="5442">
      <c r="F5442" s="13"/>
      <c r="M5442" s="13"/>
    </row>
    <row r="5443">
      <c r="F5443" s="13"/>
      <c r="M5443" s="13"/>
    </row>
    <row r="5444">
      <c r="F5444" s="13"/>
      <c r="M5444" s="13"/>
    </row>
    <row r="5445">
      <c r="F5445" s="13"/>
      <c r="M5445" s="13"/>
    </row>
    <row r="5446">
      <c r="F5446" s="13"/>
      <c r="M5446" s="13"/>
    </row>
    <row r="5447">
      <c r="F5447" s="13"/>
      <c r="M5447" s="13"/>
    </row>
    <row r="5448">
      <c r="F5448" s="13"/>
      <c r="M5448" s="13"/>
    </row>
    <row r="5449">
      <c r="F5449" s="13"/>
      <c r="M5449" s="13"/>
    </row>
    <row r="5450">
      <c r="F5450" s="13"/>
      <c r="M5450" s="13"/>
    </row>
    <row r="5451">
      <c r="F5451" s="13"/>
      <c r="M5451" s="13"/>
    </row>
    <row r="5452">
      <c r="F5452" s="13"/>
      <c r="M5452" s="13"/>
    </row>
    <row r="5453">
      <c r="F5453" s="13"/>
      <c r="M5453" s="13"/>
    </row>
    <row r="5454">
      <c r="F5454" s="13"/>
      <c r="M5454" s="13"/>
    </row>
    <row r="5455">
      <c r="F5455" s="13"/>
      <c r="M5455" s="13"/>
    </row>
    <row r="5456">
      <c r="F5456" s="13"/>
      <c r="M5456" s="13"/>
    </row>
    <row r="5457">
      <c r="F5457" s="13"/>
      <c r="M5457" s="13"/>
    </row>
    <row r="5458">
      <c r="F5458" s="13"/>
      <c r="M5458" s="13"/>
    </row>
    <row r="5459">
      <c r="F5459" s="13"/>
      <c r="M5459" s="13"/>
    </row>
    <row r="5460">
      <c r="F5460" s="13"/>
      <c r="M5460" s="13"/>
    </row>
    <row r="5461">
      <c r="F5461" s="13"/>
      <c r="M5461" s="13"/>
    </row>
    <row r="5462">
      <c r="F5462" s="13"/>
      <c r="M5462" s="13"/>
    </row>
    <row r="5463">
      <c r="F5463" s="13"/>
      <c r="M5463" s="13"/>
    </row>
    <row r="5464">
      <c r="F5464" s="13"/>
      <c r="M5464" s="13"/>
    </row>
    <row r="5465">
      <c r="F5465" s="13"/>
      <c r="M5465" s="13"/>
    </row>
    <row r="5466">
      <c r="F5466" s="13"/>
      <c r="M5466" s="13"/>
    </row>
    <row r="5467">
      <c r="F5467" s="13"/>
      <c r="M5467" s="13"/>
    </row>
    <row r="5468">
      <c r="F5468" s="13"/>
      <c r="M5468" s="13"/>
    </row>
    <row r="5469">
      <c r="F5469" s="13"/>
      <c r="M5469" s="13"/>
    </row>
    <row r="5470">
      <c r="F5470" s="13"/>
      <c r="M5470" s="13"/>
    </row>
    <row r="5471">
      <c r="F5471" s="13"/>
      <c r="M5471" s="13"/>
    </row>
    <row r="5472">
      <c r="F5472" s="13"/>
      <c r="M5472" s="13"/>
    </row>
    <row r="5473">
      <c r="F5473" s="13"/>
      <c r="M5473" s="13"/>
    </row>
    <row r="5474">
      <c r="F5474" s="13"/>
      <c r="M5474" s="13"/>
    </row>
    <row r="5475">
      <c r="F5475" s="13"/>
      <c r="M5475" s="13"/>
    </row>
    <row r="5476">
      <c r="F5476" s="13"/>
      <c r="M5476" s="13"/>
    </row>
    <row r="5477">
      <c r="F5477" s="13"/>
      <c r="M5477" s="13"/>
    </row>
    <row r="5478">
      <c r="F5478" s="13"/>
      <c r="M5478" s="13"/>
    </row>
    <row r="5479">
      <c r="F5479" s="13"/>
      <c r="M5479" s="13"/>
    </row>
    <row r="5480">
      <c r="F5480" s="13"/>
      <c r="M5480" s="13"/>
    </row>
    <row r="5481">
      <c r="F5481" s="13"/>
      <c r="M5481" s="13"/>
    </row>
    <row r="5482">
      <c r="F5482" s="13"/>
      <c r="M5482" s="13"/>
    </row>
    <row r="5483">
      <c r="F5483" s="13"/>
      <c r="M5483" s="13"/>
    </row>
    <row r="5484">
      <c r="F5484" s="13"/>
      <c r="M5484" s="13"/>
    </row>
    <row r="5485">
      <c r="F5485" s="13"/>
      <c r="M5485" s="13"/>
    </row>
    <row r="5486">
      <c r="F5486" s="13"/>
      <c r="M5486" s="13"/>
    </row>
    <row r="5487">
      <c r="F5487" s="13"/>
      <c r="M5487" s="13"/>
    </row>
    <row r="5488">
      <c r="F5488" s="13"/>
      <c r="M5488" s="13"/>
    </row>
    <row r="5489">
      <c r="F5489" s="13"/>
      <c r="M5489" s="13"/>
    </row>
    <row r="5490">
      <c r="F5490" s="13"/>
      <c r="M5490" s="13"/>
    </row>
    <row r="5491">
      <c r="F5491" s="13"/>
      <c r="M5491" s="13"/>
    </row>
    <row r="5492">
      <c r="F5492" s="13"/>
      <c r="M5492" s="13"/>
    </row>
    <row r="5493">
      <c r="F5493" s="13"/>
      <c r="M5493" s="13"/>
    </row>
    <row r="5494">
      <c r="F5494" s="13"/>
      <c r="M5494" s="13"/>
    </row>
    <row r="5495">
      <c r="F5495" s="13"/>
      <c r="M5495" s="13"/>
    </row>
    <row r="5496">
      <c r="F5496" s="13"/>
      <c r="M5496" s="13"/>
    </row>
    <row r="5497">
      <c r="F5497" s="13"/>
      <c r="M5497" s="13"/>
    </row>
    <row r="5498">
      <c r="F5498" s="13"/>
      <c r="M5498" s="13"/>
    </row>
    <row r="5499">
      <c r="F5499" s="13"/>
      <c r="M5499" s="13"/>
    </row>
    <row r="5500">
      <c r="F5500" s="13"/>
      <c r="M5500" s="13"/>
    </row>
    <row r="5501">
      <c r="F5501" s="13"/>
      <c r="M5501" s="13"/>
    </row>
    <row r="5502">
      <c r="F5502" s="13"/>
      <c r="M5502" s="13"/>
    </row>
    <row r="5503">
      <c r="F5503" s="13"/>
      <c r="M5503" s="13"/>
    </row>
    <row r="5504">
      <c r="F5504" s="13"/>
      <c r="M5504" s="13"/>
    </row>
    <row r="5505">
      <c r="F5505" s="13"/>
      <c r="M5505" s="13"/>
    </row>
    <row r="5506">
      <c r="F5506" s="13"/>
      <c r="M5506" s="13"/>
    </row>
    <row r="5507">
      <c r="F5507" s="13"/>
      <c r="M5507" s="13"/>
    </row>
    <row r="5508">
      <c r="F5508" s="13"/>
      <c r="M5508" s="13"/>
    </row>
    <row r="5509">
      <c r="F5509" s="13"/>
      <c r="M5509" s="13"/>
    </row>
    <row r="5510">
      <c r="F5510" s="13"/>
      <c r="M5510" s="13"/>
    </row>
    <row r="5511">
      <c r="F5511" s="13"/>
      <c r="M5511" s="13"/>
    </row>
    <row r="5512">
      <c r="F5512" s="13"/>
      <c r="M5512" s="13"/>
    </row>
    <row r="5513">
      <c r="F5513" s="13"/>
      <c r="M5513" s="13"/>
    </row>
    <row r="5514">
      <c r="F5514" s="13"/>
      <c r="M5514" s="13"/>
    </row>
    <row r="5515">
      <c r="F5515" s="13"/>
      <c r="M5515" s="13"/>
    </row>
    <row r="5516">
      <c r="F5516" s="13"/>
      <c r="M5516" s="13"/>
    </row>
    <row r="5517">
      <c r="F5517" s="13"/>
      <c r="M5517" s="13"/>
    </row>
    <row r="5518">
      <c r="F5518" s="13"/>
      <c r="M5518" s="13"/>
    </row>
    <row r="5519">
      <c r="F5519" s="13"/>
      <c r="M5519" s="13"/>
    </row>
    <row r="5520">
      <c r="F5520" s="13"/>
      <c r="M5520" s="13"/>
    </row>
    <row r="5521">
      <c r="F5521" s="13"/>
      <c r="M5521" s="13"/>
    </row>
    <row r="5522">
      <c r="F5522" s="13"/>
      <c r="M5522" s="13"/>
    </row>
    <row r="5523">
      <c r="F5523" s="13"/>
      <c r="M5523" s="13"/>
    </row>
    <row r="5524">
      <c r="F5524" s="13"/>
      <c r="M5524" s="13"/>
    </row>
    <row r="5525">
      <c r="F5525" s="13"/>
      <c r="M5525" s="13"/>
    </row>
    <row r="5526">
      <c r="F5526" s="13"/>
      <c r="M5526" s="13"/>
    </row>
    <row r="5527">
      <c r="F5527" s="13"/>
      <c r="M5527" s="13"/>
    </row>
    <row r="5528">
      <c r="F5528" s="13"/>
      <c r="M5528" s="13"/>
    </row>
    <row r="5529">
      <c r="F5529" s="13"/>
      <c r="M5529" s="13"/>
    </row>
    <row r="5530">
      <c r="F5530" s="13"/>
      <c r="M5530" s="13"/>
    </row>
    <row r="5531">
      <c r="F5531" s="13"/>
      <c r="M5531" s="13"/>
    </row>
    <row r="5532">
      <c r="F5532" s="13"/>
      <c r="M5532" s="13"/>
    </row>
    <row r="5533">
      <c r="F5533" s="13"/>
      <c r="M5533" s="13"/>
    </row>
    <row r="5534">
      <c r="F5534" s="13"/>
      <c r="M5534" s="13"/>
    </row>
    <row r="5535">
      <c r="F5535" s="13"/>
      <c r="M5535" s="13"/>
    </row>
    <row r="5536">
      <c r="F5536" s="13"/>
      <c r="M5536" s="13"/>
    </row>
    <row r="5537">
      <c r="F5537" s="13"/>
      <c r="M5537" s="13"/>
    </row>
    <row r="5538">
      <c r="F5538" s="13"/>
      <c r="M5538" s="13"/>
    </row>
    <row r="5539">
      <c r="F5539" s="13"/>
      <c r="M5539" s="13"/>
    </row>
    <row r="5540">
      <c r="F5540" s="13"/>
      <c r="M5540" s="13"/>
    </row>
    <row r="5541">
      <c r="F5541" s="13"/>
      <c r="M5541" s="13"/>
    </row>
    <row r="5542">
      <c r="F5542" s="13"/>
      <c r="M5542" s="13"/>
    </row>
    <row r="5543">
      <c r="F5543" s="13"/>
      <c r="M5543" s="13"/>
    </row>
    <row r="5544">
      <c r="F5544" s="13"/>
      <c r="M5544" s="13"/>
    </row>
    <row r="5545">
      <c r="F5545" s="13"/>
      <c r="M5545" s="13"/>
    </row>
    <row r="5546">
      <c r="F5546" s="13"/>
      <c r="M5546" s="13"/>
    </row>
    <row r="5547">
      <c r="F5547" s="13"/>
      <c r="M5547" s="13"/>
    </row>
    <row r="5548">
      <c r="F5548" s="13"/>
      <c r="M5548" s="13"/>
    </row>
    <row r="5549">
      <c r="F5549" s="13"/>
      <c r="M5549" s="13"/>
    </row>
    <row r="5550">
      <c r="F5550" s="13"/>
      <c r="M5550" s="13"/>
    </row>
    <row r="5551">
      <c r="F5551" s="13"/>
      <c r="M5551" s="13"/>
    </row>
    <row r="5552">
      <c r="F5552" s="13"/>
      <c r="M5552" s="13"/>
    </row>
    <row r="5553">
      <c r="F5553" s="13"/>
      <c r="M5553" s="13"/>
    </row>
    <row r="5554">
      <c r="F5554" s="13"/>
      <c r="M5554" s="13"/>
    </row>
    <row r="5555">
      <c r="F5555" s="13"/>
      <c r="M5555" s="13"/>
    </row>
    <row r="5556">
      <c r="F5556" s="13"/>
      <c r="M5556" s="13"/>
    </row>
    <row r="5557">
      <c r="F5557" s="13"/>
      <c r="M5557" s="13"/>
    </row>
    <row r="5558">
      <c r="F5558" s="13"/>
      <c r="M5558" s="13"/>
    </row>
    <row r="5559">
      <c r="F5559" s="13"/>
      <c r="M5559" s="13"/>
    </row>
    <row r="5560">
      <c r="F5560" s="13"/>
      <c r="M5560" s="13"/>
    </row>
    <row r="5561">
      <c r="F5561" s="13"/>
      <c r="M5561" s="13"/>
    </row>
    <row r="5562">
      <c r="F5562" s="13"/>
      <c r="M5562" s="13"/>
    </row>
    <row r="5563">
      <c r="F5563" s="13"/>
      <c r="M5563" s="13"/>
    </row>
    <row r="5564">
      <c r="F5564" s="13"/>
      <c r="M5564" s="13"/>
    </row>
    <row r="5565">
      <c r="F5565" s="13"/>
      <c r="M5565" s="13"/>
    </row>
    <row r="5566">
      <c r="F5566" s="13"/>
      <c r="M5566" s="13"/>
    </row>
    <row r="5567">
      <c r="F5567" s="13"/>
      <c r="M5567" s="13"/>
    </row>
    <row r="5568">
      <c r="F5568" s="13"/>
      <c r="M5568" s="13"/>
    </row>
    <row r="5569">
      <c r="F5569" s="13"/>
      <c r="M5569" s="13"/>
    </row>
    <row r="5570">
      <c r="F5570" s="13"/>
      <c r="M5570" s="13"/>
    </row>
    <row r="5571">
      <c r="F5571" s="13"/>
      <c r="M5571" s="13"/>
    </row>
    <row r="5572">
      <c r="F5572" s="13"/>
      <c r="M5572" s="13"/>
    </row>
    <row r="5573">
      <c r="F5573" s="13"/>
      <c r="M5573" s="13"/>
    </row>
    <row r="5574">
      <c r="F5574" s="13"/>
      <c r="M5574" s="13"/>
    </row>
    <row r="5575">
      <c r="F5575" s="13"/>
      <c r="M5575" s="13"/>
    </row>
    <row r="5576">
      <c r="F5576" s="13"/>
      <c r="M5576" s="13"/>
    </row>
    <row r="5577">
      <c r="F5577" s="13"/>
      <c r="M5577" s="13"/>
    </row>
    <row r="5578">
      <c r="F5578" s="13"/>
      <c r="M5578" s="13"/>
    </row>
    <row r="5579">
      <c r="F5579" s="13"/>
      <c r="M5579" s="13"/>
    </row>
    <row r="5580">
      <c r="F5580" s="13"/>
      <c r="M5580" s="13"/>
    </row>
    <row r="5581">
      <c r="F5581" s="13"/>
      <c r="M5581" s="13"/>
    </row>
    <row r="5582">
      <c r="F5582" s="13"/>
      <c r="M5582" s="13"/>
    </row>
    <row r="5583">
      <c r="F5583" s="13"/>
      <c r="M5583" s="13"/>
    </row>
    <row r="5584">
      <c r="F5584" s="13"/>
      <c r="M5584" s="13"/>
    </row>
    <row r="5585">
      <c r="F5585" s="13"/>
      <c r="M5585" s="13"/>
    </row>
    <row r="5586">
      <c r="F5586" s="13"/>
      <c r="M5586" s="13"/>
    </row>
    <row r="5587">
      <c r="F5587" s="13"/>
      <c r="M5587" s="13"/>
    </row>
    <row r="5588">
      <c r="F5588" s="13"/>
      <c r="M5588" s="13"/>
    </row>
    <row r="5589">
      <c r="F5589" s="13"/>
      <c r="M5589" s="13"/>
    </row>
    <row r="5590">
      <c r="F5590" s="13"/>
      <c r="M5590" s="13"/>
    </row>
    <row r="5591">
      <c r="F5591" s="13"/>
      <c r="M5591" s="13"/>
    </row>
    <row r="5592">
      <c r="F5592" s="13"/>
      <c r="M5592" s="13"/>
    </row>
    <row r="5593">
      <c r="F5593" s="13"/>
      <c r="M5593" s="13"/>
    </row>
    <row r="5594">
      <c r="F5594" s="13"/>
      <c r="M5594" s="13"/>
    </row>
    <row r="5595">
      <c r="F5595" s="13"/>
      <c r="M5595" s="13"/>
    </row>
    <row r="5596">
      <c r="F5596" s="13"/>
      <c r="M5596" s="13"/>
    </row>
    <row r="5597">
      <c r="F5597" s="13"/>
      <c r="M5597" s="13"/>
    </row>
    <row r="5598">
      <c r="F5598" s="13"/>
      <c r="M5598" s="13"/>
    </row>
    <row r="5599">
      <c r="F5599" s="13"/>
      <c r="M5599" s="13"/>
    </row>
    <row r="5600">
      <c r="F5600" s="13"/>
      <c r="M5600" s="13"/>
    </row>
    <row r="5601">
      <c r="F5601" s="13"/>
      <c r="M5601" s="13"/>
    </row>
    <row r="5602">
      <c r="F5602" s="13"/>
      <c r="M5602" s="13"/>
    </row>
    <row r="5603">
      <c r="F5603" s="13"/>
      <c r="M5603" s="13"/>
    </row>
    <row r="5604">
      <c r="F5604" s="13"/>
      <c r="M5604" s="13"/>
    </row>
    <row r="5605">
      <c r="F5605" s="13"/>
      <c r="M5605" s="13"/>
    </row>
    <row r="5606">
      <c r="F5606" s="13"/>
      <c r="M5606" s="13"/>
    </row>
    <row r="5607">
      <c r="F5607" s="13"/>
      <c r="M5607" s="13"/>
    </row>
    <row r="5608">
      <c r="F5608" s="13"/>
      <c r="M5608" s="13"/>
    </row>
    <row r="5609">
      <c r="F5609" s="13"/>
      <c r="M5609" s="13"/>
    </row>
    <row r="5610">
      <c r="F5610" s="13"/>
      <c r="M5610" s="13"/>
    </row>
    <row r="5611">
      <c r="F5611" s="13"/>
      <c r="M5611" s="13"/>
    </row>
    <row r="5612">
      <c r="F5612" s="13"/>
      <c r="M5612" s="13"/>
    </row>
    <row r="5613">
      <c r="F5613" s="13"/>
      <c r="M5613" s="13"/>
    </row>
    <row r="5614">
      <c r="F5614" s="13"/>
      <c r="M5614" s="13"/>
    </row>
    <row r="5615">
      <c r="F5615" s="13"/>
      <c r="M5615" s="13"/>
    </row>
    <row r="5616">
      <c r="F5616" s="13"/>
      <c r="M5616" s="13"/>
    </row>
    <row r="5617">
      <c r="F5617" s="13"/>
      <c r="M5617" s="13"/>
    </row>
    <row r="5618">
      <c r="F5618" s="13"/>
      <c r="M5618" s="13"/>
    </row>
    <row r="5619">
      <c r="F5619" s="13"/>
      <c r="M5619" s="13"/>
    </row>
    <row r="5620">
      <c r="F5620" s="13"/>
      <c r="M5620" s="13"/>
    </row>
    <row r="5621">
      <c r="F5621" s="13"/>
      <c r="M5621" s="13"/>
    </row>
    <row r="5622">
      <c r="F5622" s="13"/>
      <c r="M5622" s="13"/>
    </row>
    <row r="5623">
      <c r="F5623" s="13"/>
      <c r="M5623" s="13"/>
    </row>
    <row r="5624">
      <c r="F5624" s="13"/>
      <c r="M5624" s="13"/>
    </row>
    <row r="5625">
      <c r="F5625" s="13"/>
      <c r="M5625" s="13"/>
    </row>
    <row r="5626">
      <c r="F5626" s="13"/>
      <c r="M5626" s="13"/>
    </row>
    <row r="5627">
      <c r="F5627" s="13"/>
      <c r="M5627" s="13"/>
    </row>
    <row r="5628">
      <c r="F5628" s="13"/>
      <c r="M5628" s="13"/>
    </row>
    <row r="5629">
      <c r="F5629" s="13"/>
      <c r="M5629" s="13"/>
    </row>
    <row r="5630">
      <c r="F5630" s="13"/>
      <c r="M5630" s="13"/>
    </row>
    <row r="5631">
      <c r="F5631" s="13"/>
      <c r="M5631" s="13"/>
    </row>
    <row r="5632">
      <c r="F5632" s="13"/>
      <c r="M5632" s="13"/>
    </row>
    <row r="5633">
      <c r="F5633" s="13"/>
      <c r="M5633" s="13"/>
    </row>
    <row r="5634">
      <c r="F5634" s="13"/>
      <c r="M5634" s="13"/>
    </row>
    <row r="5635">
      <c r="F5635" s="13"/>
      <c r="M5635" s="13"/>
    </row>
    <row r="5636">
      <c r="F5636" s="13"/>
      <c r="M5636" s="13"/>
    </row>
    <row r="5637">
      <c r="F5637" s="13"/>
      <c r="M5637" s="13"/>
    </row>
    <row r="5638">
      <c r="F5638" s="13"/>
      <c r="M5638" s="13"/>
    </row>
    <row r="5639">
      <c r="F5639" s="13"/>
      <c r="M5639" s="13"/>
    </row>
    <row r="5640">
      <c r="F5640" s="13"/>
      <c r="M5640" s="13"/>
    </row>
    <row r="5641">
      <c r="F5641" s="13"/>
      <c r="M5641" s="13"/>
    </row>
    <row r="5642">
      <c r="F5642" s="13"/>
      <c r="M5642" s="13"/>
    </row>
    <row r="5643">
      <c r="F5643" s="13"/>
      <c r="M5643" s="13"/>
    </row>
    <row r="5644">
      <c r="F5644" s="13"/>
      <c r="M5644" s="13"/>
    </row>
    <row r="5645">
      <c r="F5645" s="13"/>
      <c r="M5645" s="13"/>
    </row>
    <row r="5646">
      <c r="F5646" s="13"/>
      <c r="M5646" s="13"/>
    </row>
    <row r="5647">
      <c r="F5647" s="13"/>
      <c r="M5647" s="13"/>
    </row>
    <row r="5648">
      <c r="F5648" s="13"/>
      <c r="M5648" s="13"/>
    </row>
    <row r="5649">
      <c r="F5649" s="13"/>
      <c r="M5649" s="13"/>
    </row>
    <row r="5650">
      <c r="F5650" s="13"/>
      <c r="M5650" s="13"/>
    </row>
    <row r="5651">
      <c r="F5651" s="13"/>
      <c r="M5651" s="13"/>
    </row>
    <row r="5652">
      <c r="F5652" s="13"/>
      <c r="M5652" s="13"/>
    </row>
    <row r="5653">
      <c r="F5653" s="13"/>
      <c r="M5653" s="13"/>
    </row>
    <row r="5654">
      <c r="F5654" s="13"/>
      <c r="M5654" s="13"/>
    </row>
    <row r="5655">
      <c r="F5655" s="13"/>
      <c r="M5655" s="13"/>
    </row>
    <row r="5656">
      <c r="F5656" s="13"/>
      <c r="M5656" s="13"/>
    </row>
    <row r="5657">
      <c r="F5657" s="13"/>
      <c r="M5657" s="13"/>
    </row>
    <row r="5658">
      <c r="F5658" s="13"/>
      <c r="M5658" s="13"/>
    </row>
    <row r="5659">
      <c r="F5659" s="13"/>
      <c r="M5659" s="13"/>
    </row>
    <row r="5660">
      <c r="F5660" s="13"/>
      <c r="M5660" s="13"/>
    </row>
    <row r="5661">
      <c r="F5661" s="13"/>
      <c r="M5661" s="13"/>
    </row>
    <row r="5662">
      <c r="F5662" s="13"/>
      <c r="M5662" s="13"/>
    </row>
    <row r="5663">
      <c r="F5663" s="13"/>
      <c r="M5663" s="13"/>
    </row>
    <row r="5664">
      <c r="F5664" s="13"/>
      <c r="M5664" s="13"/>
    </row>
    <row r="5665">
      <c r="F5665" s="13"/>
      <c r="M5665" s="13"/>
    </row>
    <row r="5666">
      <c r="F5666" s="13"/>
      <c r="M5666" s="13"/>
    </row>
    <row r="5667">
      <c r="F5667" s="13"/>
      <c r="M5667" s="13"/>
    </row>
    <row r="5668">
      <c r="F5668" s="13"/>
      <c r="M5668" s="13"/>
    </row>
    <row r="5669">
      <c r="F5669" s="13"/>
      <c r="M5669" s="13"/>
    </row>
    <row r="5670">
      <c r="F5670" s="13"/>
      <c r="M5670" s="13"/>
    </row>
    <row r="5671">
      <c r="F5671" s="13"/>
      <c r="M5671" s="13"/>
    </row>
    <row r="5672">
      <c r="F5672" s="13"/>
      <c r="M5672" s="13"/>
    </row>
    <row r="5673">
      <c r="F5673" s="13"/>
      <c r="M5673" s="13"/>
    </row>
    <row r="5674">
      <c r="F5674" s="13"/>
      <c r="M5674" s="13"/>
    </row>
    <row r="5675">
      <c r="F5675" s="13"/>
      <c r="M5675" s="13"/>
    </row>
    <row r="5676">
      <c r="F5676" s="13"/>
      <c r="M5676" s="13"/>
    </row>
    <row r="5677">
      <c r="F5677" s="13"/>
      <c r="M5677" s="13"/>
    </row>
    <row r="5678">
      <c r="F5678" s="13"/>
      <c r="M5678" s="13"/>
    </row>
    <row r="5679">
      <c r="F5679" s="13"/>
      <c r="M5679" s="13"/>
    </row>
    <row r="5680">
      <c r="F5680" s="13"/>
      <c r="M5680" s="13"/>
    </row>
    <row r="5681">
      <c r="F5681" s="13"/>
      <c r="M5681" s="13"/>
    </row>
    <row r="5682">
      <c r="F5682" s="13"/>
      <c r="M5682" s="13"/>
    </row>
    <row r="5683">
      <c r="F5683" s="13"/>
      <c r="M5683" s="13"/>
    </row>
    <row r="5684">
      <c r="F5684" s="13"/>
      <c r="M5684" s="13"/>
    </row>
    <row r="5685">
      <c r="F5685" s="13"/>
      <c r="M5685" s="13"/>
    </row>
    <row r="5686">
      <c r="F5686" s="13"/>
      <c r="M5686" s="13"/>
    </row>
    <row r="5687">
      <c r="F5687" s="13"/>
      <c r="M5687" s="13"/>
    </row>
    <row r="5688">
      <c r="F5688" s="13"/>
      <c r="M5688" s="13"/>
    </row>
    <row r="5689">
      <c r="F5689" s="13"/>
      <c r="M5689" s="13"/>
    </row>
    <row r="5690">
      <c r="F5690" s="13"/>
      <c r="M5690" s="13"/>
    </row>
    <row r="5691">
      <c r="F5691" s="13"/>
      <c r="M5691" s="13"/>
    </row>
    <row r="5692">
      <c r="F5692" s="13"/>
      <c r="M5692" s="13"/>
    </row>
    <row r="5693">
      <c r="F5693" s="13"/>
      <c r="M5693" s="13"/>
    </row>
    <row r="5694">
      <c r="F5694" s="13"/>
      <c r="M5694" s="13"/>
    </row>
    <row r="5695">
      <c r="F5695" s="13"/>
      <c r="M5695" s="13"/>
    </row>
    <row r="5696">
      <c r="F5696" s="13"/>
      <c r="M5696" s="13"/>
    </row>
    <row r="5697">
      <c r="F5697" s="13"/>
      <c r="M5697" s="13"/>
    </row>
    <row r="5698">
      <c r="F5698" s="13"/>
      <c r="M5698" s="13"/>
    </row>
    <row r="5699">
      <c r="F5699" s="13"/>
      <c r="M5699" s="13"/>
    </row>
    <row r="5700">
      <c r="F5700" s="13"/>
      <c r="M5700" s="13"/>
    </row>
    <row r="5701">
      <c r="F5701" s="13"/>
      <c r="M5701" s="13"/>
    </row>
    <row r="5702">
      <c r="F5702" s="13"/>
      <c r="M5702" s="13"/>
    </row>
    <row r="5703">
      <c r="F5703" s="13"/>
      <c r="M5703" s="13"/>
    </row>
    <row r="5704">
      <c r="F5704" s="13"/>
      <c r="M5704" s="13"/>
    </row>
    <row r="5705">
      <c r="F5705" s="13"/>
      <c r="M5705" s="13"/>
    </row>
    <row r="5706">
      <c r="F5706" s="13"/>
      <c r="M5706" s="13"/>
    </row>
    <row r="5707">
      <c r="F5707" s="13"/>
      <c r="M5707" s="13"/>
    </row>
    <row r="5708">
      <c r="F5708" s="13"/>
      <c r="M5708" s="13"/>
    </row>
    <row r="5709">
      <c r="F5709" s="13"/>
      <c r="M5709" s="13"/>
    </row>
    <row r="5710">
      <c r="F5710" s="13"/>
      <c r="M5710" s="13"/>
    </row>
    <row r="5711">
      <c r="F5711" s="13"/>
      <c r="M5711" s="13"/>
    </row>
    <row r="5712">
      <c r="F5712" s="13"/>
      <c r="M5712" s="13"/>
    </row>
    <row r="5713">
      <c r="F5713" s="13"/>
      <c r="M5713" s="13"/>
    </row>
    <row r="5714">
      <c r="F5714" s="13"/>
      <c r="M5714" s="13"/>
    </row>
    <row r="5715">
      <c r="F5715" s="13"/>
      <c r="M5715" s="13"/>
    </row>
    <row r="5716">
      <c r="F5716" s="13"/>
      <c r="M5716" s="13"/>
    </row>
    <row r="5717">
      <c r="F5717" s="13"/>
      <c r="M5717" s="13"/>
    </row>
    <row r="5718">
      <c r="F5718" s="13"/>
      <c r="M5718" s="13"/>
    </row>
    <row r="5719">
      <c r="F5719" s="13"/>
      <c r="M5719" s="13"/>
    </row>
    <row r="5720">
      <c r="F5720" s="13"/>
      <c r="M5720" s="13"/>
    </row>
    <row r="5721">
      <c r="F5721" s="13"/>
      <c r="M5721" s="13"/>
    </row>
    <row r="5722">
      <c r="F5722" s="13"/>
      <c r="M5722" s="13"/>
    </row>
    <row r="5723">
      <c r="F5723" s="13"/>
      <c r="M5723" s="13"/>
    </row>
    <row r="5724">
      <c r="F5724" s="13"/>
      <c r="M5724" s="13"/>
    </row>
    <row r="5725">
      <c r="F5725" s="13"/>
      <c r="M5725" s="13"/>
    </row>
    <row r="5726">
      <c r="F5726" s="13"/>
      <c r="M5726" s="13"/>
    </row>
    <row r="5727">
      <c r="F5727" s="13"/>
      <c r="M5727" s="13"/>
    </row>
    <row r="5728">
      <c r="F5728" s="13"/>
      <c r="M5728" s="13"/>
    </row>
    <row r="5729">
      <c r="F5729" s="13"/>
      <c r="M5729" s="13"/>
    </row>
    <row r="5730">
      <c r="F5730" s="13"/>
      <c r="M5730" s="13"/>
    </row>
    <row r="5731">
      <c r="F5731" s="13"/>
      <c r="M5731" s="13"/>
    </row>
    <row r="5732">
      <c r="F5732" s="13"/>
      <c r="M5732" s="13"/>
    </row>
    <row r="5733">
      <c r="F5733" s="13"/>
      <c r="M5733" s="13"/>
    </row>
    <row r="5734">
      <c r="F5734" s="13"/>
      <c r="M5734" s="13"/>
    </row>
    <row r="5735">
      <c r="F5735" s="13"/>
      <c r="M5735" s="13"/>
    </row>
    <row r="5736">
      <c r="F5736" s="13"/>
      <c r="M5736" s="13"/>
    </row>
    <row r="5737">
      <c r="F5737" s="13"/>
      <c r="M5737" s="13"/>
    </row>
    <row r="5738">
      <c r="F5738" s="13"/>
      <c r="M5738" s="13"/>
    </row>
    <row r="5739">
      <c r="F5739" s="13"/>
      <c r="M5739" s="13"/>
    </row>
    <row r="5740">
      <c r="F5740" s="13"/>
      <c r="M5740" s="13"/>
    </row>
    <row r="5741">
      <c r="F5741" s="13"/>
      <c r="M5741" s="13"/>
    </row>
    <row r="5742">
      <c r="F5742" s="13"/>
      <c r="M5742" s="13"/>
    </row>
    <row r="5743">
      <c r="F5743" s="13"/>
      <c r="M5743" s="13"/>
    </row>
    <row r="5744">
      <c r="F5744" s="13"/>
      <c r="M5744" s="13"/>
    </row>
    <row r="5745">
      <c r="F5745" s="13"/>
      <c r="M5745" s="13"/>
    </row>
    <row r="5746">
      <c r="F5746" s="13"/>
      <c r="M5746" s="13"/>
    </row>
    <row r="5747">
      <c r="F5747" s="13"/>
      <c r="M5747" s="13"/>
    </row>
    <row r="5748">
      <c r="F5748" s="13"/>
      <c r="M5748" s="13"/>
    </row>
    <row r="5749">
      <c r="F5749" s="13"/>
      <c r="M5749" s="13"/>
    </row>
    <row r="5750">
      <c r="F5750" s="13"/>
      <c r="M5750" s="13"/>
    </row>
    <row r="5751">
      <c r="F5751" s="13"/>
      <c r="M5751" s="13"/>
    </row>
    <row r="5752">
      <c r="F5752" s="13"/>
      <c r="M5752" s="13"/>
    </row>
    <row r="5753">
      <c r="F5753" s="13"/>
      <c r="M5753" s="13"/>
    </row>
    <row r="5754">
      <c r="F5754" s="13"/>
      <c r="M5754" s="13"/>
    </row>
    <row r="5755">
      <c r="F5755" s="13"/>
      <c r="M5755" s="13"/>
    </row>
    <row r="5756">
      <c r="F5756" s="13"/>
      <c r="M5756" s="13"/>
    </row>
    <row r="5757">
      <c r="F5757" s="13"/>
      <c r="M5757" s="13"/>
    </row>
    <row r="5758">
      <c r="F5758" s="13"/>
      <c r="M5758" s="13"/>
    </row>
    <row r="5759">
      <c r="F5759" s="13"/>
      <c r="M5759" s="13"/>
    </row>
    <row r="5760">
      <c r="F5760" s="13"/>
      <c r="M5760" s="13"/>
    </row>
    <row r="5761">
      <c r="F5761" s="13"/>
      <c r="M5761" s="13"/>
    </row>
    <row r="5762">
      <c r="F5762" s="13"/>
      <c r="M5762" s="13"/>
    </row>
    <row r="5763">
      <c r="F5763" s="13"/>
      <c r="M5763" s="13"/>
    </row>
    <row r="5764">
      <c r="F5764" s="13"/>
      <c r="M5764" s="13"/>
    </row>
    <row r="5765">
      <c r="F5765" s="13"/>
      <c r="M5765" s="13"/>
    </row>
    <row r="5766">
      <c r="F5766" s="13"/>
      <c r="M5766" s="13"/>
    </row>
    <row r="5767">
      <c r="F5767" s="13"/>
      <c r="M5767" s="13"/>
    </row>
    <row r="5768">
      <c r="F5768" s="13"/>
      <c r="M5768" s="13"/>
    </row>
    <row r="5769">
      <c r="F5769" s="13"/>
      <c r="M5769" s="13"/>
    </row>
    <row r="5770">
      <c r="F5770" s="13"/>
      <c r="M5770" s="13"/>
    </row>
    <row r="5771">
      <c r="F5771" s="13"/>
      <c r="M5771" s="13"/>
    </row>
    <row r="5772">
      <c r="F5772" s="13"/>
      <c r="M5772" s="13"/>
    </row>
    <row r="5773">
      <c r="F5773" s="13"/>
      <c r="M5773" s="13"/>
    </row>
    <row r="5774">
      <c r="F5774" s="13"/>
      <c r="M5774" s="13"/>
    </row>
    <row r="5775">
      <c r="F5775" s="13"/>
      <c r="M5775" s="13"/>
    </row>
    <row r="5776">
      <c r="F5776" s="13"/>
      <c r="M5776" s="13"/>
    </row>
    <row r="5777">
      <c r="F5777" s="13"/>
      <c r="M5777" s="13"/>
    </row>
    <row r="5778">
      <c r="F5778" s="13"/>
      <c r="M5778" s="13"/>
    </row>
    <row r="5779">
      <c r="F5779" s="13"/>
      <c r="M5779" s="13"/>
    </row>
    <row r="5780">
      <c r="F5780" s="13"/>
      <c r="M5780" s="13"/>
    </row>
    <row r="5781">
      <c r="F5781" s="13"/>
      <c r="M5781" s="13"/>
    </row>
    <row r="5782">
      <c r="F5782" s="13"/>
      <c r="M5782" s="13"/>
    </row>
    <row r="5783">
      <c r="F5783" s="13"/>
      <c r="M5783" s="13"/>
    </row>
    <row r="5784">
      <c r="F5784" s="13"/>
      <c r="M5784" s="13"/>
    </row>
    <row r="5785">
      <c r="F5785" s="13"/>
      <c r="M5785" s="13"/>
    </row>
    <row r="5786">
      <c r="F5786" s="13"/>
      <c r="M5786" s="13"/>
    </row>
    <row r="5787">
      <c r="F5787" s="13"/>
      <c r="M5787" s="13"/>
    </row>
    <row r="5788">
      <c r="F5788" s="13"/>
      <c r="M5788" s="13"/>
    </row>
    <row r="5789">
      <c r="F5789" s="13"/>
      <c r="M5789" s="13"/>
    </row>
    <row r="5790">
      <c r="F5790" s="13"/>
      <c r="M5790" s="13"/>
    </row>
    <row r="5791">
      <c r="F5791" s="13"/>
      <c r="M5791" s="13"/>
    </row>
    <row r="5792">
      <c r="F5792" s="13"/>
      <c r="M5792" s="13"/>
    </row>
    <row r="5793">
      <c r="F5793" s="13"/>
      <c r="M5793" s="13"/>
    </row>
    <row r="5794">
      <c r="F5794" s="13"/>
      <c r="M5794" s="13"/>
    </row>
    <row r="5795">
      <c r="F5795" s="13"/>
      <c r="M5795" s="13"/>
    </row>
    <row r="5796">
      <c r="F5796" s="13"/>
      <c r="M5796" s="13"/>
    </row>
    <row r="5797">
      <c r="F5797" s="13"/>
      <c r="M5797" s="13"/>
    </row>
    <row r="5798">
      <c r="F5798" s="13"/>
      <c r="M5798" s="13"/>
    </row>
    <row r="5799">
      <c r="F5799" s="13"/>
      <c r="M5799" s="13"/>
    </row>
    <row r="5800">
      <c r="F5800" s="13"/>
      <c r="M5800" s="13"/>
    </row>
    <row r="5801">
      <c r="F5801" s="13"/>
      <c r="M5801" s="13"/>
    </row>
    <row r="5802">
      <c r="F5802" s="13"/>
      <c r="M5802" s="13"/>
    </row>
    <row r="5803">
      <c r="F5803" s="13"/>
      <c r="M5803" s="13"/>
    </row>
    <row r="5804">
      <c r="F5804" s="13"/>
      <c r="M5804" s="13"/>
    </row>
    <row r="5805">
      <c r="F5805" s="13"/>
      <c r="M5805" s="13"/>
    </row>
    <row r="5806">
      <c r="F5806" s="13"/>
      <c r="M5806" s="13"/>
    </row>
    <row r="5807">
      <c r="F5807" s="13"/>
      <c r="M5807" s="13"/>
    </row>
    <row r="5808">
      <c r="F5808" s="13"/>
      <c r="M5808" s="13"/>
    </row>
    <row r="5809">
      <c r="F5809" s="13"/>
      <c r="M5809" s="13"/>
    </row>
    <row r="5810">
      <c r="F5810" s="13"/>
      <c r="M5810" s="13"/>
    </row>
    <row r="5811">
      <c r="F5811" s="13"/>
      <c r="M5811" s="13"/>
    </row>
    <row r="5812">
      <c r="F5812" s="13"/>
      <c r="M5812" s="13"/>
    </row>
    <row r="5813">
      <c r="F5813" s="13"/>
      <c r="M5813" s="13"/>
    </row>
    <row r="5814">
      <c r="F5814" s="13"/>
      <c r="M5814" s="13"/>
    </row>
    <row r="5815">
      <c r="F5815" s="13"/>
      <c r="M5815" s="13"/>
    </row>
    <row r="5816">
      <c r="F5816" s="13"/>
      <c r="M5816" s="13"/>
    </row>
    <row r="5817">
      <c r="F5817" s="13"/>
      <c r="M5817" s="13"/>
    </row>
    <row r="5818">
      <c r="F5818" s="13"/>
      <c r="M5818" s="13"/>
    </row>
    <row r="5819">
      <c r="F5819" s="13"/>
      <c r="M5819" s="13"/>
    </row>
    <row r="5820">
      <c r="F5820" s="13"/>
      <c r="M5820" s="13"/>
    </row>
    <row r="5821">
      <c r="F5821" s="13"/>
      <c r="M5821" s="13"/>
    </row>
    <row r="5822">
      <c r="F5822" s="13"/>
      <c r="M5822" s="13"/>
    </row>
    <row r="5823">
      <c r="F5823" s="13"/>
      <c r="M5823" s="13"/>
    </row>
    <row r="5824">
      <c r="F5824" s="13"/>
      <c r="M5824" s="13"/>
    </row>
    <row r="5825">
      <c r="F5825" s="13"/>
      <c r="M5825" s="13"/>
    </row>
    <row r="5826">
      <c r="F5826" s="13"/>
      <c r="M5826" s="13"/>
    </row>
    <row r="5827">
      <c r="F5827" s="13"/>
      <c r="M5827" s="13"/>
    </row>
    <row r="5828">
      <c r="F5828" s="13"/>
      <c r="M5828" s="13"/>
    </row>
    <row r="5829">
      <c r="F5829" s="13"/>
      <c r="M5829" s="13"/>
    </row>
    <row r="5830">
      <c r="F5830" s="13"/>
      <c r="M5830" s="13"/>
    </row>
    <row r="5831">
      <c r="F5831" s="13"/>
      <c r="M5831" s="13"/>
    </row>
    <row r="5832">
      <c r="F5832" s="13"/>
      <c r="M5832" s="13"/>
    </row>
    <row r="5833">
      <c r="F5833" s="13"/>
      <c r="M5833" s="13"/>
    </row>
    <row r="5834">
      <c r="F5834" s="13"/>
      <c r="M5834" s="13"/>
    </row>
    <row r="5835">
      <c r="F5835" s="13"/>
      <c r="M5835" s="13"/>
    </row>
    <row r="5836">
      <c r="F5836" s="13"/>
      <c r="M5836" s="13"/>
    </row>
    <row r="5837">
      <c r="F5837" s="13"/>
      <c r="M5837" s="13"/>
    </row>
    <row r="5838">
      <c r="F5838" s="13"/>
      <c r="M5838" s="13"/>
    </row>
    <row r="5839">
      <c r="F5839" s="13"/>
      <c r="M5839" s="13"/>
    </row>
    <row r="5840">
      <c r="F5840" s="13"/>
      <c r="M5840" s="13"/>
    </row>
    <row r="5841">
      <c r="F5841" s="13"/>
      <c r="M5841" s="13"/>
    </row>
    <row r="5842">
      <c r="F5842" s="13"/>
      <c r="M5842" s="13"/>
    </row>
    <row r="5843">
      <c r="F5843" s="13"/>
      <c r="M5843" s="13"/>
    </row>
    <row r="5844">
      <c r="F5844" s="13"/>
      <c r="M5844" s="13"/>
    </row>
    <row r="5845">
      <c r="F5845" s="13"/>
      <c r="M5845" s="13"/>
    </row>
    <row r="5846">
      <c r="F5846" s="13"/>
      <c r="M5846" s="13"/>
    </row>
    <row r="5847">
      <c r="F5847" s="13"/>
      <c r="M5847" s="13"/>
    </row>
    <row r="5848">
      <c r="F5848" s="13"/>
      <c r="M5848" s="13"/>
    </row>
    <row r="5849">
      <c r="F5849" s="13"/>
      <c r="M5849" s="13"/>
    </row>
    <row r="5850">
      <c r="F5850" s="13"/>
      <c r="M5850" s="13"/>
    </row>
    <row r="5851">
      <c r="F5851" s="13"/>
      <c r="M5851" s="13"/>
    </row>
    <row r="5852">
      <c r="F5852" s="13"/>
      <c r="M5852" s="13"/>
    </row>
    <row r="5853">
      <c r="F5853" s="13"/>
      <c r="M5853" s="13"/>
    </row>
    <row r="5854">
      <c r="F5854" s="13"/>
      <c r="M5854" s="13"/>
    </row>
    <row r="5855">
      <c r="F5855" s="13"/>
      <c r="M5855" s="13"/>
    </row>
    <row r="5856">
      <c r="F5856" s="13"/>
      <c r="M5856" s="13"/>
    </row>
    <row r="5857">
      <c r="F5857" s="13"/>
      <c r="M5857" s="13"/>
    </row>
    <row r="5858">
      <c r="F5858" s="13"/>
      <c r="M5858" s="13"/>
    </row>
    <row r="5859">
      <c r="F5859" s="13"/>
      <c r="M5859" s="13"/>
    </row>
    <row r="5860">
      <c r="F5860" s="13"/>
      <c r="M5860" s="13"/>
    </row>
    <row r="5861">
      <c r="F5861" s="13"/>
      <c r="M5861" s="13"/>
    </row>
    <row r="5862">
      <c r="F5862" s="13"/>
      <c r="M5862" s="13"/>
    </row>
    <row r="5863">
      <c r="F5863" s="13"/>
      <c r="M5863" s="13"/>
    </row>
    <row r="5864">
      <c r="F5864" s="13"/>
      <c r="M5864" s="13"/>
    </row>
    <row r="5865">
      <c r="F5865" s="13"/>
      <c r="M5865" s="13"/>
    </row>
    <row r="5866">
      <c r="F5866" s="13"/>
      <c r="M5866" s="13"/>
    </row>
    <row r="5867">
      <c r="F5867" s="13"/>
      <c r="M5867" s="13"/>
    </row>
    <row r="5868">
      <c r="F5868" s="13"/>
      <c r="M5868" s="13"/>
    </row>
    <row r="5869">
      <c r="F5869" s="13"/>
      <c r="M5869" s="13"/>
    </row>
    <row r="5870">
      <c r="F5870" s="13"/>
      <c r="M5870" s="13"/>
    </row>
    <row r="5871">
      <c r="F5871" s="13"/>
      <c r="M5871" s="13"/>
    </row>
    <row r="5872">
      <c r="F5872" s="13"/>
      <c r="M5872" s="13"/>
    </row>
    <row r="5873">
      <c r="F5873" s="13"/>
      <c r="M5873" s="13"/>
    </row>
    <row r="5874">
      <c r="F5874" s="13"/>
      <c r="M5874" s="13"/>
    </row>
    <row r="5875">
      <c r="F5875" s="13"/>
      <c r="M5875" s="13"/>
    </row>
    <row r="5876">
      <c r="F5876" s="13"/>
      <c r="M5876" s="13"/>
    </row>
    <row r="5877">
      <c r="F5877" s="13"/>
      <c r="M5877" s="13"/>
    </row>
    <row r="5878">
      <c r="F5878" s="13"/>
      <c r="M5878" s="13"/>
    </row>
    <row r="5879">
      <c r="F5879" s="13"/>
      <c r="M5879" s="13"/>
    </row>
    <row r="5880">
      <c r="F5880" s="13"/>
      <c r="M5880" s="13"/>
    </row>
    <row r="5881">
      <c r="F5881" s="13"/>
      <c r="M5881" s="13"/>
    </row>
    <row r="5882">
      <c r="F5882" s="13"/>
      <c r="M5882" s="13"/>
    </row>
    <row r="5883">
      <c r="F5883" s="13"/>
      <c r="M5883" s="13"/>
    </row>
    <row r="5884">
      <c r="F5884" s="13"/>
      <c r="M5884" s="13"/>
    </row>
    <row r="5885">
      <c r="F5885" s="13"/>
      <c r="M5885" s="13"/>
    </row>
    <row r="5886">
      <c r="F5886" s="13"/>
      <c r="M5886" s="13"/>
    </row>
    <row r="5887">
      <c r="F5887" s="13"/>
      <c r="M5887" s="13"/>
    </row>
    <row r="5888">
      <c r="F5888" s="13"/>
      <c r="M5888" s="13"/>
    </row>
    <row r="5889">
      <c r="F5889" s="13"/>
      <c r="M5889" s="13"/>
    </row>
    <row r="5890">
      <c r="F5890" s="13"/>
      <c r="M5890" s="13"/>
    </row>
    <row r="5891">
      <c r="F5891" s="13"/>
      <c r="M5891" s="13"/>
    </row>
    <row r="5892">
      <c r="F5892" s="13"/>
      <c r="M5892" s="13"/>
    </row>
    <row r="5893">
      <c r="F5893" s="13"/>
      <c r="M5893" s="13"/>
    </row>
    <row r="5894">
      <c r="F5894" s="13"/>
      <c r="M5894" s="13"/>
    </row>
    <row r="5895">
      <c r="F5895" s="13"/>
      <c r="M5895" s="13"/>
    </row>
    <row r="5896">
      <c r="F5896" s="13"/>
      <c r="M5896" s="13"/>
    </row>
    <row r="5897">
      <c r="F5897" s="13"/>
      <c r="M5897" s="13"/>
    </row>
    <row r="5898">
      <c r="F5898" s="13"/>
      <c r="M5898" s="13"/>
    </row>
    <row r="5899">
      <c r="F5899" s="13"/>
      <c r="M5899" s="13"/>
    </row>
    <row r="5900">
      <c r="F5900" s="13"/>
      <c r="M5900" s="13"/>
    </row>
    <row r="5901">
      <c r="F5901" s="13"/>
      <c r="M5901" s="13"/>
    </row>
    <row r="5902">
      <c r="F5902" s="13"/>
      <c r="M5902" s="13"/>
    </row>
    <row r="5903">
      <c r="F5903" s="13"/>
      <c r="M5903" s="13"/>
    </row>
    <row r="5904">
      <c r="F5904" s="13"/>
      <c r="M5904" s="13"/>
    </row>
    <row r="5905">
      <c r="F5905" s="13"/>
      <c r="M5905" s="13"/>
    </row>
    <row r="5906">
      <c r="F5906" s="13"/>
      <c r="M5906" s="13"/>
    </row>
    <row r="5907">
      <c r="F5907" s="13"/>
      <c r="M5907" s="13"/>
    </row>
    <row r="5908">
      <c r="F5908" s="13"/>
      <c r="M5908" s="13"/>
    </row>
    <row r="5909">
      <c r="F5909" s="13"/>
      <c r="M5909" s="13"/>
    </row>
    <row r="5910">
      <c r="F5910" s="13"/>
      <c r="M5910" s="13"/>
    </row>
    <row r="5911">
      <c r="F5911" s="13"/>
      <c r="M5911" s="13"/>
    </row>
    <row r="5912">
      <c r="F5912" s="13"/>
      <c r="M5912" s="13"/>
    </row>
    <row r="5913">
      <c r="F5913" s="13"/>
      <c r="M5913" s="13"/>
    </row>
    <row r="5914">
      <c r="F5914" s="13"/>
      <c r="M5914" s="13"/>
    </row>
    <row r="5915">
      <c r="F5915" s="13"/>
      <c r="M5915" s="13"/>
    </row>
    <row r="5916">
      <c r="F5916" s="13"/>
      <c r="M5916" s="13"/>
    </row>
    <row r="5917">
      <c r="F5917" s="13"/>
      <c r="M5917" s="13"/>
    </row>
    <row r="5918">
      <c r="F5918" s="13"/>
      <c r="M5918" s="13"/>
    </row>
    <row r="5919">
      <c r="F5919" s="13"/>
      <c r="M5919" s="13"/>
    </row>
    <row r="5920">
      <c r="F5920" s="13"/>
      <c r="M5920" s="13"/>
    </row>
    <row r="5921">
      <c r="F5921" s="13"/>
      <c r="M5921" s="13"/>
    </row>
    <row r="5922">
      <c r="F5922" s="13"/>
      <c r="M5922" s="13"/>
    </row>
    <row r="5923">
      <c r="F5923" s="13"/>
      <c r="M5923" s="13"/>
    </row>
    <row r="5924">
      <c r="F5924" s="13"/>
      <c r="M5924" s="13"/>
    </row>
    <row r="5925">
      <c r="F5925" s="13"/>
      <c r="M5925" s="13"/>
    </row>
    <row r="5926">
      <c r="F5926" s="13"/>
      <c r="M5926" s="13"/>
    </row>
    <row r="5927">
      <c r="F5927" s="13"/>
      <c r="M5927" s="13"/>
    </row>
    <row r="5928">
      <c r="F5928" s="13"/>
      <c r="M5928" s="13"/>
    </row>
    <row r="5929">
      <c r="F5929" s="13"/>
      <c r="M5929" s="13"/>
    </row>
    <row r="5930">
      <c r="F5930" s="13"/>
      <c r="M5930" s="13"/>
    </row>
    <row r="5931">
      <c r="F5931" s="13"/>
      <c r="M5931" s="13"/>
    </row>
    <row r="5932">
      <c r="F5932" s="13"/>
      <c r="M5932" s="13"/>
    </row>
    <row r="5933">
      <c r="F5933" s="13"/>
      <c r="M5933" s="13"/>
    </row>
    <row r="5934">
      <c r="F5934" s="13"/>
      <c r="M5934" s="13"/>
    </row>
    <row r="5935">
      <c r="F5935" s="13"/>
      <c r="M5935" s="13"/>
    </row>
    <row r="5936">
      <c r="F5936" s="13"/>
      <c r="M5936" s="13"/>
    </row>
    <row r="5937">
      <c r="F5937" s="13"/>
      <c r="M5937" s="13"/>
    </row>
    <row r="5938">
      <c r="F5938" s="13"/>
      <c r="M5938" s="13"/>
    </row>
    <row r="5939">
      <c r="F5939" s="13"/>
      <c r="M5939" s="13"/>
    </row>
    <row r="5940">
      <c r="F5940" s="13"/>
      <c r="M5940" s="13"/>
    </row>
    <row r="5941">
      <c r="F5941" s="13"/>
      <c r="M5941" s="13"/>
    </row>
    <row r="5942">
      <c r="F5942" s="13"/>
      <c r="M5942" s="13"/>
    </row>
    <row r="5943">
      <c r="F5943" s="13"/>
      <c r="M5943" s="13"/>
    </row>
    <row r="5944">
      <c r="F5944" s="13"/>
      <c r="M5944" s="13"/>
    </row>
    <row r="5945">
      <c r="F5945" s="13"/>
      <c r="M5945" s="13"/>
    </row>
    <row r="5946">
      <c r="F5946" s="13"/>
      <c r="M5946" s="13"/>
    </row>
    <row r="5947">
      <c r="F5947" s="13"/>
      <c r="M5947" s="13"/>
    </row>
    <row r="5948">
      <c r="F5948" s="13"/>
      <c r="M5948" s="13"/>
    </row>
    <row r="5949">
      <c r="F5949" s="13"/>
      <c r="M5949" s="13"/>
    </row>
    <row r="5950">
      <c r="F5950" s="13"/>
      <c r="M5950" s="13"/>
    </row>
    <row r="5951">
      <c r="F5951" s="13"/>
      <c r="M5951" s="13"/>
    </row>
    <row r="5952">
      <c r="F5952" s="13"/>
      <c r="M5952" s="13"/>
    </row>
    <row r="5953">
      <c r="F5953" s="13"/>
      <c r="M5953" s="13"/>
    </row>
    <row r="5954">
      <c r="F5954" s="13"/>
      <c r="M5954" s="13"/>
    </row>
    <row r="5955">
      <c r="F5955" s="13"/>
      <c r="M5955" s="13"/>
    </row>
    <row r="5956">
      <c r="F5956" s="13"/>
      <c r="M5956" s="13"/>
    </row>
    <row r="5957">
      <c r="F5957" s="13"/>
      <c r="M5957" s="13"/>
    </row>
    <row r="5958">
      <c r="F5958" s="13"/>
      <c r="M5958" s="13"/>
    </row>
    <row r="5959">
      <c r="F5959" s="13"/>
      <c r="M5959" s="13"/>
    </row>
    <row r="5960">
      <c r="F5960" s="13"/>
      <c r="M5960" s="13"/>
    </row>
    <row r="5961">
      <c r="F5961" s="13"/>
      <c r="M5961" s="13"/>
    </row>
    <row r="5962">
      <c r="F5962" s="13"/>
      <c r="M5962" s="13"/>
    </row>
    <row r="5963">
      <c r="F5963" s="13"/>
      <c r="M5963" s="13"/>
    </row>
    <row r="5964">
      <c r="F5964" s="13"/>
      <c r="M5964" s="13"/>
    </row>
    <row r="5965">
      <c r="F5965" s="13"/>
      <c r="M5965" s="13"/>
    </row>
    <row r="5966">
      <c r="F5966" s="13"/>
      <c r="M5966" s="13"/>
    </row>
    <row r="5967">
      <c r="F5967" s="13"/>
      <c r="M5967" s="13"/>
    </row>
    <row r="5968">
      <c r="F5968" s="13"/>
      <c r="M5968" s="13"/>
    </row>
    <row r="5969">
      <c r="F5969" s="13"/>
      <c r="M5969" s="13"/>
    </row>
    <row r="5970">
      <c r="F5970" s="13"/>
      <c r="M5970" s="13"/>
    </row>
    <row r="5971">
      <c r="F5971" s="13"/>
      <c r="M5971" s="13"/>
    </row>
    <row r="5972">
      <c r="F5972" s="13"/>
      <c r="M5972" s="13"/>
    </row>
    <row r="5973">
      <c r="F5973" s="13"/>
      <c r="M5973" s="13"/>
    </row>
    <row r="5974">
      <c r="F5974" s="13"/>
      <c r="M5974" s="13"/>
    </row>
    <row r="5975">
      <c r="F5975" s="13"/>
      <c r="M5975" s="13"/>
    </row>
    <row r="5976">
      <c r="F5976" s="13"/>
      <c r="M5976" s="13"/>
    </row>
    <row r="5977">
      <c r="F5977" s="13"/>
      <c r="M5977" s="13"/>
    </row>
    <row r="5978">
      <c r="F5978" s="13"/>
      <c r="M5978" s="13"/>
    </row>
    <row r="5979">
      <c r="F5979" s="13"/>
      <c r="M5979" s="13"/>
    </row>
    <row r="5980">
      <c r="F5980" s="13"/>
      <c r="M5980" s="13"/>
    </row>
    <row r="5981">
      <c r="F5981" s="13"/>
      <c r="M5981" s="13"/>
    </row>
    <row r="5982">
      <c r="F5982" s="13"/>
      <c r="M5982" s="13"/>
    </row>
    <row r="5983">
      <c r="F5983" s="13"/>
      <c r="M5983" s="13"/>
    </row>
    <row r="5984">
      <c r="F5984" s="13"/>
      <c r="M5984" s="13"/>
    </row>
    <row r="5985">
      <c r="F5985" s="13"/>
      <c r="M5985" s="13"/>
    </row>
    <row r="5986">
      <c r="F5986" s="13"/>
      <c r="M5986" s="13"/>
    </row>
    <row r="5987">
      <c r="F5987" s="13"/>
      <c r="M5987" s="13"/>
    </row>
    <row r="5988">
      <c r="F5988" s="13"/>
      <c r="M5988" s="13"/>
    </row>
    <row r="5989">
      <c r="F5989" s="13"/>
      <c r="M5989" s="13"/>
    </row>
    <row r="5990">
      <c r="F5990" s="13"/>
      <c r="M5990" s="13"/>
    </row>
    <row r="5991">
      <c r="F5991" s="13"/>
      <c r="M5991" s="13"/>
    </row>
    <row r="5992">
      <c r="F5992" s="13"/>
      <c r="M5992" s="13"/>
    </row>
    <row r="5993">
      <c r="F5993" s="13"/>
      <c r="M5993" s="13"/>
    </row>
    <row r="5994">
      <c r="F5994" s="13"/>
      <c r="M5994" s="13"/>
    </row>
    <row r="5995">
      <c r="F5995" s="13"/>
      <c r="M5995" s="13"/>
    </row>
    <row r="5996">
      <c r="F5996" s="13"/>
      <c r="M5996" s="13"/>
    </row>
    <row r="5997">
      <c r="F5997" s="13"/>
      <c r="M5997" s="13"/>
    </row>
    <row r="5998">
      <c r="F5998" s="13"/>
      <c r="M5998" s="13"/>
    </row>
    <row r="5999">
      <c r="F5999" s="13"/>
      <c r="M5999" s="13"/>
    </row>
    <row r="6000">
      <c r="F6000" s="13"/>
      <c r="M6000" s="13"/>
    </row>
    <row r="6001">
      <c r="F6001" s="13"/>
      <c r="M6001" s="13"/>
    </row>
    <row r="6002">
      <c r="F6002" s="13"/>
      <c r="M6002" s="13"/>
    </row>
    <row r="6003">
      <c r="F6003" s="13"/>
      <c r="M6003" s="13"/>
    </row>
    <row r="6004">
      <c r="F6004" s="13"/>
      <c r="M6004" s="13"/>
    </row>
    <row r="6005">
      <c r="F6005" s="13"/>
      <c r="M6005" s="13"/>
    </row>
    <row r="6006">
      <c r="F6006" s="13"/>
      <c r="M6006" s="13"/>
    </row>
    <row r="6007">
      <c r="F6007" s="13"/>
      <c r="M6007" s="13"/>
    </row>
    <row r="6008">
      <c r="F6008" s="13"/>
      <c r="M6008" s="13"/>
    </row>
    <row r="6009">
      <c r="F6009" s="13"/>
      <c r="M6009" s="13"/>
    </row>
    <row r="6010">
      <c r="F6010" s="13"/>
      <c r="M6010" s="13"/>
    </row>
    <row r="6011">
      <c r="F6011" s="13"/>
      <c r="M6011" s="13"/>
    </row>
    <row r="6012">
      <c r="F6012" s="13"/>
      <c r="M6012" s="13"/>
    </row>
    <row r="6013">
      <c r="F6013" s="13"/>
      <c r="M6013" s="13"/>
    </row>
    <row r="6014">
      <c r="F6014" s="13"/>
      <c r="M6014" s="13"/>
    </row>
    <row r="6015">
      <c r="F6015" s="13"/>
      <c r="M6015" s="13"/>
    </row>
    <row r="6016">
      <c r="F6016" s="13"/>
      <c r="M6016" s="13"/>
    </row>
    <row r="6017">
      <c r="F6017" s="13"/>
      <c r="M6017" s="13"/>
    </row>
    <row r="6018">
      <c r="F6018" s="13"/>
      <c r="M6018" s="13"/>
    </row>
    <row r="6019">
      <c r="F6019" s="13"/>
      <c r="M6019" s="13"/>
    </row>
    <row r="6020">
      <c r="F6020" s="13"/>
      <c r="M6020" s="13"/>
    </row>
    <row r="6021">
      <c r="F6021" s="13"/>
      <c r="M6021" s="13"/>
    </row>
    <row r="6022">
      <c r="F6022" s="13"/>
      <c r="M6022" s="13"/>
    </row>
    <row r="6023">
      <c r="F6023" s="13"/>
      <c r="M6023" s="13"/>
    </row>
    <row r="6024">
      <c r="F6024" s="13"/>
      <c r="M6024" s="13"/>
    </row>
    <row r="6025">
      <c r="F6025" s="13"/>
      <c r="M6025" s="13"/>
    </row>
    <row r="6026">
      <c r="F6026" s="13"/>
      <c r="M6026" s="13"/>
    </row>
    <row r="6027">
      <c r="F6027" s="13"/>
      <c r="M6027" s="13"/>
    </row>
    <row r="6028">
      <c r="F6028" s="13"/>
      <c r="M6028" s="13"/>
    </row>
    <row r="6029">
      <c r="F6029" s="13"/>
      <c r="M6029" s="13"/>
    </row>
    <row r="6030">
      <c r="F6030" s="13"/>
      <c r="M6030" s="13"/>
    </row>
    <row r="6031">
      <c r="F6031" s="13"/>
      <c r="M6031" s="13"/>
    </row>
    <row r="6032">
      <c r="F6032" s="13"/>
      <c r="M6032" s="13"/>
    </row>
    <row r="6033">
      <c r="F6033" s="13"/>
      <c r="M6033" s="13"/>
    </row>
    <row r="6034">
      <c r="F6034" s="13"/>
      <c r="M6034" s="13"/>
    </row>
    <row r="6035">
      <c r="F6035" s="13"/>
      <c r="M6035" s="13"/>
    </row>
    <row r="6036">
      <c r="F6036" s="13"/>
      <c r="M6036" s="13"/>
    </row>
    <row r="6037">
      <c r="F6037" s="13"/>
      <c r="M6037" s="13"/>
    </row>
    <row r="6038">
      <c r="F6038" s="13"/>
      <c r="M6038" s="13"/>
    </row>
    <row r="6039">
      <c r="F6039" s="13"/>
      <c r="M6039" s="13"/>
    </row>
    <row r="6040">
      <c r="F6040" s="13"/>
      <c r="M6040" s="13"/>
    </row>
    <row r="6041">
      <c r="F6041" s="13"/>
      <c r="M6041" s="13"/>
    </row>
    <row r="6042">
      <c r="F6042" s="13"/>
      <c r="M6042" s="13"/>
    </row>
    <row r="6043">
      <c r="F6043" s="13"/>
      <c r="M6043" s="13"/>
    </row>
    <row r="6044">
      <c r="F6044" s="13"/>
      <c r="M6044" s="13"/>
    </row>
    <row r="6045">
      <c r="F6045" s="13"/>
      <c r="M6045" s="13"/>
    </row>
    <row r="6046">
      <c r="F6046" s="13"/>
      <c r="M6046" s="13"/>
    </row>
    <row r="6047">
      <c r="F6047" s="13"/>
      <c r="M6047" s="13"/>
    </row>
    <row r="6048">
      <c r="F6048" s="13"/>
      <c r="M6048" s="13"/>
    </row>
    <row r="6049">
      <c r="F6049" s="13"/>
      <c r="M6049" s="13"/>
    </row>
    <row r="6050">
      <c r="F6050" s="13"/>
      <c r="M6050" s="13"/>
    </row>
    <row r="6051">
      <c r="F6051" s="13"/>
      <c r="M6051" s="13"/>
    </row>
    <row r="6052">
      <c r="F6052" s="13"/>
      <c r="M6052" s="13"/>
    </row>
    <row r="6053">
      <c r="F6053" s="13"/>
      <c r="M6053" s="13"/>
    </row>
    <row r="6054">
      <c r="F6054" s="13"/>
      <c r="M6054" s="13"/>
    </row>
    <row r="6055">
      <c r="F6055" s="13"/>
      <c r="M6055" s="13"/>
    </row>
    <row r="6056">
      <c r="F6056" s="13"/>
      <c r="M6056" s="13"/>
    </row>
    <row r="6057">
      <c r="F6057" s="13"/>
      <c r="M6057" s="13"/>
    </row>
    <row r="6058">
      <c r="F6058" s="13"/>
      <c r="M6058" s="13"/>
    </row>
    <row r="6059">
      <c r="F6059" s="13"/>
      <c r="M6059" s="13"/>
    </row>
    <row r="6060">
      <c r="F6060" s="13"/>
      <c r="M6060" s="13"/>
    </row>
    <row r="6061">
      <c r="F6061" s="13"/>
      <c r="M6061" s="13"/>
    </row>
    <row r="6062">
      <c r="F6062" s="13"/>
      <c r="M6062" s="13"/>
    </row>
    <row r="6063">
      <c r="F6063" s="13"/>
      <c r="M6063" s="13"/>
    </row>
    <row r="6064">
      <c r="F6064" s="13"/>
      <c r="M6064" s="13"/>
    </row>
    <row r="6065">
      <c r="F6065" s="13"/>
      <c r="M6065" s="13"/>
    </row>
    <row r="6066">
      <c r="F6066" s="13"/>
      <c r="M6066" s="13"/>
    </row>
    <row r="6067">
      <c r="F6067" s="13"/>
      <c r="M6067" s="13"/>
    </row>
    <row r="6068">
      <c r="F6068" s="13"/>
      <c r="M6068" s="13"/>
    </row>
    <row r="6069">
      <c r="F6069" s="13"/>
      <c r="M6069" s="13"/>
    </row>
    <row r="6070">
      <c r="F6070" s="13"/>
      <c r="M6070" s="13"/>
    </row>
    <row r="6071">
      <c r="F6071" s="13"/>
      <c r="M6071" s="13"/>
    </row>
    <row r="6072">
      <c r="F6072" s="13"/>
      <c r="M6072" s="13"/>
    </row>
    <row r="6073">
      <c r="F6073" s="13"/>
      <c r="M6073" s="13"/>
    </row>
    <row r="6074">
      <c r="F6074" s="13"/>
      <c r="M6074" s="13"/>
    </row>
    <row r="6075">
      <c r="F6075" s="13"/>
      <c r="M6075" s="13"/>
    </row>
    <row r="6076">
      <c r="F6076" s="13"/>
      <c r="M6076" s="13"/>
    </row>
    <row r="6077">
      <c r="F6077" s="13"/>
      <c r="M6077" s="13"/>
    </row>
    <row r="6078">
      <c r="F6078" s="13"/>
      <c r="M6078" s="13"/>
    </row>
    <row r="6079">
      <c r="F6079" s="13"/>
      <c r="M6079" s="13"/>
    </row>
    <row r="6080">
      <c r="F6080" s="13"/>
      <c r="M6080" s="13"/>
    </row>
    <row r="6081">
      <c r="F6081" s="13"/>
      <c r="M6081" s="13"/>
    </row>
    <row r="6082">
      <c r="F6082" s="13"/>
      <c r="M6082" s="13"/>
    </row>
    <row r="6083">
      <c r="F6083" s="13"/>
      <c r="M6083" s="13"/>
    </row>
    <row r="6084">
      <c r="F6084" s="13"/>
      <c r="M6084" s="13"/>
    </row>
    <row r="6085">
      <c r="F6085" s="13"/>
      <c r="M6085" s="13"/>
    </row>
    <row r="6086">
      <c r="F6086" s="13"/>
      <c r="M6086" s="13"/>
    </row>
    <row r="6087">
      <c r="F6087" s="13"/>
      <c r="M6087" s="13"/>
    </row>
    <row r="6088">
      <c r="F6088" s="13"/>
      <c r="M6088" s="13"/>
    </row>
    <row r="6089">
      <c r="F6089" s="13"/>
      <c r="M6089" s="13"/>
    </row>
    <row r="6090">
      <c r="F6090" s="13"/>
      <c r="M6090" s="13"/>
    </row>
    <row r="6091">
      <c r="F6091" s="13"/>
      <c r="M6091" s="13"/>
    </row>
    <row r="6092">
      <c r="F6092" s="13"/>
      <c r="M6092" s="13"/>
    </row>
    <row r="6093">
      <c r="F6093" s="13"/>
      <c r="M6093" s="13"/>
    </row>
    <row r="6094">
      <c r="F6094" s="13"/>
      <c r="M6094" s="13"/>
    </row>
    <row r="6095">
      <c r="F6095" s="13"/>
      <c r="M6095" s="13"/>
    </row>
    <row r="6096">
      <c r="F6096" s="13"/>
      <c r="M6096" s="13"/>
    </row>
    <row r="6097">
      <c r="F6097" s="13"/>
      <c r="M6097" s="13"/>
    </row>
    <row r="6098">
      <c r="F6098" s="13"/>
      <c r="M6098" s="13"/>
    </row>
    <row r="6099">
      <c r="F6099" s="13"/>
      <c r="M6099" s="13"/>
    </row>
    <row r="6100">
      <c r="F6100" s="13"/>
      <c r="M6100" s="13"/>
    </row>
    <row r="6101">
      <c r="F6101" s="13"/>
      <c r="M6101" s="13"/>
    </row>
    <row r="6102">
      <c r="F6102" s="13"/>
      <c r="M6102" s="13"/>
    </row>
    <row r="6103">
      <c r="F6103" s="13"/>
      <c r="M6103" s="13"/>
    </row>
    <row r="6104">
      <c r="F6104" s="13"/>
      <c r="M6104" s="13"/>
    </row>
    <row r="6105">
      <c r="F6105" s="13"/>
      <c r="M6105" s="13"/>
    </row>
    <row r="6106">
      <c r="F6106" s="13"/>
      <c r="M6106" s="13"/>
    </row>
    <row r="6107">
      <c r="F6107" s="13"/>
      <c r="M6107" s="13"/>
    </row>
    <row r="6108">
      <c r="F6108" s="13"/>
      <c r="M6108" s="13"/>
    </row>
    <row r="6109">
      <c r="F6109" s="13"/>
      <c r="M6109" s="13"/>
    </row>
    <row r="6110">
      <c r="F6110" s="13"/>
      <c r="M6110" s="13"/>
    </row>
    <row r="6111">
      <c r="F6111" s="13"/>
      <c r="M6111" s="13"/>
    </row>
    <row r="6112">
      <c r="F6112" s="13"/>
      <c r="M6112" s="13"/>
    </row>
    <row r="6113">
      <c r="F6113" s="13"/>
      <c r="M6113" s="13"/>
    </row>
    <row r="6114">
      <c r="F6114" s="13"/>
      <c r="M6114" s="13"/>
    </row>
    <row r="6115">
      <c r="F6115" s="13"/>
      <c r="M6115" s="13"/>
    </row>
    <row r="6116">
      <c r="F6116" s="13"/>
      <c r="M6116" s="13"/>
    </row>
    <row r="6117">
      <c r="F6117" s="13"/>
      <c r="M6117" s="13"/>
    </row>
    <row r="6118">
      <c r="F6118" s="13"/>
      <c r="M6118" s="13"/>
    </row>
    <row r="6119">
      <c r="F6119" s="13"/>
      <c r="M6119" s="13"/>
    </row>
    <row r="6120">
      <c r="F6120" s="13"/>
      <c r="M6120" s="13"/>
    </row>
    <row r="6121">
      <c r="F6121" s="13"/>
      <c r="M6121" s="13"/>
    </row>
    <row r="6122">
      <c r="F6122" s="13"/>
      <c r="M6122" s="13"/>
    </row>
    <row r="6123">
      <c r="F6123" s="13"/>
      <c r="M6123" s="13"/>
    </row>
    <row r="6124">
      <c r="F6124" s="13"/>
      <c r="M6124" s="13"/>
    </row>
    <row r="6125">
      <c r="F6125" s="13"/>
      <c r="M6125" s="13"/>
    </row>
    <row r="6126">
      <c r="F6126" s="13"/>
      <c r="M6126" s="13"/>
    </row>
    <row r="6127">
      <c r="F6127" s="13"/>
      <c r="M6127" s="13"/>
    </row>
    <row r="6128">
      <c r="F6128" s="13"/>
      <c r="M6128" s="13"/>
    </row>
    <row r="6129">
      <c r="F6129" s="13"/>
      <c r="M6129" s="13"/>
    </row>
    <row r="6130">
      <c r="F6130" s="13"/>
      <c r="M6130" s="13"/>
    </row>
    <row r="6131">
      <c r="F6131" s="13"/>
      <c r="M6131" s="13"/>
    </row>
    <row r="6132">
      <c r="F6132" s="13"/>
      <c r="M6132" s="13"/>
    </row>
    <row r="6133">
      <c r="F6133" s="13"/>
      <c r="M6133" s="13"/>
    </row>
    <row r="6134">
      <c r="F6134" s="13"/>
      <c r="M6134" s="13"/>
    </row>
    <row r="6135">
      <c r="F6135" s="13"/>
      <c r="M6135" s="13"/>
    </row>
    <row r="6136">
      <c r="F6136" s="13"/>
      <c r="M6136" s="13"/>
    </row>
    <row r="6137">
      <c r="F6137" s="13"/>
      <c r="M6137" s="13"/>
    </row>
    <row r="6138">
      <c r="F6138" s="13"/>
      <c r="M6138" s="13"/>
    </row>
    <row r="6139">
      <c r="F6139" s="13"/>
      <c r="M6139" s="13"/>
    </row>
    <row r="6140">
      <c r="F6140" s="13"/>
      <c r="M6140" s="13"/>
    </row>
    <row r="6141">
      <c r="F6141" s="13"/>
      <c r="M6141" s="13"/>
    </row>
    <row r="6142">
      <c r="F6142" s="13"/>
      <c r="M6142" s="13"/>
    </row>
    <row r="6143">
      <c r="F6143" s="13"/>
      <c r="M6143" s="13"/>
    </row>
    <row r="6144">
      <c r="F6144" s="13"/>
      <c r="M6144" s="13"/>
    </row>
    <row r="6145">
      <c r="F6145" s="13"/>
      <c r="M6145" s="13"/>
    </row>
    <row r="6146">
      <c r="F6146" s="13"/>
      <c r="M6146" s="13"/>
    </row>
    <row r="6147">
      <c r="F6147" s="13"/>
      <c r="M6147" s="13"/>
    </row>
    <row r="6148">
      <c r="F6148" s="13"/>
      <c r="M6148" s="13"/>
    </row>
    <row r="6149">
      <c r="F6149" s="13"/>
      <c r="M6149" s="13"/>
    </row>
    <row r="6150">
      <c r="F6150" s="13"/>
      <c r="M6150" s="13"/>
    </row>
    <row r="6151">
      <c r="F6151" s="13"/>
      <c r="M6151" s="13"/>
    </row>
    <row r="6152">
      <c r="F6152" s="13"/>
      <c r="M6152" s="13"/>
    </row>
    <row r="6153">
      <c r="F6153" s="13"/>
      <c r="M6153" s="13"/>
    </row>
    <row r="6154">
      <c r="F6154" s="13"/>
      <c r="M6154" s="13"/>
    </row>
    <row r="6155">
      <c r="F6155" s="13"/>
      <c r="M6155" s="13"/>
    </row>
    <row r="6156">
      <c r="F6156" s="13"/>
      <c r="M6156" s="13"/>
    </row>
    <row r="6157">
      <c r="F6157" s="13"/>
      <c r="M6157" s="13"/>
    </row>
    <row r="6158">
      <c r="F6158" s="13"/>
      <c r="M6158" s="13"/>
    </row>
    <row r="6159">
      <c r="F6159" s="13"/>
      <c r="M6159" s="13"/>
    </row>
    <row r="6160">
      <c r="F6160" s="13"/>
      <c r="M6160" s="13"/>
    </row>
    <row r="6161">
      <c r="F6161" s="13"/>
      <c r="M6161" s="13"/>
    </row>
    <row r="6162">
      <c r="F6162" s="13"/>
      <c r="M6162" s="13"/>
    </row>
    <row r="6163">
      <c r="F6163" s="13"/>
      <c r="M6163" s="13"/>
    </row>
    <row r="6164">
      <c r="F6164" s="13"/>
      <c r="M6164" s="13"/>
    </row>
    <row r="6165">
      <c r="F6165" s="13"/>
      <c r="M6165" s="13"/>
    </row>
    <row r="6166">
      <c r="F6166" s="13"/>
      <c r="M6166" s="13"/>
    </row>
    <row r="6167">
      <c r="F6167" s="13"/>
      <c r="M6167" s="13"/>
    </row>
    <row r="6168">
      <c r="F6168" s="13"/>
      <c r="M6168" s="13"/>
    </row>
    <row r="6169">
      <c r="F6169" s="13"/>
      <c r="M6169" s="13"/>
    </row>
    <row r="6170">
      <c r="F6170" s="13"/>
      <c r="M6170" s="13"/>
    </row>
    <row r="6171">
      <c r="F6171" s="13"/>
      <c r="M6171" s="13"/>
    </row>
    <row r="6172">
      <c r="F6172" s="13"/>
      <c r="M6172" s="13"/>
    </row>
    <row r="6173">
      <c r="F6173" s="13"/>
      <c r="M6173" s="13"/>
    </row>
    <row r="6174">
      <c r="F6174" s="13"/>
      <c r="M6174" s="13"/>
    </row>
    <row r="6175">
      <c r="F6175" s="13"/>
      <c r="M6175" s="13"/>
    </row>
    <row r="6176">
      <c r="F6176" s="13"/>
      <c r="M6176" s="13"/>
    </row>
    <row r="6177">
      <c r="F6177" s="13"/>
      <c r="M6177" s="13"/>
    </row>
    <row r="6178">
      <c r="F6178" s="13"/>
      <c r="M6178" s="13"/>
    </row>
    <row r="6179">
      <c r="F6179" s="13"/>
      <c r="M6179" s="13"/>
    </row>
    <row r="6180">
      <c r="F6180" s="13"/>
      <c r="M6180" s="13"/>
    </row>
    <row r="6181">
      <c r="F6181" s="13"/>
      <c r="M6181" s="13"/>
    </row>
    <row r="6182">
      <c r="F6182" s="13"/>
      <c r="M6182" s="13"/>
    </row>
    <row r="6183">
      <c r="F6183" s="13"/>
      <c r="M6183" s="13"/>
    </row>
    <row r="6184">
      <c r="F6184" s="13"/>
      <c r="M6184" s="13"/>
    </row>
    <row r="6185">
      <c r="F6185" s="13"/>
      <c r="M6185" s="13"/>
    </row>
    <row r="6186">
      <c r="F6186" s="13"/>
      <c r="M6186" s="13"/>
    </row>
    <row r="6187">
      <c r="F6187" s="13"/>
      <c r="M6187" s="13"/>
    </row>
    <row r="6188">
      <c r="F6188" s="13"/>
      <c r="M6188" s="13"/>
    </row>
    <row r="6189">
      <c r="F6189" s="13"/>
      <c r="M6189" s="13"/>
    </row>
    <row r="6190">
      <c r="F6190" s="13"/>
      <c r="M6190" s="13"/>
    </row>
    <row r="6191">
      <c r="F6191" s="13"/>
      <c r="M6191" s="13"/>
    </row>
    <row r="6192">
      <c r="F6192" s="13"/>
      <c r="M6192" s="13"/>
    </row>
    <row r="6193">
      <c r="F6193" s="13"/>
      <c r="M6193" s="13"/>
    </row>
    <row r="6194">
      <c r="F6194" s="13"/>
      <c r="M6194" s="13"/>
    </row>
    <row r="6195">
      <c r="F6195" s="13"/>
      <c r="M6195" s="13"/>
    </row>
    <row r="6196">
      <c r="F6196" s="13"/>
      <c r="M6196" s="13"/>
    </row>
    <row r="6197">
      <c r="F6197" s="13"/>
      <c r="M6197" s="13"/>
    </row>
    <row r="6198">
      <c r="F6198" s="13"/>
      <c r="M6198" s="13"/>
    </row>
    <row r="6199">
      <c r="F6199" s="13"/>
      <c r="M6199" s="13"/>
    </row>
    <row r="6200">
      <c r="F6200" s="13"/>
      <c r="M6200" s="13"/>
    </row>
    <row r="6201">
      <c r="F6201" s="13"/>
      <c r="M6201" s="13"/>
    </row>
    <row r="6202">
      <c r="F6202" s="13"/>
      <c r="M6202" s="13"/>
    </row>
    <row r="6203">
      <c r="F6203" s="13"/>
      <c r="M6203" s="13"/>
    </row>
    <row r="6204">
      <c r="F6204" s="13"/>
      <c r="M6204" s="13"/>
    </row>
    <row r="6205">
      <c r="F6205" s="13"/>
      <c r="M6205" s="13"/>
    </row>
    <row r="6206">
      <c r="F6206" s="13"/>
      <c r="M6206" s="13"/>
    </row>
    <row r="6207">
      <c r="F6207" s="13"/>
      <c r="M6207" s="13"/>
    </row>
    <row r="6208">
      <c r="F6208" s="13"/>
      <c r="M6208" s="13"/>
    </row>
    <row r="6209">
      <c r="F6209" s="13"/>
      <c r="M6209" s="13"/>
    </row>
    <row r="6210">
      <c r="F6210" s="13"/>
      <c r="M6210" s="13"/>
    </row>
    <row r="6211">
      <c r="F6211" s="13"/>
      <c r="M6211" s="13"/>
    </row>
    <row r="6212">
      <c r="F6212" s="13"/>
      <c r="M6212" s="13"/>
    </row>
    <row r="6213">
      <c r="F6213" s="13"/>
      <c r="M6213" s="13"/>
    </row>
    <row r="6214">
      <c r="F6214" s="13"/>
      <c r="M6214" s="13"/>
    </row>
    <row r="6215">
      <c r="F6215" s="13"/>
      <c r="M6215" s="13"/>
    </row>
    <row r="6216">
      <c r="F6216" s="13"/>
      <c r="M6216" s="13"/>
    </row>
    <row r="6217">
      <c r="F6217" s="13"/>
      <c r="M6217" s="13"/>
    </row>
    <row r="6218">
      <c r="F6218" s="13"/>
      <c r="M6218" s="13"/>
    </row>
    <row r="6219">
      <c r="F6219" s="13"/>
      <c r="M6219" s="13"/>
    </row>
    <row r="6220">
      <c r="F6220" s="13"/>
      <c r="M6220" s="13"/>
    </row>
    <row r="6221">
      <c r="F6221" s="13"/>
      <c r="M6221" s="13"/>
    </row>
    <row r="6222">
      <c r="F6222" s="13"/>
      <c r="M6222" s="13"/>
    </row>
    <row r="6223">
      <c r="F6223" s="13"/>
      <c r="M6223" s="13"/>
    </row>
    <row r="6224">
      <c r="F6224" s="13"/>
      <c r="M6224" s="13"/>
    </row>
    <row r="6225">
      <c r="F6225" s="13"/>
      <c r="M6225" s="13"/>
    </row>
    <row r="6226">
      <c r="F6226" s="13"/>
      <c r="M6226" s="13"/>
    </row>
    <row r="6227">
      <c r="F6227" s="13"/>
      <c r="M6227" s="13"/>
    </row>
    <row r="6228">
      <c r="F6228" s="13"/>
      <c r="M6228" s="13"/>
    </row>
    <row r="6229">
      <c r="F6229" s="13"/>
      <c r="M6229" s="13"/>
    </row>
    <row r="6230">
      <c r="F6230" s="13"/>
      <c r="M6230" s="13"/>
    </row>
    <row r="6231">
      <c r="F6231" s="13"/>
      <c r="M6231" s="13"/>
    </row>
    <row r="6232">
      <c r="F6232" s="13"/>
      <c r="M6232" s="13"/>
    </row>
    <row r="6233">
      <c r="F6233" s="13"/>
      <c r="M6233" s="13"/>
    </row>
    <row r="6234">
      <c r="F6234" s="13"/>
      <c r="M6234" s="13"/>
    </row>
    <row r="6235">
      <c r="F6235" s="13"/>
      <c r="M6235" s="13"/>
    </row>
    <row r="6236">
      <c r="F6236" s="13"/>
      <c r="M6236" s="13"/>
    </row>
    <row r="6237">
      <c r="F6237" s="13"/>
      <c r="M6237" s="13"/>
    </row>
    <row r="6238">
      <c r="F6238" s="13"/>
      <c r="M6238" s="13"/>
    </row>
    <row r="6239">
      <c r="F6239" s="13"/>
      <c r="M6239" s="13"/>
    </row>
    <row r="6240">
      <c r="F6240" s="13"/>
      <c r="M6240" s="13"/>
    </row>
    <row r="6241">
      <c r="F6241" s="13"/>
      <c r="M6241" s="13"/>
    </row>
    <row r="6242">
      <c r="F6242" s="13"/>
      <c r="M6242" s="13"/>
    </row>
    <row r="6243">
      <c r="F6243" s="13"/>
      <c r="M6243" s="13"/>
    </row>
    <row r="6244">
      <c r="F6244" s="13"/>
      <c r="M6244" s="13"/>
    </row>
    <row r="6245">
      <c r="F6245" s="13"/>
      <c r="M6245" s="13"/>
    </row>
    <row r="6246">
      <c r="F6246" s="13"/>
      <c r="M6246" s="13"/>
    </row>
    <row r="6247">
      <c r="F6247" s="13"/>
      <c r="M6247" s="13"/>
    </row>
    <row r="6248">
      <c r="F6248" s="13"/>
      <c r="M6248" s="13"/>
    </row>
    <row r="6249">
      <c r="F6249" s="13"/>
      <c r="M6249" s="13"/>
    </row>
    <row r="6250">
      <c r="F6250" s="13"/>
      <c r="M6250" s="13"/>
    </row>
    <row r="6251">
      <c r="F6251" s="13"/>
      <c r="M6251" s="13"/>
    </row>
    <row r="6252">
      <c r="F6252" s="13"/>
      <c r="M6252" s="13"/>
    </row>
    <row r="6253">
      <c r="F6253" s="13"/>
      <c r="M6253" s="13"/>
    </row>
    <row r="6254">
      <c r="F6254" s="13"/>
      <c r="M6254" s="13"/>
    </row>
    <row r="6255">
      <c r="F6255" s="13"/>
      <c r="M6255" s="13"/>
    </row>
    <row r="6256">
      <c r="F6256" s="13"/>
      <c r="M6256" s="13"/>
    </row>
    <row r="6257">
      <c r="F6257" s="13"/>
      <c r="M6257" s="13"/>
    </row>
    <row r="6258">
      <c r="F6258" s="13"/>
      <c r="M6258" s="13"/>
    </row>
    <row r="6259">
      <c r="F6259" s="13"/>
      <c r="M6259" s="13"/>
    </row>
    <row r="6260">
      <c r="F6260" s="13"/>
      <c r="M6260" s="13"/>
    </row>
    <row r="6261">
      <c r="F6261" s="13"/>
      <c r="M6261" s="13"/>
    </row>
    <row r="6262">
      <c r="F6262" s="13"/>
      <c r="M6262" s="13"/>
    </row>
    <row r="6263">
      <c r="F6263" s="13"/>
      <c r="M6263" s="13"/>
    </row>
    <row r="6264">
      <c r="F6264" s="13"/>
      <c r="M6264" s="13"/>
    </row>
    <row r="6265">
      <c r="F6265" s="13"/>
      <c r="M6265" s="13"/>
    </row>
    <row r="6266">
      <c r="F6266" s="13"/>
      <c r="M6266" s="13"/>
    </row>
    <row r="6267">
      <c r="F6267" s="13"/>
      <c r="M6267" s="13"/>
    </row>
    <row r="6268">
      <c r="F6268" s="13"/>
      <c r="M6268" s="13"/>
    </row>
    <row r="6269">
      <c r="F6269" s="13"/>
      <c r="M6269" s="13"/>
    </row>
    <row r="6270">
      <c r="F6270" s="13"/>
      <c r="M6270" s="13"/>
    </row>
    <row r="6271">
      <c r="F6271" s="13"/>
      <c r="M6271" s="13"/>
    </row>
    <row r="6272">
      <c r="F6272" s="13"/>
      <c r="M6272" s="13"/>
    </row>
    <row r="6273">
      <c r="F6273" s="13"/>
      <c r="M6273" s="13"/>
    </row>
    <row r="6274">
      <c r="F6274" s="13"/>
      <c r="M6274" s="13"/>
    </row>
    <row r="6275">
      <c r="F6275" s="13"/>
      <c r="M6275" s="13"/>
    </row>
    <row r="6276">
      <c r="F6276" s="13"/>
      <c r="M6276" s="13"/>
    </row>
    <row r="6277">
      <c r="F6277" s="13"/>
      <c r="M6277" s="13"/>
    </row>
    <row r="6278">
      <c r="F6278" s="13"/>
      <c r="M6278" s="13"/>
    </row>
    <row r="6279">
      <c r="F6279" s="13"/>
      <c r="M6279" s="13"/>
    </row>
    <row r="6280">
      <c r="F6280" s="13"/>
      <c r="M6280" s="13"/>
    </row>
    <row r="6281">
      <c r="F6281" s="13"/>
      <c r="M6281" s="13"/>
    </row>
    <row r="6282">
      <c r="F6282" s="13"/>
      <c r="M6282" s="13"/>
    </row>
    <row r="6283">
      <c r="F6283" s="13"/>
      <c r="M6283" s="13"/>
    </row>
    <row r="6284">
      <c r="F6284" s="13"/>
      <c r="M6284" s="13"/>
    </row>
    <row r="6285">
      <c r="F6285" s="13"/>
      <c r="M6285" s="13"/>
    </row>
    <row r="6286">
      <c r="F6286" s="13"/>
      <c r="M6286" s="13"/>
    </row>
    <row r="6287">
      <c r="F6287" s="13"/>
      <c r="M6287" s="13"/>
    </row>
    <row r="6288">
      <c r="F6288" s="13"/>
      <c r="M6288" s="13"/>
    </row>
    <row r="6289">
      <c r="F6289" s="13"/>
      <c r="M6289" s="13"/>
    </row>
    <row r="6290">
      <c r="F6290" s="13"/>
      <c r="M6290" s="13"/>
    </row>
    <row r="6291">
      <c r="F6291" s="13"/>
      <c r="M6291" s="13"/>
    </row>
    <row r="6292">
      <c r="F6292" s="13"/>
      <c r="M6292" s="13"/>
    </row>
    <row r="6293">
      <c r="F6293" s="13"/>
      <c r="M6293" s="13"/>
    </row>
    <row r="6294">
      <c r="F6294" s="13"/>
      <c r="M6294" s="13"/>
    </row>
    <row r="6295">
      <c r="F6295" s="13"/>
      <c r="M6295" s="13"/>
    </row>
    <row r="6296">
      <c r="F6296" s="13"/>
      <c r="M6296" s="13"/>
    </row>
    <row r="6297">
      <c r="F6297" s="13"/>
      <c r="M6297" s="13"/>
    </row>
    <row r="6298">
      <c r="F6298" s="13"/>
      <c r="M6298" s="13"/>
    </row>
    <row r="6299">
      <c r="F6299" s="13"/>
      <c r="M6299" s="13"/>
    </row>
    <row r="6300">
      <c r="F6300" s="13"/>
      <c r="M6300" s="13"/>
    </row>
    <row r="6301">
      <c r="F6301" s="13"/>
      <c r="M6301" s="13"/>
    </row>
    <row r="6302">
      <c r="F6302" s="13"/>
      <c r="M6302" s="13"/>
    </row>
    <row r="6303">
      <c r="F6303" s="13"/>
      <c r="M6303" s="13"/>
    </row>
    <row r="6304">
      <c r="F6304" s="13"/>
      <c r="M6304" s="13"/>
    </row>
    <row r="6305">
      <c r="F6305" s="13"/>
      <c r="M6305" s="13"/>
    </row>
    <row r="6306">
      <c r="F6306" s="13"/>
      <c r="M6306" s="13"/>
    </row>
    <row r="6307">
      <c r="F6307" s="13"/>
      <c r="M6307" s="13"/>
    </row>
    <row r="6308">
      <c r="F6308" s="13"/>
      <c r="M6308" s="13"/>
    </row>
    <row r="6309">
      <c r="F6309" s="13"/>
      <c r="M6309" s="13"/>
    </row>
    <row r="6310">
      <c r="F6310" s="13"/>
      <c r="M6310" s="13"/>
    </row>
    <row r="6311">
      <c r="F6311" s="13"/>
      <c r="M6311" s="13"/>
    </row>
    <row r="6312">
      <c r="F6312" s="13"/>
      <c r="M6312" s="13"/>
    </row>
    <row r="6313">
      <c r="F6313" s="13"/>
      <c r="M6313" s="13"/>
    </row>
    <row r="6314">
      <c r="F6314" s="13"/>
      <c r="M6314" s="13"/>
    </row>
    <row r="6315">
      <c r="F6315" s="13"/>
      <c r="M6315" s="13"/>
    </row>
    <row r="6316">
      <c r="F6316" s="13"/>
      <c r="M6316" s="13"/>
    </row>
    <row r="6317">
      <c r="F6317" s="13"/>
      <c r="M6317" s="13"/>
    </row>
    <row r="6318">
      <c r="F6318" s="13"/>
      <c r="M6318" s="13"/>
    </row>
    <row r="6319">
      <c r="F6319" s="13"/>
      <c r="M6319" s="13"/>
    </row>
    <row r="6320">
      <c r="F6320" s="13"/>
      <c r="M6320" s="13"/>
    </row>
    <row r="6321">
      <c r="F6321" s="13"/>
      <c r="M6321" s="13"/>
    </row>
    <row r="6322">
      <c r="F6322" s="13"/>
      <c r="M6322" s="13"/>
    </row>
    <row r="6323">
      <c r="F6323" s="13"/>
      <c r="M6323" s="13"/>
    </row>
    <row r="6324">
      <c r="F6324" s="13"/>
      <c r="M6324" s="13"/>
    </row>
    <row r="6325">
      <c r="F6325" s="13"/>
      <c r="M6325" s="13"/>
    </row>
    <row r="6326">
      <c r="F6326" s="13"/>
      <c r="M6326" s="13"/>
    </row>
    <row r="6327">
      <c r="F6327" s="13"/>
      <c r="M6327" s="13"/>
    </row>
    <row r="6328">
      <c r="F6328" s="13"/>
      <c r="M6328" s="13"/>
    </row>
    <row r="6329">
      <c r="F6329" s="13"/>
      <c r="M6329" s="13"/>
    </row>
    <row r="6330">
      <c r="F6330" s="13"/>
      <c r="M6330" s="13"/>
    </row>
    <row r="6331">
      <c r="F6331" s="13"/>
      <c r="M6331" s="13"/>
    </row>
    <row r="6332">
      <c r="F6332" s="13"/>
      <c r="M6332" s="13"/>
    </row>
    <row r="6333">
      <c r="F6333" s="13"/>
      <c r="M6333" s="13"/>
    </row>
    <row r="6334">
      <c r="F6334" s="13"/>
      <c r="M6334" s="13"/>
    </row>
    <row r="6335">
      <c r="F6335" s="13"/>
      <c r="M6335" s="13"/>
    </row>
    <row r="6336">
      <c r="F6336" s="13"/>
      <c r="M6336" s="13"/>
    </row>
    <row r="6337">
      <c r="F6337" s="13"/>
      <c r="M6337" s="13"/>
    </row>
    <row r="6338">
      <c r="F6338" s="13"/>
      <c r="M6338" s="13"/>
    </row>
    <row r="6339">
      <c r="F6339" s="13"/>
      <c r="M6339" s="13"/>
    </row>
    <row r="6340">
      <c r="F6340" s="13"/>
      <c r="M6340" s="13"/>
    </row>
    <row r="6341">
      <c r="F6341" s="13"/>
      <c r="M6341" s="13"/>
    </row>
    <row r="6342">
      <c r="F6342" s="13"/>
      <c r="M6342" s="13"/>
    </row>
    <row r="6343">
      <c r="F6343" s="13"/>
      <c r="M6343" s="13"/>
    </row>
    <row r="6344">
      <c r="F6344" s="13"/>
      <c r="M6344" s="13"/>
    </row>
    <row r="6345">
      <c r="F6345" s="13"/>
      <c r="M6345" s="13"/>
    </row>
    <row r="6346">
      <c r="F6346" s="13"/>
      <c r="M6346" s="13"/>
    </row>
    <row r="6347">
      <c r="F6347" s="13"/>
      <c r="M6347" s="13"/>
    </row>
    <row r="6348">
      <c r="F6348" s="13"/>
      <c r="M6348" s="13"/>
    </row>
    <row r="6349">
      <c r="F6349" s="13"/>
      <c r="M6349" s="13"/>
    </row>
    <row r="6350">
      <c r="F6350" s="13"/>
      <c r="M6350" s="13"/>
    </row>
    <row r="6351">
      <c r="F6351" s="13"/>
      <c r="M6351" s="13"/>
    </row>
    <row r="6352">
      <c r="F6352" s="13"/>
      <c r="M6352" s="13"/>
    </row>
    <row r="6353">
      <c r="F6353" s="13"/>
      <c r="M6353" s="13"/>
    </row>
    <row r="6354">
      <c r="F6354" s="13"/>
      <c r="M6354" s="13"/>
    </row>
    <row r="6355">
      <c r="F6355" s="13"/>
      <c r="M6355" s="13"/>
    </row>
    <row r="6356">
      <c r="F6356" s="13"/>
      <c r="M6356" s="13"/>
    </row>
    <row r="6357">
      <c r="F6357" s="13"/>
      <c r="M6357" s="13"/>
    </row>
    <row r="6358">
      <c r="F6358" s="13"/>
      <c r="M6358" s="13"/>
    </row>
    <row r="6359">
      <c r="F6359" s="13"/>
      <c r="M6359" s="13"/>
    </row>
    <row r="6360">
      <c r="F6360" s="13"/>
      <c r="M6360" s="13"/>
    </row>
    <row r="6361">
      <c r="F6361" s="13"/>
      <c r="M6361" s="13"/>
    </row>
    <row r="6362">
      <c r="F6362" s="13"/>
      <c r="M6362" s="13"/>
    </row>
    <row r="6363">
      <c r="F6363" s="13"/>
      <c r="M6363" s="13"/>
    </row>
    <row r="6364">
      <c r="F6364" s="13"/>
      <c r="M6364" s="13"/>
    </row>
    <row r="6365">
      <c r="F6365" s="13"/>
      <c r="M6365" s="13"/>
    </row>
    <row r="6366">
      <c r="F6366" s="13"/>
      <c r="M6366" s="13"/>
    </row>
    <row r="6367">
      <c r="F6367" s="13"/>
      <c r="M6367" s="13"/>
    </row>
    <row r="6368">
      <c r="F6368" s="13"/>
      <c r="M6368" s="13"/>
    </row>
    <row r="6369">
      <c r="F6369" s="13"/>
      <c r="M6369" s="13"/>
    </row>
    <row r="6370">
      <c r="F6370" s="13"/>
      <c r="M6370" s="13"/>
    </row>
    <row r="6371">
      <c r="F6371" s="13"/>
      <c r="M6371" s="13"/>
    </row>
    <row r="6372">
      <c r="F6372" s="13"/>
      <c r="M6372" s="13"/>
    </row>
    <row r="6373">
      <c r="F6373" s="13"/>
      <c r="M6373" s="13"/>
    </row>
    <row r="6374">
      <c r="F6374" s="13"/>
      <c r="M6374" s="13"/>
    </row>
    <row r="6375">
      <c r="F6375" s="13"/>
      <c r="M6375" s="13"/>
    </row>
    <row r="6376">
      <c r="F6376" s="13"/>
      <c r="M6376" s="13"/>
    </row>
    <row r="6377">
      <c r="F6377" s="13"/>
      <c r="M6377" s="13"/>
    </row>
    <row r="6378">
      <c r="F6378" s="13"/>
      <c r="M6378" s="13"/>
    </row>
    <row r="6379">
      <c r="F6379" s="13"/>
      <c r="M6379" s="13"/>
    </row>
    <row r="6380">
      <c r="F6380" s="13"/>
      <c r="M6380" s="13"/>
    </row>
    <row r="6381">
      <c r="F6381" s="13"/>
      <c r="M6381" s="13"/>
    </row>
    <row r="6382">
      <c r="F6382" s="13"/>
      <c r="M6382" s="13"/>
    </row>
    <row r="6383">
      <c r="F6383" s="13"/>
      <c r="M6383" s="13"/>
    </row>
    <row r="6384">
      <c r="F6384" s="13"/>
      <c r="M6384" s="13"/>
    </row>
    <row r="6385">
      <c r="F6385" s="13"/>
      <c r="M6385" s="13"/>
    </row>
    <row r="6386">
      <c r="F6386" s="13"/>
      <c r="M6386" s="13"/>
    </row>
    <row r="6387">
      <c r="F6387" s="13"/>
      <c r="M6387" s="13"/>
    </row>
    <row r="6388">
      <c r="F6388" s="13"/>
      <c r="M6388" s="13"/>
    </row>
    <row r="6389">
      <c r="F6389" s="13"/>
      <c r="M6389" s="13"/>
    </row>
    <row r="6390">
      <c r="F6390" s="13"/>
      <c r="M6390" s="13"/>
    </row>
    <row r="6391">
      <c r="F6391" s="13"/>
      <c r="M6391" s="13"/>
    </row>
    <row r="6392">
      <c r="F6392" s="13"/>
      <c r="M6392" s="13"/>
    </row>
    <row r="6393">
      <c r="F6393" s="13"/>
      <c r="M6393" s="13"/>
    </row>
    <row r="6394">
      <c r="F6394" s="13"/>
      <c r="M6394" s="13"/>
    </row>
    <row r="6395">
      <c r="F6395" s="13"/>
      <c r="M6395" s="13"/>
    </row>
    <row r="6396">
      <c r="F6396" s="13"/>
      <c r="M6396" s="13"/>
    </row>
    <row r="6397">
      <c r="F6397" s="13"/>
      <c r="M6397" s="13"/>
    </row>
    <row r="6398">
      <c r="F6398" s="13"/>
      <c r="M6398" s="13"/>
    </row>
    <row r="6399">
      <c r="F6399" s="13"/>
      <c r="M6399" s="13"/>
    </row>
    <row r="6400">
      <c r="F6400" s="13"/>
      <c r="M6400" s="13"/>
    </row>
    <row r="6401">
      <c r="F6401" s="13"/>
      <c r="M6401" s="13"/>
    </row>
    <row r="6402">
      <c r="F6402" s="13"/>
      <c r="M6402" s="13"/>
    </row>
    <row r="6403">
      <c r="F6403" s="13"/>
      <c r="M6403" s="13"/>
    </row>
    <row r="6404">
      <c r="F6404" s="13"/>
      <c r="M6404" s="13"/>
    </row>
    <row r="6405">
      <c r="F6405" s="13"/>
      <c r="M6405" s="13"/>
    </row>
    <row r="6406">
      <c r="F6406" s="13"/>
      <c r="M6406" s="13"/>
    </row>
    <row r="6407">
      <c r="F6407" s="13"/>
      <c r="M6407" s="13"/>
    </row>
    <row r="6408">
      <c r="F6408" s="13"/>
      <c r="M6408" s="13"/>
    </row>
    <row r="6409">
      <c r="F6409" s="13"/>
      <c r="M6409" s="13"/>
    </row>
    <row r="6410">
      <c r="F6410" s="13"/>
      <c r="M6410" s="13"/>
    </row>
    <row r="6411">
      <c r="F6411" s="13"/>
      <c r="M6411" s="13"/>
    </row>
    <row r="6412">
      <c r="F6412" s="13"/>
      <c r="M6412" s="13"/>
    </row>
    <row r="6413">
      <c r="F6413" s="13"/>
      <c r="M6413" s="13"/>
    </row>
    <row r="6414">
      <c r="F6414" s="13"/>
      <c r="M6414" s="13"/>
    </row>
    <row r="6415">
      <c r="F6415" s="13"/>
      <c r="M6415" s="13"/>
    </row>
    <row r="6416">
      <c r="F6416" s="13"/>
      <c r="M6416" s="13"/>
    </row>
    <row r="6417">
      <c r="F6417" s="13"/>
      <c r="M6417" s="13"/>
    </row>
    <row r="6418">
      <c r="F6418" s="13"/>
      <c r="M6418" s="13"/>
    </row>
    <row r="6419">
      <c r="F6419" s="13"/>
      <c r="M6419" s="13"/>
    </row>
    <row r="6420">
      <c r="F6420" s="13"/>
      <c r="M6420" s="13"/>
    </row>
    <row r="6421">
      <c r="F6421" s="13"/>
      <c r="M6421" s="13"/>
    </row>
    <row r="6422">
      <c r="F6422" s="13"/>
      <c r="M6422" s="13"/>
    </row>
    <row r="6423">
      <c r="F6423" s="13"/>
      <c r="M6423" s="13"/>
    </row>
    <row r="6424">
      <c r="F6424" s="13"/>
      <c r="M6424" s="13"/>
    </row>
    <row r="6425">
      <c r="F6425" s="13"/>
      <c r="M6425" s="13"/>
    </row>
    <row r="6426">
      <c r="F6426" s="13"/>
      <c r="M6426" s="13"/>
    </row>
    <row r="6427">
      <c r="F6427" s="13"/>
      <c r="M6427" s="13"/>
    </row>
    <row r="6428">
      <c r="F6428" s="13"/>
      <c r="M6428" s="13"/>
    </row>
    <row r="6429">
      <c r="F6429" s="13"/>
      <c r="M6429" s="13"/>
    </row>
    <row r="6430">
      <c r="F6430" s="13"/>
      <c r="M6430" s="13"/>
    </row>
    <row r="6431">
      <c r="F6431" s="13"/>
      <c r="M6431" s="13"/>
    </row>
    <row r="6432">
      <c r="F6432" s="13"/>
      <c r="M6432" s="13"/>
    </row>
    <row r="6433">
      <c r="F6433" s="13"/>
      <c r="M6433" s="13"/>
    </row>
    <row r="6434">
      <c r="F6434" s="13"/>
      <c r="M6434" s="13"/>
    </row>
    <row r="6435">
      <c r="F6435" s="13"/>
      <c r="M6435" s="13"/>
    </row>
    <row r="6436">
      <c r="F6436" s="13"/>
      <c r="M6436" s="13"/>
    </row>
    <row r="6437">
      <c r="F6437" s="13"/>
      <c r="M6437" s="13"/>
    </row>
    <row r="6438">
      <c r="F6438" s="13"/>
      <c r="M6438" s="13"/>
    </row>
    <row r="6439">
      <c r="F6439" s="13"/>
      <c r="M6439" s="13"/>
    </row>
    <row r="6440">
      <c r="F6440" s="13"/>
      <c r="M6440" s="13"/>
    </row>
    <row r="6441">
      <c r="F6441" s="13"/>
      <c r="M6441" s="13"/>
    </row>
    <row r="6442">
      <c r="F6442" s="13"/>
      <c r="M6442" s="13"/>
    </row>
    <row r="6443">
      <c r="F6443" s="13"/>
      <c r="M6443" s="13"/>
    </row>
    <row r="6444">
      <c r="F6444" s="13"/>
      <c r="M6444" s="13"/>
    </row>
    <row r="6445">
      <c r="F6445" s="13"/>
      <c r="M6445" s="13"/>
    </row>
    <row r="6446">
      <c r="F6446" s="13"/>
      <c r="M6446" s="13"/>
    </row>
    <row r="6447">
      <c r="F6447" s="13"/>
      <c r="M6447" s="13"/>
    </row>
    <row r="6448">
      <c r="F6448" s="13"/>
      <c r="M6448" s="13"/>
    </row>
    <row r="6449">
      <c r="F6449" s="13"/>
      <c r="M6449" s="13"/>
    </row>
    <row r="6450">
      <c r="F6450" s="13"/>
      <c r="M6450" s="13"/>
    </row>
    <row r="6451">
      <c r="F6451" s="13"/>
      <c r="M6451" s="13"/>
    </row>
    <row r="6452">
      <c r="F6452" s="13"/>
      <c r="M6452" s="13"/>
    </row>
    <row r="6453">
      <c r="F6453" s="13"/>
      <c r="M6453" s="13"/>
    </row>
    <row r="6454">
      <c r="F6454" s="13"/>
      <c r="M6454" s="13"/>
    </row>
    <row r="6455">
      <c r="F6455" s="13"/>
      <c r="M6455" s="13"/>
    </row>
    <row r="6456">
      <c r="F6456" s="13"/>
      <c r="M6456" s="13"/>
    </row>
    <row r="6457">
      <c r="F6457" s="13"/>
      <c r="M6457" s="13"/>
    </row>
    <row r="6458">
      <c r="F6458" s="13"/>
      <c r="M6458" s="13"/>
    </row>
    <row r="6459">
      <c r="F6459" s="13"/>
      <c r="M6459" s="13"/>
    </row>
    <row r="6460">
      <c r="F6460" s="13"/>
      <c r="M6460" s="13"/>
    </row>
    <row r="6461">
      <c r="F6461" s="13"/>
      <c r="M6461" s="13"/>
    </row>
    <row r="6462">
      <c r="F6462" s="13"/>
      <c r="M6462" s="13"/>
    </row>
    <row r="6463">
      <c r="F6463" s="13"/>
      <c r="M6463" s="13"/>
    </row>
    <row r="6464">
      <c r="F6464" s="13"/>
      <c r="M6464" s="13"/>
    </row>
    <row r="6465">
      <c r="F6465" s="13"/>
      <c r="M6465" s="13"/>
    </row>
    <row r="6466">
      <c r="F6466" s="13"/>
      <c r="M6466" s="13"/>
    </row>
    <row r="6467">
      <c r="F6467" s="13"/>
      <c r="M6467" s="13"/>
    </row>
    <row r="6468">
      <c r="F6468" s="13"/>
      <c r="M6468" s="13"/>
    </row>
    <row r="6469">
      <c r="F6469" s="13"/>
      <c r="M6469" s="13"/>
    </row>
    <row r="6470">
      <c r="F6470" s="13"/>
      <c r="M6470" s="13"/>
    </row>
    <row r="6471">
      <c r="F6471" s="13"/>
      <c r="M6471" s="13"/>
    </row>
    <row r="6472">
      <c r="F6472" s="13"/>
      <c r="M6472" s="13"/>
    </row>
    <row r="6473">
      <c r="F6473" s="13"/>
      <c r="M6473" s="13"/>
    </row>
    <row r="6474">
      <c r="F6474" s="13"/>
      <c r="M6474" s="13"/>
    </row>
    <row r="6475">
      <c r="F6475" s="13"/>
      <c r="M6475" s="13"/>
    </row>
    <row r="6476">
      <c r="F6476" s="13"/>
      <c r="M6476" s="13"/>
    </row>
    <row r="6477">
      <c r="F6477" s="13"/>
      <c r="M6477" s="13"/>
    </row>
    <row r="6478">
      <c r="F6478" s="13"/>
      <c r="M6478" s="13"/>
    </row>
    <row r="6479">
      <c r="F6479" s="13"/>
      <c r="M6479" s="13"/>
    </row>
    <row r="6480">
      <c r="F6480" s="13"/>
      <c r="M6480" s="13"/>
    </row>
    <row r="6481">
      <c r="F6481" s="13"/>
      <c r="M6481" s="13"/>
    </row>
    <row r="6482">
      <c r="F6482" s="13"/>
      <c r="M6482" s="13"/>
    </row>
    <row r="6483">
      <c r="F6483" s="13"/>
      <c r="M6483" s="13"/>
    </row>
    <row r="6484">
      <c r="F6484" s="13"/>
      <c r="M6484" s="13"/>
    </row>
    <row r="6485">
      <c r="F6485" s="13"/>
      <c r="M6485" s="13"/>
    </row>
    <row r="6486">
      <c r="F6486" s="13"/>
      <c r="M6486" s="13"/>
    </row>
    <row r="6487">
      <c r="F6487" s="13"/>
      <c r="M6487" s="13"/>
    </row>
    <row r="6488">
      <c r="F6488" s="13"/>
      <c r="M6488" s="13"/>
    </row>
    <row r="6489">
      <c r="F6489" s="13"/>
      <c r="M6489" s="13"/>
    </row>
    <row r="6490">
      <c r="F6490" s="13"/>
      <c r="M6490" s="13"/>
    </row>
    <row r="6491">
      <c r="F6491" s="13"/>
      <c r="M6491" s="13"/>
    </row>
    <row r="6492">
      <c r="F6492" s="13"/>
      <c r="M6492" s="13"/>
    </row>
    <row r="6493">
      <c r="F6493" s="13"/>
      <c r="M6493" s="13"/>
    </row>
    <row r="6494">
      <c r="F6494" s="13"/>
      <c r="M6494" s="13"/>
    </row>
    <row r="6495">
      <c r="F6495" s="13"/>
      <c r="M6495" s="13"/>
    </row>
    <row r="6496">
      <c r="F6496" s="13"/>
      <c r="M6496" s="13"/>
    </row>
    <row r="6497">
      <c r="F6497" s="13"/>
      <c r="M6497" s="13"/>
    </row>
    <row r="6498">
      <c r="F6498" s="13"/>
      <c r="M6498" s="13"/>
    </row>
    <row r="6499">
      <c r="F6499" s="13"/>
      <c r="M6499" s="13"/>
    </row>
    <row r="6500">
      <c r="F6500" s="13"/>
      <c r="M6500" s="13"/>
    </row>
    <row r="6501">
      <c r="F6501" s="13"/>
      <c r="M6501" s="13"/>
    </row>
    <row r="6502">
      <c r="F6502" s="13"/>
      <c r="M6502" s="13"/>
    </row>
    <row r="6503">
      <c r="F6503" s="13"/>
      <c r="M6503" s="13"/>
    </row>
    <row r="6504">
      <c r="F6504" s="13"/>
      <c r="M6504" s="13"/>
    </row>
    <row r="6505">
      <c r="F6505" s="13"/>
      <c r="M6505" s="13"/>
    </row>
    <row r="6506">
      <c r="F6506" s="13"/>
      <c r="M6506" s="13"/>
    </row>
    <row r="6507">
      <c r="F6507" s="13"/>
      <c r="M6507" s="13"/>
    </row>
    <row r="6508">
      <c r="F6508" s="13"/>
      <c r="M6508" s="13"/>
    </row>
    <row r="6509">
      <c r="F6509" s="13"/>
      <c r="M6509" s="13"/>
    </row>
    <row r="6510">
      <c r="F6510" s="13"/>
      <c r="M6510" s="13"/>
    </row>
    <row r="6511">
      <c r="F6511" s="13"/>
      <c r="M6511" s="13"/>
    </row>
    <row r="6512">
      <c r="F6512" s="13"/>
      <c r="M6512" s="13"/>
    </row>
    <row r="6513">
      <c r="F6513" s="13"/>
      <c r="M6513" s="13"/>
    </row>
    <row r="6514">
      <c r="F6514" s="13"/>
      <c r="M6514" s="13"/>
    </row>
    <row r="6515">
      <c r="F6515" s="13"/>
      <c r="M6515" s="13"/>
    </row>
    <row r="6516">
      <c r="F6516" s="13"/>
      <c r="M6516" s="13"/>
    </row>
    <row r="6517">
      <c r="F6517" s="13"/>
      <c r="M6517" s="13"/>
    </row>
    <row r="6518">
      <c r="F6518" s="13"/>
      <c r="M6518" s="13"/>
    </row>
    <row r="6519">
      <c r="F6519" s="13"/>
      <c r="M6519" s="13"/>
    </row>
    <row r="6520">
      <c r="F6520" s="13"/>
      <c r="M6520" s="13"/>
    </row>
    <row r="6521">
      <c r="F6521" s="13"/>
      <c r="M6521" s="13"/>
    </row>
    <row r="6522">
      <c r="F6522" s="13"/>
      <c r="M6522" s="13"/>
    </row>
    <row r="6523">
      <c r="F6523" s="13"/>
      <c r="M6523" s="13"/>
    </row>
    <row r="6524">
      <c r="F6524" s="13"/>
      <c r="M6524" s="13"/>
    </row>
    <row r="6525">
      <c r="F6525" s="13"/>
      <c r="M6525" s="13"/>
    </row>
    <row r="6526">
      <c r="F6526" s="13"/>
      <c r="M6526" s="13"/>
    </row>
    <row r="6527">
      <c r="F6527" s="13"/>
      <c r="M6527" s="13"/>
    </row>
    <row r="6528">
      <c r="F6528" s="13"/>
      <c r="M6528" s="13"/>
    </row>
    <row r="6529">
      <c r="F6529" s="13"/>
      <c r="M6529" s="13"/>
    </row>
    <row r="6530">
      <c r="F6530" s="13"/>
      <c r="M6530" s="13"/>
    </row>
    <row r="6531">
      <c r="F6531" s="13"/>
      <c r="M6531" s="13"/>
    </row>
    <row r="6532">
      <c r="F6532" s="13"/>
      <c r="M6532" s="13"/>
    </row>
    <row r="6533">
      <c r="F6533" s="13"/>
      <c r="M6533" s="13"/>
    </row>
    <row r="6534">
      <c r="F6534" s="13"/>
      <c r="M6534" s="13"/>
    </row>
    <row r="6535">
      <c r="F6535" s="13"/>
      <c r="M6535" s="13"/>
    </row>
    <row r="6536">
      <c r="F6536" s="13"/>
      <c r="M6536" s="13"/>
    </row>
    <row r="6537">
      <c r="F6537" s="13"/>
      <c r="M6537" s="13"/>
    </row>
    <row r="6538">
      <c r="F6538" s="13"/>
      <c r="M6538" s="13"/>
    </row>
    <row r="6539">
      <c r="F6539" s="13"/>
      <c r="M6539" s="13"/>
    </row>
    <row r="6540">
      <c r="F6540" s="13"/>
      <c r="M6540" s="13"/>
    </row>
    <row r="6541">
      <c r="F6541" s="13"/>
      <c r="M6541" s="13"/>
    </row>
    <row r="6542">
      <c r="F6542" s="13"/>
      <c r="M6542" s="13"/>
    </row>
    <row r="6543">
      <c r="F6543" s="13"/>
      <c r="M6543" s="13"/>
    </row>
    <row r="6544">
      <c r="F6544" s="13"/>
      <c r="M6544" s="13"/>
    </row>
    <row r="6545">
      <c r="F6545" s="13"/>
      <c r="M6545" s="13"/>
    </row>
    <row r="6546">
      <c r="F6546" s="13"/>
      <c r="M6546" s="13"/>
    </row>
    <row r="6547">
      <c r="F6547" s="13"/>
      <c r="M6547" s="13"/>
    </row>
    <row r="6548">
      <c r="F6548" s="13"/>
      <c r="M6548" s="13"/>
    </row>
    <row r="6549">
      <c r="F6549" s="13"/>
      <c r="M6549" s="13"/>
    </row>
    <row r="6550">
      <c r="F6550" s="13"/>
      <c r="M6550" s="13"/>
    </row>
    <row r="6551">
      <c r="F6551" s="13"/>
      <c r="M6551" s="13"/>
    </row>
    <row r="6552">
      <c r="F6552" s="13"/>
      <c r="M6552" s="13"/>
    </row>
    <row r="6553">
      <c r="F6553" s="13"/>
      <c r="M6553" s="13"/>
    </row>
    <row r="6554">
      <c r="F6554" s="13"/>
      <c r="M6554" s="13"/>
    </row>
    <row r="6555">
      <c r="F6555" s="13"/>
      <c r="M6555" s="13"/>
    </row>
    <row r="6556">
      <c r="F6556" s="13"/>
      <c r="M6556" s="13"/>
    </row>
    <row r="6557">
      <c r="F6557" s="13"/>
      <c r="M6557" s="13"/>
    </row>
    <row r="6558">
      <c r="F6558" s="13"/>
      <c r="M6558" s="13"/>
    </row>
    <row r="6559">
      <c r="F6559" s="13"/>
      <c r="M6559" s="13"/>
    </row>
    <row r="6560">
      <c r="F6560" s="13"/>
      <c r="M6560" s="13"/>
    </row>
    <row r="6561">
      <c r="F6561" s="13"/>
      <c r="M6561" s="13"/>
    </row>
    <row r="6562">
      <c r="F6562" s="13"/>
      <c r="M6562" s="13"/>
    </row>
    <row r="6563">
      <c r="F6563" s="13"/>
      <c r="M6563" s="13"/>
    </row>
    <row r="6564">
      <c r="F6564" s="13"/>
      <c r="M6564" s="13"/>
    </row>
    <row r="6565">
      <c r="F6565" s="13"/>
      <c r="M6565" s="13"/>
    </row>
    <row r="6566">
      <c r="F6566" s="13"/>
      <c r="M6566" s="13"/>
    </row>
    <row r="6567">
      <c r="F6567" s="13"/>
      <c r="M6567" s="13"/>
    </row>
    <row r="6568">
      <c r="F6568" s="13"/>
      <c r="M6568" s="13"/>
    </row>
    <row r="6569">
      <c r="F6569" s="13"/>
      <c r="M6569" s="13"/>
    </row>
    <row r="6570">
      <c r="F6570" s="13"/>
      <c r="M6570" s="13"/>
    </row>
    <row r="6571">
      <c r="F6571" s="13"/>
      <c r="M6571" s="13"/>
    </row>
    <row r="6572">
      <c r="F6572" s="13"/>
      <c r="M6572" s="13"/>
    </row>
    <row r="6573">
      <c r="F6573" s="13"/>
      <c r="M6573" s="13"/>
    </row>
    <row r="6574">
      <c r="F6574" s="13"/>
      <c r="M6574" s="13"/>
    </row>
    <row r="6575">
      <c r="F6575" s="13"/>
      <c r="M6575" s="13"/>
    </row>
    <row r="6576">
      <c r="F6576" s="13"/>
      <c r="M6576" s="13"/>
    </row>
    <row r="6577">
      <c r="F6577" s="13"/>
      <c r="M6577" s="13"/>
    </row>
    <row r="6578">
      <c r="F6578" s="13"/>
      <c r="M6578" s="13"/>
    </row>
    <row r="6579">
      <c r="F6579" s="13"/>
      <c r="M6579" s="13"/>
    </row>
    <row r="6580">
      <c r="F6580" s="13"/>
      <c r="M6580" s="13"/>
    </row>
    <row r="6581">
      <c r="F6581" s="13"/>
      <c r="M6581" s="13"/>
    </row>
    <row r="6582">
      <c r="F6582" s="13"/>
      <c r="M6582" s="13"/>
    </row>
    <row r="6583">
      <c r="F6583" s="13"/>
      <c r="M6583" s="13"/>
    </row>
    <row r="6584">
      <c r="F6584" s="13"/>
      <c r="M6584" s="13"/>
    </row>
    <row r="6585">
      <c r="F6585" s="13"/>
      <c r="M6585" s="13"/>
    </row>
    <row r="6586">
      <c r="F6586" s="13"/>
      <c r="M6586" s="13"/>
    </row>
    <row r="6587">
      <c r="F6587" s="13"/>
      <c r="M6587" s="13"/>
    </row>
    <row r="6588">
      <c r="F6588" s="13"/>
      <c r="M6588" s="13"/>
    </row>
    <row r="6589">
      <c r="F6589" s="13"/>
      <c r="M6589" s="13"/>
    </row>
    <row r="6590">
      <c r="F6590" s="13"/>
      <c r="M6590" s="13"/>
    </row>
    <row r="6591">
      <c r="F6591" s="13"/>
      <c r="M6591" s="13"/>
    </row>
    <row r="6592">
      <c r="F6592" s="13"/>
      <c r="M6592" s="13"/>
    </row>
    <row r="6593">
      <c r="F6593" s="13"/>
      <c r="M6593" s="13"/>
    </row>
    <row r="6594">
      <c r="F6594" s="13"/>
      <c r="M6594" s="13"/>
    </row>
    <row r="6595">
      <c r="F6595" s="13"/>
      <c r="M6595" s="13"/>
    </row>
    <row r="6596">
      <c r="F6596" s="13"/>
      <c r="M6596" s="13"/>
    </row>
    <row r="6597">
      <c r="F6597" s="13"/>
      <c r="M6597" s="13"/>
    </row>
    <row r="6598">
      <c r="F6598" s="13"/>
      <c r="M6598" s="13"/>
    </row>
    <row r="6599">
      <c r="F6599" s="13"/>
      <c r="M6599" s="13"/>
    </row>
    <row r="6600">
      <c r="F6600" s="13"/>
      <c r="M6600" s="13"/>
    </row>
    <row r="6601">
      <c r="F6601" s="13"/>
      <c r="M6601" s="13"/>
    </row>
    <row r="6602">
      <c r="F6602" s="13"/>
      <c r="M6602" s="13"/>
    </row>
    <row r="6603">
      <c r="F6603" s="13"/>
      <c r="M6603" s="13"/>
    </row>
    <row r="6604">
      <c r="F6604" s="13"/>
      <c r="M6604" s="13"/>
    </row>
    <row r="6605">
      <c r="F6605" s="13"/>
      <c r="M6605" s="13"/>
    </row>
    <row r="6606">
      <c r="F6606" s="13"/>
      <c r="M6606" s="13"/>
    </row>
    <row r="6607">
      <c r="F6607" s="13"/>
      <c r="M6607" s="13"/>
    </row>
    <row r="6608">
      <c r="F6608" s="13"/>
      <c r="M6608" s="13"/>
    </row>
    <row r="6609">
      <c r="F6609" s="13"/>
      <c r="M6609" s="13"/>
    </row>
    <row r="6610">
      <c r="F6610" s="13"/>
      <c r="M6610" s="13"/>
    </row>
    <row r="6611">
      <c r="F6611" s="13"/>
      <c r="M6611" s="13"/>
    </row>
    <row r="6612">
      <c r="F6612" s="13"/>
      <c r="M6612" s="13"/>
    </row>
    <row r="6613">
      <c r="F6613" s="13"/>
      <c r="M6613" s="13"/>
    </row>
    <row r="6614">
      <c r="F6614" s="13"/>
      <c r="M6614" s="13"/>
    </row>
    <row r="6615">
      <c r="F6615" s="13"/>
      <c r="M6615" s="13"/>
    </row>
    <row r="6616">
      <c r="F6616" s="13"/>
      <c r="M6616" s="13"/>
    </row>
    <row r="6617">
      <c r="F6617" s="13"/>
      <c r="M6617" s="13"/>
    </row>
    <row r="6618">
      <c r="F6618" s="13"/>
      <c r="M6618" s="13"/>
    </row>
    <row r="6619">
      <c r="F6619" s="13"/>
      <c r="M6619" s="13"/>
    </row>
    <row r="6620">
      <c r="F6620" s="13"/>
      <c r="M6620" s="13"/>
    </row>
    <row r="6621">
      <c r="F6621" s="13"/>
      <c r="M6621" s="13"/>
    </row>
    <row r="6622">
      <c r="F6622" s="13"/>
      <c r="M6622" s="13"/>
    </row>
    <row r="6623">
      <c r="F6623" s="13"/>
      <c r="M6623" s="13"/>
    </row>
    <row r="6624">
      <c r="F6624" s="13"/>
      <c r="M6624" s="13"/>
    </row>
    <row r="6625">
      <c r="F6625" s="13"/>
      <c r="M6625" s="13"/>
    </row>
    <row r="6626">
      <c r="F6626" s="13"/>
      <c r="M6626" s="13"/>
    </row>
    <row r="6627">
      <c r="F6627" s="13"/>
      <c r="M6627" s="13"/>
    </row>
    <row r="6628">
      <c r="F6628" s="13"/>
      <c r="M6628" s="13"/>
    </row>
    <row r="6629">
      <c r="F6629" s="13"/>
      <c r="M6629" s="13"/>
    </row>
    <row r="6630">
      <c r="F6630" s="13"/>
      <c r="M6630" s="13"/>
    </row>
    <row r="6631">
      <c r="F6631" s="13"/>
      <c r="M6631" s="13"/>
    </row>
    <row r="6632">
      <c r="F6632" s="13"/>
      <c r="M6632" s="13"/>
    </row>
    <row r="6633">
      <c r="F6633" s="13"/>
      <c r="M6633" s="13"/>
    </row>
    <row r="6634">
      <c r="F6634" s="13"/>
      <c r="M6634" s="13"/>
    </row>
    <row r="6635">
      <c r="F6635" s="13"/>
      <c r="M6635" s="13"/>
    </row>
    <row r="6636">
      <c r="F6636" s="13"/>
      <c r="M6636" s="13"/>
    </row>
    <row r="6637">
      <c r="F6637" s="13"/>
      <c r="M6637" s="13"/>
    </row>
    <row r="6638">
      <c r="F6638" s="13"/>
      <c r="M6638" s="13"/>
    </row>
    <row r="6639">
      <c r="F6639" s="13"/>
      <c r="M6639" s="13"/>
    </row>
    <row r="6640">
      <c r="F6640" s="13"/>
      <c r="M6640" s="13"/>
    </row>
    <row r="6641">
      <c r="F6641" s="13"/>
      <c r="M6641" s="13"/>
    </row>
    <row r="6642">
      <c r="F6642" s="13"/>
      <c r="M6642" s="13"/>
    </row>
    <row r="6643">
      <c r="F6643" s="13"/>
      <c r="M6643" s="13"/>
    </row>
    <row r="6644">
      <c r="F6644" s="13"/>
      <c r="M6644" s="13"/>
    </row>
    <row r="6645">
      <c r="F6645" s="13"/>
      <c r="M6645" s="13"/>
    </row>
    <row r="6646">
      <c r="F6646" s="13"/>
      <c r="M6646" s="13"/>
    </row>
    <row r="6647">
      <c r="F6647" s="13"/>
      <c r="M6647" s="13"/>
    </row>
    <row r="6648">
      <c r="F6648" s="13"/>
      <c r="M6648" s="13"/>
    </row>
    <row r="6649">
      <c r="F6649" s="13"/>
      <c r="M6649" s="13"/>
    </row>
    <row r="6650">
      <c r="F6650" s="13"/>
      <c r="M6650" s="13"/>
    </row>
    <row r="6651">
      <c r="F6651" s="13"/>
      <c r="M6651" s="13"/>
    </row>
    <row r="6652">
      <c r="F6652" s="13"/>
      <c r="M6652" s="13"/>
    </row>
    <row r="6653">
      <c r="F6653" s="13"/>
      <c r="M6653" s="13"/>
    </row>
    <row r="6654">
      <c r="F6654" s="13"/>
      <c r="M6654" s="13"/>
    </row>
    <row r="6655">
      <c r="F6655" s="13"/>
      <c r="M6655" s="13"/>
    </row>
    <row r="6656">
      <c r="F6656" s="13"/>
      <c r="M6656" s="13"/>
    </row>
    <row r="6657">
      <c r="F6657" s="13"/>
      <c r="M6657" s="13"/>
    </row>
    <row r="6658">
      <c r="F6658" s="13"/>
      <c r="M6658" s="13"/>
    </row>
    <row r="6659">
      <c r="F6659" s="13"/>
      <c r="M6659" s="13"/>
    </row>
    <row r="6660">
      <c r="F6660" s="13"/>
      <c r="M6660" s="13"/>
    </row>
    <row r="6661">
      <c r="F6661" s="13"/>
      <c r="M6661" s="13"/>
    </row>
    <row r="6662">
      <c r="F6662" s="13"/>
      <c r="M6662" s="13"/>
    </row>
    <row r="6663">
      <c r="F6663" s="13"/>
      <c r="M6663" s="13"/>
    </row>
    <row r="6664">
      <c r="F6664" s="13"/>
      <c r="M6664" s="13"/>
    </row>
    <row r="6665">
      <c r="F6665" s="13"/>
      <c r="M6665" s="13"/>
    </row>
    <row r="6666">
      <c r="F6666" s="13"/>
      <c r="M6666" s="13"/>
    </row>
    <row r="6667">
      <c r="F6667" s="13"/>
      <c r="M6667" s="13"/>
    </row>
    <row r="6668">
      <c r="F6668" s="13"/>
      <c r="M6668" s="13"/>
    </row>
    <row r="6669">
      <c r="F6669" s="13"/>
      <c r="M6669" s="13"/>
    </row>
    <row r="6670">
      <c r="F6670" s="13"/>
      <c r="M6670" s="13"/>
    </row>
    <row r="6671">
      <c r="F6671" s="13"/>
      <c r="M6671" s="13"/>
    </row>
    <row r="6672">
      <c r="F6672" s="13"/>
      <c r="M6672" s="13"/>
    </row>
    <row r="6673">
      <c r="F6673" s="13"/>
      <c r="M6673" s="13"/>
    </row>
    <row r="6674">
      <c r="F6674" s="13"/>
      <c r="M6674" s="13"/>
    </row>
    <row r="6675">
      <c r="F6675" s="13"/>
      <c r="M6675" s="13"/>
    </row>
    <row r="6676">
      <c r="F6676" s="13"/>
      <c r="M6676" s="13"/>
    </row>
    <row r="6677">
      <c r="F6677" s="13"/>
      <c r="M6677" s="13"/>
    </row>
    <row r="6678">
      <c r="F6678" s="13"/>
      <c r="M6678" s="13"/>
    </row>
    <row r="6679">
      <c r="F6679" s="13"/>
      <c r="M6679" s="13"/>
    </row>
    <row r="6680">
      <c r="F6680" s="13"/>
      <c r="M6680" s="13"/>
    </row>
    <row r="6681">
      <c r="F6681" s="13"/>
      <c r="M6681" s="13"/>
    </row>
    <row r="6682">
      <c r="F6682" s="13"/>
      <c r="M6682" s="13"/>
    </row>
    <row r="6683">
      <c r="F6683" s="13"/>
      <c r="M6683" s="13"/>
    </row>
    <row r="6684">
      <c r="F6684" s="13"/>
      <c r="M6684" s="13"/>
    </row>
    <row r="6685">
      <c r="F6685" s="13"/>
      <c r="M6685" s="13"/>
    </row>
    <row r="6686">
      <c r="F6686" s="13"/>
      <c r="M6686" s="13"/>
    </row>
    <row r="6687">
      <c r="F6687" s="13"/>
      <c r="M6687" s="13"/>
    </row>
    <row r="6688">
      <c r="F6688" s="13"/>
      <c r="M6688" s="13"/>
    </row>
    <row r="6689">
      <c r="F6689" s="13"/>
      <c r="M6689" s="13"/>
    </row>
    <row r="6690">
      <c r="F6690" s="13"/>
      <c r="M6690" s="13"/>
    </row>
    <row r="6691">
      <c r="F6691" s="13"/>
      <c r="M6691" s="13"/>
    </row>
    <row r="6692">
      <c r="F6692" s="13"/>
      <c r="M6692" s="13"/>
    </row>
    <row r="6693">
      <c r="F6693" s="13"/>
      <c r="M6693" s="13"/>
    </row>
    <row r="6694">
      <c r="F6694" s="13"/>
      <c r="M6694" s="13"/>
    </row>
    <row r="6695">
      <c r="F6695" s="13"/>
      <c r="M6695" s="13"/>
    </row>
    <row r="6696">
      <c r="F6696" s="13"/>
      <c r="M6696" s="13"/>
    </row>
    <row r="6697">
      <c r="F6697" s="13"/>
      <c r="M6697" s="13"/>
    </row>
    <row r="6698">
      <c r="F6698" s="13"/>
      <c r="M6698" s="13"/>
    </row>
    <row r="6699">
      <c r="F6699" s="13"/>
      <c r="M6699" s="13"/>
    </row>
    <row r="6700">
      <c r="F6700" s="13"/>
      <c r="M6700" s="13"/>
    </row>
    <row r="6701">
      <c r="F6701" s="13"/>
      <c r="M6701" s="13"/>
    </row>
    <row r="6702">
      <c r="F6702" s="13"/>
      <c r="M6702" s="13"/>
    </row>
    <row r="6703">
      <c r="F6703" s="13"/>
      <c r="M6703" s="13"/>
    </row>
    <row r="6704">
      <c r="F6704" s="13"/>
      <c r="M6704" s="13"/>
    </row>
    <row r="6705">
      <c r="F6705" s="13"/>
      <c r="M6705" s="13"/>
    </row>
    <row r="6706">
      <c r="F6706" s="13"/>
      <c r="M6706" s="13"/>
    </row>
    <row r="6707">
      <c r="F6707" s="13"/>
      <c r="M6707" s="13"/>
    </row>
    <row r="6708">
      <c r="F6708" s="13"/>
      <c r="M6708" s="13"/>
    </row>
    <row r="6709">
      <c r="F6709" s="13"/>
      <c r="M6709" s="13"/>
    </row>
    <row r="6710">
      <c r="F6710" s="13"/>
      <c r="M6710" s="13"/>
    </row>
    <row r="6711">
      <c r="F6711" s="13"/>
      <c r="M6711" s="13"/>
    </row>
    <row r="6712">
      <c r="F6712" s="13"/>
      <c r="M6712" s="13"/>
    </row>
    <row r="6713">
      <c r="F6713" s="13"/>
      <c r="M6713" s="13"/>
    </row>
    <row r="6714">
      <c r="F6714" s="13"/>
      <c r="M6714" s="13"/>
    </row>
    <row r="6715">
      <c r="F6715" s="13"/>
      <c r="M6715" s="13"/>
    </row>
    <row r="6716">
      <c r="F6716" s="13"/>
      <c r="M6716" s="13"/>
    </row>
    <row r="6717">
      <c r="F6717" s="13"/>
      <c r="M6717" s="13"/>
    </row>
    <row r="6718">
      <c r="F6718" s="13"/>
      <c r="M6718" s="13"/>
    </row>
    <row r="6719">
      <c r="F6719" s="13"/>
      <c r="M6719" s="13"/>
    </row>
    <row r="6720">
      <c r="F6720" s="13"/>
      <c r="M6720" s="13"/>
    </row>
    <row r="6721">
      <c r="F6721" s="13"/>
      <c r="M6721" s="13"/>
    </row>
    <row r="6722">
      <c r="F6722" s="13"/>
      <c r="M6722" s="13"/>
    </row>
    <row r="6723">
      <c r="F6723" s="13"/>
      <c r="M6723" s="13"/>
    </row>
    <row r="6724">
      <c r="F6724" s="13"/>
      <c r="M6724" s="13"/>
    </row>
    <row r="6725">
      <c r="F6725" s="13"/>
      <c r="M6725" s="13"/>
    </row>
    <row r="6726">
      <c r="F6726" s="13"/>
      <c r="M6726" s="13"/>
    </row>
    <row r="6727">
      <c r="F6727" s="13"/>
      <c r="M6727" s="13"/>
    </row>
    <row r="6728">
      <c r="F6728" s="13"/>
      <c r="M6728" s="13"/>
    </row>
    <row r="6729">
      <c r="F6729" s="13"/>
      <c r="M6729" s="13"/>
    </row>
    <row r="6730">
      <c r="F6730" s="13"/>
      <c r="M6730" s="13"/>
    </row>
    <row r="6731">
      <c r="F6731" s="13"/>
      <c r="M6731" s="13"/>
    </row>
    <row r="6732">
      <c r="F6732" s="13"/>
      <c r="M6732" s="13"/>
    </row>
    <row r="6733">
      <c r="F6733" s="13"/>
      <c r="M6733" s="13"/>
    </row>
    <row r="6734">
      <c r="F6734" s="13"/>
      <c r="M6734" s="13"/>
    </row>
    <row r="6735">
      <c r="F6735" s="13"/>
      <c r="M6735" s="13"/>
    </row>
    <row r="6736">
      <c r="F6736" s="13"/>
      <c r="M6736" s="13"/>
    </row>
    <row r="6737">
      <c r="F6737" s="13"/>
      <c r="M6737" s="13"/>
    </row>
    <row r="6738">
      <c r="F6738" s="13"/>
      <c r="M6738" s="13"/>
    </row>
    <row r="6739">
      <c r="F6739" s="13"/>
      <c r="M6739" s="13"/>
    </row>
    <row r="6740">
      <c r="F6740" s="13"/>
      <c r="M6740" s="13"/>
    </row>
    <row r="6741">
      <c r="F6741" s="13"/>
      <c r="M6741" s="13"/>
    </row>
    <row r="6742">
      <c r="F6742" s="13"/>
      <c r="M6742" s="13"/>
    </row>
    <row r="6743">
      <c r="F6743" s="13"/>
      <c r="M6743" s="13"/>
    </row>
    <row r="6744">
      <c r="F6744" s="13"/>
      <c r="M6744" s="13"/>
    </row>
    <row r="6745">
      <c r="F6745" s="13"/>
      <c r="M6745" s="13"/>
    </row>
    <row r="6746">
      <c r="F6746" s="13"/>
      <c r="M6746" s="13"/>
    </row>
    <row r="6747">
      <c r="F6747" s="13"/>
      <c r="M6747" s="13"/>
    </row>
    <row r="6748">
      <c r="F6748" s="13"/>
      <c r="M6748" s="13"/>
    </row>
    <row r="6749">
      <c r="F6749" s="13"/>
      <c r="M6749" s="13"/>
    </row>
    <row r="6750">
      <c r="F6750" s="13"/>
      <c r="M6750" s="13"/>
    </row>
    <row r="6751">
      <c r="F6751" s="13"/>
      <c r="M6751" s="13"/>
    </row>
    <row r="6752">
      <c r="F6752" s="13"/>
      <c r="M6752" s="13"/>
    </row>
    <row r="6753">
      <c r="F6753" s="13"/>
      <c r="M6753" s="13"/>
    </row>
    <row r="6754">
      <c r="F6754" s="13"/>
      <c r="M6754" s="13"/>
    </row>
    <row r="6755">
      <c r="F6755" s="13"/>
      <c r="M6755" s="13"/>
    </row>
    <row r="6756">
      <c r="F6756" s="13"/>
      <c r="M6756" s="13"/>
    </row>
    <row r="6757">
      <c r="F6757" s="13"/>
      <c r="M6757" s="13"/>
    </row>
    <row r="6758">
      <c r="F6758" s="13"/>
      <c r="M6758" s="13"/>
    </row>
    <row r="6759">
      <c r="F6759" s="13"/>
      <c r="M6759" s="13"/>
    </row>
    <row r="6760">
      <c r="F6760" s="13"/>
      <c r="M6760" s="13"/>
    </row>
    <row r="6761">
      <c r="F6761" s="13"/>
      <c r="M6761" s="13"/>
    </row>
    <row r="6762">
      <c r="F6762" s="13"/>
      <c r="M6762" s="13"/>
    </row>
    <row r="6763">
      <c r="F6763" s="13"/>
      <c r="M6763" s="13"/>
    </row>
    <row r="6764">
      <c r="F6764" s="13"/>
      <c r="M6764" s="13"/>
    </row>
    <row r="6765">
      <c r="F6765" s="13"/>
      <c r="M6765" s="13"/>
    </row>
    <row r="6766">
      <c r="F6766" s="13"/>
      <c r="M6766" s="13"/>
    </row>
    <row r="6767">
      <c r="F6767" s="13"/>
      <c r="M6767" s="13"/>
    </row>
    <row r="6768">
      <c r="F6768" s="13"/>
      <c r="M6768" s="13"/>
    </row>
    <row r="6769">
      <c r="F6769" s="13"/>
      <c r="M6769" s="13"/>
    </row>
    <row r="6770">
      <c r="F6770" s="13"/>
      <c r="M6770" s="13"/>
    </row>
    <row r="6771">
      <c r="F6771" s="13"/>
      <c r="M6771" s="13"/>
    </row>
    <row r="6772">
      <c r="F6772" s="13"/>
      <c r="M6772" s="13"/>
    </row>
    <row r="6773">
      <c r="F6773" s="13"/>
      <c r="M6773" s="13"/>
    </row>
    <row r="6774">
      <c r="F6774" s="13"/>
      <c r="M6774" s="13"/>
    </row>
    <row r="6775">
      <c r="F6775" s="13"/>
      <c r="M6775" s="13"/>
    </row>
    <row r="6776">
      <c r="F6776" s="13"/>
      <c r="M6776" s="13"/>
    </row>
    <row r="6777">
      <c r="F6777" s="13"/>
      <c r="M6777" s="13"/>
    </row>
    <row r="6778">
      <c r="F6778" s="13"/>
      <c r="M6778" s="13"/>
    </row>
    <row r="6779">
      <c r="F6779" s="13"/>
      <c r="M6779" s="13"/>
    </row>
    <row r="6780">
      <c r="F6780" s="13"/>
      <c r="M6780" s="13"/>
    </row>
    <row r="6781">
      <c r="F6781" s="13"/>
      <c r="M6781" s="13"/>
    </row>
    <row r="6782">
      <c r="F6782" s="13"/>
      <c r="M6782" s="13"/>
    </row>
    <row r="6783">
      <c r="F6783" s="13"/>
      <c r="M6783" s="13"/>
    </row>
    <row r="6784">
      <c r="F6784" s="13"/>
      <c r="M6784" s="13"/>
    </row>
    <row r="6785">
      <c r="F6785" s="13"/>
      <c r="M6785" s="13"/>
    </row>
    <row r="6786">
      <c r="F6786" s="13"/>
      <c r="M6786" s="13"/>
    </row>
    <row r="6787">
      <c r="F6787" s="13"/>
      <c r="M6787" s="13"/>
    </row>
    <row r="6788">
      <c r="F6788" s="13"/>
      <c r="M6788" s="13"/>
    </row>
    <row r="6789">
      <c r="F6789" s="13"/>
      <c r="M6789" s="13"/>
    </row>
    <row r="6790">
      <c r="F6790" s="13"/>
      <c r="M6790" s="13"/>
    </row>
    <row r="6791">
      <c r="F6791" s="13"/>
      <c r="M6791" s="13"/>
    </row>
    <row r="6792">
      <c r="F6792" s="13"/>
      <c r="M6792" s="13"/>
    </row>
    <row r="6793">
      <c r="F6793" s="13"/>
      <c r="M6793" s="13"/>
    </row>
    <row r="6794">
      <c r="F6794" s="13"/>
      <c r="M6794" s="13"/>
    </row>
    <row r="6795">
      <c r="F6795" s="13"/>
      <c r="M6795" s="13"/>
    </row>
    <row r="6796">
      <c r="F6796" s="13"/>
      <c r="M6796" s="13"/>
    </row>
    <row r="6797">
      <c r="F6797" s="13"/>
      <c r="M6797" s="13"/>
    </row>
    <row r="6798">
      <c r="F6798" s="13"/>
      <c r="M6798" s="13"/>
    </row>
    <row r="6799">
      <c r="F6799" s="13"/>
      <c r="M6799" s="13"/>
    </row>
    <row r="6800">
      <c r="F6800" s="13"/>
      <c r="M6800" s="13"/>
    </row>
    <row r="6801">
      <c r="F6801" s="13"/>
      <c r="M6801" s="13"/>
    </row>
    <row r="6802">
      <c r="F6802" s="13"/>
      <c r="M6802" s="13"/>
    </row>
    <row r="6803">
      <c r="F6803" s="13"/>
      <c r="M6803" s="13"/>
    </row>
    <row r="6804">
      <c r="F6804" s="13"/>
      <c r="M6804" s="13"/>
    </row>
    <row r="6805">
      <c r="F6805" s="13"/>
      <c r="M6805" s="13"/>
    </row>
    <row r="6806">
      <c r="F6806" s="13"/>
      <c r="M6806" s="13"/>
    </row>
    <row r="6807">
      <c r="F6807" s="13"/>
      <c r="M6807" s="13"/>
    </row>
    <row r="6808">
      <c r="F6808" s="13"/>
      <c r="M6808" s="13"/>
    </row>
    <row r="6809">
      <c r="F6809" s="13"/>
      <c r="M6809" s="13"/>
    </row>
    <row r="6810">
      <c r="F6810" s="13"/>
      <c r="M6810" s="13"/>
    </row>
    <row r="6811">
      <c r="F6811" s="13"/>
      <c r="M6811" s="13"/>
    </row>
    <row r="6812">
      <c r="F6812" s="13"/>
      <c r="M6812" s="13"/>
    </row>
    <row r="6813">
      <c r="F6813" s="13"/>
      <c r="M6813" s="13"/>
    </row>
    <row r="6814">
      <c r="F6814" s="13"/>
      <c r="M6814" s="13"/>
    </row>
    <row r="6815">
      <c r="F6815" s="13"/>
      <c r="M6815" s="13"/>
    </row>
    <row r="6816">
      <c r="F6816" s="13"/>
      <c r="M6816" s="13"/>
    </row>
    <row r="6817">
      <c r="F6817" s="13"/>
      <c r="M6817" s="13"/>
    </row>
    <row r="6818">
      <c r="F6818" s="13"/>
      <c r="M6818" s="13"/>
    </row>
    <row r="6819">
      <c r="F6819" s="13"/>
      <c r="M6819" s="13"/>
    </row>
    <row r="6820">
      <c r="F6820" s="13"/>
      <c r="M6820" s="13"/>
    </row>
    <row r="6821">
      <c r="F6821" s="13"/>
      <c r="M6821" s="13"/>
    </row>
    <row r="6822">
      <c r="F6822" s="13"/>
      <c r="M6822" s="13"/>
    </row>
    <row r="6823">
      <c r="F6823" s="13"/>
      <c r="M6823" s="13"/>
    </row>
    <row r="6824">
      <c r="F6824" s="13"/>
      <c r="M6824" s="13"/>
    </row>
    <row r="6825">
      <c r="F6825" s="13"/>
      <c r="M6825" s="13"/>
    </row>
    <row r="6826">
      <c r="F6826" s="13"/>
      <c r="M6826" s="13"/>
    </row>
    <row r="6827">
      <c r="F6827" s="13"/>
      <c r="M6827" s="13"/>
    </row>
    <row r="6828">
      <c r="F6828" s="13"/>
      <c r="M6828" s="13"/>
    </row>
    <row r="6829">
      <c r="F6829" s="13"/>
      <c r="M6829" s="13"/>
    </row>
    <row r="6830">
      <c r="F6830" s="13"/>
      <c r="M6830" s="13"/>
    </row>
    <row r="6831">
      <c r="F6831" s="13"/>
      <c r="M6831" s="13"/>
    </row>
    <row r="6832">
      <c r="F6832" s="13"/>
      <c r="M6832" s="13"/>
    </row>
    <row r="6833">
      <c r="F6833" s="13"/>
      <c r="M6833" s="13"/>
    </row>
    <row r="6834">
      <c r="F6834" s="13"/>
      <c r="M6834" s="13"/>
    </row>
    <row r="6835">
      <c r="F6835" s="13"/>
      <c r="M6835" s="13"/>
    </row>
    <row r="6836">
      <c r="F6836" s="13"/>
      <c r="M6836" s="13"/>
    </row>
    <row r="6837">
      <c r="F6837" s="13"/>
      <c r="M6837" s="13"/>
    </row>
    <row r="6838">
      <c r="F6838" s="13"/>
      <c r="M6838" s="13"/>
    </row>
    <row r="6839">
      <c r="F6839" s="13"/>
      <c r="M6839" s="13"/>
    </row>
    <row r="6840">
      <c r="F6840" s="13"/>
      <c r="M6840" s="13"/>
    </row>
    <row r="6841">
      <c r="F6841" s="13"/>
      <c r="M6841" s="13"/>
    </row>
    <row r="6842">
      <c r="F6842" s="13"/>
      <c r="M6842" s="13"/>
    </row>
    <row r="6843">
      <c r="F6843" s="13"/>
      <c r="M6843" s="13"/>
    </row>
    <row r="6844">
      <c r="F6844" s="13"/>
      <c r="M6844" s="13"/>
    </row>
    <row r="6845">
      <c r="F6845" s="13"/>
      <c r="M6845" s="13"/>
    </row>
    <row r="6846">
      <c r="F6846" s="13"/>
      <c r="M6846" s="13"/>
    </row>
    <row r="6847">
      <c r="F6847" s="13"/>
      <c r="M6847" s="13"/>
    </row>
    <row r="6848">
      <c r="F6848" s="13"/>
      <c r="M6848" s="13"/>
    </row>
    <row r="6849">
      <c r="F6849" s="13"/>
      <c r="M6849" s="13"/>
    </row>
    <row r="6850">
      <c r="F6850" s="13"/>
      <c r="M6850" s="13"/>
    </row>
    <row r="6851">
      <c r="F6851" s="13"/>
      <c r="M6851" s="13"/>
    </row>
    <row r="6852">
      <c r="F6852" s="13"/>
      <c r="M6852" s="13"/>
    </row>
    <row r="6853">
      <c r="F6853" s="13"/>
      <c r="M6853" s="13"/>
    </row>
    <row r="6854">
      <c r="F6854" s="13"/>
      <c r="M6854" s="13"/>
    </row>
    <row r="6855">
      <c r="F6855" s="13"/>
      <c r="M6855" s="13"/>
    </row>
    <row r="6856">
      <c r="F6856" s="13"/>
      <c r="M6856" s="13"/>
    </row>
    <row r="6857">
      <c r="F6857" s="13"/>
      <c r="M6857" s="13"/>
    </row>
    <row r="6858">
      <c r="F6858" s="13"/>
      <c r="M6858" s="13"/>
    </row>
    <row r="6859">
      <c r="F6859" s="13"/>
      <c r="M6859" s="13"/>
    </row>
    <row r="6860">
      <c r="F6860" s="13"/>
      <c r="M6860" s="13"/>
    </row>
    <row r="6861">
      <c r="F6861" s="13"/>
      <c r="M6861" s="13"/>
    </row>
    <row r="6862">
      <c r="F6862" s="13"/>
      <c r="M6862" s="13"/>
    </row>
    <row r="6863">
      <c r="F6863" s="13"/>
      <c r="M6863" s="13"/>
    </row>
    <row r="6864">
      <c r="F6864" s="13"/>
      <c r="M6864" s="13"/>
    </row>
    <row r="6865">
      <c r="F6865" s="13"/>
      <c r="M6865" s="13"/>
    </row>
    <row r="6866">
      <c r="F6866" s="13"/>
      <c r="M6866" s="13"/>
    </row>
    <row r="6867">
      <c r="F6867" s="13"/>
      <c r="M6867" s="13"/>
    </row>
    <row r="6868">
      <c r="F6868" s="13"/>
      <c r="M6868" s="13"/>
    </row>
    <row r="6869">
      <c r="F6869" s="13"/>
      <c r="M6869" s="13"/>
    </row>
    <row r="6870">
      <c r="F6870" s="13"/>
      <c r="M6870" s="13"/>
    </row>
    <row r="6871">
      <c r="F6871" s="13"/>
      <c r="M6871" s="13"/>
    </row>
    <row r="6872">
      <c r="F6872" s="13"/>
      <c r="M6872" s="13"/>
    </row>
    <row r="6873">
      <c r="F6873" s="13"/>
      <c r="M6873" s="13"/>
    </row>
    <row r="6874">
      <c r="F6874" s="13"/>
      <c r="M6874" s="13"/>
    </row>
    <row r="6875">
      <c r="F6875" s="13"/>
      <c r="M6875" s="13"/>
    </row>
    <row r="6876">
      <c r="F6876" s="13"/>
      <c r="M6876" s="13"/>
    </row>
    <row r="6877">
      <c r="F6877" s="13"/>
      <c r="M6877" s="13"/>
    </row>
    <row r="6878">
      <c r="F6878" s="13"/>
      <c r="M6878" s="13"/>
    </row>
    <row r="6879">
      <c r="F6879" s="13"/>
      <c r="M6879" s="13"/>
    </row>
    <row r="6880">
      <c r="F6880" s="13"/>
      <c r="M6880" s="13"/>
    </row>
    <row r="6881">
      <c r="F6881" s="13"/>
      <c r="M6881" s="13"/>
    </row>
    <row r="6882">
      <c r="F6882" s="13"/>
      <c r="M6882" s="13"/>
    </row>
    <row r="6883">
      <c r="F6883" s="13"/>
      <c r="M6883" s="13"/>
    </row>
    <row r="6884">
      <c r="F6884" s="13"/>
      <c r="M6884" s="13"/>
    </row>
    <row r="6885">
      <c r="F6885" s="13"/>
      <c r="M6885" s="13"/>
    </row>
    <row r="6886">
      <c r="F6886" s="13"/>
      <c r="M6886" s="13"/>
    </row>
    <row r="6887">
      <c r="F6887" s="13"/>
      <c r="M6887" s="13"/>
    </row>
    <row r="6888">
      <c r="F6888" s="13"/>
      <c r="M6888" s="13"/>
    </row>
    <row r="6889">
      <c r="F6889" s="13"/>
      <c r="M6889" s="13"/>
    </row>
    <row r="6890">
      <c r="F6890" s="13"/>
      <c r="M6890" s="13"/>
    </row>
    <row r="6891">
      <c r="F6891" s="13"/>
      <c r="M6891" s="13"/>
    </row>
    <row r="6892">
      <c r="F6892" s="13"/>
      <c r="M6892" s="13"/>
    </row>
    <row r="6893">
      <c r="F6893" s="13"/>
      <c r="M6893" s="13"/>
    </row>
    <row r="6894">
      <c r="F6894" s="13"/>
      <c r="M6894" s="13"/>
    </row>
    <row r="6895">
      <c r="F6895" s="13"/>
      <c r="M6895" s="13"/>
    </row>
    <row r="6896">
      <c r="F6896" s="13"/>
      <c r="M6896" s="13"/>
    </row>
    <row r="6897">
      <c r="F6897" s="13"/>
      <c r="M6897" s="13"/>
    </row>
    <row r="6898">
      <c r="F6898" s="13"/>
      <c r="M6898" s="13"/>
    </row>
    <row r="6899">
      <c r="F6899" s="13"/>
      <c r="M6899" s="13"/>
    </row>
    <row r="6900">
      <c r="F6900" s="13"/>
      <c r="M6900" s="13"/>
    </row>
    <row r="6901">
      <c r="F6901" s="13"/>
      <c r="M6901" s="13"/>
    </row>
    <row r="6902">
      <c r="F6902" s="13"/>
      <c r="M6902" s="13"/>
    </row>
    <row r="6903">
      <c r="F6903" s="13"/>
      <c r="M6903" s="13"/>
    </row>
    <row r="6904">
      <c r="F6904" s="13"/>
      <c r="M6904" s="13"/>
    </row>
    <row r="6905">
      <c r="F6905" s="13"/>
      <c r="M6905" s="13"/>
    </row>
    <row r="6906">
      <c r="F6906" s="13"/>
      <c r="M6906" s="13"/>
    </row>
    <row r="6907">
      <c r="F6907" s="13"/>
      <c r="M6907" s="13"/>
    </row>
    <row r="6908">
      <c r="F6908" s="13"/>
      <c r="M6908" s="13"/>
    </row>
    <row r="6909">
      <c r="F6909" s="13"/>
      <c r="M6909" s="13"/>
    </row>
    <row r="6910">
      <c r="F6910" s="13"/>
      <c r="M6910" s="13"/>
    </row>
    <row r="6911">
      <c r="F6911" s="13"/>
      <c r="M6911" s="13"/>
    </row>
    <row r="6912">
      <c r="F6912" s="13"/>
      <c r="M6912" s="13"/>
    </row>
    <row r="6913">
      <c r="F6913" s="13"/>
      <c r="M6913" s="13"/>
    </row>
    <row r="6914">
      <c r="F6914" s="13"/>
      <c r="M6914" s="13"/>
    </row>
    <row r="6915">
      <c r="F6915" s="13"/>
      <c r="M6915" s="13"/>
    </row>
    <row r="6916">
      <c r="F6916" s="13"/>
      <c r="M6916" s="13"/>
    </row>
    <row r="6917">
      <c r="F6917" s="13"/>
      <c r="M6917" s="13"/>
    </row>
    <row r="6918">
      <c r="F6918" s="13"/>
      <c r="M6918" s="13"/>
    </row>
    <row r="6919">
      <c r="F6919" s="13"/>
      <c r="M6919" s="13"/>
    </row>
    <row r="6920">
      <c r="F6920" s="13"/>
      <c r="M6920" s="13"/>
    </row>
    <row r="6921">
      <c r="F6921" s="13"/>
      <c r="M6921" s="13"/>
    </row>
    <row r="6922">
      <c r="F6922" s="13"/>
      <c r="M6922" s="13"/>
    </row>
    <row r="6923">
      <c r="F6923" s="13"/>
      <c r="M6923" s="13"/>
    </row>
    <row r="6924">
      <c r="F6924" s="13"/>
      <c r="M6924" s="13"/>
    </row>
    <row r="6925">
      <c r="F6925" s="13"/>
      <c r="M6925" s="13"/>
    </row>
    <row r="6926">
      <c r="F6926" s="13"/>
      <c r="M6926" s="13"/>
    </row>
    <row r="6927">
      <c r="F6927" s="13"/>
      <c r="M6927" s="13"/>
    </row>
    <row r="6928">
      <c r="F6928" s="13"/>
      <c r="M6928" s="13"/>
    </row>
    <row r="6929">
      <c r="F6929" s="13"/>
      <c r="M6929" s="13"/>
    </row>
    <row r="6930">
      <c r="F6930" s="13"/>
      <c r="M6930" s="13"/>
    </row>
    <row r="6931">
      <c r="F6931" s="13"/>
      <c r="M6931" s="13"/>
    </row>
    <row r="6932">
      <c r="F6932" s="13"/>
      <c r="M6932" s="13"/>
    </row>
    <row r="6933">
      <c r="F6933" s="13"/>
      <c r="M6933" s="13"/>
    </row>
    <row r="6934">
      <c r="F6934" s="13"/>
      <c r="M6934" s="13"/>
    </row>
    <row r="6935">
      <c r="F6935" s="13"/>
      <c r="M6935" s="13"/>
    </row>
    <row r="6936">
      <c r="F6936" s="13"/>
      <c r="M6936" s="13"/>
    </row>
    <row r="6937">
      <c r="F6937" s="13"/>
      <c r="M6937" s="13"/>
    </row>
    <row r="6938">
      <c r="F6938" s="13"/>
      <c r="M6938" s="13"/>
    </row>
    <row r="6939">
      <c r="F6939" s="13"/>
      <c r="M6939" s="13"/>
    </row>
    <row r="6940">
      <c r="F6940" s="13"/>
      <c r="M6940" s="13"/>
    </row>
    <row r="6941">
      <c r="F6941" s="13"/>
      <c r="M6941" s="13"/>
    </row>
    <row r="6942">
      <c r="F6942" s="13"/>
      <c r="M6942" s="13"/>
    </row>
    <row r="6943">
      <c r="F6943" s="13"/>
      <c r="M6943" s="13"/>
    </row>
    <row r="6944">
      <c r="F6944" s="13"/>
      <c r="M6944" s="13"/>
    </row>
    <row r="6945">
      <c r="F6945" s="13"/>
      <c r="M6945" s="13"/>
    </row>
    <row r="6946">
      <c r="F6946" s="13"/>
      <c r="M6946" s="13"/>
    </row>
    <row r="6947">
      <c r="F6947" s="13"/>
      <c r="M6947" s="13"/>
    </row>
    <row r="6948">
      <c r="F6948" s="13"/>
      <c r="M6948" s="13"/>
    </row>
    <row r="6949">
      <c r="F6949" s="13"/>
      <c r="M6949" s="13"/>
    </row>
    <row r="6950">
      <c r="F6950" s="13"/>
      <c r="M6950" s="13"/>
    </row>
    <row r="6951">
      <c r="F6951" s="13"/>
      <c r="M6951" s="13"/>
    </row>
    <row r="6952">
      <c r="F6952" s="13"/>
      <c r="M6952" s="13"/>
    </row>
    <row r="6953">
      <c r="F6953" s="13"/>
      <c r="M6953" s="13"/>
    </row>
    <row r="6954">
      <c r="F6954" s="13"/>
      <c r="M6954" s="13"/>
    </row>
    <row r="6955">
      <c r="F6955" s="13"/>
      <c r="M6955" s="13"/>
    </row>
    <row r="6956">
      <c r="F6956" s="13"/>
      <c r="M6956" s="13"/>
    </row>
    <row r="6957">
      <c r="F6957" s="13"/>
      <c r="M6957" s="13"/>
    </row>
    <row r="6958">
      <c r="F6958" s="13"/>
      <c r="M6958" s="13"/>
    </row>
    <row r="6959">
      <c r="F6959" s="13"/>
      <c r="M6959" s="13"/>
    </row>
    <row r="6960">
      <c r="F6960" s="13"/>
      <c r="M6960" s="13"/>
    </row>
    <row r="6961">
      <c r="F6961" s="13"/>
      <c r="M6961" s="13"/>
    </row>
    <row r="6962">
      <c r="F6962" s="13"/>
      <c r="M6962" s="13"/>
    </row>
    <row r="6963">
      <c r="F6963" s="13"/>
      <c r="M6963" s="13"/>
    </row>
    <row r="6964">
      <c r="F6964" s="13"/>
      <c r="M6964" s="13"/>
    </row>
    <row r="6965">
      <c r="F6965" s="13"/>
      <c r="M6965" s="13"/>
    </row>
    <row r="6966">
      <c r="F6966" s="13"/>
      <c r="M6966" s="13"/>
    </row>
    <row r="6967">
      <c r="F6967" s="13"/>
      <c r="M6967" s="13"/>
    </row>
    <row r="6968">
      <c r="F6968" s="13"/>
      <c r="M6968" s="13"/>
    </row>
    <row r="6969">
      <c r="F6969" s="13"/>
      <c r="M6969" s="13"/>
    </row>
    <row r="6970">
      <c r="F6970" s="13"/>
      <c r="M6970" s="13"/>
    </row>
    <row r="6971">
      <c r="F6971" s="13"/>
      <c r="M6971" s="13"/>
    </row>
    <row r="6972">
      <c r="F6972" s="13"/>
      <c r="M6972" s="13"/>
    </row>
    <row r="6973">
      <c r="F6973" s="13"/>
      <c r="M6973" s="13"/>
    </row>
    <row r="6974">
      <c r="F6974" s="13"/>
      <c r="M6974" s="13"/>
    </row>
    <row r="6975">
      <c r="F6975" s="13"/>
      <c r="M6975" s="13"/>
    </row>
    <row r="6976">
      <c r="F6976" s="13"/>
      <c r="M6976" s="13"/>
    </row>
    <row r="6977">
      <c r="F6977" s="13"/>
      <c r="M6977" s="13"/>
    </row>
    <row r="6978">
      <c r="F6978" s="13"/>
      <c r="M6978" s="13"/>
    </row>
    <row r="6979">
      <c r="F6979" s="13"/>
      <c r="M6979" s="13"/>
    </row>
    <row r="6980">
      <c r="F6980" s="13"/>
      <c r="M6980" s="13"/>
    </row>
    <row r="6981">
      <c r="F6981" s="13"/>
      <c r="M6981" s="13"/>
    </row>
    <row r="6982">
      <c r="F6982" s="13"/>
      <c r="M6982" s="13"/>
    </row>
    <row r="6983">
      <c r="F6983" s="13"/>
      <c r="M6983" s="13"/>
    </row>
    <row r="6984">
      <c r="F6984" s="13"/>
      <c r="M6984" s="13"/>
    </row>
    <row r="6985">
      <c r="F6985" s="13"/>
      <c r="M6985" s="13"/>
    </row>
    <row r="6986">
      <c r="F6986" s="13"/>
      <c r="M6986" s="13"/>
    </row>
    <row r="6987">
      <c r="F6987" s="13"/>
      <c r="M6987" s="13"/>
    </row>
    <row r="6988">
      <c r="F6988" s="13"/>
      <c r="M6988" s="13"/>
    </row>
    <row r="6989">
      <c r="F6989" s="13"/>
      <c r="M6989" s="13"/>
    </row>
    <row r="6990">
      <c r="F6990" s="13"/>
      <c r="M6990" s="13"/>
    </row>
    <row r="6991">
      <c r="F6991" s="13"/>
      <c r="M6991" s="13"/>
    </row>
    <row r="6992">
      <c r="F6992" s="13"/>
      <c r="M6992" s="13"/>
    </row>
    <row r="6993">
      <c r="F6993" s="13"/>
      <c r="M6993" s="13"/>
    </row>
    <row r="6994">
      <c r="F6994" s="13"/>
      <c r="M6994" s="13"/>
    </row>
    <row r="6995">
      <c r="F6995" s="13"/>
      <c r="M6995" s="13"/>
    </row>
    <row r="6996">
      <c r="F6996" s="13"/>
      <c r="M6996" s="13"/>
    </row>
    <row r="6997">
      <c r="F6997" s="13"/>
      <c r="M6997" s="13"/>
    </row>
    <row r="6998">
      <c r="F6998" s="13"/>
      <c r="M6998" s="13"/>
    </row>
    <row r="6999">
      <c r="F6999" s="13"/>
      <c r="M6999" s="13"/>
    </row>
    <row r="7000">
      <c r="F7000" s="13"/>
      <c r="M7000" s="13"/>
    </row>
    <row r="7001">
      <c r="F7001" s="13"/>
      <c r="M7001" s="13"/>
    </row>
    <row r="7002">
      <c r="F7002" s="13"/>
      <c r="M7002" s="13"/>
    </row>
    <row r="7003">
      <c r="F7003" s="13"/>
      <c r="M7003" s="13"/>
    </row>
    <row r="7004">
      <c r="F7004" s="13"/>
      <c r="M7004" s="13"/>
    </row>
    <row r="7005">
      <c r="F7005" s="13"/>
      <c r="M7005" s="13"/>
    </row>
    <row r="7006">
      <c r="F7006" s="13"/>
      <c r="M7006" s="13"/>
    </row>
    <row r="7007">
      <c r="F7007" s="13"/>
      <c r="M7007" s="13"/>
    </row>
    <row r="7008">
      <c r="F7008" s="13"/>
      <c r="M7008" s="13"/>
    </row>
    <row r="7009">
      <c r="F7009" s="13"/>
      <c r="M7009" s="13"/>
    </row>
    <row r="7010">
      <c r="F7010" s="13"/>
      <c r="M7010" s="13"/>
    </row>
    <row r="7011">
      <c r="F7011" s="13"/>
      <c r="M7011" s="13"/>
    </row>
    <row r="7012">
      <c r="F7012" s="13"/>
      <c r="M7012" s="13"/>
    </row>
    <row r="7013">
      <c r="F7013" s="13"/>
      <c r="M7013" s="13"/>
    </row>
    <row r="7014">
      <c r="F7014" s="13"/>
      <c r="M7014" s="13"/>
    </row>
    <row r="7015">
      <c r="F7015" s="13"/>
      <c r="M7015" s="13"/>
    </row>
    <row r="7016">
      <c r="F7016" s="13"/>
      <c r="M7016" s="13"/>
    </row>
    <row r="7017">
      <c r="F7017" s="13"/>
      <c r="M7017" s="13"/>
    </row>
    <row r="7018">
      <c r="F7018" s="13"/>
      <c r="M7018" s="13"/>
    </row>
    <row r="7019">
      <c r="F7019" s="13"/>
      <c r="M7019" s="13"/>
    </row>
    <row r="7020">
      <c r="F7020" s="13"/>
      <c r="M7020" s="13"/>
    </row>
    <row r="7021">
      <c r="F7021" s="13"/>
      <c r="M7021" s="13"/>
    </row>
    <row r="7022">
      <c r="F7022" s="13"/>
      <c r="M7022" s="13"/>
    </row>
    <row r="7023">
      <c r="F7023" s="13"/>
      <c r="M7023" s="13"/>
    </row>
    <row r="7024">
      <c r="F7024" s="13"/>
      <c r="M7024" s="13"/>
    </row>
    <row r="7025">
      <c r="F7025" s="13"/>
      <c r="M7025" s="13"/>
    </row>
    <row r="7026">
      <c r="F7026" s="13"/>
      <c r="M7026" s="13"/>
    </row>
    <row r="7027">
      <c r="F7027" s="13"/>
      <c r="M7027" s="13"/>
    </row>
    <row r="7028">
      <c r="F7028" s="13"/>
      <c r="M7028" s="13"/>
    </row>
    <row r="7029">
      <c r="F7029" s="13"/>
      <c r="M7029" s="13"/>
    </row>
    <row r="7030">
      <c r="F7030" s="13"/>
      <c r="M7030" s="13"/>
    </row>
    <row r="7031">
      <c r="F7031" s="13"/>
      <c r="M7031" s="13"/>
    </row>
    <row r="7032">
      <c r="F7032" s="13"/>
      <c r="M7032" s="13"/>
    </row>
    <row r="7033">
      <c r="F7033" s="13"/>
      <c r="M7033" s="13"/>
    </row>
    <row r="7034">
      <c r="F7034" s="13"/>
      <c r="M7034" s="13"/>
    </row>
    <row r="7035">
      <c r="F7035" s="13"/>
      <c r="M7035" s="13"/>
    </row>
    <row r="7036">
      <c r="F7036" s="13"/>
      <c r="M7036" s="13"/>
    </row>
    <row r="7037">
      <c r="F7037" s="13"/>
      <c r="M7037" s="13"/>
    </row>
    <row r="7038">
      <c r="F7038" s="13"/>
      <c r="M7038" s="13"/>
    </row>
    <row r="7039">
      <c r="F7039" s="13"/>
      <c r="M7039" s="13"/>
    </row>
    <row r="7040">
      <c r="F7040" s="13"/>
      <c r="M7040" s="13"/>
    </row>
    <row r="7041">
      <c r="F7041" s="13"/>
      <c r="M7041" s="13"/>
    </row>
    <row r="7042">
      <c r="F7042" s="13"/>
      <c r="M7042" s="13"/>
    </row>
    <row r="7043">
      <c r="F7043" s="13"/>
      <c r="M7043" s="13"/>
    </row>
    <row r="7044">
      <c r="F7044" s="13"/>
      <c r="M7044" s="13"/>
    </row>
    <row r="7045">
      <c r="F7045" s="13"/>
      <c r="M7045" s="13"/>
    </row>
    <row r="7046">
      <c r="F7046" s="13"/>
      <c r="M7046" s="13"/>
    </row>
    <row r="7047">
      <c r="F7047" s="13"/>
      <c r="M7047" s="13"/>
    </row>
    <row r="7048">
      <c r="F7048" s="13"/>
      <c r="M7048" s="13"/>
    </row>
    <row r="7049">
      <c r="F7049" s="13"/>
      <c r="M7049" s="13"/>
    </row>
    <row r="7050">
      <c r="F7050" s="13"/>
      <c r="M7050" s="13"/>
    </row>
    <row r="7051">
      <c r="F7051" s="13"/>
      <c r="M7051" s="13"/>
    </row>
    <row r="7052">
      <c r="F7052" s="13"/>
      <c r="M7052" s="13"/>
    </row>
    <row r="7053">
      <c r="F7053" s="13"/>
      <c r="M7053" s="13"/>
    </row>
    <row r="7054">
      <c r="F7054" s="13"/>
      <c r="M7054" s="13"/>
    </row>
    <row r="7055">
      <c r="F7055" s="13"/>
      <c r="M7055" s="13"/>
    </row>
    <row r="7056">
      <c r="F7056" s="13"/>
      <c r="M7056" s="13"/>
    </row>
    <row r="7057">
      <c r="F7057" s="13"/>
      <c r="M7057" s="13"/>
    </row>
    <row r="7058">
      <c r="F7058" s="13"/>
      <c r="M7058" s="13"/>
    </row>
    <row r="7059">
      <c r="F7059" s="13"/>
      <c r="M7059" s="13"/>
    </row>
    <row r="7060">
      <c r="F7060" s="13"/>
      <c r="M7060" s="13"/>
    </row>
    <row r="7061">
      <c r="F7061" s="13"/>
      <c r="M7061" s="13"/>
    </row>
    <row r="7062">
      <c r="F7062" s="13"/>
      <c r="M7062" s="13"/>
    </row>
    <row r="7063">
      <c r="F7063" s="13"/>
      <c r="M7063" s="13"/>
    </row>
    <row r="7064">
      <c r="F7064" s="13"/>
      <c r="M7064" s="13"/>
    </row>
    <row r="7065">
      <c r="F7065" s="13"/>
      <c r="M7065" s="13"/>
    </row>
    <row r="7066">
      <c r="F7066" s="13"/>
      <c r="M7066" s="13"/>
    </row>
    <row r="7067">
      <c r="F7067" s="13"/>
      <c r="M7067" s="13"/>
    </row>
    <row r="7068">
      <c r="F7068" s="13"/>
      <c r="M7068" s="13"/>
    </row>
    <row r="7069">
      <c r="F7069" s="13"/>
      <c r="M7069" s="13"/>
    </row>
    <row r="7070">
      <c r="F7070" s="13"/>
      <c r="M7070" s="13"/>
    </row>
    <row r="7071">
      <c r="F7071" s="13"/>
      <c r="M7071" s="13"/>
    </row>
    <row r="7072">
      <c r="F7072" s="13"/>
      <c r="M7072" s="13"/>
    </row>
    <row r="7073">
      <c r="F7073" s="13"/>
      <c r="M7073" s="13"/>
    </row>
    <row r="7074">
      <c r="F7074" s="13"/>
      <c r="M7074" s="13"/>
    </row>
    <row r="7075">
      <c r="F7075" s="13"/>
      <c r="M7075" s="13"/>
    </row>
    <row r="7076">
      <c r="F7076" s="13"/>
      <c r="M7076" s="13"/>
    </row>
    <row r="7077">
      <c r="F7077" s="13"/>
      <c r="M7077" s="13"/>
    </row>
    <row r="7078">
      <c r="F7078" s="13"/>
      <c r="M7078" s="13"/>
    </row>
    <row r="7079">
      <c r="F7079" s="13"/>
      <c r="M7079" s="13"/>
    </row>
    <row r="7080">
      <c r="F7080" s="13"/>
      <c r="M7080" s="13"/>
    </row>
    <row r="7081">
      <c r="F7081" s="13"/>
      <c r="M7081" s="13"/>
    </row>
    <row r="7082">
      <c r="F7082" s="13"/>
      <c r="M7082" s="13"/>
    </row>
    <row r="7083">
      <c r="F7083" s="13"/>
      <c r="M7083" s="13"/>
    </row>
    <row r="7084">
      <c r="F7084" s="13"/>
      <c r="M7084" s="13"/>
    </row>
    <row r="7085">
      <c r="F7085" s="13"/>
      <c r="M7085" s="13"/>
    </row>
    <row r="7086">
      <c r="F7086" s="13"/>
      <c r="M7086" s="13"/>
    </row>
    <row r="7087">
      <c r="F7087" s="13"/>
      <c r="M7087" s="13"/>
    </row>
    <row r="7088">
      <c r="F7088" s="13"/>
      <c r="M7088" s="13"/>
    </row>
    <row r="7089">
      <c r="F7089" s="13"/>
      <c r="M7089" s="13"/>
    </row>
    <row r="7090">
      <c r="F7090" s="13"/>
      <c r="M7090" s="13"/>
    </row>
    <row r="7091">
      <c r="F7091" s="13"/>
      <c r="M7091" s="13"/>
    </row>
    <row r="7092">
      <c r="F7092" s="13"/>
      <c r="M7092" s="13"/>
    </row>
    <row r="7093">
      <c r="F7093" s="13"/>
      <c r="M7093" s="13"/>
    </row>
    <row r="7094">
      <c r="F7094" s="13"/>
      <c r="M7094" s="13"/>
    </row>
    <row r="7095">
      <c r="F7095" s="13"/>
      <c r="M7095" s="13"/>
    </row>
    <row r="7096">
      <c r="F7096" s="13"/>
      <c r="M7096" s="13"/>
    </row>
    <row r="7097">
      <c r="F7097" s="13"/>
      <c r="M7097" s="13"/>
    </row>
    <row r="7098">
      <c r="F7098" s="13"/>
      <c r="M7098" s="13"/>
    </row>
    <row r="7099">
      <c r="F7099" s="13"/>
      <c r="M7099" s="13"/>
    </row>
    <row r="7100">
      <c r="F7100" s="13"/>
      <c r="M7100" s="13"/>
    </row>
    <row r="7101">
      <c r="F7101" s="13"/>
      <c r="M7101" s="13"/>
    </row>
    <row r="7102">
      <c r="F7102" s="13"/>
      <c r="M7102" s="13"/>
    </row>
    <row r="7103">
      <c r="F7103" s="13"/>
      <c r="M7103" s="13"/>
    </row>
    <row r="7104">
      <c r="F7104" s="13"/>
      <c r="M7104" s="13"/>
    </row>
    <row r="7105">
      <c r="F7105" s="13"/>
      <c r="M7105" s="13"/>
    </row>
    <row r="7106">
      <c r="F7106" s="13"/>
      <c r="M7106" s="13"/>
    </row>
    <row r="7107">
      <c r="F7107" s="13"/>
      <c r="M7107" s="13"/>
    </row>
    <row r="7108">
      <c r="F7108" s="13"/>
      <c r="M7108" s="13"/>
    </row>
    <row r="7109">
      <c r="F7109" s="13"/>
      <c r="M7109" s="13"/>
    </row>
    <row r="7110">
      <c r="F7110" s="13"/>
      <c r="M7110" s="13"/>
    </row>
    <row r="7111">
      <c r="F7111" s="13"/>
      <c r="M7111" s="13"/>
    </row>
    <row r="7112">
      <c r="F7112" s="13"/>
      <c r="M7112" s="13"/>
    </row>
    <row r="7113">
      <c r="F7113" s="13"/>
      <c r="M7113" s="13"/>
    </row>
    <row r="7114">
      <c r="F7114" s="13"/>
      <c r="M7114" s="13"/>
    </row>
    <row r="7115">
      <c r="F7115" s="13"/>
      <c r="M7115" s="13"/>
    </row>
    <row r="7116">
      <c r="F7116" s="13"/>
      <c r="M7116" s="13"/>
    </row>
    <row r="7117">
      <c r="F7117" s="13"/>
      <c r="M7117" s="13"/>
    </row>
    <row r="7118">
      <c r="F7118" s="13"/>
      <c r="M7118" s="13"/>
    </row>
    <row r="7119">
      <c r="F7119" s="13"/>
      <c r="M7119" s="13"/>
    </row>
    <row r="7120">
      <c r="F7120" s="13"/>
      <c r="M7120" s="13"/>
    </row>
    <row r="7121">
      <c r="F7121" s="13"/>
      <c r="M7121" s="13"/>
    </row>
    <row r="7122">
      <c r="F7122" s="13"/>
      <c r="M7122" s="13"/>
    </row>
    <row r="7123">
      <c r="F7123" s="13"/>
      <c r="M7123" s="13"/>
    </row>
    <row r="7124">
      <c r="F7124" s="13"/>
      <c r="M7124" s="13"/>
    </row>
    <row r="7125">
      <c r="F7125" s="13"/>
      <c r="M7125" s="13"/>
    </row>
    <row r="7126">
      <c r="F7126" s="13"/>
      <c r="M7126" s="13"/>
    </row>
    <row r="7127">
      <c r="F7127" s="13"/>
      <c r="M7127" s="13"/>
    </row>
    <row r="7128">
      <c r="F7128" s="13"/>
      <c r="M7128" s="13"/>
    </row>
    <row r="7129">
      <c r="F7129" s="13"/>
      <c r="M7129" s="13"/>
    </row>
    <row r="7130">
      <c r="F7130" s="13"/>
      <c r="M7130" s="13"/>
    </row>
    <row r="7131">
      <c r="F7131" s="13"/>
      <c r="M7131" s="13"/>
    </row>
    <row r="7132">
      <c r="F7132" s="13"/>
      <c r="M7132" s="13"/>
    </row>
    <row r="7133">
      <c r="F7133" s="13"/>
      <c r="M7133" s="13"/>
    </row>
    <row r="7134">
      <c r="F7134" s="13"/>
      <c r="M7134" s="13"/>
    </row>
    <row r="7135">
      <c r="F7135" s="13"/>
      <c r="M7135" s="13"/>
    </row>
    <row r="7136">
      <c r="F7136" s="13"/>
      <c r="M7136" s="13"/>
    </row>
    <row r="7137">
      <c r="F7137" s="13"/>
      <c r="M7137" s="13"/>
    </row>
    <row r="7138">
      <c r="F7138" s="13"/>
      <c r="M7138" s="13"/>
    </row>
    <row r="7139">
      <c r="F7139" s="13"/>
      <c r="M7139" s="13"/>
    </row>
    <row r="7140">
      <c r="F7140" s="13"/>
      <c r="M7140" s="13"/>
    </row>
    <row r="7141">
      <c r="F7141" s="13"/>
      <c r="M7141" s="13"/>
    </row>
    <row r="7142">
      <c r="F7142" s="13"/>
      <c r="M7142" s="13"/>
    </row>
    <row r="7143">
      <c r="F7143" s="13"/>
      <c r="M7143" s="13"/>
    </row>
    <row r="7144">
      <c r="F7144" s="13"/>
      <c r="M7144" s="13"/>
    </row>
    <row r="7145">
      <c r="F7145" s="13"/>
      <c r="M7145" s="13"/>
    </row>
    <row r="7146">
      <c r="F7146" s="13"/>
      <c r="M7146" s="13"/>
    </row>
    <row r="7147">
      <c r="F7147" s="13"/>
      <c r="M7147" s="13"/>
    </row>
    <row r="7148">
      <c r="F7148" s="13"/>
      <c r="M7148" s="13"/>
    </row>
    <row r="7149">
      <c r="F7149" s="13"/>
      <c r="M7149" s="13"/>
    </row>
    <row r="7150">
      <c r="F7150" s="13"/>
      <c r="M7150" s="13"/>
    </row>
    <row r="7151">
      <c r="F7151" s="13"/>
      <c r="M7151" s="13"/>
    </row>
    <row r="7152">
      <c r="F7152" s="13"/>
      <c r="M7152" s="13"/>
    </row>
    <row r="7153">
      <c r="F7153" s="13"/>
      <c r="M7153" s="13"/>
    </row>
    <row r="7154">
      <c r="F7154" s="13"/>
      <c r="M7154" s="13"/>
    </row>
    <row r="7155">
      <c r="F7155" s="13"/>
      <c r="M7155" s="13"/>
    </row>
    <row r="7156">
      <c r="F7156" s="13"/>
      <c r="M7156" s="13"/>
    </row>
    <row r="7157">
      <c r="F7157" s="13"/>
      <c r="M7157" s="13"/>
    </row>
    <row r="7158">
      <c r="F7158" s="13"/>
      <c r="M7158" s="13"/>
    </row>
    <row r="7159">
      <c r="F7159" s="13"/>
      <c r="M7159" s="13"/>
    </row>
    <row r="7160">
      <c r="F7160" s="13"/>
      <c r="M7160" s="13"/>
    </row>
    <row r="7161">
      <c r="F7161" s="13"/>
      <c r="M7161" s="13"/>
    </row>
    <row r="7162">
      <c r="F7162" s="13"/>
      <c r="M7162" s="13"/>
    </row>
    <row r="7163">
      <c r="F7163" s="13"/>
      <c r="M7163" s="13"/>
    </row>
    <row r="7164">
      <c r="F7164" s="13"/>
      <c r="M7164" s="13"/>
    </row>
    <row r="7165">
      <c r="F7165" s="13"/>
      <c r="M7165" s="13"/>
    </row>
    <row r="7166">
      <c r="F7166" s="13"/>
      <c r="M7166" s="13"/>
    </row>
    <row r="7167">
      <c r="F7167" s="13"/>
      <c r="M7167" s="13"/>
    </row>
    <row r="7168">
      <c r="F7168" s="13"/>
      <c r="M7168" s="13"/>
    </row>
    <row r="7169">
      <c r="F7169" s="13"/>
      <c r="M7169" s="13"/>
    </row>
    <row r="7170">
      <c r="F7170" s="13"/>
      <c r="M7170" s="13"/>
    </row>
    <row r="7171">
      <c r="F7171" s="13"/>
      <c r="M7171" s="13"/>
    </row>
    <row r="7172">
      <c r="F7172" s="13"/>
      <c r="M7172" s="13"/>
    </row>
    <row r="7173">
      <c r="F7173" s="13"/>
      <c r="M7173" s="13"/>
    </row>
    <row r="7174">
      <c r="F7174" s="13"/>
      <c r="M7174" s="13"/>
    </row>
    <row r="7175">
      <c r="F7175" s="13"/>
      <c r="M7175" s="13"/>
    </row>
    <row r="7176">
      <c r="F7176" s="13"/>
      <c r="M7176" s="13"/>
    </row>
    <row r="7177">
      <c r="F7177" s="13"/>
      <c r="M7177" s="13"/>
    </row>
    <row r="7178">
      <c r="F7178" s="13"/>
      <c r="M7178" s="13"/>
    </row>
    <row r="7179">
      <c r="F7179" s="13"/>
      <c r="M7179" s="13"/>
    </row>
    <row r="7180">
      <c r="F7180" s="13"/>
      <c r="M7180" s="13"/>
    </row>
    <row r="7181">
      <c r="F7181" s="13"/>
      <c r="M7181" s="13"/>
    </row>
    <row r="7182">
      <c r="F7182" s="13"/>
      <c r="M7182" s="13"/>
    </row>
    <row r="7183">
      <c r="F7183" s="13"/>
      <c r="M7183" s="13"/>
    </row>
    <row r="7184">
      <c r="F7184" s="13"/>
      <c r="M7184" s="13"/>
    </row>
    <row r="7185">
      <c r="F7185" s="13"/>
      <c r="M7185" s="13"/>
    </row>
    <row r="7186">
      <c r="F7186" s="13"/>
      <c r="M7186" s="13"/>
    </row>
    <row r="7187">
      <c r="F7187" s="13"/>
      <c r="M7187" s="13"/>
    </row>
    <row r="7188">
      <c r="F7188" s="13"/>
      <c r="M7188" s="13"/>
    </row>
    <row r="7189">
      <c r="F7189" s="13"/>
      <c r="M7189" s="13"/>
    </row>
    <row r="7190">
      <c r="F7190" s="13"/>
      <c r="M7190" s="13"/>
    </row>
    <row r="7191">
      <c r="F7191" s="13"/>
      <c r="M7191" s="13"/>
    </row>
    <row r="7192">
      <c r="F7192" s="13"/>
      <c r="M7192" s="13"/>
    </row>
    <row r="7193">
      <c r="F7193" s="13"/>
      <c r="M7193" s="13"/>
    </row>
    <row r="7194">
      <c r="F7194" s="13"/>
      <c r="M7194" s="13"/>
    </row>
    <row r="7195">
      <c r="F7195" s="13"/>
      <c r="M7195" s="13"/>
    </row>
    <row r="7196">
      <c r="F7196" s="13"/>
      <c r="M7196" s="13"/>
    </row>
    <row r="7197">
      <c r="F7197" s="13"/>
      <c r="M7197" s="13"/>
    </row>
    <row r="7198">
      <c r="F7198" s="13"/>
      <c r="M7198" s="13"/>
    </row>
    <row r="7199">
      <c r="F7199" s="13"/>
      <c r="M7199" s="13"/>
    </row>
    <row r="7200">
      <c r="F7200" s="13"/>
      <c r="M7200" s="13"/>
    </row>
    <row r="7201">
      <c r="F7201" s="13"/>
      <c r="M7201" s="13"/>
    </row>
    <row r="7202">
      <c r="F7202" s="13"/>
      <c r="M7202" s="13"/>
    </row>
    <row r="7203">
      <c r="F7203" s="13"/>
      <c r="M7203" s="13"/>
    </row>
    <row r="7204">
      <c r="F7204" s="13"/>
      <c r="M7204" s="13"/>
    </row>
    <row r="7205">
      <c r="F7205" s="13"/>
      <c r="M7205" s="13"/>
    </row>
    <row r="7206">
      <c r="F7206" s="13"/>
      <c r="M7206" s="13"/>
    </row>
    <row r="7207">
      <c r="F7207" s="13"/>
      <c r="M7207" s="13"/>
    </row>
    <row r="7208">
      <c r="F7208" s="13"/>
      <c r="M7208" s="13"/>
    </row>
    <row r="7209">
      <c r="F7209" s="13"/>
      <c r="M7209" s="13"/>
    </row>
    <row r="7210">
      <c r="F7210" s="13"/>
      <c r="M7210" s="13"/>
    </row>
    <row r="7211">
      <c r="F7211" s="13"/>
      <c r="M7211" s="13"/>
    </row>
    <row r="7212">
      <c r="F7212" s="13"/>
      <c r="M7212" s="13"/>
    </row>
    <row r="7213">
      <c r="F7213" s="13"/>
      <c r="M7213" s="13"/>
    </row>
    <row r="7214">
      <c r="F7214" s="13"/>
      <c r="M7214" s="13"/>
    </row>
    <row r="7215">
      <c r="F7215" s="13"/>
      <c r="M7215" s="13"/>
    </row>
    <row r="7216">
      <c r="F7216" s="13"/>
      <c r="M7216" s="13"/>
    </row>
    <row r="7217">
      <c r="F7217" s="13"/>
      <c r="M7217" s="13"/>
    </row>
    <row r="7218">
      <c r="F7218" s="13"/>
      <c r="M7218" s="13"/>
    </row>
    <row r="7219">
      <c r="F7219" s="13"/>
      <c r="M7219" s="13"/>
    </row>
    <row r="7220">
      <c r="F7220" s="13"/>
      <c r="M7220" s="13"/>
    </row>
    <row r="7221">
      <c r="F7221" s="13"/>
      <c r="M7221" s="13"/>
    </row>
    <row r="7222">
      <c r="F7222" s="13"/>
      <c r="M7222" s="13"/>
    </row>
    <row r="7223">
      <c r="F7223" s="13"/>
      <c r="M7223" s="13"/>
    </row>
    <row r="7224">
      <c r="F7224" s="13"/>
      <c r="M7224" s="13"/>
    </row>
    <row r="7225">
      <c r="F7225" s="13"/>
      <c r="M7225" s="13"/>
    </row>
    <row r="7226">
      <c r="F7226" s="13"/>
      <c r="M7226" s="13"/>
    </row>
    <row r="7227">
      <c r="F7227" s="13"/>
      <c r="M7227" s="13"/>
    </row>
    <row r="7228">
      <c r="F7228" s="13"/>
      <c r="M7228" s="13"/>
    </row>
    <row r="7229">
      <c r="F7229" s="13"/>
      <c r="M7229" s="13"/>
    </row>
    <row r="7230">
      <c r="F7230" s="13"/>
      <c r="M7230" s="13"/>
    </row>
    <row r="7231">
      <c r="F7231" s="13"/>
      <c r="M7231" s="13"/>
    </row>
    <row r="7232">
      <c r="F7232" s="13"/>
      <c r="M7232" s="13"/>
    </row>
    <row r="7233">
      <c r="F7233" s="13"/>
      <c r="M7233" s="13"/>
    </row>
    <row r="7234">
      <c r="F7234" s="13"/>
      <c r="M7234" s="13"/>
    </row>
    <row r="7235">
      <c r="F7235" s="13"/>
      <c r="M7235" s="13"/>
    </row>
    <row r="7236">
      <c r="F7236" s="13"/>
      <c r="M7236" s="13"/>
    </row>
    <row r="7237">
      <c r="F7237" s="13"/>
      <c r="M7237" s="13"/>
    </row>
    <row r="7238">
      <c r="F7238" s="13"/>
      <c r="M7238" s="13"/>
    </row>
    <row r="7239">
      <c r="F7239" s="13"/>
      <c r="M7239" s="13"/>
    </row>
    <row r="7240">
      <c r="F7240" s="13"/>
      <c r="M7240" s="13"/>
    </row>
    <row r="7241">
      <c r="F7241" s="13"/>
      <c r="M7241" s="13"/>
    </row>
    <row r="7242">
      <c r="F7242" s="13"/>
      <c r="M7242" s="13"/>
    </row>
    <row r="7243">
      <c r="F7243" s="13"/>
      <c r="M7243" s="13"/>
    </row>
    <row r="7244">
      <c r="F7244" s="13"/>
      <c r="M7244" s="13"/>
    </row>
    <row r="7245">
      <c r="F7245" s="13"/>
      <c r="M7245" s="13"/>
    </row>
    <row r="7246">
      <c r="F7246" s="13"/>
      <c r="M7246" s="13"/>
    </row>
    <row r="7247">
      <c r="F7247" s="13"/>
      <c r="M7247" s="13"/>
    </row>
    <row r="7248">
      <c r="F7248" s="13"/>
      <c r="M7248" s="13"/>
    </row>
    <row r="7249">
      <c r="F7249" s="13"/>
      <c r="M7249" s="13"/>
    </row>
    <row r="7250">
      <c r="F7250" s="13"/>
      <c r="M7250" s="13"/>
    </row>
    <row r="7251">
      <c r="F7251" s="13"/>
      <c r="M7251" s="13"/>
    </row>
    <row r="7252">
      <c r="F7252" s="13"/>
      <c r="M7252" s="13"/>
    </row>
    <row r="7253">
      <c r="F7253" s="13"/>
      <c r="M7253" s="13"/>
    </row>
    <row r="7254">
      <c r="F7254" s="13"/>
      <c r="M7254" s="13"/>
    </row>
    <row r="7255">
      <c r="F7255" s="13"/>
      <c r="M7255" s="13"/>
    </row>
    <row r="7256">
      <c r="F7256" s="13"/>
      <c r="M7256" s="13"/>
    </row>
    <row r="7257">
      <c r="F7257" s="13"/>
      <c r="M7257" s="13"/>
    </row>
    <row r="7258">
      <c r="F7258" s="13"/>
      <c r="M7258" s="13"/>
    </row>
    <row r="7259">
      <c r="F7259" s="13"/>
      <c r="M7259" s="13"/>
    </row>
    <row r="7260">
      <c r="F7260" s="13"/>
      <c r="M7260" s="13"/>
    </row>
    <row r="7261">
      <c r="F7261" s="13"/>
      <c r="M7261" s="13"/>
    </row>
    <row r="7262">
      <c r="F7262" s="13"/>
      <c r="M7262" s="13"/>
    </row>
    <row r="7263">
      <c r="F7263" s="13"/>
      <c r="M7263" s="13"/>
    </row>
    <row r="7264">
      <c r="F7264" s="13"/>
      <c r="M7264" s="13"/>
    </row>
    <row r="7265">
      <c r="F7265" s="13"/>
      <c r="M7265" s="13"/>
    </row>
    <row r="7266">
      <c r="F7266" s="13"/>
      <c r="M7266" s="13"/>
    </row>
    <row r="7267">
      <c r="F7267" s="13"/>
      <c r="M7267" s="13"/>
    </row>
    <row r="7268">
      <c r="F7268" s="13"/>
      <c r="M7268" s="13"/>
    </row>
    <row r="7269">
      <c r="F7269" s="13"/>
      <c r="M7269" s="13"/>
    </row>
    <row r="7270">
      <c r="F7270" s="13"/>
      <c r="M7270" s="13"/>
    </row>
    <row r="7271">
      <c r="F7271" s="13"/>
      <c r="M7271" s="13"/>
    </row>
    <row r="7272">
      <c r="F7272" s="13"/>
      <c r="M7272" s="13"/>
    </row>
    <row r="7273">
      <c r="F7273" s="13"/>
      <c r="M7273" s="13"/>
    </row>
    <row r="7274">
      <c r="F7274" s="13"/>
      <c r="M7274" s="13"/>
    </row>
    <row r="7275">
      <c r="F7275" s="13"/>
      <c r="M7275" s="13"/>
    </row>
    <row r="7276">
      <c r="F7276" s="13"/>
      <c r="M7276" s="13"/>
    </row>
    <row r="7277">
      <c r="F7277" s="13"/>
      <c r="M7277" s="13"/>
    </row>
    <row r="7278">
      <c r="F7278" s="13"/>
      <c r="M7278" s="13"/>
    </row>
    <row r="7279">
      <c r="F7279" s="13"/>
      <c r="M7279" s="13"/>
    </row>
    <row r="7280">
      <c r="F7280" s="13"/>
      <c r="M7280" s="13"/>
    </row>
    <row r="7281">
      <c r="F7281" s="13"/>
      <c r="M7281" s="13"/>
    </row>
    <row r="7282">
      <c r="F7282" s="13"/>
      <c r="M7282" s="13"/>
    </row>
    <row r="7283">
      <c r="F7283" s="13"/>
      <c r="M7283" s="13"/>
    </row>
    <row r="7284">
      <c r="F7284" s="13"/>
      <c r="M7284" s="13"/>
    </row>
    <row r="7285">
      <c r="F7285" s="13"/>
      <c r="M7285" s="13"/>
    </row>
    <row r="7286">
      <c r="F7286" s="13"/>
      <c r="M7286" s="13"/>
    </row>
    <row r="7287">
      <c r="F7287" s="13"/>
      <c r="M7287" s="13"/>
    </row>
    <row r="7288">
      <c r="F7288" s="13"/>
      <c r="M7288" s="13"/>
    </row>
    <row r="7289">
      <c r="F7289" s="13"/>
      <c r="M7289" s="13"/>
    </row>
    <row r="7290">
      <c r="F7290" s="13"/>
      <c r="M7290" s="13"/>
    </row>
    <row r="7291">
      <c r="F7291" s="13"/>
      <c r="M7291" s="13"/>
    </row>
    <row r="7292">
      <c r="F7292" s="13"/>
      <c r="M7292" s="13"/>
    </row>
    <row r="7293">
      <c r="F7293" s="13"/>
      <c r="M7293" s="13"/>
    </row>
    <row r="7294">
      <c r="F7294" s="13"/>
      <c r="M7294" s="13"/>
    </row>
    <row r="7295">
      <c r="F7295" s="13"/>
      <c r="M7295" s="13"/>
    </row>
    <row r="7296">
      <c r="F7296" s="13"/>
      <c r="M7296" s="13"/>
    </row>
    <row r="7297">
      <c r="F7297" s="13"/>
      <c r="M7297" s="13"/>
    </row>
    <row r="7298">
      <c r="F7298" s="13"/>
      <c r="M7298" s="13"/>
    </row>
    <row r="7299">
      <c r="F7299" s="13"/>
      <c r="M7299" s="13"/>
    </row>
    <row r="7300">
      <c r="F7300" s="13"/>
      <c r="M7300" s="13"/>
    </row>
    <row r="7301">
      <c r="F7301" s="13"/>
      <c r="M7301" s="13"/>
    </row>
    <row r="7302">
      <c r="F7302" s="13"/>
      <c r="M7302" s="13"/>
    </row>
    <row r="7303">
      <c r="F7303" s="13"/>
      <c r="M7303" s="13"/>
    </row>
    <row r="7304">
      <c r="F7304" s="13"/>
      <c r="M7304" s="13"/>
    </row>
    <row r="7305">
      <c r="F7305" s="13"/>
      <c r="M7305" s="13"/>
    </row>
    <row r="7306">
      <c r="F7306" s="13"/>
      <c r="M7306" s="13"/>
    </row>
    <row r="7307">
      <c r="F7307" s="13"/>
      <c r="M7307" s="13"/>
    </row>
    <row r="7308">
      <c r="F7308" s="13"/>
      <c r="M7308" s="13"/>
    </row>
    <row r="7309">
      <c r="F7309" s="13"/>
      <c r="M7309" s="13"/>
    </row>
    <row r="7310">
      <c r="F7310" s="13"/>
      <c r="M7310" s="13"/>
    </row>
    <row r="7311">
      <c r="F7311" s="13"/>
      <c r="M7311" s="13"/>
    </row>
    <row r="7312">
      <c r="F7312" s="13"/>
      <c r="M7312" s="13"/>
    </row>
    <row r="7313">
      <c r="F7313" s="13"/>
      <c r="M7313" s="13"/>
    </row>
    <row r="7314">
      <c r="F7314" s="13"/>
      <c r="M7314" s="13"/>
    </row>
    <row r="7315">
      <c r="F7315" s="13"/>
      <c r="M7315" s="13"/>
    </row>
    <row r="7316">
      <c r="F7316" s="13"/>
      <c r="M7316" s="13"/>
    </row>
    <row r="7317">
      <c r="F7317" s="13"/>
      <c r="M7317" s="13"/>
    </row>
    <row r="7318">
      <c r="F7318" s="13"/>
      <c r="M7318" s="13"/>
    </row>
    <row r="7319">
      <c r="F7319" s="13"/>
      <c r="M7319" s="13"/>
    </row>
    <row r="7320">
      <c r="F7320" s="13"/>
      <c r="M7320" s="13"/>
    </row>
    <row r="7321">
      <c r="F7321" s="13"/>
      <c r="M7321" s="13"/>
    </row>
    <row r="7322">
      <c r="F7322" s="13"/>
      <c r="M7322" s="13"/>
    </row>
    <row r="7323">
      <c r="F7323" s="13"/>
      <c r="M7323" s="13"/>
    </row>
    <row r="7324">
      <c r="F7324" s="13"/>
      <c r="M7324" s="13"/>
    </row>
    <row r="7325">
      <c r="F7325" s="13"/>
      <c r="M7325" s="13"/>
    </row>
    <row r="7326">
      <c r="F7326" s="13"/>
      <c r="M7326" s="13"/>
    </row>
    <row r="7327">
      <c r="F7327" s="13"/>
      <c r="M7327" s="13"/>
    </row>
    <row r="7328">
      <c r="F7328" s="13"/>
      <c r="M7328" s="13"/>
    </row>
    <row r="7329">
      <c r="F7329" s="13"/>
      <c r="M7329" s="13"/>
    </row>
    <row r="7330">
      <c r="F7330" s="13"/>
      <c r="M7330" s="13"/>
    </row>
    <row r="7331">
      <c r="F7331" s="13"/>
      <c r="M7331" s="13"/>
    </row>
    <row r="7332">
      <c r="F7332" s="13"/>
      <c r="M7332" s="13"/>
    </row>
    <row r="7333">
      <c r="F7333" s="13"/>
      <c r="M7333" s="13"/>
    </row>
    <row r="7334">
      <c r="F7334" s="13"/>
      <c r="M7334" s="13"/>
    </row>
    <row r="7335">
      <c r="F7335" s="13"/>
      <c r="M7335" s="13"/>
    </row>
    <row r="7336">
      <c r="F7336" s="13"/>
      <c r="M7336" s="13"/>
    </row>
    <row r="7337">
      <c r="F7337" s="13"/>
      <c r="M7337" s="13"/>
    </row>
    <row r="7338">
      <c r="F7338" s="13"/>
      <c r="M7338" s="13"/>
    </row>
    <row r="7339">
      <c r="F7339" s="13"/>
      <c r="M7339" s="13"/>
    </row>
    <row r="7340">
      <c r="F7340" s="13"/>
      <c r="M7340" s="13"/>
    </row>
    <row r="7341">
      <c r="F7341" s="13"/>
      <c r="M7341" s="13"/>
    </row>
    <row r="7342">
      <c r="F7342" s="13"/>
      <c r="M7342" s="13"/>
    </row>
    <row r="7343">
      <c r="F7343" s="13"/>
      <c r="M7343" s="13"/>
    </row>
    <row r="7344">
      <c r="F7344" s="13"/>
      <c r="M7344" s="13"/>
    </row>
    <row r="7345">
      <c r="F7345" s="13"/>
      <c r="M7345" s="13"/>
    </row>
    <row r="7346">
      <c r="F7346" s="13"/>
      <c r="M7346" s="13"/>
    </row>
    <row r="7347">
      <c r="F7347" s="13"/>
      <c r="M7347" s="13"/>
    </row>
    <row r="7348">
      <c r="F7348" s="13"/>
      <c r="M7348" s="13"/>
    </row>
    <row r="7349">
      <c r="F7349" s="13"/>
      <c r="M7349" s="13"/>
    </row>
    <row r="7350">
      <c r="F7350" s="13"/>
      <c r="M7350" s="13"/>
    </row>
    <row r="7351">
      <c r="F7351" s="13"/>
      <c r="M7351" s="13"/>
    </row>
    <row r="7352">
      <c r="F7352" s="13"/>
      <c r="M7352" s="13"/>
    </row>
    <row r="7353">
      <c r="F7353" s="13"/>
      <c r="M7353" s="13"/>
    </row>
    <row r="7354">
      <c r="F7354" s="13"/>
      <c r="M7354" s="13"/>
    </row>
    <row r="7355">
      <c r="F7355" s="13"/>
      <c r="M7355" s="13"/>
    </row>
    <row r="7356">
      <c r="F7356" s="13"/>
      <c r="M7356" s="13"/>
    </row>
    <row r="7357">
      <c r="F7357" s="13"/>
      <c r="M7357" s="13"/>
    </row>
    <row r="7358">
      <c r="F7358" s="13"/>
      <c r="M7358" s="13"/>
    </row>
    <row r="7359">
      <c r="F7359" s="13"/>
      <c r="M7359" s="13"/>
    </row>
    <row r="7360">
      <c r="F7360" s="13"/>
      <c r="M7360" s="13"/>
    </row>
    <row r="7361">
      <c r="F7361" s="13"/>
      <c r="M7361" s="13"/>
    </row>
    <row r="7362">
      <c r="F7362" s="13"/>
      <c r="M7362" s="13"/>
    </row>
    <row r="7363">
      <c r="F7363" s="13"/>
      <c r="M7363" s="13"/>
    </row>
    <row r="7364">
      <c r="F7364" s="13"/>
      <c r="M7364" s="13"/>
    </row>
    <row r="7365">
      <c r="F7365" s="13"/>
      <c r="M7365" s="13"/>
    </row>
    <row r="7366">
      <c r="F7366" s="13"/>
      <c r="M7366" s="13"/>
    </row>
    <row r="7367">
      <c r="F7367" s="13"/>
      <c r="M7367" s="13"/>
    </row>
    <row r="7368">
      <c r="F7368" s="13"/>
      <c r="M7368" s="13"/>
    </row>
    <row r="7369">
      <c r="F7369" s="13"/>
      <c r="M7369" s="13"/>
    </row>
    <row r="7370">
      <c r="F7370" s="13"/>
      <c r="M7370" s="13"/>
    </row>
    <row r="7371">
      <c r="F7371" s="13"/>
      <c r="M7371" s="13"/>
    </row>
    <row r="7372">
      <c r="F7372" s="13"/>
      <c r="M7372" s="13"/>
    </row>
    <row r="7373">
      <c r="F7373" s="13"/>
      <c r="M7373" s="13"/>
    </row>
    <row r="7374">
      <c r="F7374" s="13"/>
      <c r="M7374" s="13"/>
    </row>
    <row r="7375">
      <c r="F7375" s="13"/>
      <c r="M7375" s="13"/>
    </row>
    <row r="7376">
      <c r="F7376" s="13"/>
      <c r="M7376" s="13"/>
    </row>
    <row r="7377">
      <c r="F7377" s="13"/>
      <c r="M7377" s="13"/>
    </row>
    <row r="7378">
      <c r="F7378" s="13"/>
      <c r="M7378" s="13"/>
    </row>
    <row r="7379">
      <c r="F7379" s="13"/>
      <c r="M7379" s="13"/>
    </row>
    <row r="7380">
      <c r="F7380" s="13"/>
      <c r="M7380" s="13"/>
    </row>
    <row r="7381">
      <c r="F7381" s="13"/>
      <c r="M7381" s="13"/>
    </row>
    <row r="7382">
      <c r="F7382" s="13"/>
      <c r="M7382" s="13"/>
    </row>
    <row r="7383">
      <c r="F7383" s="13"/>
      <c r="M7383" s="13"/>
    </row>
    <row r="7384">
      <c r="F7384" s="13"/>
      <c r="M7384" s="13"/>
    </row>
    <row r="7385">
      <c r="F7385" s="13"/>
      <c r="M7385" s="13"/>
    </row>
    <row r="7386">
      <c r="F7386" s="13"/>
      <c r="M7386" s="13"/>
    </row>
    <row r="7387">
      <c r="F7387" s="13"/>
      <c r="M7387" s="13"/>
    </row>
    <row r="7388">
      <c r="F7388" s="13"/>
      <c r="M7388" s="13"/>
    </row>
    <row r="7389">
      <c r="F7389" s="13"/>
      <c r="M7389" s="13"/>
    </row>
    <row r="7390">
      <c r="F7390" s="13"/>
      <c r="M7390" s="13"/>
    </row>
    <row r="7391">
      <c r="F7391" s="13"/>
      <c r="M7391" s="13"/>
    </row>
    <row r="7392">
      <c r="F7392" s="13"/>
      <c r="M7392" s="13"/>
    </row>
    <row r="7393">
      <c r="F7393" s="13"/>
      <c r="M7393" s="13"/>
    </row>
    <row r="7394">
      <c r="F7394" s="13"/>
      <c r="M7394" s="13"/>
    </row>
    <row r="7395">
      <c r="F7395" s="13"/>
      <c r="M7395" s="13"/>
    </row>
    <row r="7396">
      <c r="F7396" s="13"/>
      <c r="M7396" s="13"/>
    </row>
    <row r="7397">
      <c r="F7397" s="13"/>
      <c r="M7397" s="13"/>
    </row>
    <row r="7398">
      <c r="F7398" s="13"/>
      <c r="M7398" s="13"/>
    </row>
    <row r="7399">
      <c r="F7399" s="13"/>
      <c r="M7399" s="13"/>
    </row>
    <row r="7400">
      <c r="F7400" s="13"/>
      <c r="M7400" s="13"/>
    </row>
    <row r="7401">
      <c r="F7401" s="13"/>
      <c r="M7401" s="13"/>
    </row>
    <row r="7402">
      <c r="F7402" s="13"/>
      <c r="M7402" s="13"/>
    </row>
    <row r="7403">
      <c r="F7403" s="13"/>
      <c r="M7403" s="13"/>
    </row>
    <row r="7404">
      <c r="F7404" s="13"/>
      <c r="M7404" s="13"/>
    </row>
    <row r="7405">
      <c r="F7405" s="13"/>
      <c r="M7405" s="13"/>
    </row>
    <row r="7406">
      <c r="F7406" s="13"/>
      <c r="M7406" s="13"/>
    </row>
    <row r="7407">
      <c r="F7407" s="13"/>
      <c r="M7407" s="13"/>
    </row>
    <row r="7408">
      <c r="F7408" s="13"/>
      <c r="M7408" s="13"/>
    </row>
    <row r="7409">
      <c r="F7409" s="13"/>
      <c r="M7409" s="13"/>
    </row>
    <row r="7410">
      <c r="F7410" s="13"/>
      <c r="M7410" s="13"/>
    </row>
    <row r="7411">
      <c r="F7411" s="13"/>
      <c r="M7411" s="13"/>
    </row>
    <row r="7412">
      <c r="F7412" s="13"/>
      <c r="M7412" s="13"/>
    </row>
    <row r="7413">
      <c r="F7413" s="13"/>
      <c r="M7413" s="13"/>
    </row>
    <row r="7414">
      <c r="F7414" s="13"/>
      <c r="M7414" s="13"/>
    </row>
    <row r="7415">
      <c r="F7415" s="13"/>
      <c r="M7415" s="13"/>
    </row>
    <row r="7416">
      <c r="F7416" s="13"/>
      <c r="M7416" s="13"/>
    </row>
    <row r="7417">
      <c r="F7417" s="13"/>
      <c r="M7417" s="13"/>
    </row>
    <row r="7418">
      <c r="F7418" s="13"/>
      <c r="M7418" s="13"/>
    </row>
    <row r="7419">
      <c r="F7419" s="13"/>
      <c r="M7419" s="13"/>
    </row>
    <row r="7420">
      <c r="F7420" s="13"/>
      <c r="M7420" s="13"/>
    </row>
    <row r="7421">
      <c r="F7421" s="13"/>
      <c r="M7421" s="13"/>
    </row>
    <row r="7422">
      <c r="F7422" s="13"/>
      <c r="M7422" s="13"/>
    </row>
    <row r="7423">
      <c r="F7423" s="13"/>
      <c r="M7423" s="13"/>
    </row>
    <row r="7424">
      <c r="F7424" s="13"/>
      <c r="M7424" s="13"/>
    </row>
    <row r="7425">
      <c r="F7425" s="13"/>
      <c r="M7425" s="13"/>
    </row>
    <row r="7426">
      <c r="F7426" s="13"/>
      <c r="M7426" s="13"/>
    </row>
    <row r="7427">
      <c r="F7427" s="13"/>
      <c r="M7427" s="13"/>
    </row>
    <row r="7428">
      <c r="F7428" s="13"/>
      <c r="M7428" s="13"/>
    </row>
    <row r="7429">
      <c r="F7429" s="13"/>
      <c r="M7429" s="13"/>
    </row>
    <row r="7430">
      <c r="F7430" s="13"/>
      <c r="M7430" s="13"/>
    </row>
    <row r="7431">
      <c r="F7431" s="13"/>
      <c r="M7431" s="13"/>
    </row>
    <row r="7432">
      <c r="F7432" s="13"/>
      <c r="M7432" s="13"/>
    </row>
    <row r="7433">
      <c r="F7433" s="13"/>
      <c r="M7433" s="13"/>
    </row>
    <row r="7434">
      <c r="F7434" s="13"/>
      <c r="M7434" s="13"/>
    </row>
    <row r="7435">
      <c r="F7435" s="13"/>
      <c r="M7435" s="13"/>
    </row>
    <row r="7436">
      <c r="F7436" s="13"/>
      <c r="M7436" s="13"/>
    </row>
    <row r="7437">
      <c r="F7437" s="13"/>
      <c r="M7437" s="13"/>
    </row>
    <row r="7438">
      <c r="F7438" s="13"/>
      <c r="M7438" s="13"/>
    </row>
    <row r="7439">
      <c r="F7439" s="13"/>
      <c r="M7439" s="13"/>
    </row>
    <row r="7440">
      <c r="F7440" s="13"/>
      <c r="M7440" s="13"/>
    </row>
    <row r="7441">
      <c r="F7441" s="13"/>
      <c r="M7441" s="13"/>
    </row>
    <row r="7442">
      <c r="F7442" s="13"/>
      <c r="M7442" s="13"/>
    </row>
    <row r="7443">
      <c r="F7443" s="13"/>
      <c r="M7443" s="13"/>
    </row>
    <row r="7444">
      <c r="F7444" s="13"/>
      <c r="M7444" s="13"/>
    </row>
    <row r="7445">
      <c r="F7445" s="13"/>
      <c r="M7445" s="13"/>
    </row>
    <row r="7446">
      <c r="F7446" s="13"/>
      <c r="M7446" s="13"/>
    </row>
    <row r="7447">
      <c r="F7447" s="13"/>
      <c r="M7447" s="13"/>
    </row>
    <row r="7448">
      <c r="F7448" s="13"/>
      <c r="M7448" s="13"/>
    </row>
    <row r="7449">
      <c r="F7449" s="13"/>
      <c r="M7449" s="13"/>
    </row>
    <row r="7450">
      <c r="F7450" s="13"/>
      <c r="M7450" s="13"/>
    </row>
    <row r="7451">
      <c r="F7451" s="13"/>
      <c r="M7451" s="13"/>
    </row>
    <row r="7452">
      <c r="F7452" s="13"/>
      <c r="M7452" s="13"/>
    </row>
    <row r="7453">
      <c r="F7453" s="13"/>
      <c r="M7453" s="13"/>
    </row>
    <row r="7454">
      <c r="F7454" s="13"/>
      <c r="M7454" s="13"/>
    </row>
    <row r="7455">
      <c r="F7455" s="13"/>
      <c r="M7455" s="13"/>
    </row>
    <row r="7456">
      <c r="F7456" s="13"/>
      <c r="M7456" s="13"/>
    </row>
    <row r="7457">
      <c r="F7457" s="13"/>
      <c r="M7457" s="13"/>
    </row>
    <row r="7458">
      <c r="F7458" s="13"/>
      <c r="M7458" s="13"/>
    </row>
    <row r="7459">
      <c r="F7459" s="13"/>
      <c r="M7459" s="13"/>
    </row>
    <row r="7460">
      <c r="F7460" s="13"/>
      <c r="M7460" s="13"/>
    </row>
    <row r="7461">
      <c r="F7461" s="13"/>
      <c r="M7461" s="13"/>
    </row>
    <row r="7462">
      <c r="F7462" s="13"/>
      <c r="M7462" s="13"/>
    </row>
    <row r="7463">
      <c r="F7463" s="13"/>
      <c r="M7463" s="13"/>
    </row>
    <row r="7464">
      <c r="F7464" s="13"/>
      <c r="M7464" s="13"/>
    </row>
    <row r="7465">
      <c r="F7465" s="13"/>
      <c r="M7465" s="13"/>
    </row>
    <row r="7466">
      <c r="F7466" s="13"/>
      <c r="M7466" s="13"/>
    </row>
    <row r="7467">
      <c r="F7467" s="13"/>
      <c r="M7467" s="13"/>
    </row>
    <row r="7468">
      <c r="F7468" s="13"/>
      <c r="M7468" s="13"/>
    </row>
    <row r="7469">
      <c r="F7469" s="13"/>
      <c r="M7469" s="13"/>
    </row>
    <row r="7470">
      <c r="F7470" s="13"/>
      <c r="M7470" s="13"/>
    </row>
    <row r="7471">
      <c r="F7471" s="13"/>
      <c r="M7471" s="13"/>
    </row>
    <row r="7472">
      <c r="F7472" s="13"/>
      <c r="M7472" s="13"/>
    </row>
    <row r="7473">
      <c r="F7473" s="13"/>
      <c r="M7473" s="13"/>
    </row>
    <row r="7474">
      <c r="F7474" s="13"/>
      <c r="M7474" s="13"/>
    </row>
    <row r="7475">
      <c r="F7475" s="13"/>
      <c r="M7475" s="13"/>
    </row>
    <row r="7476">
      <c r="F7476" s="13"/>
      <c r="M7476" s="13"/>
    </row>
    <row r="7477">
      <c r="F7477" s="13"/>
      <c r="M7477" s="13"/>
    </row>
    <row r="7478">
      <c r="F7478" s="13"/>
      <c r="M7478" s="13"/>
    </row>
    <row r="7479">
      <c r="F7479" s="13"/>
      <c r="M7479" s="13"/>
    </row>
    <row r="7480">
      <c r="F7480" s="13"/>
      <c r="M7480" s="13"/>
    </row>
    <row r="7481">
      <c r="F7481" s="13"/>
      <c r="M7481" s="13"/>
    </row>
    <row r="7482">
      <c r="F7482" s="13"/>
      <c r="M7482" s="13"/>
    </row>
    <row r="7483">
      <c r="F7483" s="13"/>
      <c r="M7483" s="13"/>
    </row>
    <row r="7484">
      <c r="F7484" s="13"/>
      <c r="M7484" s="13"/>
    </row>
    <row r="7485">
      <c r="F7485" s="13"/>
      <c r="M7485" s="13"/>
    </row>
    <row r="7486">
      <c r="F7486" s="13"/>
      <c r="M7486" s="13"/>
    </row>
    <row r="7487">
      <c r="F7487" s="13"/>
      <c r="M7487" s="13"/>
    </row>
    <row r="7488">
      <c r="F7488" s="13"/>
      <c r="M7488" s="13"/>
    </row>
    <row r="7489">
      <c r="F7489" s="13"/>
      <c r="M7489" s="13"/>
    </row>
    <row r="7490">
      <c r="F7490" s="13"/>
      <c r="M7490" s="13"/>
    </row>
    <row r="7491">
      <c r="F7491" s="13"/>
      <c r="M7491" s="13"/>
    </row>
    <row r="7492">
      <c r="F7492" s="13"/>
      <c r="M7492" s="13"/>
    </row>
    <row r="7493">
      <c r="F7493" s="13"/>
      <c r="M7493" s="13"/>
    </row>
    <row r="7494">
      <c r="F7494" s="13"/>
      <c r="M7494" s="13"/>
    </row>
    <row r="7495">
      <c r="F7495" s="13"/>
      <c r="M7495" s="13"/>
    </row>
    <row r="7496">
      <c r="F7496" s="13"/>
      <c r="M7496" s="13"/>
    </row>
    <row r="7497">
      <c r="F7497" s="13"/>
      <c r="M7497" s="13"/>
    </row>
    <row r="7498">
      <c r="F7498" s="13"/>
      <c r="M7498" s="13"/>
    </row>
    <row r="7499">
      <c r="F7499" s="13"/>
      <c r="M7499" s="13"/>
    </row>
    <row r="7500">
      <c r="F7500" s="13"/>
      <c r="M7500" s="13"/>
    </row>
    <row r="7501">
      <c r="F7501" s="13"/>
      <c r="M7501" s="13"/>
    </row>
    <row r="7502">
      <c r="F7502" s="13"/>
      <c r="M7502" s="13"/>
    </row>
    <row r="7503">
      <c r="F7503" s="13"/>
      <c r="M7503" s="13"/>
    </row>
    <row r="7504">
      <c r="F7504" s="13"/>
      <c r="M7504" s="13"/>
    </row>
    <row r="7505">
      <c r="F7505" s="13"/>
      <c r="M7505" s="13"/>
    </row>
    <row r="7506">
      <c r="F7506" s="13"/>
      <c r="M7506" s="13"/>
    </row>
    <row r="7507">
      <c r="F7507" s="13"/>
      <c r="M7507" s="13"/>
    </row>
    <row r="7508">
      <c r="F7508" s="13"/>
      <c r="M7508" s="13"/>
    </row>
    <row r="7509">
      <c r="F7509" s="13"/>
      <c r="M7509" s="13"/>
    </row>
    <row r="7510">
      <c r="F7510" s="13"/>
      <c r="M7510" s="13"/>
    </row>
    <row r="7511">
      <c r="F7511" s="13"/>
      <c r="M7511" s="13"/>
    </row>
    <row r="7512">
      <c r="F7512" s="13"/>
      <c r="M7512" s="13"/>
    </row>
    <row r="7513">
      <c r="F7513" s="13"/>
      <c r="M7513" s="13"/>
    </row>
    <row r="7514">
      <c r="F7514" s="13"/>
      <c r="M7514" s="13"/>
    </row>
    <row r="7515">
      <c r="F7515" s="13"/>
      <c r="M7515" s="13"/>
    </row>
    <row r="7516">
      <c r="F7516" s="13"/>
      <c r="M7516" s="13"/>
    </row>
    <row r="7517">
      <c r="F7517" s="13"/>
      <c r="M7517" s="13"/>
    </row>
    <row r="7518">
      <c r="F7518" s="13"/>
      <c r="M7518" s="13"/>
    </row>
    <row r="7519">
      <c r="F7519" s="13"/>
      <c r="M7519" s="13"/>
    </row>
    <row r="7520">
      <c r="F7520" s="13"/>
      <c r="M7520" s="13"/>
    </row>
    <row r="7521">
      <c r="F7521" s="13"/>
      <c r="M7521" s="13"/>
    </row>
    <row r="7522">
      <c r="F7522" s="13"/>
      <c r="M7522" s="13"/>
    </row>
    <row r="7523">
      <c r="F7523" s="13"/>
      <c r="M7523" s="13"/>
    </row>
    <row r="7524">
      <c r="F7524" s="13"/>
      <c r="M7524" s="13"/>
    </row>
    <row r="7525">
      <c r="F7525" s="13"/>
      <c r="M7525" s="13"/>
    </row>
    <row r="7526">
      <c r="F7526" s="13"/>
      <c r="M7526" s="13"/>
    </row>
    <row r="7527">
      <c r="F7527" s="13"/>
      <c r="M7527" s="13"/>
    </row>
    <row r="7528">
      <c r="F7528" s="13"/>
      <c r="M7528" s="13"/>
    </row>
    <row r="7529">
      <c r="F7529" s="13"/>
      <c r="M7529" s="13"/>
    </row>
    <row r="7530">
      <c r="F7530" s="13"/>
      <c r="M7530" s="13"/>
    </row>
    <row r="7531">
      <c r="F7531" s="13"/>
      <c r="M7531" s="13"/>
    </row>
    <row r="7532">
      <c r="F7532" s="13"/>
      <c r="M7532" s="13"/>
    </row>
    <row r="7533">
      <c r="F7533" s="13"/>
      <c r="M7533" s="13"/>
    </row>
    <row r="7534">
      <c r="F7534" s="13"/>
      <c r="M7534" s="13"/>
    </row>
    <row r="7535">
      <c r="F7535" s="13"/>
      <c r="M7535" s="13"/>
    </row>
    <row r="7536">
      <c r="F7536" s="13"/>
      <c r="M7536" s="13"/>
    </row>
    <row r="7537">
      <c r="F7537" s="13"/>
      <c r="M7537" s="13"/>
    </row>
    <row r="7538">
      <c r="F7538" s="13"/>
      <c r="M7538" s="13"/>
    </row>
    <row r="7539">
      <c r="F7539" s="13"/>
      <c r="M7539" s="13"/>
    </row>
    <row r="7540">
      <c r="F7540" s="13"/>
      <c r="M7540" s="13"/>
    </row>
    <row r="7541">
      <c r="F7541" s="13"/>
      <c r="M7541" s="13"/>
    </row>
    <row r="7542">
      <c r="F7542" s="13"/>
      <c r="M7542" s="13"/>
    </row>
    <row r="7543">
      <c r="F7543" s="13"/>
      <c r="M7543" s="13"/>
    </row>
    <row r="7544">
      <c r="F7544" s="13"/>
      <c r="M7544" s="13"/>
    </row>
    <row r="7545">
      <c r="F7545" s="13"/>
      <c r="M7545" s="13"/>
    </row>
    <row r="7546">
      <c r="F7546" s="13"/>
      <c r="M7546" s="13"/>
    </row>
    <row r="7547">
      <c r="F7547" s="13"/>
      <c r="M7547" s="13"/>
    </row>
    <row r="7548">
      <c r="F7548" s="13"/>
      <c r="M7548" s="13"/>
    </row>
    <row r="7549">
      <c r="F7549" s="13"/>
      <c r="M7549" s="13"/>
    </row>
    <row r="7550">
      <c r="F7550" s="13"/>
      <c r="M7550" s="13"/>
    </row>
    <row r="7551">
      <c r="F7551" s="13"/>
      <c r="M7551" s="13"/>
    </row>
    <row r="7552">
      <c r="F7552" s="13"/>
      <c r="M7552" s="13"/>
    </row>
    <row r="7553">
      <c r="F7553" s="13"/>
      <c r="M7553" s="13"/>
    </row>
    <row r="7554">
      <c r="F7554" s="13"/>
      <c r="M7554" s="13"/>
    </row>
    <row r="7555">
      <c r="F7555" s="13"/>
      <c r="M7555" s="13"/>
    </row>
    <row r="7556">
      <c r="F7556" s="13"/>
      <c r="M7556" s="13"/>
    </row>
    <row r="7557">
      <c r="F7557" s="13"/>
      <c r="M7557" s="13"/>
    </row>
    <row r="7558">
      <c r="F7558" s="13"/>
      <c r="M7558" s="13"/>
    </row>
    <row r="7559">
      <c r="F7559" s="13"/>
      <c r="M7559" s="13"/>
    </row>
    <row r="7560">
      <c r="F7560" s="13"/>
      <c r="M7560" s="13"/>
    </row>
    <row r="7561">
      <c r="F7561" s="13"/>
      <c r="M7561" s="13"/>
    </row>
    <row r="7562">
      <c r="F7562" s="13"/>
      <c r="M7562" s="13"/>
    </row>
    <row r="7563">
      <c r="F7563" s="13"/>
      <c r="M7563" s="13"/>
    </row>
    <row r="7564">
      <c r="F7564" s="13"/>
      <c r="M7564" s="13"/>
    </row>
    <row r="7565">
      <c r="F7565" s="13"/>
      <c r="M7565" s="13"/>
    </row>
    <row r="7566">
      <c r="F7566" s="13"/>
      <c r="M7566" s="13"/>
    </row>
    <row r="7567">
      <c r="F7567" s="13"/>
      <c r="M7567" s="13"/>
    </row>
    <row r="7568">
      <c r="F7568" s="13"/>
      <c r="M7568" s="13"/>
    </row>
    <row r="7569">
      <c r="F7569" s="13"/>
      <c r="M7569" s="13"/>
    </row>
    <row r="7570">
      <c r="F7570" s="13"/>
      <c r="M7570" s="13"/>
    </row>
    <row r="7571">
      <c r="F7571" s="13"/>
      <c r="M7571" s="13"/>
    </row>
    <row r="7572">
      <c r="F7572" s="13"/>
      <c r="M7572" s="13"/>
    </row>
    <row r="7573">
      <c r="F7573" s="13"/>
      <c r="M7573" s="13"/>
    </row>
    <row r="7574">
      <c r="F7574" s="13"/>
      <c r="M7574" s="13"/>
    </row>
    <row r="7575">
      <c r="F7575" s="13"/>
      <c r="M7575" s="13"/>
    </row>
    <row r="7576">
      <c r="F7576" s="13"/>
      <c r="M7576" s="13"/>
    </row>
    <row r="7577">
      <c r="F7577" s="13"/>
      <c r="M7577" s="13"/>
    </row>
    <row r="7578">
      <c r="F7578" s="13"/>
      <c r="M7578" s="13"/>
    </row>
    <row r="7579">
      <c r="F7579" s="13"/>
      <c r="M7579" s="13"/>
    </row>
    <row r="7580">
      <c r="F7580" s="13"/>
      <c r="M7580" s="13"/>
    </row>
    <row r="7581">
      <c r="F7581" s="13"/>
      <c r="M7581" s="13"/>
    </row>
    <row r="7582">
      <c r="F7582" s="13"/>
      <c r="M7582" s="13"/>
    </row>
    <row r="7583">
      <c r="F7583" s="13"/>
      <c r="M7583" s="13"/>
    </row>
    <row r="7584">
      <c r="F7584" s="13"/>
      <c r="M7584" s="13"/>
    </row>
    <row r="7585">
      <c r="F7585" s="13"/>
      <c r="M7585" s="13"/>
    </row>
    <row r="7586">
      <c r="F7586" s="13"/>
      <c r="M7586" s="13"/>
    </row>
    <row r="7587">
      <c r="F7587" s="13"/>
      <c r="M7587" s="13"/>
    </row>
    <row r="7588">
      <c r="F7588" s="13"/>
      <c r="M7588" s="13"/>
    </row>
    <row r="7589">
      <c r="F7589" s="13"/>
      <c r="M7589" s="13"/>
    </row>
    <row r="7590">
      <c r="F7590" s="13"/>
      <c r="M7590" s="13"/>
    </row>
    <row r="7591">
      <c r="F7591" s="13"/>
      <c r="M7591" s="13"/>
    </row>
    <row r="7592">
      <c r="F7592" s="13"/>
      <c r="M7592" s="13"/>
    </row>
    <row r="7593">
      <c r="F7593" s="13"/>
      <c r="M7593" s="13"/>
    </row>
    <row r="7594">
      <c r="F7594" s="13"/>
      <c r="M7594" s="13"/>
    </row>
    <row r="7595">
      <c r="F7595" s="13"/>
      <c r="M7595" s="13"/>
    </row>
    <row r="7596">
      <c r="F7596" s="13"/>
      <c r="M7596" s="13"/>
    </row>
    <row r="7597">
      <c r="F7597" s="13"/>
      <c r="M7597" s="13"/>
    </row>
    <row r="7598">
      <c r="F7598" s="13"/>
      <c r="M7598" s="13"/>
    </row>
    <row r="7599">
      <c r="F7599" s="13"/>
      <c r="M7599" s="13"/>
    </row>
    <row r="7600">
      <c r="F7600" s="13"/>
      <c r="M7600" s="13"/>
    </row>
    <row r="7601">
      <c r="F7601" s="13"/>
      <c r="M7601" s="13"/>
    </row>
    <row r="7602">
      <c r="F7602" s="13"/>
      <c r="M7602" s="13"/>
    </row>
    <row r="7603">
      <c r="F7603" s="13"/>
      <c r="M7603" s="13"/>
    </row>
    <row r="7604">
      <c r="F7604" s="13"/>
      <c r="M7604" s="13"/>
    </row>
    <row r="7605">
      <c r="F7605" s="13"/>
      <c r="M7605" s="13"/>
    </row>
    <row r="7606">
      <c r="F7606" s="13"/>
      <c r="M7606" s="13"/>
    </row>
    <row r="7607">
      <c r="F7607" s="13"/>
      <c r="M7607" s="13"/>
    </row>
    <row r="7608">
      <c r="F7608" s="13"/>
      <c r="M7608" s="13"/>
    </row>
    <row r="7609">
      <c r="F7609" s="13"/>
      <c r="M7609" s="13"/>
    </row>
    <row r="7610">
      <c r="F7610" s="13"/>
      <c r="M7610" s="13"/>
    </row>
    <row r="7611">
      <c r="F7611" s="13"/>
      <c r="M7611" s="13"/>
    </row>
    <row r="7612">
      <c r="F7612" s="13"/>
      <c r="M7612" s="13"/>
    </row>
    <row r="7613">
      <c r="F7613" s="13"/>
      <c r="M7613" s="13"/>
    </row>
    <row r="7614">
      <c r="F7614" s="13"/>
      <c r="M7614" s="13"/>
    </row>
    <row r="7615">
      <c r="F7615" s="13"/>
      <c r="M7615" s="13"/>
    </row>
    <row r="7616">
      <c r="F7616" s="13"/>
      <c r="M7616" s="13"/>
    </row>
    <row r="7617">
      <c r="F7617" s="13"/>
      <c r="M7617" s="13"/>
    </row>
    <row r="7618">
      <c r="F7618" s="13"/>
      <c r="M7618" s="13"/>
    </row>
    <row r="7619">
      <c r="F7619" s="13"/>
      <c r="M7619" s="13"/>
    </row>
    <row r="7620">
      <c r="F7620" s="13"/>
      <c r="M7620" s="13"/>
    </row>
    <row r="7621">
      <c r="F7621" s="13"/>
      <c r="M7621" s="13"/>
    </row>
    <row r="7622">
      <c r="F7622" s="13"/>
      <c r="M7622" s="13"/>
    </row>
    <row r="7623">
      <c r="F7623" s="13"/>
      <c r="M7623" s="13"/>
    </row>
    <row r="7624">
      <c r="F7624" s="13"/>
      <c r="M7624" s="13"/>
    </row>
    <row r="7625">
      <c r="F7625" s="13"/>
      <c r="M7625" s="13"/>
    </row>
    <row r="7626">
      <c r="F7626" s="13"/>
      <c r="M7626" s="13"/>
    </row>
    <row r="7627">
      <c r="F7627" s="13"/>
      <c r="M7627" s="13"/>
    </row>
    <row r="7628">
      <c r="F7628" s="13"/>
      <c r="M7628" s="13"/>
    </row>
    <row r="7629">
      <c r="F7629" s="13"/>
      <c r="M7629" s="13"/>
    </row>
    <row r="7630">
      <c r="F7630" s="13"/>
      <c r="M7630" s="13"/>
    </row>
    <row r="7631">
      <c r="F7631" s="13"/>
      <c r="M7631" s="13"/>
    </row>
    <row r="7632">
      <c r="F7632" s="13"/>
      <c r="M7632" s="13"/>
    </row>
    <row r="7633">
      <c r="F7633" s="13"/>
      <c r="M7633" s="13"/>
    </row>
    <row r="7634">
      <c r="F7634" s="13"/>
      <c r="M7634" s="13"/>
    </row>
    <row r="7635">
      <c r="F7635" s="13"/>
      <c r="M7635" s="13"/>
    </row>
    <row r="7636">
      <c r="F7636" s="13"/>
      <c r="M7636" s="13"/>
    </row>
    <row r="7637">
      <c r="F7637" s="13"/>
      <c r="M7637" s="13"/>
    </row>
    <row r="7638">
      <c r="F7638" s="13"/>
      <c r="M7638" s="13"/>
    </row>
    <row r="7639">
      <c r="F7639" s="13"/>
      <c r="M7639" s="13"/>
    </row>
    <row r="7640">
      <c r="F7640" s="13"/>
      <c r="M7640" s="13"/>
    </row>
    <row r="7641">
      <c r="F7641" s="13"/>
      <c r="M7641" s="13"/>
    </row>
    <row r="7642">
      <c r="F7642" s="13"/>
      <c r="M7642" s="13"/>
    </row>
    <row r="7643">
      <c r="F7643" s="13"/>
      <c r="M7643" s="13"/>
    </row>
    <row r="7644">
      <c r="F7644" s="13"/>
      <c r="M7644" s="13"/>
    </row>
    <row r="7645">
      <c r="F7645" s="13"/>
      <c r="M7645" s="13"/>
    </row>
    <row r="7646">
      <c r="F7646" s="13"/>
      <c r="M7646" s="13"/>
    </row>
    <row r="7647">
      <c r="F7647" s="13"/>
      <c r="M7647" s="13"/>
    </row>
    <row r="7648">
      <c r="F7648" s="13"/>
      <c r="M7648" s="13"/>
    </row>
    <row r="7649">
      <c r="F7649" s="13"/>
      <c r="M7649" s="13"/>
    </row>
    <row r="7650">
      <c r="F7650" s="13"/>
      <c r="M7650" s="13"/>
    </row>
    <row r="7651">
      <c r="F7651" s="13"/>
      <c r="M7651" s="13"/>
    </row>
    <row r="7652">
      <c r="F7652" s="13"/>
      <c r="M7652" s="13"/>
    </row>
    <row r="7653">
      <c r="F7653" s="13"/>
      <c r="M7653" s="13"/>
    </row>
    <row r="7654">
      <c r="F7654" s="13"/>
      <c r="M7654" s="13"/>
    </row>
    <row r="7655">
      <c r="F7655" s="13"/>
      <c r="M7655" s="13"/>
    </row>
    <row r="7656">
      <c r="F7656" s="13"/>
      <c r="M7656" s="13"/>
    </row>
    <row r="7657">
      <c r="F7657" s="13"/>
      <c r="M7657" s="13"/>
    </row>
    <row r="7658">
      <c r="F7658" s="13"/>
      <c r="M7658" s="13"/>
    </row>
    <row r="7659">
      <c r="F7659" s="13"/>
      <c r="M7659" s="13"/>
    </row>
    <row r="7660">
      <c r="F7660" s="13"/>
      <c r="M7660" s="13"/>
    </row>
    <row r="7661">
      <c r="F7661" s="13"/>
      <c r="M7661" s="13"/>
    </row>
    <row r="7662">
      <c r="F7662" s="13"/>
      <c r="M7662" s="13"/>
    </row>
    <row r="7663">
      <c r="F7663" s="13"/>
      <c r="M7663" s="13"/>
    </row>
    <row r="7664">
      <c r="F7664" s="13"/>
      <c r="M7664" s="13"/>
    </row>
    <row r="7665">
      <c r="F7665" s="13"/>
      <c r="M7665" s="13"/>
    </row>
    <row r="7666">
      <c r="F7666" s="13"/>
      <c r="M7666" s="13"/>
    </row>
    <row r="7667">
      <c r="F7667" s="13"/>
      <c r="M7667" s="13"/>
    </row>
    <row r="7668">
      <c r="F7668" s="13"/>
      <c r="M7668" s="13"/>
    </row>
    <row r="7669">
      <c r="F7669" s="13"/>
      <c r="M7669" s="13"/>
    </row>
    <row r="7670">
      <c r="F7670" s="13"/>
      <c r="M7670" s="13"/>
    </row>
    <row r="7671">
      <c r="F7671" s="13"/>
      <c r="M7671" s="13"/>
    </row>
    <row r="7672">
      <c r="F7672" s="13"/>
      <c r="M7672" s="13"/>
    </row>
    <row r="7673">
      <c r="F7673" s="13"/>
      <c r="M7673" s="13"/>
    </row>
    <row r="7674">
      <c r="F7674" s="13"/>
      <c r="M7674" s="13"/>
    </row>
    <row r="7675">
      <c r="F7675" s="13"/>
      <c r="M7675" s="13"/>
    </row>
    <row r="7676">
      <c r="F7676" s="13"/>
      <c r="M7676" s="13"/>
    </row>
    <row r="7677">
      <c r="F7677" s="13"/>
      <c r="M7677" s="13"/>
    </row>
    <row r="7678">
      <c r="F7678" s="13"/>
      <c r="M7678" s="13"/>
    </row>
    <row r="7679">
      <c r="F7679" s="13"/>
      <c r="M7679" s="13"/>
    </row>
    <row r="7680">
      <c r="F7680" s="13"/>
      <c r="M7680" s="13"/>
    </row>
    <row r="7681">
      <c r="F7681" s="13"/>
      <c r="M7681" s="13"/>
    </row>
    <row r="7682">
      <c r="F7682" s="13"/>
      <c r="M7682" s="13"/>
    </row>
    <row r="7683">
      <c r="F7683" s="13"/>
      <c r="M7683" s="13"/>
    </row>
    <row r="7684">
      <c r="F7684" s="13"/>
      <c r="M7684" s="13"/>
    </row>
    <row r="7685">
      <c r="F7685" s="13"/>
      <c r="M7685" s="13"/>
    </row>
    <row r="7686">
      <c r="F7686" s="13"/>
      <c r="M7686" s="13"/>
    </row>
    <row r="7687">
      <c r="F7687" s="13"/>
      <c r="M7687" s="13"/>
    </row>
    <row r="7688">
      <c r="F7688" s="13"/>
      <c r="M7688" s="13"/>
    </row>
    <row r="7689">
      <c r="F7689" s="13"/>
      <c r="M7689" s="13"/>
    </row>
    <row r="7690">
      <c r="F7690" s="13"/>
      <c r="M7690" s="13"/>
    </row>
    <row r="7691">
      <c r="F7691" s="13"/>
      <c r="M7691" s="13"/>
    </row>
    <row r="7692">
      <c r="F7692" s="13"/>
      <c r="M7692" s="13"/>
    </row>
    <row r="7693">
      <c r="F7693" s="13"/>
      <c r="M7693" s="13"/>
    </row>
    <row r="7694">
      <c r="F7694" s="13"/>
      <c r="M7694" s="13"/>
    </row>
    <row r="7695">
      <c r="F7695" s="13"/>
      <c r="M7695" s="13"/>
    </row>
    <row r="7696">
      <c r="F7696" s="13"/>
      <c r="M7696" s="13"/>
    </row>
    <row r="7697">
      <c r="F7697" s="13"/>
      <c r="M7697" s="13"/>
    </row>
    <row r="7698">
      <c r="F7698" s="13"/>
      <c r="M7698" s="13"/>
    </row>
    <row r="7699">
      <c r="F7699" s="13"/>
      <c r="M7699" s="13"/>
    </row>
    <row r="7700">
      <c r="F7700" s="13"/>
      <c r="M7700" s="13"/>
    </row>
    <row r="7701">
      <c r="F7701" s="13"/>
      <c r="M7701" s="13"/>
    </row>
    <row r="7702">
      <c r="F7702" s="13"/>
      <c r="M7702" s="13"/>
    </row>
    <row r="7703">
      <c r="F7703" s="13"/>
      <c r="M7703" s="13"/>
    </row>
    <row r="7704">
      <c r="F7704" s="13"/>
      <c r="M7704" s="13"/>
    </row>
    <row r="7705">
      <c r="F7705" s="13"/>
      <c r="M7705" s="13"/>
    </row>
    <row r="7706">
      <c r="F7706" s="13"/>
      <c r="M7706" s="13"/>
    </row>
    <row r="7707">
      <c r="F7707" s="13"/>
      <c r="M7707" s="13"/>
    </row>
    <row r="7708">
      <c r="F7708" s="13"/>
      <c r="M7708" s="13"/>
    </row>
    <row r="7709">
      <c r="F7709" s="13"/>
      <c r="M7709" s="13"/>
    </row>
    <row r="7710">
      <c r="F7710" s="13"/>
      <c r="M7710" s="13"/>
    </row>
    <row r="7711">
      <c r="F7711" s="13"/>
      <c r="M7711" s="13"/>
    </row>
    <row r="7712">
      <c r="F7712" s="13"/>
      <c r="M7712" s="13"/>
    </row>
    <row r="7713">
      <c r="F7713" s="13"/>
      <c r="M7713" s="13"/>
    </row>
    <row r="7714">
      <c r="F7714" s="13"/>
      <c r="M7714" s="13"/>
    </row>
    <row r="7715">
      <c r="F7715" s="13"/>
      <c r="M7715" s="13"/>
    </row>
    <row r="7716">
      <c r="F7716" s="13"/>
      <c r="M7716" s="13"/>
    </row>
    <row r="7717">
      <c r="F7717" s="13"/>
      <c r="M7717" s="13"/>
    </row>
    <row r="7718">
      <c r="F7718" s="13"/>
      <c r="M7718" s="13"/>
    </row>
    <row r="7719">
      <c r="F7719" s="13"/>
      <c r="M7719" s="13"/>
    </row>
    <row r="7720">
      <c r="F7720" s="13"/>
      <c r="M7720" s="13"/>
    </row>
    <row r="7721">
      <c r="F7721" s="13"/>
      <c r="M7721" s="13"/>
    </row>
    <row r="7722">
      <c r="F7722" s="13"/>
      <c r="M7722" s="13"/>
    </row>
    <row r="7723">
      <c r="F7723" s="13"/>
      <c r="M7723" s="13"/>
    </row>
    <row r="7724">
      <c r="F7724" s="13"/>
      <c r="M7724" s="13"/>
    </row>
    <row r="7725">
      <c r="F7725" s="13"/>
      <c r="M7725" s="13"/>
    </row>
    <row r="7726">
      <c r="F7726" s="13"/>
      <c r="M7726" s="13"/>
    </row>
    <row r="7727">
      <c r="F7727" s="13"/>
      <c r="M7727" s="13"/>
    </row>
    <row r="7728">
      <c r="F7728" s="13"/>
      <c r="M7728" s="13"/>
    </row>
    <row r="7729">
      <c r="F7729" s="13"/>
      <c r="M7729" s="13"/>
    </row>
    <row r="7730">
      <c r="F7730" s="13"/>
      <c r="M7730" s="13"/>
    </row>
    <row r="7731">
      <c r="F7731" s="13"/>
      <c r="M7731" s="13"/>
    </row>
    <row r="7732">
      <c r="F7732" s="13"/>
      <c r="M7732" s="13"/>
    </row>
    <row r="7733">
      <c r="F7733" s="13"/>
      <c r="M7733" s="13"/>
    </row>
    <row r="7734">
      <c r="F7734" s="13"/>
      <c r="M7734" s="13"/>
    </row>
    <row r="7735">
      <c r="F7735" s="13"/>
      <c r="M7735" s="13"/>
    </row>
    <row r="7736">
      <c r="F7736" s="13"/>
      <c r="M7736" s="13"/>
    </row>
    <row r="7737">
      <c r="F7737" s="13"/>
      <c r="M7737" s="13"/>
    </row>
    <row r="7738">
      <c r="F7738" s="13"/>
      <c r="M7738" s="13"/>
    </row>
    <row r="7739">
      <c r="F7739" s="13"/>
      <c r="M7739" s="13"/>
    </row>
    <row r="7740">
      <c r="F7740" s="13"/>
      <c r="M7740" s="13"/>
    </row>
    <row r="7741">
      <c r="F7741" s="13"/>
      <c r="M7741" s="13"/>
    </row>
    <row r="7742">
      <c r="F7742" s="13"/>
      <c r="M7742" s="13"/>
    </row>
    <row r="7743">
      <c r="F7743" s="13"/>
      <c r="M7743" s="13"/>
    </row>
    <row r="7744">
      <c r="F7744" s="13"/>
      <c r="M7744" s="13"/>
    </row>
    <row r="7745">
      <c r="F7745" s="13"/>
      <c r="M7745" s="13"/>
    </row>
    <row r="7746">
      <c r="F7746" s="13"/>
      <c r="M7746" s="13"/>
    </row>
    <row r="7747">
      <c r="F7747" s="13"/>
      <c r="M7747" s="13"/>
    </row>
    <row r="7748">
      <c r="F7748" s="13"/>
      <c r="M7748" s="13"/>
    </row>
    <row r="7749">
      <c r="F7749" s="13"/>
      <c r="M7749" s="13"/>
    </row>
    <row r="7750">
      <c r="F7750" s="13"/>
      <c r="M7750" s="13"/>
    </row>
    <row r="7751">
      <c r="F7751" s="13"/>
      <c r="M7751" s="13"/>
    </row>
    <row r="7752">
      <c r="F7752" s="13"/>
      <c r="M7752" s="13"/>
    </row>
    <row r="7753">
      <c r="F7753" s="13"/>
      <c r="M7753" s="13"/>
    </row>
    <row r="7754">
      <c r="F7754" s="13"/>
      <c r="M7754" s="13"/>
    </row>
    <row r="7755">
      <c r="F7755" s="13"/>
      <c r="M7755" s="13"/>
    </row>
    <row r="7756">
      <c r="F7756" s="13"/>
      <c r="M7756" s="13"/>
    </row>
    <row r="7757">
      <c r="F7757" s="13"/>
      <c r="M7757" s="13"/>
    </row>
    <row r="7758">
      <c r="F7758" s="13"/>
      <c r="M7758" s="13"/>
    </row>
    <row r="7759">
      <c r="F7759" s="13"/>
      <c r="M7759" s="13"/>
    </row>
    <row r="7760">
      <c r="F7760" s="13"/>
      <c r="M7760" s="13"/>
    </row>
    <row r="7761">
      <c r="F7761" s="13"/>
      <c r="M7761" s="13"/>
    </row>
    <row r="7762">
      <c r="F7762" s="13"/>
      <c r="M7762" s="13"/>
    </row>
    <row r="7763">
      <c r="F7763" s="13"/>
      <c r="M7763" s="13"/>
    </row>
    <row r="7764">
      <c r="F7764" s="13"/>
      <c r="M7764" s="13"/>
    </row>
    <row r="7765">
      <c r="F7765" s="13"/>
      <c r="M7765" s="13"/>
    </row>
    <row r="7766">
      <c r="F7766" s="13"/>
      <c r="M7766" s="13"/>
    </row>
    <row r="7767">
      <c r="F7767" s="13"/>
      <c r="M7767" s="13"/>
    </row>
    <row r="7768">
      <c r="F7768" s="13"/>
      <c r="M7768" s="13"/>
    </row>
    <row r="7769">
      <c r="F7769" s="13"/>
      <c r="M7769" s="13"/>
    </row>
    <row r="7770">
      <c r="F7770" s="13"/>
      <c r="M7770" s="13"/>
    </row>
    <row r="7771">
      <c r="F7771" s="13"/>
      <c r="M7771" s="13"/>
    </row>
    <row r="7772">
      <c r="F7772" s="13"/>
      <c r="M7772" s="13"/>
    </row>
    <row r="7773">
      <c r="F7773" s="13"/>
      <c r="M7773" s="13"/>
    </row>
    <row r="7774">
      <c r="F7774" s="13"/>
      <c r="M7774" s="13"/>
    </row>
    <row r="7775">
      <c r="F7775" s="13"/>
      <c r="M7775" s="13"/>
    </row>
    <row r="7776">
      <c r="F7776" s="13"/>
      <c r="M7776" s="13"/>
    </row>
    <row r="7777">
      <c r="F7777" s="13"/>
      <c r="M7777" s="13"/>
    </row>
    <row r="7778">
      <c r="F7778" s="13"/>
      <c r="M7778" s="13"/>
    </row>
    <row r="7779">
      <c r="F7779" s="13"/>
      <c r="M7779" s="13"/>
    </row>
    <row r="7780">
      <c r="F7780" s="13"/>
      <c r="M7780" s="13"/>
    </row>
    <row r="7781">
      <c r="F7781" s="13"/>
      <c r="M7781" s="13"/>
    </row>
    <row r="7782">
      <c r="F7782" s="13"/>
      <c r="M7782" s="13"/>
    </row>
    <row r="7783">
      <c r="F7783" s="13"/>
      <c r="M7783" s="13"/>
    </row>
    <row r="7784">
      <c r="F7784" s="13"/>
      <c r="M7784" s="13"/>
    </row>
    <row r="7785">
      <c r="F7785" s="13"/>
      <c r="M7785" s="13"/>
    </row>
    <row r="7786">
      <c r="F7786" s="13"/>
      <c r="M7786" s="13"/>
    </row>
    <row r="7787">
      <c r="F7787" s="13"/>
      <c r="M7787" s="13"/>
    </row>
    <row r="7788">
      <c r="F7788" s="13"/>
      <c r="M7788" s="13"/>
    </row>
    <row r="7789">
      <c r="F7789" s="13"/>
      <c r="M7789" s="13"/>
    </row>
    <row r="7790">
      <c r="F7790" s="13"/>
      <c r="M7790" s="13"/>
    </row>
    <row r="7791">
      <c r="F7791" s="13"/>
      <c r="M7791" s="13"/>
    </row>
    <row r="7792">
      <c r="F7792" s="13"/>
      <c r="M7792" s="13"/>
    </row>
    <row r="7793">
      <c r="F7793" s="13"/>
      <c r="M7793" s="13"/>
    </row>
    <row r="7794">
      <c r="F7794" s="13"/>
      <c r="M7794" s="13"/>
    </row>
    <row r="7795">
      <c r="F7795" s="13"/>
      <c r="M7795" s="13"/>
    </row>
    <row r="7796">
      <c r="F7796" s="13"/>
      <c r="M7796" s="13"/>
    </row>
    <row r="7797">
      <c r="F7797" s="13"/>
      <c r="M7797" s="13"/>
    </row>
    <row r="7798">
      <c r="F7798" s="13"/>
      <c r="M7798" s="13"/>
    </row>
    <row r="7799">
      <c r="F7799" s="13"/>
      <c r="M7799" s="13"/>
    </row>
    <row r="7800">
      <c r="F7800" s="13"/>
      <c r="M7800" s="13"/>
    </row>
    <row r="7801">
      <c r="F7801" s="13"/>
      <c r="M7801" s="13"/>
    </row>
    <row r="7802">
      <c r="F7802" s="13"/>
      <c r="M7802" s="13"/>
    </row>
    <row r="7803">
      <c r="F7803" s="13"/>
      <c r="M7803" s="13"/>
    </row>
    <row r="7804">
      <c r="F7804" s="13"/>
      <c r="M7804" s="13"/>
    </row>
    <row r="7805">
      <c r="F7805" s="13"/>
      <c r="M7805" s="13"/>
    </row>
    <row r="7806">
      <c r="F7806" s="13"/>
      <c r="M7806" s="13"/>
    </row>
    <row r="7807">
      <c r="F7807" s="13"/>
      <c r="M7807" s="13"/>
    </row>
    <row r="7808">
      <c r="F7808" s="13"/>
      <c r="M7808" s="13"/>
    </row>
    <row r="7809">
      <c r="F7809" s="13"/>
      <c r="M7809" s="13"/>
    </row>
    <row r="7810">
      <c r="F7810" s="13"/>
      <c r="M7810" s="13"/>
    </row>
    <row r="7811">
      <c r="F7811" s="13"/>
      <c r="M7811" s="13"/>
    </row>
    <row r="7812">
      <c r="F7812" s="13"/>
      <c r="M7812" s="13"/>
    </row>
    <row r="7813">
      <c r="F7813" s="13"/>
      <c r="M7813" s="13"/>
    </row>
    <row r="7814">
      <c r="F7814" s="13"/>
      <c r="M7814" s="13"/>
    </row>
    <row r="7815">
      <c r="F7815" s="13"/>
      <c r="M7815" s="13"/>
    </row>
    <row r="7816">
      <c r="F7816" s="13"/>
      <c r="M7816" s="13"/>
    </row>
    <row r="7817">
      <c r="F7817" s="13"/>
      <c r="M7817" s="13"/>
    </row>
    <row r="7818">
      <c r="F7818" s="13"/>
      <c r="M7818" s="13"/>
    </row>
    <row r="7819">
      <c r="F7819" s="13"/>
      <c r="M7819" s="13"/>
    </row>
    <row r="7820">
      <c r="F7820" s="13"/>
      <c r="M7820" s="13"/>
    </row>
    <row r="7821">
      <c r="F7821" s="13"/>
      <c r="M7821" s="13"/>
    </row>
    <row r="7822">
      <c r="F7822" s="13"/>
      <c r="M7822" s="13"/>
    </row>
    <row r="7823">
      <c r="F7823" s="13"/>
      <c r="M7823" s="13"/>
    </row>
    <row r="7824">
      <c r="F7824" s="13"/>
      <c r="M7824" s="13"/>
    </row>
    <row r="7825">
      <c r="F7825" s="13"/>
      <c r="M7825" s="13"/>
    </row>
    <row r="7826">
      <c r="F7826" s="13"/>
      <c r="M7826" s="13"/>
    </row>
    <row r="7827">
      <c r="F7827" s="13"/>
      <c r="M7827" s="13"/>
    </row>
    <row r="7828">
      <c r="F7828" s="13"/>
      <c r="M7828" s="13"/>
    </row>
    <row r="7829">
      <c r="F7829" s="13"/>
      <c r="M7829" s="13"/>
    </row>
    <row r="7830">
      <c r="F7830" s="13"/>
      <c r="M7830" s="13"/>
    </row>
    <row r="7831">
      <c r="F7831" s="13"/>
      <c r="M7831" s="13"/>
    </row>
    <row r="7832">
      <c r="F7832" s="13"/>
      <c r="M7832" s="13"/>
    </row>
    <row r="7833">
      <c r="F7833" s="13"/>
      <c r="M7833" s="13"/>
    </row>
    <row r="7834">
      <c r="F7834" s="13"/>
      <c r="M7834" s="13"/>
    </row>
    <row r="7835">
      <c r="F7835" s="13"/>
      <c r="M7835" s="13"/>
    </row>
    <row r="7836">
      <c r="F7836" s="13"/>
      <c r="M7836" s="13"/>
    </row>
    <row r="7837">
      <c r="F7837" s="13"/>
      <c r="M7837" s="13"/>
    </row>
    <row r="7838">
      <c r="F7838" s="13"/>
      <c r="M7838" s="13"/>
    </row>
    <row r="7839">
      <c r="F7839" s="13"/>
      <c r="M7839" s="13"/>
    </row>
    <row r="7840">
      <c r="F7840" s="13"/>
      <c r="M7840" s="13"/>
    </row>
    <row r="7841">
      <c r="F7841" s="13"/>
      <c r="M7841" s="13"/>
    </row>
    <row r="7842">
      <c r="F7842" s="13"/>
      <c r="M7842" s="13"/>
    </row>
    <row r="7843">
      <c r="F7843" s="13"/>
      <c r="M7843" s="13"/>
    </row>
    <row r="7844">
      <c r="F7844" s="13"/>
      <c r="M7844" s="13"/>
    </row>
    <row r="7845">
      <c r="F7845" s="13"/>
      <c r="M7845" s="13"/>
    </row>
    <row r="7846">
      <c r="F7846" s="13"/>
      <c r="M7846" s="13"/>
    </row>
    <row r="7847">
      <c r="F7847" s="13"/>
      <c r="M7847" s="13"/>
    </row>
    <row r="7848">
      <c r="F7848" s="13"/>
      <c r="M7848" s="13"/>
    </row>
    <row r="7849">
      <c r="F7849" s="13"/>
      <c r="M7849" s="13"/>
    </row>
    <row r="7850">
      <c r="F7850" s="13"/>
      <c r="M7850" s="13"/>
    </row>
    <row r="7851">
      <c r="F7851" s="13"/>
      <c r="M7851" s="13"/>
    </row>
    <row r="7852">
      <c r="F7852" s="13"/>
      <c r="M7852" s="13"/>
    </row>
    <row r="7853">
      <c r="F7853" s="13"/>
      <c r="M7853" s="13"/>
    </row>
    <row r="7854">
      <c r="F7854" s="13"/>
      <c r="M7854" s="13"/>
    </row>
    <row r="7855">
      <c r="F7855" s="13"/>
      <c r="M7855" s="13"/>
    </row>
    <row r="7856">
      <c r="F7856" s="13"/>
      <c r="M7856" s="13"/>
    </row>
    <row r="7857">
      <c r="F7857" s="13"/>
      <c r="M7857" s="13"/>
    </row>
    <row r="7858">
      <c r="F7858" s="13"/>
      <c r="M7858" s="13"/>
    </row>
    <row r="7859">
      <c r="F7859" s="13"/>
      <c r="M7859" s="13"/>
    </row>
    <row r="7860">
      <c r="F7860" s="13"/>
      <c r="M7860" s="13"/>
    </row>
    <row r="7861">
      <c r="F7861" s="13"/>
      <c r="M7861" s="13"/>
    </row>
    <row r="7862">
      <c r="F7862" s="13"/>
      <c r="M7862" s="13"/>
    </row>
    <row r="7863">
      <c r="F7863" s="13"/>
      <c r="M7863" s="13"/>
    </row>
    <row r="7864">
      <c r="F7864" s="13"/>
      <c r="M7864" s="13"/>
    </row>
    <row r="7865">
      <c r="F7865" s="13"/>
      <c r="M7865" s="13"/>
    </row>
    <row r="7866">
      <c r="F7866" s="13"/>
      <c r="M7866" s="13"/>
    </row>
    <row r="7867">
      <c r="F7867" s="13"/>
      <c r="M7867" s="13"/>
    </row>
    <row r="7868">
      <c r="F7868" s="13"/>
      <c r="M7868" s="13"/>
    </row>
    <row r="7869">
      <c r="F7869" s="13"/>
      <c r="M7869" s="13"/>
    </row>
    <row r="7870">
      <c r="F7870" s="13"/>
      <c r="M7870" s="13"/>
    </row>
    <row r="7871">
      <c r="F7871" s="13"/>
      <c r="M7871" s="13"/>
    </row>
    <row r="7872">
      <c r="F7872" s="13"/>
      <c r="M7872" s="13"/>
    </row>
    <row r="7873">
      <c r="F7873" s="13"/>
      <c r="M7873" s="13"/>
    </row>
    <row r="7874">
      <c r="F7874" s="13"/>
      <c r="M7874" s="13"/>
    </row>
    <row r="7875">
      <c r="F7875" s="13"/>
      <c r="M7875" s="13"/>
    </row>
    <row r="7876">
      <c r="F7876" s="13"/>
      <c r="M7876" s="13"/>
    </row>
    <row r="7877">
      <c r="F7877" s="13"/>
      <c r="M7877" s="13"/>
    </row>
    <row r="7878">
      <c r="F7878" s="13"/>
      <c r="M7878" s="13"/>
    </row>
    <row r="7879">
      <c r="F7879" s="13"/>
      <c r="M7879" s="13"/>
    </row>
    <row r="7880">
      <c r="F7880" s="13"/>
      <c r="M7880" s="13"/>
    </row>
    <row r="7881">
      <c r="F7881" s="13"/>
      <c r="M7881" s="13"/>
    </row>
    <row r="7882">
      <c r="F7882" s="13"/>
      <c r="M7882" s="13"/>
    </row>
    <row r="7883">
      <c r="F7883" s="13"/>
      <c r="M7883" s="13"/>
    </row>
    <row r="7884">
      <c r="F7884" s="13"/>
      <c r="M7884" s="13"/>
    </row>
    <row r="7885">
      <c r="F7885" s="13"/>
      <c r="M7885" s="13"/>
    </row>
    <row r="7886">
      <c r="F7886" s="13"/>
      <c r="M7886" s="13"/>
    </row>
    <row r="7887">
      <c r="F7887" s="13"/>
      <c r="M7887" s="13"/>
    </row>
    <row r="7888">
      <c r="F7888" s="13"/>
      <c r="M7888" s="13"/>
    </row>
    <row r="7889">
      <c r="F7889" s="13"/>
      <c r="M7889" s="13"/>
    </row>
    <row r="7890">
      <c r="F7890" s="13"/>
      <c r="M7890" s="13"/>
    </row>
    <row r="7891">
      <c r="F7891" s="13"/>
      <c r="M7891" s="13"/>
    </row>
    <row r="7892">
      <c r="F7892" s="13"/>
      <c r="M7892" s="13"/>
    </row>
    <row r="7893">
      <c r="F7893" s="13"/>
      <c r="M7893" s="13"/>
    </row>
    <row r="7894">
      <c r="F7894" s="13"/>
      <c r="M7894" s="13"/>
    </row>
    <row r="7895">
      <c r="F7895" s="13"/>
      <c r="M7895" s="13"/>
    </row>
    <row r="7896">
      <c r="F7896" s="13"/>
      <c r="M7896" s="13"/>
    </row>
    <row r="7897">
      <c r="F7897" s="13"/>
      <c r="M7897" s="13"/>
    </row>
    <row r="7898">
      <c r="F7898" s="13"/>
      <c r="M7898" s="13"/>
    </row>
    <row r="7899">
      <c r="F7899" s="13"/>
      <c r="M7899" s="13"/>
    </row>
    <row r="7900">
      <c r="F7900" s="13"/>
      <c r="M7900" s="13"/>
    </row>
    <row r="7901">
      <c r="F7901" s="13"/>
      <c r="M7901" s="13"/>
    </row>
    <row r="7902">
      <c r="F7902" s="13"/>
      <c r="M7902" s="13"/>
    </row>
    <row r="7903">
      <c r="F7903" s="13"/>
      <c r="M7903" s="13"/>
    </row>
    <row r="7904">
      <c r="F7904" s="13"/>
      <c r="M7904" s="13"/>
    </row>
    <row r="7905">
      <c r="F7905" s="13"/>
      <c r="M7905" s="13"/>
    </row>
    <row r="7906">
      <c r="F7906" s="13"/>
      <c r="M7906" s="13"/>
    </row>
    <row r="7907">
      <c r="F7907" s="13"/>
      <c r="M7907" s="13"/>
    </row>
    <row r="7908">
      <c r="F7908" s="13"/>
      <c r="M7908" s="13"/>
    </row>
    <row r="7909">
      <c r="F7909" s="13"/>
      <c r="M7909" s="13"/>
    </row>
    <row r="7910">
      <c r="F7910" s="13"/>
      <c r="M7910" s="13"/>
    </row>
    <row r="7911">
      <c r="F7911" s="13"/>
      <c r="M7911" s="13"/>
    </row>
    <row r="7912">
      <c r="F7912" s="13"/>
      <c r="M7912" s="13"/>
    </row>
    <row r="7913">
      <c r="F7913" s="13"/>
      <c r="M7913" s="13"/>
    </row>
    <row r="7914">
      <c r="F7914" s="13"/>
      <c r="M7914" s="13"/>
    </row>
    <row r="7915">
      <c r="F7915" s="13"/>
      <c r="M7915" s="13"/>
    </row>
    <row r="7916">
      <c r="F7916" s="13"/>
      <c r="M7916" s="13"/>
    </row>
    <row r="7917">
      <c r="F7917" s="13"/>
      <c r="M7917" s="13"/>
    </row>
    <row r="7918">
      <c r="F7918" s="13"/>
      <c r="M7918" s="13"/>
    </row>
    <row r="7919">
      <c r="F7919" s="13"/>
      <c r="M7919" s="13"/>
    </row>
    <row r="7920">
      <c r="F7920" s="13"/>
      <c r="M7920" s="13"/>
    </row>
    <row r="7921">
      <c r="F7921" s="13"/>
      <c r="M7921" s="13"/>
    </row>
    <row r="7922">
      <c r="F7922" s="13"/>
      <c r="M7922" s="13"/>
    </row>
    <row r="7923">
      <c r="F7923" s="13"/>
      <c r="M7923" s="13"/>
    </row>
    <row r="7924">
      <c r="F7924" s="13"/>
      <c r="M7924" s="13"/>
    </row>
    <row r="7925">
      <c r="F7925" s="13"/>
      <c r="M7925" s="13"/>
    </row>
    <row r="7926">
      <c r="F7926" s="13"/>
      <c r="M7926" s="13"/>
    </row>
    <row r="7927">
      <c r="F7927" s="13"/>
      <c r="M7927" s="13"/>
    </row>
    <row r="7928">
      <c r="F7928" s="13"/>
      <c r="M7928" s="13"/>
    </row>
    <row r="7929">
      <c r="F7929" s="13"/>
      <c r="M7929" s="13"/>
    </row>
    <row r="7930">
      <c r="F7930" s="13"/>
      <c r="M7930" s="13"/>
    </row>
    <row r="7931">
      <c r="F7931" s="13"/>
      <c r="M7931" s="13"/>
    </row>
    <row r="7932">
      <c r="F7932" s="13"/>
      <c r="M7932" s="13"/>
    </row>
    <row r="7933">
      <c r="F7933" s="13"/>
      <c r="M7933" s="13"/>
    </row>
    <row r="7934">
      <c r="F7934" s="13"/>
      <c r="M7934" s="13"/>
    </row>
    <row r="7935">
      <c r="F7935" s="13"/>
      <c r="M7935" s="13"/>
    </row>
    <row r="7936">
      <c r="F7936" s="13"/>
      <c r="M7936" s="13"/>
    </row>
    <row r="7937">
      <c r="F7937" s="13"/>
      <c r="M7937" s="13"/>
    </row>
    <row r="7938">
      <c r="F7938" s="13"/>
      <c r="M7938" s="13"/>
    </row>
    <row r="7939">
      <c r="F7939" s="13"/>
      <c r="M7939" s="13"/>
    </row>
    <row r="7940">
      <c r="F7940" s="13"/>
      <c r="M7940" s="13"/>
    </row>
    <row r="7941">
      <c r="F7941" s="13"/>
      <c r="M7941" s="13"/>
    </row>
    <row r="7942">
      <c r="F7942" s="13"/>
      <c r="M7942" s="13"/>
    </row>
    <row r="7943">
      <c r="F7943" s="13"/>
      <c r="M7943" s="13"/>
    </row>
    <row r="7944">
      <c r="F7944" s="13"/>
      <c r="M7944" s="13"/>
    </row>
    <row r="7945">
      <c r="F7945" s="13"/>
      <c r="M7945" s="13"/>
    </row>
    <row r="7946">
      <c r="F7946" s="13"/>
      <c r="M7946" s="13"/>
    </row>
    <row r="7947">
      <c r="F7947" s="13"/>
      <c r="M7947" s="13"/>
    </row>
    <row r="7948">
      <c r="F7948" s="13"/>
      <c r="M7948" s="13"/>
    </row>
    <row r="7949">
      <c r="F7949" s="13"/>
      <c r="M7949" s="13"/>
    </row>
    <row r="7950">
      <c r="F7950" s="13"/>
      <c r="M7950" s="13"/>
    </row>
    <row r="7951">
      <c r="F7951" s="13"/>
      <c r="M7951" s="13"/>
    </row>
    <row r="7952">
      <c r="F7952" s="13"/>
      <c r="M7952" s="13"/>
    </row>
    <row r="7953">
      <c r="F7953" s="13"/>
      <c r="M7953" s="13"/>
    </row>
    <row r="7954">
      <c r="F7954" s="13"/>
      <c r="M7954" s="13"/>
    </row>
    <row r="7955">
      <c r="F7955" s="13"/>
      <c r="M7955" s="13"/>
    </row>
    <row r="7956">
      <c r="F7956" s="13"/>
      <c r="M7956" s="13"/>
    </row>
    <row r="7957">
      <c r="F7957" s="13"/>
      <c r="M7957" s="13"/>
    </row>
    <row r="7958">
      <c r="F7958" s="13"/>
      <c r="M7958" s="13"/>
    </row>
    <row r="7959">
      <c r="F7959" s="13"/>
      <c r="M7959" s="13"/>
    </row>
    <row r="7960">
      <c r="F7960" s="13"/>
      <c r="M7960" s="13"/>
    </row>
    <row r="7961">
      <c r="F7961" s="13"/>
      <c r="M7961" s="13"/>
    </row>
    <row r="7962">
      <c r="F7962" s="13"/>
      <c r="M7962" s="13"/>
    </row>
    <row r="7963">
      <c r="F7963" s="13"/>
      <c r="M7963" s="13"/>
    </row>
    <row r="7964">
      <c r="F7964" s="13"/>
      <c r="M7964" s="13"/>
    </row>
    <row r="7965">
      <c r="F7965" s="13"/>
      <c r="M7965" s="13"/>
    </row>
    <row r="7966">
      <c r="F7966" s="13"/>
      <c r="M7966" s="13"/>
    </row>
    <row r="7967">
      <c r="F7967" s="13"/>
      <c r="M7967" s="13"/>
    </row>
    <row r="7968">
      <c r="F7968" s="13"/>
      <c r="M7968" s="13"/>
    </row>
    <row r="7969">
      <c r="F7969" s="13"/>
      <c r="M7969" s="13"/>
    </row>
    <row r="7970">
      <c r="F7970" s="13"/>
      <c r="M7970" s="13"/>
    </row>
    <row r="7971">
      <c r="F7971" s="13"/>
      <c r="M7971" s="13"/>
    </row>
    <row r="7972">
      <c r="F7972" s="13"/>
      <c r="M7972" s="13"/>
    </row>
    <row r="7973">
      <c r="F7973" s="13"/>
      <c r="M7973" s="13"/>
    </row>
    <row r="7974">
      <c r="F7974" s="13"/>
      <c r="M7974" s="13"/>
    </row>
    <row r="7975">
      <c r="F7975" s="13"/>
      <c r="M7975" s="13"/>
    </row>
    <row r="7976">
      <c r="F7976" s="13"/>
      <c r="M7976" s="13"/>
    </row>
    <row r="7977">
      <c r="F7977" s="13"/>
      <c r="M7977" s="13"/>
    </row>
    <row r="7978">
      <c r="F7978" s="13"/>
      <c r="M7978" s="13"/>
    </row>
    <row r="7979">
      <c r="F7979" s="13"/>
      <c r="M7979" s="13"/>
    </row>
    <row r="7980">
      <c r="F7980" s="13"/>
      <c r="M7980" s="13"/>
    </row>
    <row r="7981">
      <c r="F7981" s="13"/>
      <c r="M7981" s="13"/>
    </row>
    <row r="7982">
      <c r="F7982" s="13"/>
      <c r="M7982" s="13"/>
    </row>
    <row r="7983">
      <c r="F7983" s="13"/>
      <c r="M7983" s="13"/>
    </row>
    <row r="7984">
      <c r="F7984" s="13"/>
      <c r="M7984" s="13"/>
    </row>
    <row r="7985">
      <c r="F7985" s="13"/>
      <c r="M7985" s="13"/>
    </row>
    <row r="7986">
      <c r="F7986" s="13"/>
      <c r="M7986" s="13"/>
    </row>
    <row r="7987">
      <c r="F7987" s="13"/>
      <c r="M7987" s="13"/>
    </row>
    <row r="7988">
      <c r="F7988" s="13"/>
      <c r="M7988" s="13"/>
    </row>
    <row r="7989">
      <c r="F7989" s="13"/>
      <c r="M7989" s="13"/>
    </row>
    <row r="7990">
      <c r="F7990" s="13"/>
      <c r="M7990" s="13"/>
    </row>
    <row r="7991">
      <c r="F7991" s="13"/>
      <c r="M7991" s="13"/>
    </row>
    <row r="7992">
      <c r="F7992" s="13"/>
      <c r="M7992" s="13"/>
    </row>
    <row r="7993">
      <c r="F7993" s="13"/>
      <c r="M7993" s="13"/>
    </row>
    <row r="7994">
      <c r="F7994" s="13"/>
      <c r="M7994" s="13"/>
    </row>
    <row r="7995">
      <c r="F7995" s="13"/>
      <c r="M7995" s="13"/>
    </row>
    <row r="7996">
      <c r="F7996" s="13"/>
      <c r="M7996" s="13"/>
    </row>
    <row r="7997">
      <c r="F7997" s="13"/>
      <c r="M7997" s="13"/>
    </row>
    <row r="7998">
      <c r="F7998" s="13"/>
      <c r="M7998" s="13"/>
    </row>
    <row r="7999">
      <c r="F7999" s="13"/>
      <c r="M7999" s="13"/>
    </row>
    <row r="8000">
      <c r="F8000" s="13"/>
      <c r="M8000" s="13"/>
    </row>
    <row r="8001">
      <c r="F8001" s="13"/>
      <c r="M8001" s="13"/>
    </row>
    <row r="8002">
      <c r="F8002" s="13"/>
      <c r="M8002" s="13"/>
    </row>
    <row r="8003">
      <c r="F8003" s="13"/>
      <c r="M8003" s="13"/>
    </row>
    <row r="8004">
      <c r="F8004" s="13"/>
      <c r="M8004" s="13"/>
    </row>
    <row r="8005">
      <c r="F8005" s="13"/>
      <c r="M8005" s="13"/>
    </row>
    <row r="8006">
      <c r="F8006" s="13"/>
      <c r="M8006" s="13"/>
    </row>
    <row r="8007">
      <c r="F8007" s="13"/>
      <c r="M8007" s="13"/>
    </row>
    <row r="8008">
      <c r="F8008" s="13"/>
      <c r="M8008" s="13"/>
    </row>
    <row r="8009">
      <c r="F8009" s="13"/>
      <c r="M8009" s="13"/>
    </row>
    <row r="8010">
      <c r="F8010" s="13"/>
      <c r="M8010" s="13"/>
    </row>
    <row r="8011">
      <c r="F8011" s="13"/>
      <c r="M8011" s="13"/>
    </row>
    <row r="8012">
      <c r="F8012" s="13"/>
      <c r="M8012" s="13"/>
    </row>
    <row r="8013">
      <c r="F8013" s="13"/>
      <c r="M8013" s="13"/>
    </row>
    <row r="8014">
      <c r="F8014" s="13"/>
      <c r="M8014" s="13"/>
    </row>
    <row r="8015">
      <c r="F8015" s="13"/>
      <c r="M8015" s="13"/>
    </row>
    <row r="8016">
      <c r="F8016" s="13"/>
      <c r="M8016" s="13"/>
    </row>
    <row r="8017">
      <c r="F8017" s="13"/>
      <c r="M8017" s="13"/>
    </row>
    <row r="8018">
      <c r="F8018" s="13"/>
      <c r="M8018" s="13"/>
    </row>
    <row r="8019">
      <c r="F8019" s="13"/>
      <c r="M8019" s="13"/>
    </row>
    <row r="8020">
      <c r="F8020" s="13"/>
      <c r="M8020" s="13"/>
    </row>
    <row r="8021">
      <c r="F8021" s="13"/>
      <c r="M8021" s="13"/>
    </row>
    <row r="8022">
      <c r="F8022" s="13"/>
      <c r="M8022" s="13"/>
    </row>
    <row r="8023">
      <c r="F8023" s="13"/>
      <c r="M8023" s="13"/>
    </row>
    <row r="8024">
      <c r="F8024" s="13"/>
      <c r="M8024" s="13"/>
    </row>
    <row r="8025">
      <c r="F8025" s="13"/>
      <c r="M8025" s="13"/>
    </row>
    <row r="8026">
      <c r="F8026" s="13"/>
      <c r="M8026" s="13"/>
    </row>
    <row r="8027">
      <c r="F8027" s="13"/>
      <c r="M8027" s="13"/>
    </row>
    <row r="8028">
      <c r="F8028" s="13"/>
      <c r="M8028" s="13"/>
    </row>
    <row r="8029">
      <c r="F8029" s="13"/>
      <c r="M8029" s="13"/>
    </row>
    <row r="8030">
      <c r="F8030" s="13"/>
      <c r="M8030" s="13"/>
    </row>
    <row r="8031">
      <c r="F8031" s="13"/>
      <c r="M8031" s="13"/>
    </row>
    <row r="8032">
      <c r="F8032" s="13"/>
      <c r="M8032" s="13"/>
    </row>
    <row r="8033">
      <c r="F8033" s="13"/>
      <c r="M8033" s="13"/>
    </row>
    <row r="8034">
      <c r="F8034" s="13"/>
      <c r="M8034" s="13"/>
    </row>
    <row r="8035">
      <c r="F8035" s="13"/>
      <c r="M8035" s="13"/>
    </row>
    <row r="8036">
      <c r="F8036" s="13"/>
      <c r="M8036" s="13"/>
    </row>
    <row r="8037">
      <c r="F8037" s="13"/>
      <c r="M8037" s="13"/>
    </row>
    <row r="8038">
      <c r="F8038" s="13"/>
      <c r="M8038" s="13"/>
    </row>
    <row r="8039">
      <c r="F8039" s="13"/>
      <c r="M8039" s="13"/>
    </row>
    <row r="8040">
      <c r="F8040" s="13"/>
      <c r="M8040" s="13"/>
    </row>
    <row r="8041">
      <c r="F8041" s="13"/>
      <c r="M8041" s="13"/>
    </row>
    <row r="8042">
      <c r="F8042" s="13"/>
      <c r="M8042" s="13"/>
    </row>
    <row r="8043">
      <c r="F8043" s="13"/>
      <c r="M8043" s="13"/>
    </row>
    <row r="8044">
      <c r="F8044" s="13"/>
      <c r="M8044" s="13"/>
    </row>
    <row r="8045">
      <c r="F8045" s="13"/>
      <c r="M8045" s="13"/>
    </row>
    <row r="8046">
      <c r="F8046" s="13"/>
      <c r="M8046" s="13"/>
    </row>
    <row r="8047">
      <c r="F8047" s="13"/>
      <c r="M8047" s="13"/>
    </row>
    <row r="8048">
      <c r="F8048" s="13"/>
      <c r="M8048" s="13"/>
    </row>
    <row r="8049">
      <c r="F8049" s="13"/>
      <c r="M8049" s="13"/>
    </row>
    <row r="8050">
      <c r="F8050" s="13"/>
      <c r="M8050" s="13"/>
    </row>
    <row r="8051">
      <c r="F8051" s="13"/>
      <c r="M8051" s="13"/>
    </row>
    <row r="8052">
      <c r="F8052" s="13"/>
      <c r="M8052" s="13"/>
    </row>
    <row r="8053">
      <c r="F8053" s="13"/>
      <c r="M8053" s="13"/>
    </row>
    <row r="8054">
      <c r="F8054" s="13"/>
      <c r="M8054" s="13"/>
    </row>
    <row r="8055">
      <c r="F8055" s="13"/>
      <c r="M8055" s="13"/>
    </row>
    <row r="8056">
      <c r="F8056" s="13"/>
      <c r="M8056" s="13"/>
    </row>
    <row r="8057">
      <c r="F8057" s="13"/>
      <c r="M8057" s="13"/>
    </row>
    <row r="8058">
      <c r="F8058" s="13"/>
      <c r="M8058" s="13"/>
    </row>
    <row r="8059">
      <c r="F8059" s="13"/>
      <c r="M8059" s="13"/>
    </row>
    <row r="8060">
      <c r="F8060" s="13"/>
      <c r="M8060" s="13"/>
    </row>
    <row r="8061">
      <c r="F8061" s="13"/>
      <c r="M8061" s="13"/>
    </row>
    <row r="8062">
      <c r="F8062" s="13"/>
      <c r="M8062" s="13"/>
    </row>
    <row r="8063">
      <c r="F8063" s="13"/>
      <c r="M8063" s="13"/>
    </row>
    <row r="8064">
      <c r="F8064" s="13"/>
      <c r="M8064" s="13"/>
    </row>
    <row r="8065">
      <c r="F8065" s="13"/>
      <c r="M8065" s="13"/>
    </row>
    <row r="8066">
      <c r="F8066" s="13"/>
      <c r="M8066" s="13"/>
    </row>
    <row r="8067">
      <c r="F8067" s="13"/>
      <c r="M8067" s="13"/>
    </row>
    <row r="8068">
      <c r="F8068" s="13"/>
      <c r="M8068" s="13"/>
    </row>
    <row r="8069">
      <c r="F8069" s="13"/>
      <c r="M8069" s="13"/>
    </row>
    <row r="8070">
      <c r="F8070" s="13"/>
      <c r="M8070" s="13"/>
    </row>
    <row r="8071">
      <c r="F8071" s="13"/>
      <c r="M8071" s="13"/>
    </row>
    <row r="8072">
      <c r="F8072" s="13"/>
      <c r="M8072" s="13"/>
    </row>
    <row r="8073">
      <c r="F8073" s="13"/>
      <c r="M8073" s="13"/>
    </row>
    <row r="8074">
      <c r="F8074" s="13"/>
      <c r="M8074" s="13"/>
    </row>
    <row r="8075">
      <c r="F8075" s="13"/>
      <c r="M8075" s="13"/>
    </row>
    <row r="8076">
      <c r="F8076" s="13"/>
      <c r="M8076" s="13"/>
    </row>
    <row r="8077">
      <c r="F8077" s="13"/>
      <c r="M8077" s="13"/>
    </row>
    <row r="8078">
      <c r="F8078" s="13"/>
      <c r="M8078" s="13"/>
    </row>
    <row r="8079">
      <c r="F8079" s="13"/>
      <c r="M8079" s="13"/>
    </row>
    <row r="8080">
      <c r="F8080" s="13"/>
      <c r="M8080" s="13"/>
    </row>
    <row r="8081">
      <c r="F8081" s="13"/>
      <c r="M8081" s="13"/>
    </row>
    <row r="8082">
      <c r="F8082" s="13"/>
      <c r="M8082" s="13"/>
    </row>
    <row r="8083">
      <c r="F8083" s="13"/>
      <c r="M8083" s="13"/>
    </row>
    <row r="8084">
      <c r="F8084" s="13"/>
      <c r="M8084" s="13"/>
    </row>
    <row r="8085">
      <c r="F8085" s="13"/>
      <c r="M8085" s="13"/>
    </row>
    <row r="8086">
      <c r="F8086" s="13"/>
      <c r="M8086" s="13"/>
    </row>
    <row r="8087">
      <c r="F8087" s="13"/>
      <c r="M8087" s="13"/>
    </row>
    <row r="8088">
      <c r="F8088" s="13"/>
      <c r="M8088" s="13"/>
    </row>
    <row r="8089">
      <c r="F8089" s="13"/>
      <c r="M8089" s="13"/>
    </row>
    <row r="8090">
      <c r="F8090" s="13"/>
      <c r="M8090" s="13"/>
    </row>
    <row r="8091">
      <c r="F8091" s="13"/>
      <c r="M8091" s="13"/>
    </row>
    <row r="8092">
      <c r="F8092" s="13"/>
      <c r="M8092" s="13"/>
    </row>
    <row r="8093">
      <c r="F8093" s="13"/>
      <c r="M8093" s="13"/>
    </row>
    <row r="8094">
      <c r="F8094" s="13"/>
      <c r="M8094" s="13"/>
    </row>
    <row r="8095">
      <c r="F8095" s="13"/>
      <c r="M8095" s="13"/>
    </row>
    <row r="8096">
      <c r="F8096" s="13"/>
      <c r="M8096" s="13"/>
    </row>
    <row r="8097">
      <c r="F8097" s="13"/>
      <c r="M8097" s="13"/>
    </row>
    <row r="8098">
      <c r="F8098" s="13"/>
      <c r="M8098" s="13"/>
    </row>
    <row r="8099">
      <c r="F8099" s="13"/>
      <c r="M8099" s="13"/>
    </row>
    <row r="8100">
      <c r="F8100" s="13"/>
      <c r="M8100" s="13"/>
    </row>
    <row r="8101">
      <c r="F8101" s="13"/>
      <c r="M8101" s="13"/>
    </row>
    <row r="8102">
      <c r="F8102" s="13"/>
      <c r="M8102" s="13"/>
    </row>
    <row r="8103">
      <c r="F8103" s="13"/>
      <c r="M8103" s="13"/>
    </row>
    <row r="8104">
      <c r="F8104" s="13"/>
      <c r="M8104" s="13"/>
    </row>
    <row r="8105">
      <c r="F8105" s="13"/>
      <c r="M8105" s="13"/>
    </row>
    <row r="8106">
      <c r="F8106" s="13"/>
      <c r="M8106" s="13"/>
    </row>
    <row r="8107">
      <c r="F8107" s="13"/>
      <c r="M8107" s="13"/>
    </row>
    <row r="8108">
      <c r="F8108" s="13"/>
      <c r="M8108" s="13"/>
    </row>
    <row r="8109">
      <c r="F8109" s="13"/>
      <c r="M8109" s="13"/>
    </row>
    <row r="8110">
      <c r="F8110" s="13"/>
      <c r="M8110" s="13"/>
    </row>
    <row r="8111">
      <c r="F8111" s="13"/>
      <c r="M8111" s="13"/>
    </row>
    <row r="8112">
      <c r="F8112" s="13"/>
      <c r="M8112" s="13"/>
    </row>
    <row r="8113">
      <c r="F8113" s="13"/>
      <c r="M8113" s="13"/>
    </row>
    <row r="8114">
      <c r="F8114" s="13"/>
      <c r="M8114" s="13"/>
    </row>
    <row r="8115">
      <c r="F8115" s="13"/>
      <c r="M8115" s="13"/>
    </row>
    <row r="8116">
      <c r="F8116" s="13"/>
      <c r="M8116" s="13"/>
    </row>
    <row r="8117">
      <c r="F8117" s="13"/>
      <c r="M8117" s="13"/>
    </row>
    <row r="8118">
      <c r="F8118" s="13"/>
      <c r="M8118" s="13"/>
    </row>
    <row r="8119">
      <c r="F8119" s="13"/>
      <c r="M8119" s="13"/>
    </row>
    <row r="8120">
      <c r="F8120" s="13"/>
      <c r="M8120" s="13"/>
    </row>
    <row r="8121">
      <c r="F8121" s="13"/>
      <c r="M8121" s="13"/>
    </row>
    <row r="8122">
      <c r="F8122" s="13"/>
      <c r="M8122" s="13"/>
    </row>
    <row r="8123">
      <c r="F8123" s="13"/>
      <c r="M8123" s="13"/>
    </row>
    <row r="8124">
      <c r="F8124" s="13"/>
      <c r="M8124" s="13"/>
    </row>
    <row r="8125">
      <c r="F8125" s="13"/>
      <c r="M8125" s="13"/>
    </row>
    <row r="8126">
      <c r="F8126" s="13"/>
      <c r="M8126" s="13"/>
    </row>
    <row r="8127">
      <c r="F8127" s="13"/>
      <c r="M8127" s="13"/>
    </row>
    <row r="8128">
      <c r="F8128" s="13"/>
      <c r="M8128" s="13"/>
    </row>
    <row r="8129">
      <c r="F8129" s="13"/>
      <c r="M8129" s="13"/>
    </row>
    <row r="8130">
      <c r="F8130" s="13"/>
      <c r="M8130" s="13"/>
    </row>
    <row r="8131">
      <c r="F8131" s="13"/>
      <c r="M8131" s="13"/>
    </row>
    <row r="8132">
      <c r="F8132" s="13"/>
      <c r="M8132" s="13"/>
    </row>
    <row r="8133">
      <c r="F8133" s="13"/>
      <c r="M8133" s="13"/>
    </row>
    <row r="8134">
      <c r="F8134" s="13"/>
      <c r="M8134" s="13"/>
    </row>
    <row r="8135">
      <c r="F8135" s="13"/>
      <c r="M8135" s="13"/>
    </row>
    <row r="8136">
      <c r="F8136" s="13"/>
      <c r="M8136" s="13"/>
    </row>
    <row r="8137">
      <c r="F8137" s="13"/>
      <c r="M8137" s="13"/>
    </row>
    <row r="8138">
      <c r="F8138" s="13"/>
      <c r="M8138" s="13"/>
    </row>
    <row r="8139">
      <c r="F8139" s="13"/>
      <c r="M8139" s="13"/>
    </row>
    <row r="8140">
      <c r="F8140" s="13"/>
      <c r="M8140" s="13"/>
    </row>
    <row r="8141">
      <c r="F8141" s="13"/>
      <c r="M8141" s="13"/>
    </row>
    <row r="8142">
      <c r="F8142" s="13"/>
      <c r="M8142" s="13"/>
    </row>
    <row r="8143">
      <c r="F8143" s="13"/>
      <c r="M8143" s="13"/>
    </row>
    <row r="8144">
      <c r="F8144" s="13"/>
      <c r="M8144" s="13"/>
    </row>
    <row r="8145">
      <c r="F8145" s="13"/>
      <c r="M8145" s="13"/>
    </row>
    <row r="8146">
      <c r="F8146" s="13"/>
      <c r="M8146" s="13"/>
    </row>
    <row r="8147">
      <c r="F8147" s="13"/>
      <c r="M8147" s="13"/>
    </row>
    <row r="8148">
      <c r="F8148" s="13"/>
      <c r="M8148" s="13"/>
    </row>
    <row r="8149">
      <c r="F8149" s="13"/>
      <c r="M8149" s="13"/>
    </row>
    <row r="8150">
      <c r="F8150" s="13"/>
      <c r="M8150" s="13"/>
    </row>
    <row r="8151">
      <c r="F8151" s="13"/>
      <c r="M8151" s="13"/>
    </row>
    <row r="8152">
      <c r="F8152" s="13"/>
      <c r="M8152" s="13"/>
    </row>
    <row r="8153">
      <c r="F8153" s="13"/>
      <c r="M8153" s="13"/>
    </row>
    <row r="8154">
      <c r="F8154" s="13"/>
      <c r="M8154" s="13"/>
    </row>
    <row r="8155">
      <c r="F8155" s="13"/>
      <c r="M8155" s="13"/>
    </row>
    <row r="8156">
      <c r="F8156" s="13"/>
      <c r="M8156" s="13"/>
    </row>
    <row r="8157">
      <c r="F8157" s="13"/>
      <c r="M8157" s="13"/>
    </row>
    <row r="8158">
      <c r="F8158" s="13"/>
      <c r="M8158" s="13"/>
    </row>
    <row r="8159">
      <c r="F8159" s="13"/>
      <c r="M8159" s="13"/>
    </row>
    <row r="8160">
      <c r="F8160" s="13"/>
      <c r="M8160" s="13"/>
    </row>
    <row r="8161">
      <c r="F8161" s="13"/>
      <c r="M8161" s="13"/>
    </row>
    <row r="8162">
      <c r="F8162" s="13"/>
      <c r="M8162" s="13"/>
    </row>
    <row r="8163">
      <c r="F8163" s="13"/>
      <c r="M8163" s="13"/>
    </row>
    <row r="8164">
      <c r="F8164" s="13"/>
      <c r="M8164" s="13"/>
    </row>
    <row r="8165">
      <c r="F8165" s="13"/>
      <c r="M8165" s="13"/>
    </row>
    <row r="8166">
      <c r="F8166" s="13"/>
      <c r="M8166" s="13"/>
    </row>
    <row r="8167">
      <c r="F8167" s="13"/>
      <c r="M8167" s="13"/>
    </row>
    <row r="8168">
      <c r="F8168" s="13"/>
      <c r="M8168" s="13"/>
    </row>
    <row r="8169">
      <c r="F8169" s="13"/>
      <c r="M8169" s="13"/>
    </row>
    <row r="8170">
      <c r="F8170" s="13"/>
      <c r="M8170" s="13"/>
    </row>
    <row r="8171">
      <c r="F8171" s="13"/>
      <c r="M8171" s="13"/>
    </row>
    <row r="8172">
      <c r="F8172" s="13"/>
      <c r="M8172" s="13"/>
    </row>
    <row r="8173">
      <c r="F8173" s="13"/>
      <c r="M8173" s="13"/>
    </row>
    <row r="8174">
      <c r="F8174" s="13"/>
      <c r="M8174" s="13"/>
    </row>
    <row r="8175">
      <c r="F8175" s="13"/>
      <c r="M8175" s="13"/>
    </row>
    <row r="8176">
      <c r="F8176" s="13"/>
      <c r="M8176" s="13"/>
    </row>
    <row r="8177">
      <c r="F8177" s="13"/>
      <c r="M8177" s="13"/>
    </row>
    <row r="8178">
      <c r="F8178" s="13"/>
      <c r="M8178" s="13"/>
    </row>
    <row r="8179">
      <c r="F8179" s="13"/>
      <c r="M8179" s="13"/>
    </row>
    <row r="8180">
      <c r="F8180" s="13"/>
      <c r="M8180" s="13"/>
    </row>
    <row r="8181">
      <c r="F8181" s="13"/>
      <c r="M8181" s="13"/>
    </row>
    <row r="8182">
      <c r="F8182" s="13"/>
      <c r="M8182" s="13"/>
    </row>
    <row r="8183">
      <c r="F8183" s="13"/>
      <c r="M8183" s="13"/>
    </row>
    <row r="8184">
      <c r="F8184" s="13"/>
      <c r="M8184" s="13"/>
    </row>
    <row r="8185">
      <c r="F8185" s="13"/>
      <c r="M8185" s="13"/>
    </row>
    <row r="8186">
      <c r="F8186" s="13"/>
      <c r="M8186" s="13"/>
    </row>
    <row r="8187">
      <c r="F8187" s="13"/>
      <c r="M8187" s="13"/>
    </row>
    <row r="8188">
      <c r="F8188" s="13"/>
      <c r="M8188" s="13"/>
    </row>
    <row r="8189">
      <c r="F8189" s="13"/>
      <c r="M8189" s="13"/>
    </row>
    <row r="8190">
      <c r="F8190" s="13"/>
      <c r="M8190" s="13"/>
    </row>
    <row r="8191">
      <c r="F8191" s="13"/>
      <c r="M8191" s="13"/>
    </row>
    <row r="8192">
      <c r="F8192" s="13"/>
      <c r="M8192" s="13"/>
    </row>
    <row r="8193">
      <c r="F8193" s="13"/>
      <c r="M8193" s="13"/>
    </row>
    <row r="8194">
      <c r="F8194" s="13"/>
      <c r="M8194" s="13"/>
    </row>
    <row r="8195">
      <c r="F8195" s="13"/>
      <c r="M8195" s="13"/>
    </row>
    <row r="8196">
      <c r="F8196" s="13"/>
      <c r="M8196" s="13"/>
    </row>
    <row r="8197">
      <c r="F8197" s="13"/>
      <c r="M8197" s="13"/>
    </row>
    <row r="8198">
      <c r="F8198" s="13"/>
      <c r="M8198" s="13"/>
    </row>
    <row r="8199">
      <c r="F8199" s="13"/>
      <c r="M8199" s="13"/>
    </row>
    <row r="8200">
      <c r="F8200" s="13"/>
      <c r="M8200" s="13"/>
    </row>
    <row r="8201">
      <c r="F8201" s="13"/>
      <c r="M8201" s="13"/>
    </row>
    <row r="8202">
      <c r="F8202" s="13"/>
      <c r="M8202" s="13"/>
    </row>
    <row r="8203">
      <c r="F8203" s="13"/>
      <c r="M8203" s="13"/>
    </row>
    <row r="8204">
      <c r="F8204" s="13"/>
      <c r="M8204" s="13"/>
    </row>
    <row r="8205">
      <c r="F8205" s="13"/>
      <c r="M8205" s="13"/>
    </row>
    <row r="8206">
      <c r="F8206" s="13"/>
      <c r="M8206" s="13"/>
    </row>
    <row r="8207">
      <c r="F8207" s="13"/>
      <c r="M8207" s="13"/>
    </row>
    <row r="8208">
      <c r="F8208" s="13"/>
      <c r="M8208" s="13"/>
    </row>
    <row r="8209">
      <c r="F8209" s="13"/>
      <c r="M8209" s="13"/>
    </row>
    <row r="8210">
      <c r="F8210" s="13"/>
      <c r="M8210" s="13"/>
    </row>
    <row r="8211">
      <c r="F8211" s="13"/>
      <c r="M8211" s="13"/>
    </row>
    <row r="8212">
      <c r="F8212" s="13"/>
      <c r="M8212" s="13"/>
    </row>
    <row r="8213">
      <c r="F8213" s="13"/>
      <c r="M8213" s="13"/>
    </row>
    <row r="8214">
      <c r="F8214" s="13"/>
      <c r="M8214" s="13"/>
    </row>
    <row r="8215">
      <c r="F8215" s="13"/>
      <c r="M8215" s="13"/>
    </row>
    <row r="8216">
      <c r="F8216" s="13"/>
      <c r="M8216" s="13"/>
    </row>
    <row r="8217">
      <c r="F8217" s="13"/>
      <c r="M8217" s="13"/>
    </row>
    <row r="8218">
      <c r="F8218" s="13"/>
      <c r="M8218" s="13"/>
    </row>
    <row r="8219">
      <c r="F8219" s="13"/>
      <c r="M8219" s="13"/>
    </row>
    <row r="8220">
      <c r="F8220" s="13"/>
      <c r="M8220" s="13"/>
    </row>
    <row r="8221">
      <c r="F8221" s="13"/>
      <c r="M8221" s="13"/>
    </row>
    <row r="8222">
      <c r="F8222" s="13"/>
      <c r="M8222" s="13"/>
    </row>
    <row r="8223">
      <c r="F8223" s="13"/>
      <c r="M8223" s="13"/>
    </row>
    <row r="8224">
      <c r="F8224" s="13"/>
      <c r="M8224" s="13"/>
    </row>
    <row r="8225">
      <c r="F8225" s="13"/>
      <c r="M8225" s="13"/>
    </row>
    <row r="8226">
      <c r="F8226" s="13"/>
      <c r="M8226" s="13"/>
    </row>
    <row r="8227">
      <c r="F8227" s="13"/>
      <c r="M8227" s="13"/>
    </row>
    <row r="8228">
      <c r="F8228" s="13"/>
      <c r="M8228" s="13"/>
    </row>
    <row r="8229">
      <c r="F8229" s="13"/>
      <c r="M8229" s="13"/>
    </row>
    <row r="8230">
      <c r="F8230" s="13"/>
      <c r="M8230" s="13"/>
    </row>
    <row r="8231">
      <c r="F8231" s="13"/>
      <c r="M8231" s="13"/>
    </row>
    <row r="8232">
      <c r="F8232" s="13"/>
      <c r="M8232" s="13"/>
    </row>
    <row r="8233">
      <c r="F8233" s="13"/>
      <c r="M8233" s="13"/>
    </row>
    <row r="8234">
      <c r="F8234" s="13"/>
      <c r="M8234" s="13"/>
    </row>
    <row r="8235">
      <c r="F8235" s="13"/>
      <c r="M8235" s="13"/>
    </row>
    <row r="8236">
      <c r="F8236" s="13"/>
      <c r="M8236" s="13"/>
    </row>
    <row r="8237">
      <c r="F8237" s="13"/>
      <c r="M8237" s="13"/>
    </row>
    <row r="8238">
      <c r="F8238" s="13"/>
      <c r="M8238" s="13"/>
    </row>
    <row r="8239">
      <c r="F8239" s="13"/>
      <c r="M8239" s="13"/>
    </row>
    <row r="8240">
      <c r="F8240" s="13"/>
      <c r="M8240" s="13"/>
    </row>
    <row r="8241">
      <c r="F8241" s="13"/>
      <c r="M8241" s="13"/>
    </row>
    <row r="8242">
      <c r="F8242" s="13"/>
      <c r="M8242" s="13"/>
    </row>
    <row r="8243">
      <c r="F8243" s="13"/>
      <c r="M8243" s="13"/>
    </row>
    <row r="8244">
      <c r="F8244" s="13"/>
      <c r="M8244" s="13"/>
    </row>
    <row r="8245">
      <c r="F8245" s="13"/>
      <c r="M8245" s="13"/>
    </row>
    <row r="8246">
      <c r="F8246" s="13"/>
      <c r="M8246" s="13"/>
    </row>
    <row r="8247">
      <c r="F8247" s="13"/>
      <c r="M8247" s="13"/>
    </row>
    <row r="8248">
      <c r="F8248" s="13"/>
      <c r="M8248" s="13"/>
    </row>
    <row r="8249">
      <c r="F8249" s="13"/>
      <c r="M8249" s="13"/>
    </row>
    <row r="8250">
      <c r="F8250" s="13"/>
      <c r="M8250" s="13"/>
    </row>
    <row r="8251">
      <c r="F8251" s="13"/>
      <c r="M8251" s="13"/>
    </row>
    <row r="8252">
      <c r="F8252" s="13"/>
      <c r="M8252" s="13"/>
    </row>
    <row r="8253">
      <c r="F8253" s="13"/>
      <c r="M8253" s="13"/>
    </row>
    <row r="8254">
      <c r="F8254" s="13"/>
      <c r="M8254" s="13"/>
    </row>
    <row r="8255">
      <c r="F8255" s="13"/>
      <c r="M8255" s="13"/>
    </row>
    <row r="8256">
      <c r="F8256" s="13"/>
      <c r="M8256" s="13"/>
    </row>
    <row r="8257">
      <c r="F8257" s="13"/>
      <c r="M8257" s="13"/>
    </row>
    <row r="8258">
      <c r="F8258" s="13"/>
      <c r="M8258" s="13"/>
    </row>
    <row r="8259">
      <c r="F8259" s="13"/>
      <c r="M8259" s="13"/>
    </row>
    <row r="8260">
      <c r="F8260" s="13"/>
      <c r="M8260" s="13"/>
    </row>
    <row r="8261">
      <c r="F8261" s="13"/>
      <c r="M8261" s="13"/>
    </row>
    <row r="8262">
      <c r="F8262" s="13"/>
      <c r="M8262" s="13"/>
    </row>
    <row r="8263">
      <c r="F8263" s="13"/>
      <c r="M8263" s="13"/>
    </row>
    <row r="8264">
      <c r="F8264" s="13"/>
      <c r="M8264" s="13"/>
    </row>
    <row r="8265">
      <c r="F8265" s="13"/>
      <c r="M8265" s="13"/>
    </row>
    <row r="8266">
      <c r="F8266" s="13"/>
      <c r="M8266" s="13"/>
    </row>
    <row r="8267">
      <c r="F8267" s="13"/>
      <c r="M8267" s="13"/>
    </row>
    <row r="8268">
      <c r="F8268" s="13"/>
      <c r="M8268" s="13"/>
    </row>
    <row r="8269">
      <c r="F8269" s="13"/>
      <c r="M8269" s="13"/>
    </row>
    <row r="8270">
      <c r="F8270" s="13"/>
      <c r="M8270" s="13"/>
    </row>
    <row r="8271">
      <c r="F8271" s="13"/>
      <c r="M8271" s="13"/>
    </row>
    <row r="8272">
      <c r="F8272" s="13"/>
      <c r="M8272" s="13"/>
    </row>
    <row r="8273">
      <c r="F8273" s="13"/>
      <c r="M8273" s="13"/>
    </row>
    <row r="8274">
      <c r="F8274" s="13"/>
      <c r="M8274" s="13"/>
    </row>
    <row r="8275">
      <c r="F8275" s="13"/>
      <c r="M8275" s="13"/>
    </row>
    <row r="8276">
      <c r="F8276" s="13"/>
      <c r="M8276" s="13"/>
    </row>
    <row r="8277">
      <c r="F8277" s="13"/>
      <c r="M8277" s="13"/>
    </row>
    <row r="8278">
      <c r="F8278" s="13"/>
      <c r="M8278" s="13"/>
    </row>
    <row r="8279">
      <c r="F8279" s="13"/>
      <c r="M8279" s="13"/>
    </row>
    <row r="8280">
      <c r="F8280" s="13"/>
      <c r="M8280" s="13"/>
    </row>
    <row r="8281">
      <c r="F8281" s="13"/>
      <c r="M8281" s="13"/>
    </row>
    <row r="8282">
      <c r="F8282" s="13"/>
      <c r="M8282" s="13"/>
    </row>
    <row r="8283">
      <c r="F8283" s="13"/>
      <c r="M8283" s="13"/>
    </row>
    <row r="8284">
      <c r="F8284" s="13"/>
      <c r="M8284" s="13"/>
    </row>
    <row r="8285">
      <c r="F8285" s="13"/>
      <c r="M8285" s="13"/>
    </row>
    <row r="8286">
      <c r="F8286" s="13"/>
      <c r="M8286" s="13"/>
    </row>
    <row r="8287">
      <c r="F8287" s="13"/>
      <c r="M8287" s="13"/>
    </row>
    <row r="8288">
      <c r="F8288" s="13"/>
      <c r="M8288" s="13"/>
    </row>
    <row r="8289">
      <c r="F8289" s="13"/>
      <c r="M8289" s="13"/>
    </row>
    <row r="8290">
      <c r="F8290" s="13"/>
      <c r="M8290" s="13"/>
    </row>
    <row r="8291">
      <c r="F8291" s="13"/>
      <c r="M8291" s="13"/>
    </row>
    <row r="8292">
      <c r="F8292" s="13"/>
      <c r="M8292" s="13"/>
    </row>
    <row r="8293">
      <c r="F8293" s="13"/>
      <c r="M8293" s="13"/>
    </row>
    <row r="8294">
      <c r="F8294" s="13"/>
      <c r="M8294" s="13"/>
    </row>
    <row r="8295">
      <c r="F8295" s="13"/>
      <c r="M8295" s="13"/>
    </row>
    <row r="8296">
      <c r="F8296" s="13"/>
      <c r="M8296" s="13"/>
    </row>
    <row r="8297">
      <c r="F8297" s="13"/>
      <c r="M8297" s="13"/>
    </row>
    <row r="8298">
      <c r="F8298" s="13"/>
      <c r="M8298" s="13"/>
    </row>
    <row r="8299">
      <c r="F8299" s="13"/>
      <c r="M8299" s="13"/>
    </row>
    <row r="8300">
      <c r="F8300" s="13"/>
      <c r="M8300" s="13"/>
    </row>
    <row r="8301">
      <c r="F8301" s="13"/>
      <c r="M8301" s="13"/>
    </row>
    <row r="8302">
      <c r="F8302" s="13"/>
      <c r="M8302" s="13"/>
    </row>
    <row r="8303">
      <c r="F8303" s="13"/>
      <c r="M8303" s="13"/>
    </row>
    <row r="8304">
      <c r="F8304" s="13"/>
      <c r="M8304" s="13"/>
    </row>
    <row r="8305">
      <c r="F8305" s="13"/>
      <c r="M8305" s="13"/>
    </row>
    <row r="8306">
      <c r="F8306" s="13"/>
      <c r="M8306" s="13"/>
    </row>
    <row r="8307">
      <c r="F8307" s="13"/>
      <c r="M8307" s="13"/>
    </row>
    <row r="8308">
      <c r="F8308" s="13"/>
      <c r="M8308" s="13"/>
    </row>
    <row r="8309">
      <c r="F8309" s="13"/>
      <c r="M8309" s="13"/>
    </row>
    <row r="8310">
      <c r="F8310" s="13"/>
      <c r="M8310" s="13"/>
    </row>
    <row r="8311">
      <c r="F8311" s="13"/>
      <c r="M8311" s="13"/>
    </row>
    <row r="8312">
      <c r="F8312" s="13"/>
      <c r="M8312" s="13"/>
    </row>
    <row r="8313">
      <c r="F8313" s="13"/>
      <c r="M8313" s="13"/>
    </row>
    <row r="8314">
      <c r="F8314" s="13"/>
      <c r="M8314" s="13"/>
    </row>
    <row r="8315">
      <c r="F8315" s="13"/>
      <c r="M8315" s="13"/>
    </row>
    <row r="8316">
      <c r="F8316" s="13"/>
      <c r="M8316" s="13"/>
    </row>
    <row r="8317">
      <c r="F8317" s="13"/>
      <c r="M8317" s="13"/>
    </row>
    <row r="8318">
      <c r="F8318" s="13"/>
      <c r="M8318" s="13"/>
    </row>
    <row r="8319">
      <c r="F8319" s="13"/>
      <c r="M8319" s="13"/>
    </row>
    <row r="8320">
      <c r="F8320" s="13"/>
      <c r="M8320" s="13"/>
    </row>
    <row r="8321">
      <c r="F8321" s="13"/>
      <c r="M8321" s="13"/>
    </row>
    <row r="8322">
      <c r="F8322" s="13"/>
      <c r="M8322" s="13"/>
    </row>
    <row r="8323">
      <c r="F8323" s="13"/>
      <c r="M8323" s="13"/>
    </row>
    <row r="8324">
      <c r="F8324" s="13"/>
      <c r="M8324" s="13"/>
    </row>
    <row r="8325">
      <c r="F8325" s="13"/>
      <c r="M8325" s="13"/>
    </row>
    <row r="8326">
      <c r="F8326" s="13"/>
      <c r="M8326" s="13"/>
    </row>
    <row r="8327">
      <c r="F8327" s="13"/>
      <c r="M8327" s="13"/>
    </row>
    <row r="8328">
      <c r="F8328" s="13"/>
      <c r="M8328" s="13"/>
    </row>
    <row r="8329">
      <c r="F8329" s="13"/>
      <c r="M8329" s="13"/>
    </row>
    <row r="8330">
      <c r="F8330" s="13"/>
      <c r="M8330" s="13"/>
    </row>
    <row r="8331">
      <c r="F8331" s="13"/>
      <c r="M8331" s="13"/>
    </row>
    <row r="8332">
      <c r="F8332" s="13"/>
      <c r="M8332" s="13"/>
    </row>
    <row r="8333">
      <c r="F8333" s="13"/>
      <c r="M8333" s="13"/>
    </row>
    <row r="8334">
      <c r="F8334" s="13"/>
      <c r="M8334" s="13"/>
    </row>
    <row r="8335">
      <c r="F8335" s="13"/>
      <c r="M8335" s="13"/>
    </row>
    <row r="8336">
      <c r="F8336" s="13"/>
      <c r="M8336" s="13"/>
    </row>
    <row r="8337">
      <c r="F8337" s="13"/>
      <c r="M8337" s="13"/>
    </row>
    <row r="8338">
      <c r="F8338" s="13"/>
      <c r="M8338" s="13"/>
    </row>
    <row r="8339">
      <c r="F8339" s="13"/>
      <c r="M8339" s="13"/>
    </row>
    <row r="8340">
      <c r="F8340" s="13"/>
      <c r="M8340" s="13"/>
    </row>
    <row r="8341">
      <c r="F8341" s="13"/>
      <c r="M8341" s="13"/>
    </row>
    <row r="8342">
      <c r="F8342" s="13"/>
      <c r="M8342" s="13"/>
    </row>
    <row r="8343">
      <c r="F8343" s="13"/>
      <c r="M8343" s="13"/>
    </row>
    <row r="8344">
      <c r="F8344" s="13"/>
      <c r="M8344" s="13"/>
    </row>
    <row r="8345">
      <c r="F8345" s="13"/>
      <c r="M8345" s="13"/>
    </row>
    <row r="8346">
      <c r="F8346" s="13"/>
      <c r="M8346" s="13"/>
    </row>
    <row r="8347">
      <c r="F8347" s="13"/>
      <c r="M8347" s="13"/>
    </row>
    <row r="8348">
      <c r="F8348" s="13"/>
      <c r="M8348" s="13"/>
    </row>
    <row r="8349">
      <c r="F8349" s="13"/>
      <c r="M8349" s="13"/>
    </row>
    <row r="8350">
      <c r="F8350" s="13"/>
      <c r="M8350" s="13"/>
    </row>
    <row r="8351">
      <c r="F8351" s="13"/>
      <c r="M8351" s="13"/>
    </row>
    <row r="8352">
      <c r="F8352" s="13"/>
      <c r="M8352" s="13"/>
    </row>
    <row r="8353">
      <c r="F8353" s="13"/>
      <c r="M8353" s="13"/>
    </row>
    <row r="8354">
      <c r="F8354" s="13"/>
      <c r="M8354" s="13"/>
    </row>
    <row r="8355">
      <c r="F8355" s="13"/>
      <c r="M8355" s="13"/>
    </row>
    <row r="8356">
      <c r="F8356" s="13"/>
      <c r="M8356" s="13"/>
    </row>
    <row r="8357">
      <c r="F8357" s="13"/>
      <c r="M8357" s="13"/>
    </row>
    <row r="8358">
      <c r="F8358" s="13"/>
      <c r="M8358" s="13"/>
    </row>
    <row r="8359">
      <c r="F8359" s="13"/>
      <c r="M8359" s="13"/>
    </row>
    <row r="8360">
      <c r="F8360" s="13"/>
      <c r="M8360" s="13"/>
    </row>
    <row r="8361">
      <c r="F8361" s="13"/>
      <c r="M8361" s="13"/>
    </row>
    <row r="8362">
      <c r="F8362" s="13"/>
      <c r="M8362" s="13"/>
    </row>
    <row r="8363">
      <c r="F8363" s="13"/>
      <c r="M8363" s="13"/>
    </row>
    <row r="8364">
      <c r="F8364" s="13"/>
      <c r="M8364" s="13"/>
    </row>
    <row r="8365">
      <c r="F8365" s="13"/>
      <c r="M8365" s="13"/>
    </row>
    <row r="8366">
      <c r="F8366" s="13"/>
      <c r="M8366" s="13"/>
    </row>
    <row r="8367">
      <c r="F8367" s="13"/>
      <c r="M8367" s="13"/>
    </row>
    <row r="8368">
      <c r="F8368" s="13"/>
      <c r="M8368" s="13"/>
    </row>
    <row r="8369">
      <c r="F8369" s="13"/>
      <c r="M8369" s="13"/>
    </row>
    <row r="8370">
      <c r="F8370" s="13"/>
      <c r="M8370" s="13"/>
    </row>
    <row r="8371">
      <c r="F8371" s="13"/>
      <c r="M8371" s="13"/>
    </row>
    <row r="8372">
      <c r="F8372" s="13"/>
      <c r="M8372" s="13"/>
    </row>
    <row r="8373">
      <c r="F8373" s="13"/>
      <c r="M8373" s="13"/>
    </row>
    <row r="8374">
      <c r="F8374" s="13"/>
      <c r="M8374" s="13"/>
    </row>
    <row r="8375">
      <c r="F8375" s="13"/>
      <c r="M8375" s="13"/>
    </row>
    <row r="8376">
      <c r="F8376" s="13"/>
      <c r="M8376" s="13"/>
    </row>
    <row r="8377">
      <c r="F8377" s="13"/>
      <c r="M8377" s="13"/>
    </row>
    <row r="8378">
      <c r="F8378" s="13"/>
      <c r="M8378" s="13"/>
    </row>
    <row r="8379">
      <c r="F8379" s="13"/>
      <c r="M8379" s="13"/>
    </row>
    <row r="8380">
      <c r="F8380" s="13"/>
      <c r="M8380" s="13"/>
    </row>
    <row r="8381">
      <c r="F8381" s="13"/>
      <c r="M8381" s="13"/>
    </row>
    <row r="8382">
      <c r="F8382" s="13"/>
      <c r="M8382" s="13"/>
    </row>
    <row r="8383">
      <c r="F8383" s="13"/>
      <c r="M8383" s="13"/>
    </row>
    <row r="8384">
      <c r="F8384" s="13"/>
      <c r="M8384" s="13"/>
    </row>
    <row r="8385">
      <c r="F8385" s="13"/>
      <c r="M8385" s="13"/>
    </row>
    <row r="8386">
      <c r="F8386" s="13"/>
      <c r="M8386" s="13"/>
    </row>
    <row r="8387">
      <c r="F8387" s="13"/>
      <c r="M8387" s="13"/>
    </row>
    <row r="8388">
      <c r="F8388" s="13"/>
      <c r="M8388" s="13"/>
    </row>
    <row r="8389">
      <c r="F8389" s="13"/>
      <c r="M8389" s="13"/>
    </row>
    <row r="8390">
      <c r="F8390" s="13"/>
      <c r="M8390" s="13"/>
    </row>
    <row r="8391">
      <c r="F8391" s="13"/>
      <c r="M8391" s="13"/>
    </row>
    <row r="8392">
      <c r="F8392" s="13"/>
      <c r="M8392" s="13"/>
    </row>
    <row r="8393">
      <c r="F8393" s="13"/>
      <c r="M8393" s="13"/>
    </row>
    <row r="8394">
      <c r="F8394" s="13"/>
      <c r="M8394" s="13"/>
    </row>
    <row r="8395">
      <c r="F8395" s="13"/>
      <c r="M8395" s="13"/>
    </row>
    <row r="8396">
      <c r="F8396" s="13"/>
      <c r="M8396" s="13"/>
    </row>
    <row r="8397">
      <c r="F8397" s="13"/>
      <c r="M8397" s="13"/>
    </row>
    <row r="8398">
      <c r="F8398" s="13"/>
      <c r="M8398" s="13"/>
    </row>
    <row r="8399">
      <c r="F8399" s="13"/>
      <c r="M8399" s="13"/>
    </row>
    <row r="8400">
      <c r="F8400" s="13"/>
      <c r="M8400" s="13"/>
    </row>
    <row r="8401">
      <c r="F8401" s="13"/>
      <c r="M8401" s="13"/>
    </row>
    <row r="8402">
      <c r="F8402" s="13"/>
      <c r="M8402" s="13"/>
    </row>
    <row r="8403">
      <c r="F8403" s="13"/>
      <c r="M8403" s="13"/>
    </row>
    <row r="8404">
      <c r="F8404" s="13"/>
      <c r="M8404" s="13"/>
    </row>
    <row r="8405">
      <c r="F8405" s="13"/>
      <c r="M8405" s="13"/>
    </row>
    <row r="8406">
      <c r="F8406" s="13"/>
      <c r="M8406" s="13"/>
    </row>
    <row r="8407">
      <c r="F8407" s="13"/>
      <c r="M8407" s="13"/>
    </row>
    <row r="8408">
      <c r="F8408" s="13"/>
      <c r="M8408" s="13"/>
    </row>
    <row r="8409">
      <c r="F8409" s="13"/>
      <c r="M8409" s="13"/>
    </row>
    <row r="8410">
      <c r="F8410" s="13"/>
      <c r="M8410" s="13"/>
    </row>
    <row r="8411">
      <c r="F8411" s="13"/>
      <c r="M8411" s="13"/>
    </row>
    <row r="8412">
      <c r="F8412" s="13"/>
      <c r="M8412" s="13"/>
    </row>
    <row r="8413">
      <c r="F8413" s="13"/>
      <c r="M8413" s="13"/>
    </row>
    <row r="8414">
      <c r="F8414" s="13"/>
      <c r="M8414" s="13"/>
    </row>
    <row r="8415">
      <c r="F8415" s="13"/>
      <c r="M8415" s="13"/>
    </row>
    <row r="8416">
      <c r="F8416" s="13"/>
      <c r="M8416" s="13"/>
    </row>
    <row r="8417">
      <c r="F8417" s="13"/>
      <c r="M8417" s="13"/>
    </row>
    <row r="8418">
      <c r="F8418" s="13"/>
      <c r="M8418" s="13"/>
    </row>
    <row r="8419">
      <c r="F8419" s="13"/>
      <c r="M8419" s="13"/>
    </row>
    <row r="8420">
      <c r="F8420" s="13"/>
      <c r="M8420" s="13"/>
    </row>
    <row r="8421">
      <c r="F8421" s="13"/>
      <c r="M8421" s="13"/>
    </row>
    <row r="8422">
      <c r="F8422" s="13"/>
      <c r="M8422" s="13"/>
    </row>
    <row r="8423">
      <c r="F8423" s="13"/>
      <c r="M8423" s="13"/>
    </row>
    <row r="8424">
      <c r="F8424" s="13"/>
      <c r="M8424" s="13"/>
    </row>
    <row r="8425">
      <c r="F8425" s="13"/>
      <c r="M8425" s="13"/>
    </row>
    <row r="8426">
      <c r="F8426" s="13"/>
      <c r="M8426" s="13"/>
    </row>
    <row r="8427">
      <c r="F8427" s="13"/>
      <c r="M8427" s="13"/>
    </row>
    <row r="8428">
      <c r="F8428" s="13"/>
      <c r="M8428" s="13"/>
    </row>
    <row r="8429">
      <c r="F8429" s="13"/>
      <c r="M8429" s="13"/>
    </row>
    <row r="8430">
      <c r="F8430" s="13"/>
      <c r="M8430" s="13"/>
    </row>
    <row r="8431">
      <c r="F8431" s="13"/>
      <c r="M8431" s="13"/>
    </row>
    <row r="8432">
      <c r="F8432" s="13"/>
      <c r="M8432" s="13"/>
    </row>
    <row r="8433">
      <c r="F8433" s="13"/>
      <c r="M8433" s="13"/>
    </row>
    <row r="8434">
      <c r="F8434" s="13"/>
      <c r="M8434" s="13"/>
    </row>
    <row r="8435">
      <c r="F8435" s="13"/>
      <c r="M8435" s="13"/>
    </row>
    <row r="8436">
      <c r="F8436" s="13"/>
      <c r="M8436" s="13"/>
    </row>
    <row r="8437">
      <c r="F8437" s="13"/>
      <c r="M8437" s="13"/>
    </row>
    <row r="8438">
      <c r="F8438" s="13"/>
      <c r="M8438" s="13"/>
    </row>
    <row r="8439">
      <c r="F8439" s="13"/>
      <c r="M8439" s="13"/>
    </row>
    <row r="8440">
      <c r="F8440" s="13"/>
      <c r="M8440" s="13"/>
    </row>
    <row r="8441">
      <c r="F8441" s="13"/>
      <c r="M8441" s="13"/>
    </row>
    <row r="8442">
      <c r="F8442" s="13"/>
      <c r="M8442" s="13"/>
    </row>
    <row r="8443">
      <c r="F8443" s="13"/>
      <c r="M8443" s="13"/>
    </row>
    <row r="8444">
      <c r="F8444" s="13"/>
      <c r="M8444" s="13"/>
    </row>
    <row r="8445">
      <c r="F8445" s="13"/>
      <c r="M8445" s="13"/>
    </row>
    <row r="8446">
      <c r="F8446" s="13"/>
      <c r="M8446" s="13"/>
    </row>
    <row r="8447">
      <c r="F8447" s="13"/>
      <c r="M8447" s="13"/>
    </row>
    <row r="8448">
      <c r="F8448" s="13"/>
      <c r="M8448" s="13"/>
    </row>
    <row r="8449">
      <c r="F8449" s="13"/>
      <c r="M8449" s="13"/>
    </row>
    <row r="8450">
      <c r="F8450" s="13"/>
      <c r="M8450" s="13"/>
    </row>
    <row r="8451">
      <c r="F8451" s="13"/>
      <c r="M8451" s="13"/>
    </row>
    <row r="8452">
      <c r="F8452" s="13"/>
      <c r="M8452" s="13"/>
    </row>
    <row r="8453">
      <c r="F8453" s="13"/>
      <c r="M8453" s="13"/>
    </row>
    <row r="8454">
      <c r="F8454" s="13"/>
      <c r="M8454" s="13"/>
    </row>
    <row r="8455">
      <c r="F8455" s="13"/>
      <c r="M8455" s="13"/>
    </row>
    <row r="8456">
      <c r="F8456" s="13"/>
      <c r="M8456" s="13"/>
    </row>
    <row r="8457">
      <c r="F8457" s="13"/>
      <c r="M8457" s="13"/>
    </row>
    <row r="8458">
      <c r="F8458" s="13"/>
      <c r="M8458" s="13"/>
    </row>
    <row r="8459">
      <c r="F8459" s="13"/>
      <c r="M8459" s="13"/>
    </row>
    <row r="8460">
      <c r="F8460" s="13"/>
      <c r="M8460" s="13"/>
    </row>
    <row r="8461">
      <c r="F8461" s="13"/>
      <c r="M8461" s="13"/>
    </row>
    <row r="8462">
      <c r="F8462" s="13"/>
      <c r="M8462" s="13"/>
    </row>
    <row r="8463">
      <c r="F8463" s="13"/>
      <c r="M8463" s="13"/>
    </row>
    <row r="8464">
      <c r="F8464" s="13"/>
      <c r="M8464" s="13"/>
    </row>
    <row r="8465">
      <c r="F8465" s="13"/>
      <c r="M8465" s="13"/>
    </row>
    <row r="8466">
      <c r="F8466" s="13"/>
      <c r="M8466" s="13"/>
    </row>
    <row r="8467">
      <c r="F8467" s="13"/>
      <c r="M8467" s="13"/>
    </row>
    <row r="8468">
      <c r="F8468" s="13"/>
      <c r="M8468" s="13"/>
    </row>
    <row r="8469">
      <c r="F8469" s="13"/>
      <c r="M8469" s="13"/>
    </row>
    <row r="8470">
      <c r="F8470" s="13"/>
      <c r="M8470" s="13"/>
    </row>
    <row r="8471">
      <c r="F8471" s="13"/>
      <c r="M8471" s="13"/>
    </row>
    <row r="8472">
      <c r="F8472" s="13"/>
      <c r="M8472" s="13"/>
    </row>
    <row r="8473">
      <c r="F8473" s="13"/>
      <c r="M8473" s="13"/>
    </row>
    <row r="8474">
      <c r="F8474" s="13"/>
      <c r="M8474" s="13"/>
    </row>
    <row r="8475">
      <c r="F8475" s="13"/>
      <c r="M8475" s="13"/>
    </row>
    <row r="8476">
      <c r="F8476" s="13"/>
      <c r="M8476" s="13"/>
    </row>
    <row r="8477">
      <c r="F8477" s="13"/>
      <c r="M8477" s="13"/>
    </row>
    <row r="8478">
      <c r="F8478" s="13"/>
      <c r="M8478" s="13"/>
    </row>
    <row r="8479">
      <c r="F8479" s="13"/>
      <c r="M8479" s="13"/>
    </row>
    <row r="8480">
      <c r="F8480" s="13"/>
      <c r="M8480" s="13"/>
    </row>
    <row r="8481">
      <c r="F8481" s="13"/>
      <c r="M8481" s="13"/>
    </row>
    <row r="8482">
      <c r="F8482" s="13"/>
      <c r="M8482" s="13"/>
    </row>
    <row r="8483">
      <c r="F8483" s="13"/>
      <c r="M8483" s="13"/>
    </row>
    <row r="8484">
      <c r="F8484" s="13"/>
      <c r="M8484" s="13"/>
    </row>
    <row r="8485">
      <c r="F8485" s="13"/>
      <c r="M8485" s="13"/>
    </row>
    <row r="8486">
      <c r="F8486" s="13"/>
      <c r="M8486" s="13"/>
    </row>
    <row r="8487">
      <c r="F8487" s="13"/>
      <c r="M8487" s="13"/>
    </row>
    <row r="8488">
      <c r="F8488" s="13"/>
      <c r="M8488" s="13"/>
    </row>
    <row r="8489">
      <c r="F8489" s="13"/>
      <c r="M8489" s="13"/>
    </row>
    <row r="8490">
      <c r="F8490" s="13"/>
      <c r="M8490" s="13"/>
    </row>
    <row r="8491">
      <c r="F8491" s="13"/>
      <c r="M8491" s="13"/>
    </row>
    <row r="8492">
      <c r="F8492" s="13"/>
      <c r="M8492" s="13"/>
    </row>
    <row r="8493">
      <c r="F8493" s="13"/>
      <c r="M8493" s="13"/>
    </row>
    <row r="8494">
      <c r="F8494" s="13"/>
      <c r="M8494" s="13"/>
    </row>
    <row r="8495">
      <c r="F8495" s="13"/>
      <c r="M8495" s="13"/>
    </row>
    <row r="8496">
      <c r="F8496" s="13"/>
      <c r="M8496" s="13"/>
    </row>
    <row r="8497">
      <c r="F8497" s="13"/>
      <c r="M8497" s="13"/>
    </row>
    <row r="8498">
      <c r="F8498" s="13"/>
      <c r="M8498" s="13"/>
    </row>
    <row r="8499">
      <c r="F8499" s="13"/>
      <c r="M8499" s="13"/>
    </row>
    <row r="8500">
      <c r="F8500" s="13"/>
      <c r="M8500" s="13"/>
    </row>
    <row r="8501">
      <c r="F8501" s="13"/>
      <c r="M8501" s="13"/>
    </row>
    <row r="8502">
      <c r="F8502" s="13"/>
      <c r="M8502" s="13"/>
    </row>
    <row r="8503">
      <c r="F8503" s="13"/>
      <c r="M8503" s="13"/>
    </row>
    <row r="8504">
      <c r="F8504" s="13"/>
      <c r="M8504" s="13"/>
    </row>
    <row r="8505">
      <c r="F8505" s="13"/>
      <c r="M8505" s="13"/>
    </row>
    <row r="8506">
      <c r="F8506" s="13"/>
      <c r="M8506" s="13"/>
    </row>
    <row r="8507">
      <c r="F8507" s="13"/>
      <c r="M8507" s="13"/>
    </row>
    <row r="8508">
      <c r="F8508" s="13"/>
      <c r="M8508" s="13"/>
    </row>
    <row r="8509">
      <c r="F8509" s="13"/>
      <c r="M8509" s="13"/>
    </row>
    <row r="8510">
      <c r="F8510" s="13"/>
      <c r="M8510" s="13"/>
    </row>
    <row r="8511">
      <c r="F8511" s="13"/>
      <c r="M8511" s="13"/>
    </row>
    <row r="8512">
      <c r="F8512" s="13"/>
      <c r="M8512" s="13"/>
    </row>
    <row r="8513">
      <c r="F8513" s="13"/>
      <c r="M8513" s="13"/>
    </row>
    <row r="8514">
      <c r="F8514" s="13"/>
      <c r="M8514" s="13"/>
    </row>
    <row r="8515">
      <c r="F8515" s="13"/>
      <c r="M8515" s="13"/>
    </row>
    <row r="8516">
      <c r="F8516" s="13"/>
      <c r="M8516" s="13"/>
    </row>
    <row r="8517">
      <c r="F8517" s="13"/>
      <c r="M8517" s="13"/>
    </row>
    <row r="8518">
      <c r="F8518" s="13"/>
      <c r="M8518" s="13"/>
    </row>
    <row r="8519">
      <c r="F8519" s="13"/>
      <c r="M8519" s="13"/>
    </row>
    <row r="8520">
      <c r="F8520" s="13"/>
      <c r="M8520" s="13"/>
    </row>
    <row r="8521">
      <c r="F8521" s="13"/>
      <c r="M8521" s="13"/>
    </row>
    <row r="8522">
      <c r="F8522" s="13"/>
      <c r="M8522" s="13"/>
    </row>
    <row r="8523">
      <c r="F8523" s="13"/>
      <c r="M8523" s="13"/>
    </row>
    <row r="8524">
      <c r="F8524" s="13"/>
      <c r="M8524" s="13"/>
    </row>
    <row r="8525">
      <c r="F8525" s="13"/>
      <c r="M8525" s="13"/>
    </row>
    <row r="8526">
      <c r="F8526" s="13"/>
      <c r="M8526" s="13"/>
    </row>
    <row r="8527">
      <c r="F8527" s="13"/>
      <c r="M8527" s="13"/>
    </row>
    <row r="8528">
      <c r="F8528" s="13"/>
      <c r="M8528" s="13"/>
    </row>
    <row r="8529">
      <c r="F8529" s="13"/>
      <c r="M8529" s="13"/>
    </row>
    <row r="8530">
      <c r="F8530" s="13"/>
      <c r="M8530" s="13"/>
    </row>
    <row r="8531">
      <c r="F8531" s="13"/>
      <c r="M8531" s="13"/>
    </row>
    <row r="8532">
      <c r="F8532" s="13"/>
      <c r="M8532" s="13"/>
    </row>
    <row r="8533">
      <c r="F8533" s="13"/>
      <c r="M8533" s="13"/>
    </row>
    <row r="8534">
      <c r="F8534" s="13"/>
      <c r="M8534" s="13"/>
    </row>
    <row r="8535">
      <c r="F8535" s="13"/>
      <c r="M8535" s="13"/>
    </row>
    <row r="8536">
      <c r="F8536" s="13"/>
      <c r="M8536" s="13"/>
    </row>
    <row r="8537">
      <c r="F8537" s="13"/>
      <c r="M8537" s="13"/>
    </row>
    <row r="8538">
      <c r="F8538" s="13"/>
      <c r="M8538" s="13"/>
    </row>
    <row r="8539">
      <c r="F8539" s="13"/>
      <c r="M8539" s="13"/>
    </row>
    <row r="8540">
      <c r="F8540" s="13"/>
      <c r="M8540" s="13"/>
    </row>
    <row r="8541">
      <c r="F8541" s="13"/>
      <c r="M8541" s="13"/>
    </row>
    <row r="8542">
      <c r="F8542" s="13"/>
      <c r="M8542" s="13"/>
    </row>
    <row r="8543">
      <c r="F8543" s="13"/>
      <c r="M8543" s="13"/>
    </row>
    <row r="8544">
      <c r="F8544" s="13"/>
      <c r="M8544" s="13"/>
    </row>
    <row r="8545">
      <c r="F8545" s="13"/>
      <c r="M8545" s="13"/>
    </row>
    <row r="8546">
      <c r="F8546" s="13"/>
      <c r="M8546" s="13"/>
    </row>
    <row r="8547">
      <c r="F8547" s="13"/>
      <c r="M8547" s="13"/>
    </row>
    <row r="8548">
      <c r="F8548" s="13"/>
      <c r="M8548" s="13"/>
    </row>
    <row r="8549">
      <c r="F8549" s="13"/>
      <c r="M8549" s="13"/>
    </row>
    <row r="8550">
      <c r="F8550" s="13"/>
      <c r="M8550" s="13"/>
    </row>
    <row r="8551">
      <c r="F8551" s="13"/>
      <c r="M8551" s="13"/>
    </row>
    <row r="8552">
      <c r="F8552" s="13"/>
      <c r="M8552" s="13"/>
    </row>
    <row r="8553">
      <c r="F8553" s="13"/>
      <c r="M8553" s="13"/>
    </row>
    <row r="8554">
      <c r="F8554" s="13"/>
      <c r="M8554" s="13"/>
    </row>
    <row r="8555">
      <c r="F8555" s="13"/>
      <c r="M8555" s="13"/>
    </row>
    <row r="8556">
      <c r="F8556" s="13"/>
      <c r="M8556" s="13"/>
    </row>
    <row r="8557">
      <c r="F8557" s="13"/>
      <c r="M8557" s="13"/>
    </row>
    <row r="8558">
      <c r="F8558" s="13"/>
      <c r="M8558" s="13"/>
    </row>
    <row r="8559">
      <c r="F8559" s="13"/>
      <c r="M8559" s="13"/>
    </row>
    <row r="8560">
      <c r="F8560" s="13"/>
      <c r="M8560" s="13"/>
    </row>
    <row r="8561">
      <c r="F8561" s="13"/>
      <c r="M8561" s="13"/>
    </row>
    <row r="8562">
      <c r="F8562" s="13"/>
      <c r="M8562" s="13"/>
    </row>
    <row r="8563">
      <c r="F8563" s="13"/>
      <c r="M8563" s="13"/>
    </row>
    <row r="8564">
      <c r="F8564" s="13"/>
      <c r="M8564" s="13"/>
    </row>
    <row r="8565">
      <c r="F8565" s="13"/>
      <c r="M8565" s="13"/>
    </row>
    <row r="8566">
      <c r="F8566" s="13"/>
      <c r="M8566" s="13"/>
    </row>
    <row r="8567">
      <c r="F8567" s="13"/>
      <c r="M8567" s="13"/>
    </row>
    <row r="8568">
      <c r="F8568" s="13"/>
      <c r="M8568" s="13"/>
    </row>
    <row r="8569">
      <c r="F8569" s="13"/>
      <c r="M8569" s="13"/>
    </row>
    <row r="8570">
      <c r="F8570" s="13"/>
      <c r="M8570" s="13"/>
    </row>
    <row r="8571">
      <c r="F8571" s="13"/>
      <c r="M8571" s="13"/>
    </row>
    <row r="8572">
      <c r="F8572" s="13"/>
      <c r="M8572" s="13"/>
    </row>
    <row r="8573">
      <c r="F8573" s="13"/>
      <c r="M8573" s="13"/>
    </row>
    <row r="8574">
      <c r="F8574" s="13"/>
      <c r="M8574" s="13"/>
    </row>
    <row r="8575">
      <c r="F8575" s="13"/>
      <c r="M8575" s="13"/>
    </row>
    <row r="8576">
      <c r="F8576" s="13"/>
      <c r="M8576" s="13"/>
    </row>
    <row r="8577">
      <c r="F8577" s="13"/>
      <c r="M8577" s="13"/>
    </row>
    <row r="8578">
      <c r="F8578" s="13"/>
      <c r="M8578" s="13"/>
    </row>
    <row r="8579">
      <c r="F8579" s="13"/>
      <c r="M8579" s="13"/>
    </row>
    <row r="8580">
      <c r="F8580" s="13"/>
      <c r="M8580" s="13"/>
    </row>
    <row r="8581">
      <c r="F8581" s="13"/>
      <c r="M8581" s="13"/>
    </row>
    <row r="8582">
      <c r="F8582" s="13"/>
      <c r="M8582" s="13"/>
    </row>
    <row r="8583">
      <c r="F8583" s="13"/>
      <c r="M8583" s="13"/>
    </row>
    <row r="8584">
      <c r="F8584" s="13"/>
      <c r="M8584" s="13"/>
    </row>
    <row r="8585">
      <c r="F8585" s="13"/>
      <c r="M8585" s="13"/>
    </row>
    <row r="8586">
      <c r="F8586" s="13"/>
      <c r="M8586" s="13"/>
    </row>
    <row r="8587">
      <c r="F8587" s="13"/>
      <c r="M8587" s="13"/>
    </row>
    <row r="8588">
      <c r="F8588" s="13"/>
      <c r="M8588" s="13"/>
    </row>
    <row r="8589">
      <c r="F8589" s="13"/>
      <c r="M8589" s="13"/>
    </row>
    <row r="8590">
      <c r="F8590" s="13"/>
      <c r="M8590" s="13"/>
    </row>
    <row r="8591">
      <c r="F8591" s="13"/>
      <c r="M8591" s="13"/>
    </row>
    <row r="8592">
      <c r="F8592" s="13"/>
      <c r="M8592" s="13"/>
    </row>
    <row r="8593">
      <c r="F8593" s="13"/>
      <c r="M8593" s="13"/>
    </row>
    <row r="8594">
      <c r="F8594" s="13"/>
      <c r="M8594" s="13"/>
    </row>
    <row r="8595">
      <c r="F8595" s="13"/>
      <c r="M8595" s="13"/>
    </row>
    <row r="8596">
      <c r="F8596" s="13"/>
      <c r="M8596" s="13"/>
    </row>
    <row r="8597">
      <c r="F8597" s="13"/>
      <c r="M8597" s="13"/>
    </row>
    <row r="8598">
      <c r="F8598" s="13"/>
      <c r="M8598" s="13"/>
    </row>
    <row r="8599">
      <c r="F8599" s="13"/>
      <c r="M8599" s="13"/>
    </row>
    <row r="8600">
      <c r="F8600" s="13"/>
      <c r="M8600" s="13"/>
    </row>
    <row r="8601">
      <c r="F8601" s="13"/>
      <c r="M8601" s="13"/>
    </row>
    <row r="8602">
      <c r="F8602" s="13"/>
      <c r="M8602" s="13"/>
    </row>
    <row r="8603">
      <c r="F8603" s="13"/>
      <c r="M8603" s="13"/>
    </row>
    <row r="8604">
      <c r="F8604" s="13"/>
      <c r="M8604" s="13"/>
    </row>
    <row r="8605">
      <c r="F8605" s="13"/>
      <c r="M8605" s="13"/>
    </row>
    <row r="8606">
      <c r="F8606" s="13"/>
      <c r="M8606" s="13"/>
    </row>
    <row r="8607">
      <c r="F8607" s="13"/>
      <c r="M8607" s="13"/>
    </row>
    <row r="8608">
      <c r="F8608" s="13"/>
      <c r="M8608" s="13"/>
    </row>
    <row r="8609">
      <c r="F8609" s="13"/>
      <c r="M8609" s="13"/>
    </row>
    <row r="8610">
      <c r="F8610" s="13"/>
      <c r="M8610" s="13"/>
    </row>
    <row r="8611">
      <c r="F8611" s="13"/>
      <c r="M8611" s="13"/>
    </row>
    <row r="8612">
      <c r="F8612" s="13"/>
      <c r="M8612" s="13"/>
    </row>
    <row r="8613">
      <c r="F8613" s="13"/>
      <c r="M8613" s="13"/>
    </row>
    <row r="8614">
      <c r="F8614" s="13"/>
      <c r="M8614" s="13"/>
    </row>
    <row r="8615">
      <c r="F8615" s="13"/>
      <c r="M8615" s="13"/>
    </row>
    <row r="8616">
      <c r="F8616" s="13"/>
      <c r="M8616" s="13"/>
    </row>
    <row r="8617">
      <c r="F8617" s="13"/>
      <c r="M8617" s="13"/>
    </row>
    <row r="8618">
      <c r="F8618" s="13"/>
      <c r="M8618" s="13"/>
    </row>
    <row r="8619">
      <c r="F8619" s="13"/>
      <c r="M8619" s="13"/>
    </row>
    <row r="8620">
      <c r="F8620" s="13"/>
      <c r="M8620" s="13"/>
    </row>
    <row r="8621">
      <c r="F8621" s="13"/>
      <c r="M8621" s="13"/>
    </row>
    <row r="8622">
      <c r="F8622" s="13"/>
      <c r="M8622" s="13"/>
    </row>
    <row r="8623">
      <c r="F8623" s="13"/>
      <c r="M8623" s="13"/>
    </row>
    <row r="8624">
      <c r="F8624" s="13"/>
      <c r="M8624" s="13"/>
    </row>
    <row r="8625">
      <c r="F8625" s="13"/>
      <c r="M8625" s="13"/>
    </row>
    <row r="8626">
      <c r="F8626" s="13"/>
      <c r="M8626" s="13"/>
    </row>
    <row r="8627">
      <c r="F8627" s="13"/>
      <c r="M8627" s="13"/>
    </row>
    <row r="8628">
      <c r="F8628" s="13"/>
      <c r="M8628" s="13"/>
    </row>
    <row r="8629">
      <c r="F8629" s="13"/>
      <c r="M8629" s="13"/>
    </row>
    <row r="8630">
      <c r="F8630" s="13"/>
      <c r="M8630" s="13"/>
    </row>
    <row r="8631">
      <c r="F8631" s="13"/>
      <c r="M8631" s="13"/>
    </row>
    <row r="8632">
      <c r="F8632" s="13"/>
      <c r="M8632" s="13"/>
    </row>
    <row r="8633">
      <c r="F8633" s="13"/>
      <c r="M8633" s="13"/>
    </row>
    <row r="8634">
      <c r="F8634" s="13"/>
      <c r="M8634" s="13"/>
    </row>
    <row r="8635">
      <c r="F8635" s="13"/>
      <c r="M8635" s="13"/>
    </row>
    <row r="8636">
      <c r="F8636" s="13"/>
      <c r="M8636" s="13"/>
    </row>
    <row r="8637">
      <c r="F8637" s="13"/>
      <c r="M8637" s="13"/>
    </row>
    <row r="8638">
      <c r="F8638" s="13"/>
      <c r="M8638" s="13"/>
    </row>
    <row r="8639">
      <c r="F8639" s="13"/>
      <c r="M8639" s="13"/>
    </row>
    <row r="8640">
      <c r="F8640" s="13"/>
      <c r="M8640" s="13"/>
    </row>
    <row r="8641">
      <c r="F8641" s="13"/>
      <c r="M8641" s="13"/>
    </row>
    <row r="8642">
      <c r="F8642" s="13"/>
      <c r="M8642" s="13"/>
    </row>
    <row r="8643">
      <c r="F8643" s="13"/>
      <c r="M8643" s="13"/>
    </row>
    <row r="8644">
      <c r="F8644" s="13"/>
      <c r="M8644" s="13"/>
    </row>
    <row r="8645">
      <c r="F8645" s="13"/>
      <c r="M8645" s="13"/>
    </row>
    <row r="8646">
      <c r="F8646" s="13"/>
      <c r="M8646" s="13"/>
    </row>
    <row r="8647">
      <c r="F8647" s="13"/>
      <c r="M8647" s="13"/>
    </row>
    <row r="8648">
      <c r="F8648" s="13"/>
      <c r="M8648" s="13"/>
    </row>
    <row r="8649">
      <c r="F8649" s="13"/>
      <c r="M8649" s="13"/>
    </row>
    <row r="8650">
      <c r="F8650" s="13"/>
      <c r="M8650" s="13"/>
    </row>
    <row r="8651">
      <c r="F8651" s="13"/>
      <c r="M8651" s="13"/>
    </row>
    <row r="8652">
      <c r="F8652" s="13"/>
      <c r="M8652" s="13"/>
    </row>
    <row r="8653">
      <c r="F8653" s="13"/>
      <c r="M8653" s="13"/>
    </row>
    <row r="8654">
      <c r="F8654" s="13"/>
      <c r="M8654" s="13"/>
    </row>
    <row r="8655">
      <c r="F8655" s="13"/>
      <c r="M8655" s="13"/>
    </row>
    <row r="8656">
      <c r="F8656" s="13"/>
      <c r="M8656" s="13"/>
    </row>
    <row r="8657">
      <c r="F8657" s="13"/>
      <c r="M8657" s="13"/>
    </row>
    <row r="8658">
      <c r="F8658" s="13"/>
      <c r="M8658" s="13"/>
    </row>
    <row r="8659">
      <c r="F8659" s="13"/>
      <c r="M8659" s="13"/>
    </row>
    <row r="8660">
      <c r="F8660" s="13"/>
      <c r="M8660" s="13"/>
    </row>
    <row r="8661">
      <c r="F8661" s="13"/>
      <c r="M8661" s="13"/>
    </row>
    <row r="8662">
      <c r="F8662" s="13"/>
      <c r="M8662" s="13"/>
    </row>
    <row r="8663">
      <c r="F8663" s="13"/>
      <c r="M8663" s="13"/>
    </row>
    <row r="8664">
      <c r="F8664" s="13"/>
      <c r="M8664" s="13"/>
    </row>
    <row r="8665">
      <c r="F8665" s="13"/>
      <c r="M8665" s="13"/>
    </row>
    <row r="8666">
      <c r="F8666" s="13"/>
      <c r="M8666" s="13"/>
    </row>
    <row r="8667">
      <c r="F8667" s="13"/>
      <c r="M8667" s="13"/>
    </row>
    <row r="8668">
      <c r="F8668" s="13"/>
      <c r="M8668" s="13"/>
    </row>
    <row r="8669">
      <c r="F8669" s="13"/>
      <c r="M8669" s="13"/>
    </row>
    <row r="8670">
      <c r="F8670" s="13"/>
      <c r="M8670" s="13"/>
    </row>
    <row r="8671">
      <c r="F8671" s="13"/>
      <c r="M8671" s="13"/>
    </row>
    <row r="8672">
      <c r="F8672" s="13"/>
      <c r="M8672" s="13"/>
    </row>
    <row r="8673">
      <c r="F8673" s="13"/>
      <c r="M8673" s="13"/>
    </row>
    <row r="8674">
      <c r="F8674" s="13"/>
      <c r="M8674" s="13"/>
    </row>
    <row r="8675">
      <c r="F8675" s="13"/>
      <c r="M8675" s="13"/>
    </row>
    <row r="8676">
      <c r="F8676" s="13"/>
      <c r="M8676" s="13"/>
    </row>
    <row r="8677">
      <c r="F8677" s="13"/>
      <c r="M8677" s="13"/>
    </row>
    <row r="8678">
      <c r="F8678" s="13"/>
      <c r="M8678" s="13"/>
    </row>
    <row r="8679">
      <c r="F8679" s="13"/>
      <c r="M8679" s="13"/>
    </row>
    <row r="8680">
      <c r="F8680" s="13"/>
      <c r="M8680" s="13"/>
    </row>
    <row r="8681">
      <c r="F8681" s="13"/>
      <c r="M8681" s="13"/>
    </row>
    <row r="8682">
      <c r="F8682" s="13"/>
      <c r="M8682" s="13"/>
    </row>
    <row r="8683">
      <c r="F8683" s="13"/>
      <c r="M8683" s="13"/>
    </row>
    <row r="8684">
      <c r="F8684" s="13"/>
      <c r="M8684" s="13"/>
    </row>
    <row r="8685">
      <c r="F8685" s="13"/>
      <c r="M8685" s="13"/>
    </row>
    <row r="8686">
      <c r="F8686" s="13"/>
      <c r="M8686" s="13"/>
    </row>
    <row r="8687">
      <c r="F8687" s="13"/>
      <c r="M8687" s="13"/>
    </row>
    <row r="8688">
      <c r="F8688" s="13"/>
      <c r="M8688" s="13"/>
    </row>
    <row r="8689">
      <c r="F8689" s="13"/>
      <c r="M8689" s="13"/>
    </row>
    <row r="8690">
      <c r="F8690" s="13"/>
      <c r="M8690" s="13"/>
    </row>
    <row r="8691">
      <c r="F8691" s="13"/>
      <c r="M8691" s="13"/>
    </row>
    <row r="8692">
      <c r="F8692" s="13"/>
      <c r="M8692" s="13"/>
    </row>
    <row r="8693">
      <c r="F8693" s="13"/>
      <c r="M8693" s="13"/>
    </row>
    <row r="8694">
      <c r="F8694" s="13"/>
      <c r="M8694" s="13"/>
    </row>
    <row r="8695">
      <c r="F8695" s="13"/>
      <c r="M8695" s="13"/>
    </row>
    <row r="8696">
      <c r="F8696" s="13"/>
      <c r="M8696" s="13"/>
    </row>
    <row r="8697">
      <c r="F8697" s="13"/>
      <c r="M8697" s="13"/>
    </row>
    <row r="8698">
      <c r="F8698" s="13"/>
      <c r="M8698" s="13"/>
    </row>
    <row r="8699">
      <c r="F8699" s="13"/>
      <c r="M8699" s="13"/>
    </row>
    <row r="8700">
      <c r="F8700" s="13"/>
      <c r="M8700" s="13"/>
    </row>
    <row r="8701">
      <c r="F8701" s="13"/>
      <c r="M8701" s="13"/>
    </row>
    <row r="8702">
      <c r="F8702" s="13"/>
      <c r="M8702" s="13"/>
    </row>
    <row r="8703">
      <c r="F8703" s="13"/>
      <c r="M8703" s="13"/>
    </row>
    <row r="8704">
      <c r="F8704" s="13"/>
      <c r="M8704" s="13"/>
    </row>
    <row r="8705">
      <c r="F8705" s="13"/>
      <c r="M8705" s="13"/>
    </row>
    <row r="8706">
      <c r="F8706" s="13"/>
      <c r="M8706" s="13"/>
    </row>
    <row r="8707">
      <c r="F8707" s="13"/>
      <c r="M8707" s="13"/>
    </row>
    <row r="8708">
      <c r="F8708" s="13"/>
      <c r="M8708" s="13"/>
    </row>
    <row r="8709">
      <c r="F8709" s="13"/>
      <c r="M8709" s="13"/>
    </row>
    <row r="8710">
      <c r="F8710" s="13"/>
      <c r="M8710" s="13"/>
    </row>
    <row r="8711">
      <c r="F8711" s="13"/>
      <c r="M8711" s="13"/>
    </row>
    <row r="8712">
      <c r="F8712" s="13"/>
      <c r="M8712" s="13"/>
    </row>
    <row r="8713">
      <c r="F8713" s="13"/>
      <c r="M8713" s="13"/>
    </row>
    <row r="8714">
      <c r="F8714" s="13"/>
      <c r="M8714" s="13"/>
    </row>
    <row r="8715">
      <c r="F8715" s="13"/>
      <c r="M8715" s="13"/>
    </row>
    <row r="8716">
      <c r="F8716" s="13"/>
      <c r="M8716" s="13"/>
    </row>
    <row r="8717">
      <c r="F8717" s="13"/>
      <c r="M8717" s="13"/>
    </row>
    <row r="8718">
      <c r="F8718" s="13"/>
      <c r="M8718" s="13"/>
    </row>
    <row r="8719">
      <c r="F8719" s="13"/>
      <c r="M8719" s="13"/>
    </row>
    <row r="8720">
      <c r="F8720" s="13"/>
      <c r="M8720" s="13"/>
    </row>
    <row r="8721">
      <c r="F8721" s="13"/>
      <c r="M8721" s="13"/>
    </row>
    <row r="8722">
      <c r="F8722" s="13"/>
      <c r="M8722" s="13"/>
    </row>
    <row r="8723">
      <c r="F8723" s="13"/>
      <c r="M8723" s="13"/>
    </row>
    <row r="8724">
      <c r="F8724" s="13"/>
      <c r="M8724" s="13"/>
    </row>
    <row r="8725">
      <c r="F8725" s="13"/>
      <c r="M8725" s="13"/>
    </row>
    <row r="8726">
      <c r="F8726" s="13"/>
      <c r="M8726" s="13"/>
    </row>
    <row r="8727">
      <c r="F8727" s="13"/>
      <c r="M8727" s="13"/>
    </row>
    <row r="8728">
      <c r="F8728" s="13"/>
      <c r="M8728" s="13"/>
    </row>
    <row r="8729">
      <c r="F8729" s="13"/>
      <c r="M8729" s="13"/>
    </row>
    <row r="8730">
      <c r="F8730" s="13"/>
      <c r="M8730" s="13"/>
    </row>
    <row r="8731">
      <c r="F8731" s="13"/>
      <c r="M8731" s="13"/>
    </row>
    <row r="8732">
      <c r="F8732" s="13"/>
      <c r="M8732" s="13"/>
    </row>
    <row r="8733">
      <c r="F8733" s="13"/>
      <c r="M8733" s="13"/>
    </row>
    <row r="8734">
      <c r="F8734" s="13"/>
      <c r="M8734" s="13"/>
    </row>
    <row r="8735">
      <c r="F8735" s="13"/>
      <c r="M8735" s="13"/>
    </row>
    <row r="8736">
      <c r="F8736" s="13"/>
      <c r="M8736" s="13"/>
    </row>
    <row r="8737">
      <c r="F8737" s="13"/>
      <c r="M8737" s="13"/>
    </row>
    <row r="8738">
      <c r="F8738" s="13"/>
      <c r="M8738" s="13"/>
    </row>
    <row r="8739">
      <c r="F8739" s="13"/>
      <c r="M8739" s="13"/>
    </row>
    <row r="8740">
      <c r="F8740" s="13"/>
      <c r="M8740" s="13"/>
    </row>
    <row r="8741">
      <c r="F8741" s="13"/>
      <c r="M8741" s="13"/>
    </row>
    <row r="8742">
      <c r="F8742" s="13"/>
      <c r="M8742" s="13"/>
    </row>
    <row r="8743">
      <c r="F8743" s="13"/>
      <c r="M8743" s="13"/>
    </row>
    <row r="8744">
      <c r="F8744" s="13"/>
      <c r="M8744" s="13"/>
    </row>
    <row r="8745">
      <c r="F8745" s="13"/>
      <c r="M8745" s="13"/>
    </row>
    <row r="8746">
      <c r="F8746" s="13"/>
      <c r="M8746" s="13"/>
    </row>
    <row r="8747">
      <c r="F8747" s="13"/>
      <c r="M8747" s="13"/>
    </row>
    <row r="8748">
      <c r="F8748" s="13"/>
      <c r="M8748" s="13"/>
    </row>
    <row r="8749">
      <c r="F8749" s="13"/>
      <c r="M8749" s="13"/>
    </row>
    <row r="8750">
      <c r="F8750" s="13"/>
      <c r="M8750" s="13"/>
    </row>
    <row r="8751">
      <c r="F8751" s="13"/>
      <c r="M8751" s="13"/>
    </row>
    <row r="8752">
      <c r="F8752" s="13"/>
      <c r="M8752" s="13"/>
    </row>
    <row r="8753">
      <c r="F8753" s="13"/>
      <c r="M8753" s="13"/>
    </row>
    <row r="8754">
      <c r="F8754" s="13"/>
      <c r="M8754" s="13"/>
    </row>
    <row r="8755">
      <c r="F8755" s="13"/>
      <c r="M8755" s="13"/>
    </row>
    <row r="8756">
      <c r="F8756" s="13"/>
      <c r="M8756" s="13"/>
    </row>
    <row r="8757">
      <c r="F8757" s="13"/>
      <c r="M8757" s="13"/>
    </row>
    <row r="8758">
      <c r="F8758" s="13"/>
      <c r="M8758" s="13"/>
    </row>
    <row r="8759">
      <c r="F8759" s="13"/>
      <c r="M8759" s="13"/>
    </row>
    <row r="8760">
      <c r="F8760" s="13"/>
      <c r="M8760" s="13"/>
    </row>
    <row r="8761">
      <c r="F8761" s="13"/>
      <c r="M8761" s="13"/>
    </row>
    <row r="8762">
      <c r="F8762" s="13"/>
      <c r="M8762" s="13"/>
    </row>
    <row r="8763">
      <c r="F8763" s="13"/>
      <c r="M8763" s="13"/>
    </row>
    <row r="8764">
      <c r="F8764" s="13"/>
      <c r="M8764" s="13"/>
    </row>
    <row r="8765">
      <c r="F8765" s="13"/>
      <c r="M8765" s="13"/>
    </row>
    <row r="8766">
      <c r="F8766" s="13"/>
      <c r="M8766" s="13"/>
    </row>
    <row r="8767">
      <c r="F8767" s="13"/>
      <c r="M8767" s="13"/>
    </row>
    <row r="8768">
      <c r="F8768" s="13"/>
      <c r="M8768" s="13"/>
    </row>
    <row r="8769">
      <c r="F8769" s="13"/>
      <c r="M8769" s="13"/>
    </row>
    <row r="8770">
      <c r="F8770" s="13"/>
      <c r="M8770" s="13"/>
    </row>
    <row r="8771">
      <c r="F8771" s="13"/>
      <c r="M8771" s="13"/>
    </row>
    <row r="8772">
      <c r="F8772" s="13"/>
      <c r="M8772" s="13"/>
    </row>
    <row r="8773">
      <c r="F8773" s="13"/>
      <c r="M8773" s="13"/>
    </row>
    <row r="8774">
      <c r="F8774" s="13"/>
      <c r="M8774" s="13"/>
    </row>
    <row r="8775">
      <c r="F8775" s="13"/>
      <c r="M8775" s="13"/>
    </row>
    <row r="8776">
      <c r="F8776" s="13"/>
      <c r="M8776" s="13"/>
    </row>
    <row r="8777">
      <c r="F8777" s="13"/>
      <c r="M8777" s="13"/>
    </row>
    <row r="8778">
      <c r="F8778" s="13"/>
      <c r="M8778" s="13"/>
    </row>
    <row r="8779">
      <c r="F8779" s="13"/>
      <c r="M8779" s="13"/>
    </row>
    <row r="8780">
      <c r="F8780" s="13"/>
      <c r="M8780" s="13"/>
    </row>
    <row r="8781">
      <c r="F8781" s="13"/>
      <c r="M8781" s="13"/>
    </row>
    <row r="8782">
      <c r="F8782" s="13"/>
      <c r="M8782" s="13"/>
    </row>
    <row r="8783">
      <c r="F8783" s="13"/>
      <c r="M8783" s="13"/>
    </row>
    <row r="8784">
      <c r="F8784" s="13"/>
      <c r="M8784" s="13"/>
    </row>
    <row r="8785">
      <c r="F8785" s="13"/>
      <c r="M8785" s="13"/>
    </row>
    <row r="8786">
      <c r="F8786" s="13"/>
      <c r="M8786" s="13"/>
    </row>
    <row r="8787">
      <c r="F8787" s="13"/>
      <c r="M8787" s="13"/>
    </row>
    <row r="8788">
      <c r="F8788" s="13"/>
      <c r="M8788" s="13"/>
    </row>
    <row r="8789">
      <c r="F8789" s="13"/>
      <c r="M8789" s="13"/>
    </row>
    <row r="8790">
      <c r="F8790" s="13"/>
      <c r="M8790" s="13"/>
    </row>
    <row r="8791">
      <c r="F8791" s="13"/>
      <c r="M8791" s="13"/>
    </row>
    <row r="8792">
      <c r="F8792" s="13"/>
      <c r="M8792" s="13"/>
    </row>
    <row r="8793">
      <c r="F8793" s="13"/>
      <c r="M8793" s="13"/>
    </row>
    <row r="8794">
      <c r="F8794" s="13"/>
      <c r="M8794" s="13"/>
    </row>
    <row r="8795">
      <c r="F8795" s="13"/>
      <c r="M8795" s="13"/>
    </row>
    <row r="8796">
      <c r="F8796" s="13"/>
      <c r="M8796" s="13"/>
    </row>
    <row r="8797">
      <c r="F8797" s="13"/>
      <c r="M8797" s="13"/>
    </row>
    <row r="8798">
      <c r="F8798" s="13"/>
      <c r="M8798" s="13"/>
    </row>
    <row r="8799">
      <c r="F8799" s="13"/>
      <c r="M8799" s="13"/>
    </row>
    <row r="8800">
      <c r="F8800" s="13"/>
      <c r="M8800" s="13"/>
    </row>
    <row r="8801">
      <c r="F8801" s="13"/>
      <c r="M8801" s="13"/>
    </row>
    <row r="8802">
      <c r="F8802" s="13"/>
      <c r="M8802" s="13"/>
    </row>
    <row r="8803">
      <c r="F8803" s="13"/>
      <c r="M8803" s="13"/>
    </row>
    <row r="8804">
      <c r="F8804" s="13"/>
      <c r="M8804" s="13"/>
    </row>
    <row r="8805">
      <c r="F8805" s="13"/>
      <c r="M8805" s="13"/>
    </row>
    <row r="8806">
      <c r="F8806" s="13"/>
      <c r="M8806" s="13"/>
    </row>
    <row r="8807">
      <c r="F8807" s="13"/>
      <c r="M8807" s="13"/>
    </row>
    <row r="8808">
      <c r="F8808" s="13"/>
      <c r="M8808" s="13"/>
    </row>
    <row r="8809">
      <c r="F8809" s="13"/>
      <c r="M8809" s="13"/>
    </row>
    <row r="8810">
      <c r="F8810" s="13"/>
      <c r="M8810" s="13"/>
    </row>
    <row r="8811">
      <c r="F8811" s="13"/>
      <c r="M8811" s="13"/>
    </row>
    <row r="8812">
      <c r="F8812" s="13"/>
      <c r="M8812" s="13"/>
    </row>
    <row r="8813">
      <c r="F8813" s="13"/>
      <c r="M8813" s="13"/>
    </row>
    <row r="8814">
      <c r="F8814" s="13"/>
      <c r="M8814" s="13"/>
    </row>
    <row r="8815">
      <c r="F8815" s="13"/>
      <c r="M8815" s="13"/>
    </row>
    <row r="8816">
      <c r="F8816" s="13"/>
      <c r="M8816" s="13"/>
    </row>
    <row r="8817">
      <c r="F8817" s="13"/>
      <c r="M8817" s="13"/>
    </row>
    <row r="8818">
      <c r="F8818" s="13"/>
      <c r="M8818" s="13"/>
    </row>
    <row r="8819">
      <c r="F8819" s="13"/>
      <c r="M8819" s="13"/>
    </row>
    <row r="8820">
      <c r="F8820" s="13"/>
      <c r="M8820" s="13"/>
    </row>
    <row r="8821">
      <c r="F8821" s="13"/>
      <c r="M8821" s="13"/>
    </row>
    <row r="8822">
      <c r="F8822" s="13"/>
      <c r="M8822" s="13"/>
    </row>
    <row r="8823">
      <c r="F8823" s="13"/>
      <c r="M8823" s="13"/>
    </row>
    <row r="8824">
      <c r="F8824" s="13"/>
      <c r="M8824" s="13"/>
    </row>
    <row r="8825">
      <c r="F8825" s="13"/>
      <c r="M8825" s="13"/>
    </row>
    <row r="8826">
      <c r="F8826" s="13"/>
      <c r="M8826" s="13"/>
    </row>
    <row r="8827">
      <c r="F8827" s="13"/>
      <c r="M8827" s="13"/>
    </row>
    <row r="8828">
      <c r="F8828" s="13"/>
      <c r="M8828" s="13"/>
    </row>
    <row r="8829">
      <c r="F8829" s="13"/>
      <c r="M8829" s="13"/>
    </row>
    <row r="8830">
      <c r="F8830" s="13"/>
      <c r="M8830" s="13"/>
    </row>
    <row r="8831">
      <c r="F8831" s="13"/>
      <c r="M8831" s="13"/>
    </row>
    <row r="8832">
      <c r="F8832" s="13"/>
      <c r="M8832" s="13"/>
    </row>
    <row r="8833">
      <c r="F8833" s="13"/>
      <c r="M8833" s="13"/>
    </row>
    <row r="8834">
      <c r="F8834" s="13"/>
      <c r="M8834" s="13"/>
    </row>
    <row r="8835">
      <c r="F8835" s="13"/>
      <c r="M8835" s="13"/>
    </row>
    <row r="8836">
      <c r="F8836" s="13"/>
      <c r="M8836" s="13"/>
    </row>
    <row r="8837">
      <c r="F8837" s="13"/>
      <c r="M8837" s="13"/>
    </row>
    <row r="8838">
      <c r="F8838" s="13"/>
      <c r="M8838" s="13"/>
    </row>
    <row r="8839">
      <c r="F8839" s="13"/>
      <c r="M8839" s="13"/>
    </row>
    <row r="8840">
      <c r="F8840" s="13"/>
      <c r="M8840" s="13"/>
    </row>
    <row r="8841">
      <c r="F8841" s="13"/>
      <c r="M8841" s="13"/>
    </row>
    <row r="8842">
      <c r="F8842" s="13"/>
      <c r="M8842" s="13"/>
    </row>
    <row r="8843">
      <c r="F8843" s="13"/>
      <c r="M8843" s="13"/>
    </row>
    <row r="8844">
      <c r="F8844" s="13"/>
      <c r="M8844" s="13"/>
    </row>
    <row r="8845">
      <c r="F8845" s="13"/>
      <c r="M8845" s="13"/>
    </row>
    <row r="8846">
      <c r="F8846" s="13"/>
      <c r="M8846" s="13"/>
    </row>
    <row r="8847">
      <c r="F8847" s="13"/>
      <c r="M8847" s="13"/>
    </row>
    <row r="8848">
      <c r="F8848" s="13"/>
      <c r="M8848" s="13"/>
    </row>
    <row r="8849">
      <c r="F8849" s="13"/>
      <c r="M8849" s="13"/>
    </row>
    <row r="8850">
      <c r="F8850" s="13"/>
      <c r="M8850" s="13"/>
    </row>
    <row r="8851">
      <c r="F8851" s="13"/>
      <c r="M8851" s="13"/>
    </row>
    <row r="8852">
      <c r="F8852" s="13"/>
      <c r="M8852" s="13"/>
    </row>
    <row r="8853">
      <c r="F8853" s="13"/>
      <c r="M8853" s="13"/>
    </row>
    <row r="8854">
      <c r="F8854" s="13"/>
      <c r="M8854" s="13"/>
    </row>
    <row r="8855">
      <c r="F8855" s="13"/>
      <c r="M8855" s="13"/>
    </row>
    <row r="8856">
      <c r="F8856" s="13"/>
      <c r="M8856" s="13"/>
    </row>
    <row r="8857">
      <c r="F8857" s="13"/>
      <c r="M8857" s="13"/>
    </row>
    <row r="8858">
      <c r="F8858" s="13"/>
      <c r="M8858" s="13"/>
    </row>
    <row r="8859">
      <c r="F8859" s="13"/>
      <c r="M8859" s="13"/>
    </row>
    <row r="8860">
      <c r="F8860" s="13"/>
      <c r="M8860" s="13"/>
    </row>
    <row r="8861">
      <c r="F8861" s="13"/>
      <c r="M8861" s="13"/>
    </row>
    <row r="8862">
      <c r="F8862" s="13"/>
      <c r="M8862" s="13"/>
    </row>
    <row r="8863">
      <c r="F8863" s="13"/>
      <c r="M8863" s="13"/>
    </row>
    <row r="8864">
      <c r="F8864" s="13"/>
      <c r="M8864" s="13"/>
    </row>
    <row r="8865">
      <c r="F8865" s="13"/>
      <c r="M8865" s="13"/>
    </row>
    <row r="8866">
      <c r="F8866" s="13"/>
      <c r="M8866" s="13"/>
    </row>
    <row r="8867">
      <c r="F8867" s="13"/>
      <c r="M8867" s="13"/>
    </row>
    <row r="8868">
      <c r="F8868" s="13"/>
      <c r="M8868" s="13"/>
    </row>
    <row r="8869">
      <c r="F8869" s="13"/>
      <c r="M8869" s="13"/>
    </row>
    <row r="8870">
      <c r="F8870" s="13"/>
      <c r="M8870" s="13"/>
    </row>
    <row r="8871">
      <c r="F8871" s="13"/>
      <c r="M8871" s="13"/>
    </row>
    <row r="8872">
      <c r="F8872" s="13"/>
      <c r="M8872" s="13"/>
    </row>
    <row r="8873">
      <c r="F8873" s="13"/>
      <c r="M8873" s="13"/>
    </row>
    <row r="8874">
      <c r="F8874" s="13"/>
      <c r="M8874" s="13"/>
    </row>
    <row r="8875">
      <c r="F8875" s="13"/>
      <c r="M8875" s="13"/>
    </row>
    <row r="8876">
      <c r="F8876" s="13"/>
      <c r="M8876" s="13"/>
    </row>
    <row r="8877">
      <c r="F8877" s="13"/>
      <c r="M8877" s="13"/>
    </row>
    <row r="8878">
      <c r="F8878" s="13"/>
      <c r="M8878" s="13"/>
    </row>
    <row r="8879">
      <c r="F8879" s="13"/>
      <c r="M8879" s="13"/>
    </row>
    <row r="8880">
      <c r="F8880" s="13"/>
      <c r="M8880" s="13"/>
    </row>
    <row r="8881">
      <c r="F8881" s="13"/>
      <c r="M8881" s="13"/>
    </row>
    <row r="8882">
      <c r="F8882" s="13"/>
      <c r="M8882" s="13"/>
    </row>
    <row r="8883">
      <c r="F8883" s="13"/>
      <c r="M8883" s="13"/>
    </row>
    <row r="8884">
      <c r="F8884" s="13"/>
      <c r="M8884" s="13"/>
    </row>
    <row r="8885">
      <c r="F8885" s="13"/>
      <c r="M8885" s="13"/>
    </row>
    <row r="8886">
      <c r="F8886" s="13"/>
      <c r="M8886" s="13"/>
    </row>
    <row r="8887">
      <c r="F8887" s="13"/>
      <c r="M8887" s="13"/>
    </row>
    <row r="8888">
      <c r="F8888" s="13"/>
      <c r="M8888" s="13"/>
    </row>
    <row r="8889">
      <c r="F8889" s="13"/>
      <c r="M8889" s="13"/>
    </row>
    <row r="8890">
      <c r="F8890" s="13"/>
      <c r="M8890" s="13"/>
    </row>
    <row r="8891">
      <c r="F8891" s="13"/>
      <c r="M8891" s="13"/>
    </row>
    <row r="8892">
      <c r="F8892" s="13"/>
      <c r="M8892" s="13"/>
    </row>
    <row r="8893">
      <c r="F8893" s="13"/>
      <c r="M8893" s="13"/>
    </row>
    <row r="8894">
      <c r="F8894" s="13"/>
      <c r="M8894" s="13"/>
    </row>
    <row r="8895">
      <c r="F8895" s="13"/>
      <c r="M8895" s="13"/>
    </row>
    <row r="8896">
      <c r="F8896" s="13"/>
      <c r="M8896" s="13"/>
    </row>
    <row r="8897">
      <c r="F8897" s="13"/>
      <c r="M8897" s="13"/>
    </row>
    <row r="8898">
      <c r="F8898" s="13"/>
      <c r="M8898" s="13"/>
    </row>
    <row r="8899">
      <c r="F8899" s="13"/>
      <c r="M8899" s="13"/>
    </row>
    <row r="8900">
      <c r="F8900" s="13"/>
      <c r="M8900" s="13"/>
    </row>
    <row r="8901">
      <c r="F8901" s="13"/>
      <c r="M8901" s="13"/>
    </row>
    <row r="8902">
      <c r="F8902" s="13"/>
      <c r="M8902" s="13"/>
    </row>
    <row r="8903">
      <c r="F8903" s="13"/>
      <c r="M8903" s="13"/>
    </row>
    <row r="8904">
      <c r="F8904" s="13"/>
      <c r="M8904" s="13"/>
    </row>
    <row r="8905">
      <c r="F8905" s="13"/>
      <c r="M8905" s="13"/>
    </row>
    <row r="8906">
      <c r="F8906" s="13"/>
      <c r="M8906" s="13"/>
    </row>
    <row r="8907">
      <c r="F8907" s="13"/>
      <c r="M8907" s="13"/>
    </row>
    <row r="8908">
      <c r="F8908" s="13"/>
      <c r="M8908" s="13"/>
    </row>
    <row r="8909">
      <c r="F8909" s="13"/>
      <c r="M8909" s="13"/>
    </row>
    <row r="8910">
      <c r="F8910" s="13"/>
      <c r="M8910" s="13"/>
    </row>
    <row r="8911">
      <c r="F8911" s="13"/>
      <c r="M8911" s="13"/>
    </row>
    <row r="8912">
      <c r="F8912" s="13"/>
      <c r="M8912" s="13"/>
    </row>
    <row r="8913">
      <c r="F8913" s="13"/>
      <c r="M8913" s="13"/>
    </row>
    <row r="8914">
      <c r="F8914" s="13"/>
      <c r="M8914" s="13"/>
    </row>
    <row r="8915">
      <c r="F8915" s="13"/>
      <c r="M8915" s="13"/>
    </row>
    <row r="8916">
      <c r="F8916" s="13"/>
      <c r="M8916" s="13"/>
    </row>
    <row r="8917">
      <c r="F8917" s="13"/>
      <c r="M8917" s="13"/>
    </row>
    <row r="8918">
      <c r="F8918" s="13"/>
      <c r="M8918" s="13"/>
    </row>
    <row r="8919">
      <c r="F8919" s="13"/>
      <c r="M8919" s="13"/>
    </row>
    <row r="8920">
      <c r="F8920" s="13"/>
      <c r="M8920" s="13"/>
    </row>
    <row r="8921">
      <c r="F8921" s="13"/>
      <c r="M8921" s="13"/>
    </row>
    <row r="8922">
      <c r="F8922" s="13"/>
      <c r="M8922" s="13"/>
    </row>
    <row r="8923">
      <c r="F8923" s="13"/>
      <c r="M8923" s="13"/>
    </row>
    <row r="8924">
      <c r="F8924" s="13"/>
      <c r="M8924" s="13"/>
    </row>
    <row r="8925">
      <c r="F8925" s="13"/>
      <c r="M8925" s="13"/>
    </row>
    <row r="8926">
      <c r="F8926" s="13"/>
      <c r="M8926" s="13"/>
    </row>
    <row r="8927">
      <c r="F8927" s="13"/>
      <c r="M8927" s="13"/>
    </row>
    <row r="8928">
      <c r="F8928" s="13"/>
      <c r="M8928" s="13"/>
    </row>
    <row r="8929">
      <c r="F8929" s="13"/>
      <c r="M8929" s="13"/>
    </row>
    <row r="8930">
      <c r="F8930" s="13"/>
      <c r="M8930" s="13"/>
    </row>
    <row r="8931">
      <c r="F8931" s="13"/>
      <c r="M8931" s="13"/>
    </row>
    <row r="8932">
      <c r="F8932" s="13"/>
      <c r="M8932" s="13"/>
    </row>
    <row r="8933">
      <c r="F8933" s="13"/>
      <c r="M8933" s="13"/>
    </row>
    <row r="8934">
      <c r="F8934" s="13"/>
      <c r="M8934" s="13"/>
    </row>
    <row r="8935">
      <c r="F8935" s="13"/>
      <c r="M8935" s="13"/>
    </row>
    <row r="8936">
      <c r="F8936" s="13"/>
      <c r="M8936" s="13"/>
    </row>
    <row r="8937">
      <c r="F8937" s="13"/>
      <c r="M8937" s="13"/>
    </row>
    <row r="8938">
      <c r="F8938" s="13"/>
      <c r="M8938" s="13"/>
    </row>
    <row r="8939">
      <c r="F8939" s="13"/>
      <c r="M8939" s="13"/>
    </row>
    <row r="8940">
      <c r="F8940" s="13"/>
      <c r="M8940" s="13"/>
    </row>
    <row r="8941">
      <c r="F8941" s="13"/>
      <c r="M8941" s="13"/>
    </row>
    <row r="8942">
      <c r="F8942" s="13"/>
      <c r="M8942" s="13"/>
    </row>
    <row r="8943">
      <c r="F8943" s="13"/>
      <c r="M8943" s="13"/>
    </row>
    <row r="8944">
      <c r="F8944" s="13"/>
      <c r="M8944" s="13"/>
    </row>
    <row r="8945">
      <c r="F8945" s="13"/>
      <c r="M8945" s="13"/>
    </row>
    <row r="8946">
      <c r="F8946" s="13"/>
      <c r="M8946" s="13"/>
    </row>
    <row r="8947">
      <c r="F8947" s="13"/>
      <c r="M8947" s="13"/>
    </row>
    <row r="8948">
      <c r="F8948" s="13"/>
      <c r="M8948" s="13"/>
    </row>
    <row r="8949">
      <c r="F8949" s="13"/>
      <c r="M8949" s="13"/>
    </row>
    <row r="8950">
      <c r="F8950" s="13"/>
      <c r="M8950" s="13"/>
    </row>
    <row r="8951">
      <c r="F8951" s="13"/>
      <c r="M8951" s="13"/>
    </row>
    <row r="8952">
      <c r="F8952" s="13"/>
      <c r="M8952" s="13"/>
    </row>
    <row r="8953">
      <c r="F8953" s="13"/>
      <c r="M8953" s="13"/>
    </row>
    <row r="8954">
      <c r="F8954" s="13"/>
      <c r="M8954" s="13"/>
    </row>
    <row r="8955">
      <c r="F8955" s="13"/>
      <c r="M8955" s="13"/>
    </row>
    <row r="8956">
      <c r="F8956" s="13"/>
      <c r="M8956" s="13"/>
    </row>
    <row r="8957">
      <c r="F8957" s="13"/>
      <c r="M8957" s="13"/>
    </row>
    <row r="8958">
      <c r="F8958" s="13"/>
      <c r="M8958" s="13"/>
    </row>
    <row r="8959">
      <c r="F8959" s="13"/>
      <c r="M8959" s="13"/>
    </row>
    <row r="8960">
      <c r="F8960" s="13"/>
      <c r="M8960" s="13"/>
    </row>
    <row r="8961">
      <c r="F8961" s="13"/>
      <c r="M8961" s="13"/>
    </row>
    <row r="8962">
      <c r="F8962" s="13"/>
      <c r="M8962" s="13"/>
    </row>
    <row r="8963">
      <c r="F8963" s="13"/>
      <c r="M8963" s="13"/>
    </row>
    <row r="8964">
      <c r="F8964" s="13"/>
      <c r="M8964" s="13"/>
    </row>
    <row r="8965">
      <c r="F8965" s="13"/>
      <c r="M8965" s="13"/>
    </row>
    <row r="8966">
      <c r="F8966" s="13"/>
      <c r="M8966" s="13"/>
    </row>
    <row r="8967">
      <c r="F8967" s="13"/>
      <c r="M8967" s="13"/>
    </row>
    <row r="8968">
      <c r="F8968" s="13"/>
      <c r="M8968" s="13"/>
    </row>
    <row r="8969">
      <c r="F8969" s="13"/>
      <c r="M8969" s="13"/>
    </row>
    <row r="8970">
      <c r="F8970" s="13"/>
      <c r="M8970" s="13"/>
    </row>
    <row r="8971">
      <c r="F8971" s="13"/>
      <c r="M8971" s="13"/>
    </row>
    <row r="8972">
      <c r="F8972" s="13"/>
      <c r="M8972" s="13"/>
    </row>
    <row r="8973">
      <c r="F8973" s="13"/>
      <c r="M8973" s="13"/>
    </row>
    <row r="8974">
      <c r="F8974" s="13"/>
      <c r="M8974" s="13"/>
    </row>
    <row r="8975">
      <c r="F8975" s="13"/>
      <c r="M8975" s="13"/>
    </row>
    <row r="8976">
      <c r="F8976" s="13"/>
      <c r="M8976" s="13"/>
    </row>
    <row r="8977">
      <c r="F8977" s="13"/>
      <c r="M8977" s="13"/>
    </row>
    <row r="8978">
      <c r="F8978" s="13"/>
      <c r="M8978" s="13"/>
    </row>
    <row r="8979">
      <c r="F8979" s="13"/>
      <c r="M8979" s="13"/>
    </row>
    <row r="8980">
      <c r="F8980" s="13"/>
      <c r="M8980" s="13"/>
    </row>
    <row r="8981">
      <c r="F8981" s="13"/>
      <c r="M8981" s="13"/>
    </row>
    <row r="8982">
      <c r="F8982" s="13"/>
      <c r="M8982" s="13"/>
    </row>
    <row r="8983">
      <c r="F8983" s="13"/>
      <c r="M8983" s="13"/>
    </row>
    <row r="8984">
      <c r="F8984" s="13"/>
      <c r="M8984" s="13"/>
    </row>
    <row r="8985">
      <c r="F8985" s="13"/>
      <c r="M8985" s="13"/>
    </row>
    <row r="8986">
      <c r="F8986" s="13"/>
      <c r="M8986" s="13"/>
    </row>
    <row r="8987">
      <c r="F8987" s="13"/>
      <c r="M8987" s="13"/>
    </row>
    <row r="8988">
      <c r="F8988" s="13"/>
      <c r="M8988" s="13"/>
    </row>
    <row r="8989">
      <c r="F8989" s="13"/>
      <c r="M8989" s="13"/>
    </row>
    <row r="8990">
      <c r="F8990" s="13"/>
      <c r="M8990" s="13"/>
    </row>
    <row r="8991">
      <c r="F8991" s="13"/>
      <c r="M8991" s="13"/>
    </row>
    <row r="8992">
      <c r="F8992" s="13"/>
      <c r="M8992" s="13"/>
    </row>
    <row r="8993">
      <c r="F8993" s="13"/>
      <c r="M8993" s="13"/>
    </row>
    <row r="8994">
      <c r="F8994" s="13"/>
      <c r="M8994" s="13"/>
    </row>
    <row r="8995">
      <c r="F8995" s="13"/>
      <c r="M8995" s="13"/>
    </row>
    <row r="8996">
      <c r="F8996" s="13"/>
      <c r="M8996" s="13"/>
    </row>
    <row r="8997">
      <c r="F8997" s="13"/>
      <c r="M8997" s="13"/>
    </row>
    <row r="8998">
      <c r="F8998" s="13"/>
      <c r="M8998" s="13"/>
    </row>
    <row r="8999">
      <c r="F8999" s="13"/>
      <c r="M8999" s="13"/>
    </row>
    <row r="9000">
      <c r="F9000" s="13"/>
      <c r="M9000" s="13"/>
    </row>
    <row r="9001">
      <c r="F9001" s="13"/>
      <c r="M9001" s="13"/>
    </row>
    <row r="9002">
      <c r="F9002" s="13"/>
      <c r="M9002" s="13"/>
    </row>
    <row r="9003">
      <c r="F9003" s="13"/>
      <c r="M9003" s="13"/>
    </row>
    <row r="9004">
      <c r="F9004" s="13"/>
      <c r="M9004" s="13"/>
    </row>
    <row r="9005">
      <c r="F9005" s="13"/>
      <c r="M9005" s="13"/>
    </row>
    <row r="9006">
      <c r="F9006" s="13"/>
      <c r="M9006" s="13"/>
    </row>
    <row r="9007">
      <c r="F9007" s="13"/>
      <c r="M9007" s="13"/>
    </row>
    <row r="9008">
      <c r="F9008" s="13"/>
      <c r="M9008" s="13"/>
    </row>
    <row r="9009">
      <c r="F9009" s="13"/>
      <c r="M9009" s="13"/>
    </row>
    <row r="9010">
      <c r="F9010" s="13"/>
      <c r="M9010" s="13"/>
    </row>
    <row r="9011">
      <c r="F9011" s="13"/>
      <c r="M9011" s="13"/>
    </row>
    <row r="9012">
      <c r="F9012" s="13"/>
      <c r="M9012" s="13"/>
    </row>
    <row r="9013">
      <c r="F9013" s="13"/>
      <c r="M9013" s="13"/>
    </row>
    <row r="9014">
      <c r="F9014" s="13"/>
      <c r="M9014" s="13"/>
    </row>
    <row r="9015">
      <c r="F9015" s="13"/>
      <c r="M9015" s="13"/>
    </row>
    <row r="9016">
      <c r="F9016" s="13"/>
      <c r="M9016" s="13"/>
    </row>
    <row r="9017">
      <c r="F9017" s="13"/>
      <c r="M9017" s="13"/>
    </row>
    <row r="9018">
      <c r="F9018" s="13"/>
      <c r="M9018" s="13"/>
    </row>
    <row r="9019">
      <c r="F9019" s="13"/>
      <c r="M9019" s="13"/>
    </row>
    <row r="9020">
      <c r="F9020" s="13"/>
      <c r="M9020" s="13"/>
    </row>
    <row r="9021">
      <c r="F9021" s="13"/>
      <c r="M9021" s="13"/>
    </row>
    <row r="9022">
      <c r="F9022" s="13"/>
      <c r="M9022" s="13"/>
    </row>
    <row r="9023">
      <c r="F9023" s="13"/>
      <c r="M9023" s="13"/>
    </row>
    <row r="9024">
      <c r="F9024" s="13"/>
      <c r="M9024" s="13"/>
    </row>
    <row r="9025">
      <c r="F9025" s="13"/>
      <c r="M9025" s="13"/>
    </row>
    <row r="9026">
      <c r="F9026" s="13"/>
      <c r="M9026" s="13"/>
    </row>
    <row r="9027">
      <c r="F9027" s="13"/>
      <c r="M9027" s="13"/>
    </row>
    <row r="9028">
      <c r="F9028" s="13"/>
      <c r="M9028" s="13"/>
    </row>
    <row r="9029">
      <c r="F9029" s="13"/>
      <c r="M9029" s="13"/>
    </row>
    <row r="9030">
      <c r="F9030" s="13"/>
      <c r="M9030" s="13"/>
    </row>
    <row r="9031">
      <c r="F9031" s="13"/>
      <c r="M9031" s="13"/>
    </row>
    <row r="9032">
      <c r="F9032" s="13"/>
      <c r="M9032" s="13"/>
    </row>
    <row r="9033">
      <c r="F9033" s="13"/>
      <c r="M9033" s="13"/>
    </row>
    <row r="9034">
      <c r="F9034" s="13"/>
      <c r="M9034" s="13"/>
    </row>
    <row r="9035">
      <c r="F9035" s="13"/>
      <c r="M9035" s="13"/>
    </row>
    <row r="9036">
      <c r="F9036" s="13"/>
      <c r="M9036" s="13"/>
    </row>
    <row r="9037">
      <c r="F9037" s="13"/>
      <c r="M9037" s="13"/>
    </row>
    <row r="9038">
      <c r="F9038" s="13"/>
      <c r="M9038" s="13"/>
    </row>
    <row r="9039">
      <c r="F9039" s="13"/>
      <c r="M9039" s="13"/>
    </row>
    <row r="9040">
      <c r="F9040" s="13"/>
      <c r="M9040" s="13"/>
    </row>
    <row r="9041">
      <c r="F9041" s="13"/>
      <c r="M9041" s="13"/>
    </row>
    <row r="9042">
      <c r="F9042" s="13"/>
      <c r="M9042" s="13"/>
    </row>
    <row r="9043">
      <c r="F9043" s="13"/>
      <c r="M9043" s="13"/>
    </row>
    <row r="9044">
      <c r="F9044" s="13"/>
      <c r="M9044" s="13"/>
    </row>
    <row r="9045">
      <c r="F9045" s="13"/>
      <c r="M9045" s="13"/>
    </row>
    <row r="9046">
      <c r="F9046" s="13"/>
      <c r="M9046" s="13"/>
    </row>
    <row r="9047">
      <c r="F9047" s="13"/>
      <c r="M9047" s="13"/>
    </row>
    <row r="9048">
      <c r="F9048" s="13"/>
      <c r="M9048" s="13"/>
    </row>
    <row r="9049">
      <c r="F9049" s="13"/>
      <c r="M9049" s="13"/>
    </row>
    <row r="9050">
      <c r="F9050" s="13"/>
      <c r="M9050" s="13"/>
    </row>
    <row r="9051">
      <c r="F9051" s="13"/>
      <c r="M9051" s="13"/>
    </row>
    <row r="9052">
      <c r="F9052" s="13"/>
      <c r="M9052" s="13"/>
    </row>
    <row r="9053">
      <c r="F9053" s="13"/>
      <c r="M9053" s="13"/>
    </row>
    <row r="9054">
      <c r="F9054" s="13"/>
      <c r="M9054" s="13"/>
    </row>
    <row r="9055">
      <c r="F9055" s="13"/>
      <c r="M9055" s="13"/>
    </row>
    <row r="9056">
      <c r="F9056" s="13"/>
      <c r="M9056" s="13"/>
    </row>
    <row r="9057">
      <c r="F9057" s="13"/>
      <c r="M9057" s="13"/>
    </row>
    <row r="9058">
      <c r="F9058" s="13"/>
      <c r="M9058" s="13"/>
    </row>
    <row r="9059">
      <c r="F9059" s="13"/>
      <c r="M9059" s="13"/>
    </row>
    <row r="9060">
      <c r="F9060" s="13"/>
      <c r="M9060" s="13"/>
    </row>
    <row r="9061">
      <c r="F9061" s="13"/>
      <c r="M9061" s="13"/>
    </row>
    <row r="9062">
      <c r="F9062" s="13"/>
      <c r="M9062" s="13"/>
    </row>
    <row r="9063">
      <c r="F9063" s="13"/>
      <c r="M9063" s="13"/>
    </row>
    <row r="9064">
      <c r="F9064" s="13"/>
      <c r="M9064" s="13"/>
    </row>
    <row r="9065">
      <c r="F9065" s="13"/>
      <c r="M9065" s="13"/>
    </row>
    <row r="9066">
      <c r="F9066" s="13"/>
      <c r="M9066" s="13"/>
    </row>
    <row r="9067">
      <c r="F9067" s="13"/>
      <c r="M9067" s="13"/>
    </row>
    <row r="9068">
      <c r="F9068" s="13"/>
      <c r="M9068" s="13"/>
    </row>
    <row r="9069">
      <c r="F9069" s="13"/>
      <c r="M9069" s="13"/>
    </row>
    <row r="9070">
      <c r="F9070" s="13"/>
      <c r="M9070" s="13"/>
    </row>
    <row r="9071">
      <c r="F9071" s="13"/>
      <c r="M9071" s="13"/>
    </row>
    <row r="9072">
      <c r="F9072" s="13"/>
      <c r="M9072" s="13"/>
    </row>
    <row r="9073">
      <c r="F9073" s="13"/>
      <c r="M9073" s="13"/>
    </row>
    <row r="9074">
      <c r="F9074" s="13"/>
      <c r="M9074" s="13"/>
    </row>
    <row r="9075">
      <c r="F9075" s="13"/>
      <c r="M9075" s="13"/>
    </row>
    <row r="9076">
      <c r="F9076" s="13"/>
      <c r="M9076" s="13"/>
    </row>
    <row r="9077">
      <c r="F9077" s="13"/>
      <c r="M9077" s="13"/>
    </row>
    <row r="9078">
      <c r="F9078" s="13"/>
      <c r="M9078" s="13"/>
    </row>
    <row r="9079">
      <c r="F9079" s="13"/>
      <c r="M9079" s="13"/>
    </row>
    <row r="9080">
      <c r="F9080" s="13"/>
      <c r="M9080" s="13"/>
    </row>
    <row r="9081">
      <c r="F9081" s="13"/>
      <c r="M9081" s="13"/>
    </row>
    <row r="9082">
      <c r="F9082" s="13"/>
      <c r="M9082" s="13"/>
    </row>
    <row r="9083">
      <c r="F9083" s="13"/>
      <c r="M9083" s="13"/>
    </row>
    <row r="9084">
      <c r="F9084" s="13"/>
      <c r="M9084" s="13"/>
    </row>
    <row r="9085">
      <c r="F9085" s="13"/>
      <c r="M9085" s="13"/>
    </row>
    <row r="9086">
      <c r="F9086" s="13"/>
      <c r="M9086" s="13"/>
    </row>
    <row r="9087">
      <c r="F9087" s="13"/>
      <c r="M9087" s="13"/>
    </row>
    <row r="9088">
      <c r="F9088" s="13"/>
      <c r="M9088" s="13"/>
    </row>
    <row r="9089">
      <c r="F9089" s="13"/>
      <c r="M9089" s="13"/>
    </row>
    <row r="9090">
      <c r="F9090" s="13"/>
      <c r="M9090" s="13"/>
    </row>
    <row r="9091">
      <c r="F9091" s="13"/>
      <c r="M9091" s="13"/>
    </row>
    <row r="9092">
      <c r="F9092" s="13"/>
      <c r="M9092" s="13"/>
    </row>
    <row r="9093">
      <c r="F9093" s="13"/>
      <c r="M9093" s="13"/>
    </row>
    <row r="9094">
      <c r="F9094" s="13"/>
      <c r="M9094" s="13"/>
    </row>
    <row r="9095">
      <c r="F9095" s="13"/>
      <c r="M9095" s="13"/>
    </row>
    <row r="9096">
      <c r="F9096" s="13"/>
      <c r="M9096" s="13"/>
    </row>
    <row r="9097">
      <c r="F9097" s="13"/>
      <c r="M9097" s="13"/>
    </row>
    <row r="9098">
      <c r="F9098" s="13"/>
      <c r="M9098" s="13"/>
    </row>
    <row r="9099">
      <c r="F9099" s="13"/>
      <c r="M9099" s="13"/>
    </row>
    <row r="9100">
      <c r="F9100" s="13"/>
      <c r="M9100" s="13"/>
    </row>
    <row r="9101">
      <c r="F9101" s="13"/>
      <c r="M9101" s="13"/>
    </row>
    <row r="9102">
      <c r="F9102" s="13"/>
      <c r="M9102" s="13"/>
    </row>
    <row r="9103">
      <c r="F9103" s="13"/>
      <c r="M9103" s="13"/>
    </row>
    <row r="9104">
      <c r="F9104" s="13"/>
      <c r="M9104" s="13"/>
    </row>
    <row r="9105">
      <c r="F9105" s="13"/>
      <c r="M9105" s="13"/>
    </row>
    <row r="9106">
      <c r="F9106" s="13"/>
      <c r="M9106" s="13"/>
    </row>
    <row r="9107">
      <c r="F9107" s="13"/>
      <c r="M9107" s="13"/>
    </row>
    <row r="9108">
      <c r="F9108" s="13"/>
      <c r="M9108" s="13"/>
    </row>
    <row r="9109">
      <c r="F9109" s="13"/>
      <c r="M9109" s="13"/>
    </row>
    <row r="9110">
      <c r="F9110" s="13"/>
      <c r="M9110" s="13"/>
    </row>
    <row r="9111">
      <c r="F9111" s="13"/>
      <c r="M9111" s="13"/>
    </row>
    <row r="9112">
      <c r="F9112" s="13"/>
      <c r="M9112" s="13"/>
    </row>
    <row r="9113">
      <c r="F9113" s="13"/>
      <c r="M9113" s="13"/>
    </row>
    <row r="9114">
      <c r="F9114" s="13"/>
      <c r="M9114" s="13"/>
    </row>
    <row r="9115">
      <c r="F9115" s="13"/>
      <c r="M9115" s="13"/>
    </row>
    <row r="9116">
      <c r="F9116" s="13"/>
      <c r="M9116" s="13"/>
    </row>
    <row r="9117">
      <c r="F9117" s="13"/>
      <c r="M9117" s="13"/>
    </row>
    <row r="9118">
      <c r="F9118" s="13"/>
      <c r="M9118" s="13"/>
    </row>
    <row r="9119">
      <c r="F9119" s="13"/>
      <c r="M9119" s="13"/>
    </row>
    <row r="9120">
      <c r="F9120" s="13"/>
      <c r="M9120" s="13"/>
    </row>
    <row r="9121">
      <c r="F9121" s="13"/>
      <c r="M9121" s="13"/>
    </row>
    <row r="9122">
      <c r="F9122" s="13"/>
      <c r="M9122" s="13"/>
    </row>
    <row r="9123">
      <c r="F9123" s="13"/>
      <c r="M9123" s="13"/>
    </row>
    <row r="9124">
      <c r="F9124" s="13"/>
      <c r="M9124" s="13"/>
    </row>
    <row r="9125">
      <c r="F9125" s="13"/>
      <c r="M9125" s="13"/>
    </row>
    <row r="9126">
      <c r="F9126" s="13"/>
      <c r="M9126" s="13"/>
    </row>
    <row r="9127">
      <c r="F9127" s="13"/>
      <c r="M9127" s="13"/>
    </row>
    <row r="9128">
      <c r="F9128" s="13"/>
      <c r="M9128" s="13"/>
    </row>
    <row r="9129">
      <c r="F9129" s="13"/>
      <c r="M9129" s="13"/>
    </row>
    <row r="9130">
      <c r="F9130" s="13"/>
      <c r="M9130" s="13"/>
    </row>
    <row r="9131">
      <c r="F9131" s="13"/>
      <c r="M9131" s="13"/>
    </row>
    <row r="9132">
      <c r="F9132" s="13"/>
      <c r="M9132" s="13"/>
    </row>
    <row r="9133">
      <c r="F9133" s="13"/>
      <c r="M9133" s="13"/>
    </row>
    <row r="9134">
      <c r="F9134" s="13"/>
      <c r="M9134" s="13"/>
    </row>
    <row r="9135">
      <c r="F9135" s="13"/>
      <c r="M9135" s="13"/>
    </row>
    <row r="9136">
      <c r="F9136" s="13"/>
      <c r="M9136" s="13"/>
    </row>
    <row r="9137">
      <c r="F9137" s="13"/>
      <c r="M9137" s="13"/>
    </row>
    <row r="9138">
      <c r="F9138" s="13"/>
      <c r="M9138" s="13"/>
    </row>
    <row r="9139">
      <c r="F9139" s="13"/>
      <c r="M9139" s="13"/>
    </row>
    <row r="9140">
      <c r="F9140" s="13"/>
      <c r="M9140" s="13"/>
    </row>
    <row r="9141">
      <c r="F9141" s="13"/>
      <c r="M9141" s="13"/>
    </row>
    <row r="9142">
      <c r="F9142" s="13"/>
      <c r="M9142" s="13"/>
    </row>
    <row r="9143">
      <c r="F9143" s="13"/>
      <c r="M9143" s="13"/>
    </row>
    <row r="9144">
      <c r="F9144" s="13"/>
      <c r="M9144" s="13"/>
    </row>
    <row r="9145">
      <c r="F9145" s="13"/>
      <c r="M9145" s="13"/>
    </row>
    <row r="9146">
      <c r="F9146" s="13"/>
      <c r="M9146" s="13"/>
    </row>
    <row r="9147">
      <c r="F9147" s="13"/>
      <c r="M9147" s="13"/>
    </row>
    <row r="9148">
      <c r="F9148" s="13"/>
      <c r="M9148" s="13"/>
    </row>
    <row r="9149">
      <c r="F9149" s="13"/>
      <c r="M9149" s="13"/>
    </row>
    <row r="9150">
      <c r="F9150" s="13"/>
      <c r="M9150" s="13"/>
    </row>
    <row r="9151">
      <c r="F9151" s="13"/>
      <c r="M9151" s="13"/>
    </row>
    <row r="9152">
      <c r="F9152" s="13"/>
      <c r="M9152" s="13"/>
    </row>
    <row r="9153">
      <c r="F9153" s="13"/>
      <c r="M9153" s="13"/>
    </row>
    <row r="9154">
      <c r="F9154" s="13"/>
      <c r="M9154" s="13"/>
    </row>
    <row r="9155">
      <c r="F9155" s="13"/>
      <c r="M9155" s="13"/>
    </row>
    <row r="9156">
      <c r="F9156" s="13"/>
      <c r="M9156" s="13"/>
    </row>
    <row r="9157">
      <c r="F9157" s="13"/>
      <c r="M9157" s="13"/>
    </row>
    <row r="9158">
      <c r="F9158" s="13"/>
      <c r="M9158" s="13"/>
    </row>
    <row r="9159">
      <c r="F9159" s="13"/>
      <c r="M9159" s="13"/>
    </row>
    <row r="9160">
      <c r="F9160" s="13"/>
      <c r="M9160" s="13"/>
    </row>
    <row r="9161">
      <c r="F9161" s="13"/>
      <c r="M9161" s="13"/>
    </row>
    <row r="9162">
      <c r="F9162" s="13"/>
      <c r="M9162" s="13"/>
    </row>
    <row r="9163">
      <c r="F9163" s="13"/>
      <c r="M9163" s="13"/>
    </row>
    <row r="9164">
      <c r="F9164" s="13"/>
      <c r="M9164" s="13"/>
    </row>
    <row r="9165">
      <c r="F9165" s="13"/>
      <c r="M9165" s="13"/>
    </row>
    <row r="9166">
      <c r="F9166" s="13"/>
      <c r="M9166" s="13"/>
    </row>
    <row r="9167">
      <c r="F9167" s="13"/>
      <c r="M9167" s="13"/>
    </row>
    <row r="9168">
      <c r="F9168" s="13"/>
      <c r="M9168" s="13"/>
    </row>
    <row r="9169">
      <c r="F9169" s="13"/>
      <c r="M9169" s="13"/>
    </row>
    <row r="9170">
      <c r="F9170" s="13"/>
      <c r="M9170" s="13"/>
    </row>
    <row r="9171">
      <c r="F9171" s="13"/>
      <c r="M9171" s="13"/>
    </row>
    <row r="9172">
      <c r="F9172" s="13"/>
      <c r="M9172" s="13"/>
    </row>
    <row r="9173">
      <c r="F9173" s="13"/>
      <c r="M9173" s="13"/>
    </row>
    <row r="9174">
      <c r="F9174" s="13"/>
      <c r="M9174" s="13"/>
    </row>
    <row r="9175">
      <c r="F9175" s="13"/>
      <c r="M9175" s="13"/>
    </row>
    <row r="9176">
      <c r="F9176" s="13"/>
      <c r="M9176" s="13"/>
    </row>
    <row r="9177">
      <c r="F9177" s="13"/>
      <c r="M9177" s="13"/>
    </row>
    <row r="9178">
      <c r="F9178" s="13"/>
      <c r="M9178" s="13"/>
    </row>
    <row r="9179">
      <c r="F9179" s="13"/>
      <c r="M9179" s="13"/>
    </row>
    <row r="9180">
      <c r="F9180" s="13"/>
      <c r="M9180" s="13"/>
    </row>
    <row r="9181">
      <c r="F9181" s="13"/>
      <c r="M9181" s="13"/>
    </row>
    <row r="9182">
      <c r="F9182" s="13"/>
      <c r="M9182" s="13"/>
    </row>
    <row r="9183">
      <c r="F9183" s="13"/>
      <c r="M9183" s="13"/>
    </row>
    <row r="9184">
      <c r="F9184" s="13"/>
      <c r="M9184" s="13"/>
    </row>
    <row r="9185">
      <c r="F9185" s="13"/>
      <c r="M9185" s="13"/>
    </row>
    <row r="9186">
      <c r="F9186" s="13"/>
      <c r="M9186" s="13"/>
    </row>
    <row r="9187">
      <c r="F9187" s="13"/>
      <c r="M9187" s="13"/>
    </row>
    <row r="9188">
      <c r="F9188" s="13"/>
      <c r="M9188" s="13"/>
    </row>
    <row r="9189">
      <c r="F9189" s="13"/>
      <c r="M9189" s="13"/>
    </row>
    <row r="9190">
      <c r="F9190" s="13"/>
      <c r="M9190" s="13"/>
    </row>
    <row r="9191">
      <c r="F9191" s="13"/>
      <c r="M9191" s="13"/>
    </row>
    <row r="9192">
      <c r="F9192" s="13"/>
      <c r="M9192" s="13"/>
    </row>
    <row r="9193">
      <c r="F9193" s="13"/>
      <c r="M9193" s="13"/>
    </row>
    <row r="9194">
      <c r="F9194" s="13"/>
      <c r="M9194" s="13"/>
    </row>
    <row r="9195">
      <c r="F9195" s="13"/>
      <c r="M9195" s="13"/>
    </row>
    <row r="9196">
      <c r="F9196" s="13"/>
      <c r="M9196" s="13"/>
    </row>
    <row r="9197">
      <c r="F9197" s="13"/>
      <c r="M9197" s="13"/>
    </row>
    <row r="9198">
      <c r="F9198" s="13"/>
      <c r="M9198" s="13"/>
    </row>
    <row r="9199">
      <c r="F9199" s="13"/>
      <c r="M9199" s="13"/>
    </row>
    <row r="9200">
      <c r="F9200" s="13"/>
      <c r="M9200" s="13"/>
    </row>
    <row r="9201">
      <c r="F9201" s="13"/>
      <c r="M9201" s="13"/>
    </row>
    <row r="9202">
      <c r="F9202" s="13"/>
      <c r="M9202" s="13"/>
    </row>
    <row r="9203">
      <c r="F9203" s="13"/>
      <c r="M9203" s="13"/>
    </row>
    <row r="9204">
      <c r="F9204" s="13"/>
      <c r="M9204" s="13"/>
    </row>
    <row r="9205">
      <c r="F9205" s="13"/>
      <c r="M9205" s="13"/>
    </row>
    <row r="9206">
      <c r="F9206" s="13"/>
      <c r="M9206" s="13"/>
    </row>
    <row r="9207">
      <c r="F9207" s="13"/>
      <c r="M9207" s="13"/>
    </row>
    <row r="9208">
      <c r="F9208" s="13"/>
      <c r="M9208" s="13"/>
    </row>
    <row r="9209">
      <c r="F9209" s="13"/>
      <c r="M9209" s="13"/>
    </row>
    <row r="9210">
      <c r="F9210" s="13"/>
      <c r="M9210" s="13"/>
    </row>
    <row r="9211">
      <c r="F9211" s="13"/>
      <c r="M9211" s="13"/>
    </row>
    <row r="9212">
      <c r="F9212" s="13"/>
      <c r="M9212" s="13"/>
    </row>
    <row r="9213">
      <c r="F9213" s="13"/>
      <c r="M9213" s="13"/>
    </row>
    <row r="9214">
      <c r="F9214" s="13"/>
      <c r="M9214" s="13"/>
    </row>
    <row r="9215">
      <c r="F9215" s="13"/>
      <c r="M9215" s="13"/>
    </row>
    <row r="9216">
      <c r="F9216" s="13"/>
      <c r="M9216" s="13"/>
    </row>
    <row r="9217">
      <c r="F9217" s="13"/>
      <c r="M9217" s="13"/>
    </row>
    <row r="9218">
      <c r="F9218" s="13"/>
      <c r="M9218" s="13"/>
    </row>
    <row r="9219">
      <c r="F9219" s="13"/>
      <c r="M9219" s="13"/>
    </row>
    <row r="9220">
      <c r="F9220" s="13"/>
      <c r="M9220" s="13"/>
    </row>
    <row r="9221">
      <c r="F9221" s="13"/>
      <c r="M9221" s="13"/>
    </row>
    <row r="9222">
      <c r="F9222" s="13"/>
      <c r="M9222" s="13"/>
    </row>
    <row r="9223">
      <c r="F9223" s="13"/>
      <c r="M9223" s="13"/>
    </row>
    <row r="9224">
      <c r="F9224" s="13"/>
      <c r="M9224" s="13"/>
    </row>
    <row r="9225">
      <c r="F9225" s="13"/>
      <c r="M9225" s="13"/>
    </row>
    <row r="9226">
      <c r="F9226" s="13"/>
      <c r="M9226" s="13"/>
    </row>
    <row r="9227">
      <c r="F9227" s="13"/>
      <c r="M9227" s="13"/>
    </row>
    <row r="9228">
      <c r="F9228" s="13"/>
      <c r="M9228" s="13"/>
    </row>
    <row r="9229">
      <c r="F9229" s="13"/>
      <c r="M9229" s="13"/>
    </row>
    <row r="9230">
      <c r="F9230" s="13"/>
      <c r="M9230" s="13"/>
    </row>
    <row r="9231">
      <c r="F9231" s="13"/>
      <c r="M9231" s="13"/>
    </row>
    <row r="9232">
      <c r="F9232" s="13"/>
      <c r="M9232" s="13"/>
    </row>
    <row r="9233">
      <c r="F9233" s="13"/>
      <c r="M9233" s="13"/>
    </row>
    <row r="9234">
      <c r="F9234" s="13"/>
      <c r="M9234" s="13"/>
    </row>
    <row r="9235">
      <c r="F9235" s="13"/>
      <c r="M9235" s="13"/>
    </row>
    <row r="9236">
      <c r="F9236" s="13"/>
      <c r="M9236" s="13"/>
    </row>
    <row r="9237">
      <c r="F9237" s="13"/>
      <c r="M9237" s="13"/>
    </row>
    <row r="9238">
      <c r="F9238" s="13"/>
      <c r="M9238" s="13"/>
    </row>
    <row r="9239">
      <c r="F9239" s="13"/>
      <c r="M9239" s="13"/>
    </row>
    <row r="9240">
      <c r="F9240" s="13"/>
      <c r="M9240" s="13"/>
    </row>
    <row r="9241">
      <c r="F9241" s="13"/>
      <c r="M9241" s="13"/>
    </row>
    <row r="9242">
      <c r="F9242" s="13"/>
      <c r="M9242" s="13"/>
    </row>
    <row r="9243">
      <c r="F9243" s="13"/>
      <c r="M9243" s="13"/>
    </row>
    <row r="9244">
      <c r="F9244" s="13"/>
      <c r="M9244" s="13"/>
    </row>
    <row r="9245">
      <c r="F9245" s="13"/>
      <c r="M9245" s="13"/>
    </row>
    <row r="9246">
      <c r="F9246" s="13"/>
      <c r="M9246" s="13"/>
    </row>
    <row r="9247">
      <c r="F9247" s="13"/>
      <c r="M9247" s="13"/>
    </row>
    <row r="9248">
      <c r="F9248" s="13"/>
      <c r="M9248" s="13"/>
    </row>
    <row r="9249">
      <c r="F9249" s="13"/>
      <c r="M9249" s="13"/>
    </row>
    <row r="9250">
      <c r="F9250" s="13"/>
      <c r="M9250" s="13"/>
    </row>
    <row r="9251">
      <c r="F9251" s="13"/>
      <c r="M9251" s="13"/>
    </row>
    <row r="9252">
      <c r="F9252" s="13"/>
      <c r="M9252" s="13"/>
    </row>
    <row r="9253">
      <c r="F9253" s="13"/>
      <c r="M9253" s="13"/>
    </row>
    <row r="9254">
      <c r="F9254" s="13"/>
      <c r="M9254" s="13"/>
    </row>
    <row r="9255">
      <c r="F9255" s="13"/>
      <c r="M9255" s="13"/>
    </row>
    <row r="9256">
      <c r="F9256" s="13"/>
      <c r="M9256" s="13"/>
    </row>
    <row r="9257">
      <c r="F9257" s="13"/>
      <c r="M9257" s="13"/>
    </row>
    <row r="9258">
      <c r="F9258" s="13"/>
      <c r="M9258" s="13"/>
    </row>
    <row r="9259">
      <c r="F9259" s="13"/>
      <c r="M9259" s="13"/>
    </row>
    <row r="9260">
      <c r="F9260" s="13"/>
      <c r="M9260" s="13"/>
    </row>
    <row r="9261">
      <c r="F9261" s="13"/>
      <c r="M9261" s="13"/>
    </row>
    <row r="9262">
      <c r="F9262" s="13"/>
      <c r="M9262" s="13"/>
    </row>
    <row r="9263">
      <c r="F9263" s="13"/>
      <c r="M9263" s="13"/>
    </row>
    <row r="9264">
      <c r="F9264" s="13"/>
      <c r="M9264" s="13"/>
    </row>
    <row r="9265">
      <c r="F9265" s="13"/>
      <c r="M9265" s="13"/>
    </row>
    <row r="9266">
      <c r="F9266" s="13"/>
      <c r="M9266" s="13"/>
    </row>
    <row r="9267">
      <c r="F9267" s="13"/>
      <c r="M9267" s="13"/>
    </row>
    <row r="9268">
      <c r="F9268" s="13"/>
      <c r="M9268" s="13"/>
    </row>
    <row r="9269">
      <c r="F9269" s="13"/>
      <c r="M9269" s="13"/>
    </row>
    <row r="9270">
      <c r="F9270" s="13"/>
      <c r="M9270" s="13"/>
    </row>
    <row r="9271">
      <c r="F9271" s="13"/>
      <c r="M9271" s="13"/>
    </row>
    <row r="9272">
      <c r="F9272" s="13"/>
      <c r="M9272" s="13"/>
    </row>
    <row r="9273">
      <c r="F9273" s="13"/>
      <c r="M9273" s="13"/>
    </row>
    <row r="9274">
      <c r="F9274" s="13"/>
      <c r="M9274" s="13"/>
    </row>
    <row r="9275">
      <c r="F9275" s="13"/>
      <c r="M9275" s="13"/>
    </row>
    <row r="9276">
      <c r="F9276" s="13"/>
      <c r="M9276" s="13"/>
    </row>
    <row r="9277">
      <c r="F9277" s="13"/>
      <c r="M9277" s="13"/>
    </row>
    <row r="9278">
      <c r="F9278" s="13"/>
      <c r="M9278" s="13"/>
    </row>
    <row r="9279">
      <c r="F9279" s="13"/>
      <c r="M9279" s="13"/>
    </row>
    <row r="9280">
      <c r="F9280" s="13"/>
      <c r="M9280" s="13"/>
    </row>
    <row r="9281">
      <c r="F9281" s="13"/>
      <c r="M9281" s="13"/>
    </row>
    <row r="9282">
      <c r="F9282" s="13"/>
      <c r="M9282" s="13"/>
    </row>
    <row r="9283">
      <c r="F9283" s="13"/>
      <c r="M9283" s="13"/>
    </row>
    <row r="9284">
      <c r="F9284" s="13"/>
      <c r="M9284" s="13"/>
    </row>
    <row r="9285">
      <c r="F9285" s="13"/>
      <c r="M9285" s="13"/>
    </row>
    <row r="9286">
      <c r="F9286" s="13"/>
      <c r="M9286" s="13"/>
    </row>
    <row r="9287">
      <c r="F9287" s="13"/>
      <c r="M9287" s="13"/>
    </row>
    <row r="9288">
      <c r="F9288" s="13"/>
      <c r="M9288" s="13"/>
    </row>
    <row r="9289">
      <c r="F9289" s="13"/>
      <c r="M9289" s="13"/>
    </row>
    <row r="9290">
      <c r="F9290" s="13"/>
      <c r="M9290" s="13"/>
    </row>
    <row r="9291">
      <c r="F9291" s="13"/>
      <c r="M9291" s="13"/>
    </row>
    <row r="9292">
      <c r="F9292" s="13"/>
      <c r="M9292" s="13"/>
    </row>
    <row r="9293">
      <c r="F9293" s="13"/>
      <c r="M9293" s="13"/>
    </row>
    <row r="9294">
      <c r="F9294" s="13"/>
      <c r="M9294" s="13"/>
    </row>
    <row r="9295">
      <c r="F9295" s="13"/>
      <c r="M9295" s="13"/>
    </row>
    <row r="9296">
      <c r="F9296" s="13"/>
      <c r="M9296" s="13"/>
    </row>
    <row r="9297">
      <c r="F9297" s="13"/>
      <c r="M9297" s="13"/>
    </row>
    <row r="9298">
      <c r="F9298" s="13"/>
      <c r="M9298" s="13"/>
    </row>
    <row r="9299">
      <c r="F9299" s="13"/>
      <c r="M9299" s="13"/>
    </row>
    <row r="9300">
      <c r="F9300" s="13"/>
      <c r="M9300" s="13"/>
    </row>
    <row r="9301">
      <c r="F9301" s="13"/>
      <c r="M9301" s="13"/>
    </row>
    <row r="9302">
      <c r="F9302" s="13"/>
      <c r="M9302" s="13"/>
    </row>
    <row r="9303">
      <c r="F9303" s="13"/>
      <c r="M9303" s="13"/>
    </row>
    <row r="9304">
      <c r="F9304" s="13"/>
      <c r="M9304" s="13"/>
    </row>
    <row r="9305">
      <c r="F9305" s="13"/>
      <c r="M9305" s="13"/>
    </row>
    <row r="9306">
      <c r="F9306" s="13"/>
      <c r="M9306" s="13"/>
    </row>
    <row r="9307">
      <c r="F9307" s="13"/>
      <c r="M9307" s="13"/>
    </row>
    <row r="9308">
      <c r="F9308" s="13"/>
      <c r="M9308" s="13"/>
    </row>
    <row r="9309">
      <c r="F9309" s="13"/>
      <c r="M9309" s="13"/>
    </row>
    <row r="9310">
      <c r="F9310" s="13"/>
      <c r="M9310" s="13"/>
    </row>
    <row r="9311">
      <c r="F9311" s="13"/>
      <c r="M9311" s="13"/>
    </row>
    <row r="9312">
      <c r="F9312" s="13"/>
      <c r="M9312" s="13"/>
    </row>
    <row r="9313">
      <c r="F9313" s="13"/>
      <c r="M9313" s="13"/>
    </row>
    <row r="9314">
      <c r="F9314" s="13"/>
      <c r="M9314" s="13"/>
    </row>
    <row r="9315">
      <c r="F9315" s="13"/>
      <c r="M9315" s="13"/>
    </row>
    <row r="9316">
      <c r="F9316" s="13"/>
      <c r="M9316" s="13"/>
    </row>
    <row r="9317">
      <c r="F9317" s="13"/>
      <c r="M9317" s="13"/>
    </row>
    <row r="9318">
      <c r="F9318" s="13"/>
      <c r="M9318" s="13"/>
    </row>
    <row r="9319">
      <c r="F9319" s="13"/>
      <c r="M9319" s="13"/>
    </row>
    <row r="9320">
      <c r="F9320" s="13"/>
      <c r="M9320" s="13"/>
    </row>
    <row r="9321">
      <c r="F9321" s="13"/>
      <c r="M9321" s="13"/>
    </row>
    <row r="9322">
      <c r="F9322" s="13"/>
      <c r="M9322" s="13"/>
    </row>
    <row r="9323">
      <c r="F9323" s="13"/>
      <c r="M9323" s="13"/>
    </row>
    <row r="9324">
      <c r="F9324" s="13"/>
      <c r="M9324" s="13"/>
    </row>
    <row r="9325">
      <c r="F9325" s="13"/>
      <c r="M9325" s="13"/>
    </row>
    <row r="9326">
      <c r="F9326" s="13"/>
      <c r="M9326" s="13"/>
    </row>
    <row r="9327">
      <c r="F9327" s="13"/>
      <c r="M9327" s="13"/>
    </row>
    <row r="9328">
      <c r="F9328" s="13"/>
      <c r="M9328" s="13"/>
    </row>
    <row r="9329">
      <c r="F9329" s="13"/>
      <c r="M9329" s="13"/>
    </row>
    <row r="9330">
      <c r="F9330" s="13"/>
      <c r="M9330" s="13"/>
    </row>
    <row r="9331">
      <c r="F9331" s="13"/>
      <c r="M9331" s="13"/>
    </row>
    <row r="9332">
      <c r="F9332" s="13"/>
      <c r="M9332" s="13"/>
    </row>
    <row r="9333">
      <c r="F9333" s="13"/>
      <c r="M9333" s="13"/>
    </row>
    <row r="9334">
      <c r="F9334" s="13"/>
      <c r="M9334" s="13"/>
    </row>
    <row r="9335">
      <c r="F9335" s="13"/>
      <c r="M9335" s="13"/>
    </row>
    <row r="9336">
      <c r="F9336" s="13"/>
      <c r="M9336" s="13"/>
    </row>
    <row r="9337">
      <c r="F9337" s="13"/>
      <c r="M9337" s="13"/>
    </row>
    <row r="9338">
      <c r="F9338" s="13"/>
      <c r="M9338" s="13"/>
    </row>
    <row r="9339">
      <c r="F9339" s="13"/>
      <c r="M9339" s="13"/>
    </row>
    <row r="9340">
      <c r="F9340" s="13"/>
      <c r="M9340" s="13"/>
    </row>
    <row r="9341">
      <c r="F9341" s="13"/>
      <c r="M9341" s="13"/>
    </row>
    <row r="9342">
      <c r="F9342" s="13"/>
      <c r="M9342" s="13"/>
    </row>
    <row r="9343">
      <c r="F9343" s="13"/>
      <c r="M9343" s="13"/>
    </row>
    <row r="9344">
      <c r="F9344" s="13"/>
      <c r="M9344" s="13"/>
    </row>
    <row r="9345">
      <c r="F9345" s="13"/>
      <c r="M9345" s="13"/>
    </row>
    <row r="9346">
      <c r="F9346" s="13"/>
      <c r="M9346" s="13"/>
    </row>
    <row r="9347">
      <c r="F9347" s="13"/>
      <c r="M9347" s="13"/>
    </row>
    <row r="9348">
      <c r="F9348" s="13"/>
      <c r="M9348" s="13"/>
    </row>
    <row r="9349">
      <c r="F9349" s="13"/>
      <c r="M9349" s="13"/>
    </row>
    <row r="9350">
      <c r="F9350" s="13"/>
      <c r="M9350" s="13"/>
    </row>
    <row r="9351">
      <c r="F9351" s="13"/>
      <c r="M9351" s="13"/>
    </row>
    <row r="9352">
      <c r="F9352" s="13"/>
      <c r="M9352" s="13"/>
    </row>
    <row r="9353">
      <c r="F9353" s="13"/>
      <c r="M9353" s="13"/>
    </row>
    <row r="9354">
      <c r="F9354" s="13"/>
      <c r="M9354" s="13"/>
    </row>
    <row r="9355">
      <c r="F9355" s="13"/>
      <c r="M9355" s="13"/>
    </row>
    <row r="9356">
      <c r="F9356" s="13"/>
      <c r="M9356" s="13"/>
    </row>
    <row r="9357">
      <c r="F9357" s="13"/>
      <c r="M9357" s="13"/>
    </row>
    <row r="9358">
      <c r="F9358" s="13"/>
      <c r="M9358" s="13"/>
    </row>
    <row r="9359">
      <c r="F9359" s="13"/>
      <c r="M9359" s="13"/>
    </row>
    <row r="9360">
      <c r="F9360" s="13"/>
      <c r="M9360" s="13"/>
    </row>
    <row r="9361">
      <c r="F9361" s="13"/>
      <c r="M9361" s="13"/>
    </row>
    <row r="9362">
      <c r="F9362" s="13"/>
      <c r="M9362" s="13"/>
    </row>
    <row r="9363">
      <c r="F9363" s="13"/>
      <c r="M9363" s="13"/>
    </row>
    <row r="9364">
      <c r="F9364" s="13"/>
      <c r="M9364" s="13"/>
    </row>
    <row r="9365">
      <c r="F9365" s="13"/>
      <c r="M9365" s="13"/>
    </row>
    <row r="9366">
      <c r="F9366" s="13"/>
      <c r="M9366" s="13"/>
    </row>
    <row r="9367">
      <c r="F9367" s="13"/>
      <c r="M9367" s="13"/>
    </row>
    <row r="9368">
      <c r="F9368" s="13"/>
      <c r="M9368" s="13"/>
    </row>
    <row r="9369">
      <c r="F9369" s="13"/>
      <c r="M9369" s="13"/>
    </row>
    <row r="9370">
      <c r="F9370" s="13"/>
      <c r="M9370" s="13"/>
    </row>
    <row r="9371">
      <c r="F9371" s="13"/>
      <c r="M9371" s="13"/>
    </row>
    <row r="9372">
      <c r="F9372" s="13"/>
      <c r="M9372" s="13"/>
    </row>
    <row r="9373">
      <c r="F9373" s="13"/>
      <c r="M9373" s="13"/>
    </row>
    <row r="9374">
      <c r="F9374" s="13"/>
      <c r="M9374" s="13"/>
    </row>
    <row r="9375">
      <c r="F9375" s="13"/>
      <c r="M9375" s="13"/>
    </row>
    <row r="9376">
      <c r="F9376" s="13"/>
      <c r="M9376" s="13"/>
    </row>
    <row r="9377">
      <c r="F9377" s="13"/>
      <c r="M9377" s="13"/>
    </row>
    <row r="9378">
      <c r="F9378" s="13"/>
      <c r="M9378" s="13"/>
    </row>
    <row r="9379">
      <c r="F9379" s="13"/>
      <c r="M9379" s="13"/>
    </row>
    <row r="9380">
      <c r="F9380" s="13"/>
      <c r="M9380" s="13"/>
    </row>
    <row r="9381">
      <c r="F9381" s="13"/>
      <c r="M9381" s="13"/>
    </row>
    <row r="9382">
      <c r="F9382" s="13"/>
      <c r="M9382" s="13"/>
    </row>
    <row r="9383">
      <c r="F9383" s="13"/>
      <c r="M9383" s="13"/>
    </row>
    <row r="9384">
      <c r="F9384" s="13"/>
      <c r="M9384" s="13"/>
    </row>
    <row r="9385">
      <c r="F9385" s="13"/>
      <c r="M9385" s="13"/>
    </row>
    <row r="9386">
      <c r="F9386" s="13"/>
      <c r="M9386" s="13"/>
    </row>
    <row r="9387">
      <c r="F9387" s="13"/>
      <c r="M9387" s="13"/>
    </row>
    <row r="9388">
      <c r="F9388" s="13"/>
      <c r="M9388" s="13"/>
    </row>
    <row r="9389">
      <c r="F9389" s="13"/>
      <c r="M9389" s="13"/>
    </row>
    <row r="9390">
      <c r="F9390" s="13"/>
      <c r="M9390" s="13"/>
    </row>
    <row r="9391">
      <c r="F9391" s="13"/>
      <c r="M9391" s="13"/>
    </row>
    <row r="9392">
      <c r="F9392" s="13"/>
      <c r="M9392" s="13"/>
    </row>
    <row r="9393">
      <c r="F9393" s="13"/>
      <c r="M9393" s="13"/>
    </row>
    <row r="9394">
      <c r="F9394" s="13"/>
      <c r="M9394" s="13"/>
    </row>
    <row r="9395">
      <c r="F9395" s="13"/>
      <c r="M9395" s="13"/>
    </row>
    <row r="9396">
      <c r="F9396" s="13"/>
      <c r="M9396" s="13"/>
    </row>
    <row r="9397">
      <c r="F9397" s="13"/>
      <c r="M9397" s="13"/>
    </row>
    <row r="9398">
      <c r="F9398" s="13"/>
      <c r="M9398" s="13"/>
    </row>
    <row r="9399">
      <c r="F9399" s="13"/>
      <c r="M9399" s="13"/>
    </row>
    <row r="9400">
      <c r="F9400" s="13"/>
      <c r="M9400" s="13"/>
    </row>
    <row r="9401">
      <c r="F9401" s="13"/>
      <c r="M9401" s="13"/>
    </row>
    <row r="9402">
      <c r="F9402" s="13"/>
      <c r="M9402" s="13"/>
    </row>
    <row r="9403">
      <c r="F9403" s="13"/>
      <c r="M9403" s="13"/>
    </row>
    <row r="9404">
      <c r="F9404" s="13"/>
      <c r="M9404" s="13"/>
    </row>
    <row r="9405">
      <c r="F9405" s="13"/>
      <c r="M9405" s="13"/>
    </row>
    <row r="9406">
      <c r="F9406" s="13"/>
      <c r="M9406" s="13"/>
    </row>
    <row r="9407">
      <c r="F9407" s="13"/>
      <c r="M9407" s="13"/>
    </row>
    <row r="9408">
      <c r="F9408" s="13"/>
      <c r="M9408" s="13"/>
    </row>
    <row r="9409">
      <c r="F9409" s="13"/>
      <c r="M9409" s="13"/>
    </row>
    <row r="9410">
      <c r="F9410" s="13"/>
      <c r="M9410" s="13"/>
    </row>
    <row r="9411">
      <c r="F9411" s="13"/>
      <c r="M9411" s="13"/>
    </row>
    <row r="9412">
      <c r="F9412" s="13"/>
      <c r="M9412" s="13"/>
    </row>
    <row r="9413">
      <c r="F9413" s="13"/>
      <c r="M9413" s="13"/>
    </row>
    <row r="9414">
      <c r="F9414" s="13"/>
      <c r="M9414" s="13"/>
    </row>
    <row r="9415">
      <c r="F9415" s="13"/>
      <c r="M9415" s="13"/>
    </row>
    <row r="9416">
      <c r="F9416" s="13"/>
      <c r="M9416" s="13"/>
    </row>
    <row r="9417">
      <c r="F9417" s="13"/>
      <c r="M9417" s="13"/>
    </row>
    <row r="9418">
      <c r="F9418" s="13"/>
      <c r="M9418" s="13"/>
    </row>
    <row r="9419">
      <c r="F9419" s="13"/>
      <c r="M9419" s="13"/>
    </row>
    <row r="9420">
      <c r="F9420" s="13"/>
      <c r="M9420" s="13"/>
    </row>
    <row r="9421">
      <c r="F9421" s="13"/>
      <c r="M9421" s="13"/>
    </row>
    <row r="9422">
      <c r="F9422" s="13"/>
      <c r="M9422" s="13"/>
    </row>
    <row r="9423">
      <c r="F9423" s="13"/>
      <c r="M9423" s="13"/>
    </row>
    <row r="9424">
      <c r="F9424" s="13"/>
      <c r="M9424" s="13"/>
    </row>
    <row r="9425">
      <c r="F9425" s="13"/>
      <c r="M9425" s="13"/>
    </row>
    <row r="9426">
      <c r="F9426" s="13"/>
      <c r="M9426" s="13"/>
    </row>
    <row r="9427">
      <c r="F9427" s="13"/>
      <c r="M9427" s="13"/>
    </row>
    <row r="9428">
      <c r="F9428" s="13"/>
      <c r="M9428" s="13"/>
    </row>
    <row r="9429">
      <c r="F9429" s="13"/>
      <c r="M9429" s="13"/>
    </row>
    <row r="9430">
      <c r="F9430" s="13"/>
      <c r="M9430" s="13"/>
    </row>
    <row r="9431">
      <c r="F9431" s="13"/>
      <c r="M9431" s="13"/>
    </row>
    <row r="9432">
      <c r="F9432" s="13"/>
      <c r="M9432" s="13"/>
    </row>
    <row r="9433">
      <c r="F9433" s="13"/>
      <c r="M9433" s="13"/>
    </row>
    <row r="9434">
      <c r="F9434" s="13"/>
      <c r="M9434" s="13"/>
    </row>
    <row r="9435">
      <c r="F9435" s="13"/>
      <c r="M9435" s="13"/>
    </row>
    <row r="9436">
      <c r="F9436" s="13"/>
      <c r="M9436" s="13"/>
    </row>
    <row r="9437">
      <c r="F9437" s="13"/>
      <c r="M9437" s="13"/>
    </row>
    <row r="9438">
      <c r="F9438" s="13"/>
      <c r="M9438" s="13"/>
    </row>
    <row r="9439">
      <c r="F9439" s="13"/>
      <c r="M9439" s="13"/>
    </row>
    <row r="9440">
      <c r="F9440" s="13"/>
      <c r="M9440" s="13"/>
    </row>
    <row r="9441">
      <c r="F9441" s="13"/>
      <c r="M9441" s="13"/>
    </row>
    <row r="9442">
      <c r="F9442" s="13"/>
      <c r="M9442" s="13"/>
    </row>
    <row r="9443">
      <c r="F9443" s="13"/>
      <c r="M9443" s="13"/>
    </row>
    <row r="9444">
      <c r="F9444" s="13"/>
      <c r="M9444" s="13"/>
    </row>
    <row r="9445">
      <c r="F9445" s="13"/>
      <c r="M9445" s="13"/>
    </row>
    <row r="9446">
      <c r="F9446" s="13"/>
      <c r="M9446" s="13"/>
    </row>
    <row r="9447">
      <c r="F9447" s="13"/>
      <c r="M9447" s="13"/>
    </row>
    <row r="9448">
      <c r="F9448" s="13"/>
      <c r="M9448" s="13"/>
    </row>
    <row r="9449">
      <c r="F9449" s="13"/>
      <c r="M9449" s="13"/>
    </row>
    <row r="9450">
      <c r="F9450" s="13"/>
      <c r="M9450" s="13"/>
    </row>
    <row r="9451">
      <c r="F9451" s="13"/>
      <c r="M9451" s="13"/>
    </row>
    <row r="9452">
      <c r="F9452" s="13"/>
      <c r="M9452" s="13"/>
    </row>
    <row r="9453">
      <c r="F9453" s="13"/>
      <c r="M9453" s="13"/>
    </row>
    <row r="9454">
      <c r="F9454" s="13"/>
      <c r="M9454" s="13"/>
    </row>
    <row r="9455">
      <c r="F9455" s="13"/>
      <c r="M9455" s="13"/>
    </row>
    <row r="9456">
      <c r="F9456" s="13"/>
      <c r="M9456" s="13"/>
    </row>
    <row r="9457">
      <c r="F9457" s="13"/>
      <c r="M9457" s="13"/>
    </row>
    <row r="9458">
      <c r="F9458" s="13"/>
      <c r="M9458" s="13"/>
    </row>
    <row r="9459">
      <c r="F9459" s="13"/>
      <c r="M9459" s="13"/>
    </row>
    <row r="9460">
      <c r="F9460" s="13"/>
      <c r="M9460" s="13"/>
    </row>
    <row r="9461">
      <c r="F9461" s="13"/>
      <c r="M9461" s="13"/>
    </row>
    <row r="9462">
      <c r="F9462" s="13"/>
      <c r="M9462" s="13"/>
    </row>
    <row r="9463">
      <c r="F9463" s="13"/>
      <c r="M9463" s="13"/>
    </row>
    <row r="9464">
      <c r="F9464" s="13"/>
      <c r="M9464" s="13"/>
    </row>
    <row r="9465">
      <c r="F9465" s="13"/>
      <c r="M9465" s="13"/>
    </row>
    <row r="9466">
      <c r="F9466" s="13"/>
      <c r="M9466" s="13"/>
    </row>
    <row r="9467">
      <c r="F9467" s="13"/>
      <c r="M9467" s="13"/>
    </row>
    <row r="9468">
      <c r="F9468" s="13"/>
      <c r="M9468" s="13"/>
    </row>
    <row r="9469">
      <c r="F9469" s="13"/>
      <c r="M9469" s="13"/>
    </row>
    <row r="9470">
      <c r="F9470" s="13"/>
      <c r="M9470" s="13"/>
    </row>
    <row r="9471">
      <c r="F9471" s="13"/>
      <c r="M9471" s="13"/>
    </row>
    <row r="9472">
      <c r="F9472" s="13"/>
      <c r="M9472" s="13"/>
    </row>
    <row r="9473">
      <c r="F9473" s="13"/>
      <c r="M9473" s="13"/>
    </row>
    <row r="9474">
      <c r="F9474" s="13"/>
      <c r="M9474" s="13"/>
    </row>
    <row r="9475">
      <c r="F9475" s="13"/>
      <c r="M9475" s="13"/>
    </row>
    <row r="9476">
      <c r="F9476" s="13"/>
      <c r="M9476" s="13"/>
    </row>
    <row r="9477">
      <c r="F9477" s="13"/>
      <c r="M9477" s="13"/>
    </row>
    <row r="9478">
      <c r="F9478" s="13"/>
      <c r="M9478" s="13"/>
    </row>
    <row r="9479">
      <c r="F9479" s="13"/>
      <c r="M9479" s="13"/>
    </row>
    <row r="9480">
      <c r="F9480" s="13"/>
      <c r="M9480" s="13"/>
    </row>
    <row r="9481">
      <c r="F9481" s="13"/>
      <c r="M9481" s="13"/>
    </row>
    <row r="9482">
      <c r="F9482" s="13"/>
      <c r="M9482" s="13"/>
    </row>
    <row r="9483">
      <c r="F9483" s="13"/>
      <c r="M9483" s="13"/>
    </row>
    <row r="9484">
      <c r="F9484" s="13"/>
      <c r="M9484" s="13"/>
    </row>
    <row r="9485">
      <c r="F9485" s="13"/>
      <c r="M9485" s="13"/>
    </row>
    <row r="9486">
      <c r="F9486" s="13"/>
      <c r="M9486" s="13"/>
    </row>
    <row r="9487">
      <c r="F9487" s="13"/>
      <c r="M9487" s="13"/>
    </row>
    <row r="9488">
      <c r="F9488" s="13"/>
      <c r="M9488" s="13"/>
    </row>
    <row r="9489">
      <c r="F9489" s="13"/>
      <c r="M9489" s="13"/>
    </row>
    <row r="9490">
      <c r="F9490" s="13"/>
      <c r="M9490" s="13"/>
    </row>
    <row r="9491">
      <c r="F9491" s="13"/>
      <c r="M9491" s="13"/>
    </row>
    <row r="9492">
      <c r="F9492" s="13"/>
      <c r="M9492" s="13"/>
    </row>
    <row r="9493">
      <c r="F9493" s="13"/>
      <c r="M9493" s="13"/>
    </row>
    <row r="9494">
      <c r="F9494" s="13"/>
      <c r="M9494" s="13"/>
    </row>
    <row r="9495">
      <c r="F9495" s="13"/>
      <c r="M9495" s="13"/>
    </row>
    <row r="9496">
      <c r="F9496" s="13"/>
      <c r="M9496" s="13"/>
    </row>
    <row r="9497">
      <c r="F9497" s="13"/>
      <c r="M9497" s="13"/>
    </row>
    <row r="9498">
      <c r="F9498" s="13"/>
      <c r="M9498" s="13"/>
    </row>
    <row r="9499">
      <c r="F9499" s="13"/>
      <c r="M9499" s="13"/>
    </row>
    <row r="9500">
      <c r="F9500" s="13"/>
      <c r="M9500" s="13"/>
    </row>
    <row r="9501">
      <c r="F9501" s="13"/>
      <c r="M9501" s="13"/>
    </row>
    <row r="9502">
      <c r="F9502" s="13"/>
      <c r="M9502" s="13"/>
    </row>
    <row r="9503">
      <c r="F9503" s="13"/>
      <c r="M9503" s="13"/>
    </row>
    <row r="9504">
      <c r="F9504" s="13"/>
      <c r="M9504" s="13"/>
    </row>
    <row r="9505">
      <c r="F9505" s="13"/>
      <c r="M9505" s="13"/>
    </row>
    <row r="9506">
      <c r="F9506" s="13"/>
      <c r="M9506" s="13"/>
    </row>
    <row r="9507">
      <c r="F9507" s="13"/>
      <c r="M9507" s="13"/>
    </row>
    <row r="9508">
      <c r="F9508" s="13"/>
      <c r="M9508" s="13"/>
    </row>
    <row r="9509">
      <c r="F9509" s="13"/>
      <c r="M9509" s="13"/>
    </row>
    <row r="9510">
      <c r="F9510" s="13"/>
      <c r="M9510" s="13"/>
    </row>
    <row r="9511">
      <c r="F9511" s="13"/>
      <c r="M9511" s="13"/>
    </row>
    <row r="9512">
      <c r="F9512" s="13"/>
      <c r="M9512" s="13"/>
    </row>
    <row r="9513">
      <c r="F9513" s="13"/>
      <c r="M9513" s="13"/>
    </row>
    <row r="9514">
      <c r="F9514" s="13"/>
      <c r="M9514" s="13"/>
    </row>
    <row r="9515">
      <c r="F9515" s="13"/>
      <c r="M9515" s="13"/>
    </row>
    <row r="9516">
      <c r="F9516" s="13"/>
      <c r="M9516" s="13"/>
    </row>
    <row r="9517">
      <c r="F9517" s="13"/>
      <c r="M9517" s="13"/>
    </row>
    <row r="9518">
      <c r="F9518" s="13"/>
      <c r="M9518" s="13"/>
    </row>
    <row r="9519">
      <c r="F9519" s="13"/>
      <c r="M9519" s="13"/>
    </row>
    <row r="9520">
      <c r="F9520" s="13"/>
      <c r="M9520" s="13"/>
    </row>
    <row r="9521">
      <c r="F9521" s="13"/>
      <c r="M9521" s="13"/>
    </row>
    <row r="9522">
      <c r="F9522" s="13"/>
      <c r="M9522" s="13"/>
    </row>
    <row r="9523">
      <c r="F9523" s="13"/>
      <c r="M9523" s="13"/>
    </row>
    <row r="9524">
      <c r="F9524" s="13"/>
      <c r="M9524" s="13"/>
    </row>
    <row r="9525">
      <c r="F9525" s="13"/>
      <c r="M9525" s="13"/>
    </row>
    <row r="9526">
      <c r="F9526" s="13"/>
      <c r="M9526" s="13"/>
    </row>
    <row r="9527">
      <c r="F9527" s="13"/>
      <c r="M9527" s="13"/>
    </row>
    <row r="9528">
      <c r="F9528" s="13"/>
      <c r="M9528" s="13"/>
    </row>
    <row r="9529">
      <c r="F9529" s="13"/>
      <c r="M9529" s="13"/>
    </row>
    <row r="9530">
      <c r="F9530" s="13"/>
      <c r="M9530" s="13"/>
    </row>
    <row r="9531">
      <c r="F9531" s="13"/>
      <c r="M9531" s="13"/>
    </row>
    <row r="9532">
      <c r="F9532" s="13"/>
      <c r="M9532" s="13"/>
    </row>
    <row r="9533">
      <c r="F9533" s="13"/>
      <c r="M9533" s="13"/>
    </row>
    <row r="9534">
      <c r="F9534" s="13"/>
      <c r="M9534" s="13"/>
    </row>
    <row r="9535">
      <c r="F9535" s="13"/>
      <c r="M9535" s="13"/>
    </row>
    <row r="9536">
      <c r="F9536" s="13"/>
      <c r="M9536" s="13"/>
    </row>
    <row r="9537">
      <c r="F9537" s="13"/>
      <c r="M9537" s="13"/>
    </row>
    <row r="9538">
      <c r="F9538" s="13"/>
      <c r="M9538" s="13"/>
    </row>
    <row r="9539">
      <c r="F9539" s="13"/>
      <c r="M9539" s="13"/>
    </row>
    <row r="9540">
      <c r="F9540" s="13"/>
      <c r="M9540" s="13"/>
    </row>
    <row r="9541">
      <c r="F9541" s="13"/>
      <c r="M9541" s="13"/>
    </row>
    <row r="9542">
      <c r="F9542" s="13"/>
      <c r="M9542" s="13"/>
    </row>
    <row r="9543">
      <c r="F9543" s="13"/>
      <c r="M9543" s="13"/>
    </row>
    <row r="9544">
      <c r="F9544" s="13"/>
      <c r="M9544" s="13"/>
    </row>
    <row r="9545">
      <c r="F9545" s="13"/>
      <c r="M9545" s="13"/>
    </row>
    <row r="9546">
      <c r="F9546" s="13"/>
      <c r="M9546" s="13"/>
    </row>
    <row r="9547">
      <c r="F9547" s="13"/>
      <c r="M9547" s="13"/>
    </row>
    <row r="9548">
      <c r="F9548" s="13"/>
      <c r="M9548" s="13"/>
    </row>
    <row r="9549">
      <c r="F9549" s="13"/>
      <c r="M9549" s="13"/>
    </row>
    <row r="9550">
      <c r="F9550" s="13"/>
      <c r="M9550" s="13"/>
    </row>
    <row r="9551">
      <c r="F9551" s="13"/>
      <c r="M9551" s="13"/>
    </row>
    <row r="9552">
      <c r="F9552" s="13"/>
      <c r="M9552" s="13"/>
    </row>
    <row r="9553">
      <c r="F9553" s="13"/>
      <c r="M9553" s="13"/>
    </row>
    <row r="9554">
      <c r="F9554" s="13"/>
      <c r="M9554" s="13"/>
    </row>
    <row r="9555">
      <c r="F9555" s="13"/>
      <c r="M9555" s="13"/>
    </row>
    <row r="9556">
      <c r="F9556" s="13"/>
      <c r="M9556" s="13"/>
    </row>
    <row r="9557">
      <c r="F9557" s="13"/>
      <c r="M9557" s="13"/>
    </row>
    <row r="9558">
      <c r="F9558" s="13"/>
      <c r="M9558" s="13"/>
    </row>
    <row r="9559">
      <c r="F9559" s="13"/>
      <c r="M9559" s="13"/>
    </row>
    <row r="9560">
      <c r="F9560" s="13"/>
      <c r="M9560" s="13"/>
    </row>
    <row r="9561">
      <c r="F9561" s="13"/>
      <c r="M9561" s="13"/>
    </row>
    <row r="9562">
      <c r="F9562" s="13"/>
      <c r="M9562" s="13"/>
    </row>
    <row r="9563">
      <c r="F9563" s="13"/>
      <c r="M9563" s="13"/>
    </row>
    <row r="9564">
      <c r="F9564" s="13"/>
      <c r="M9564" s="13"/>
    </row>
    <row r="9565">
      <c r="F9565" s="13"/>
      <c r="M9565" s="13"/>
    </row>
    <row r="9566">
      <c r="F9566" s="13"/>
      <c r="M9566" s="13"/>
    </row>
    <row r="9567">
      <c r="F9567" s="13"/>
      <c r="M9567" s="13"/>
    </row>
    <row r="9568">
      <c r="F9568" s="13"/>
      <c r="M9568" s="13"/>
    </row>
    <row r="9569">
      <c r="F9569" s="13"/>
      <c r="M9569" s="13"/>
    </row>
    <row r="9570">
      <c r="F9570" s="13"/>
      <c r="M9570" s="13"/>
    </row>
    <row r="9571">
      <c r="F9571" s="13"/>
      <c r="M9571" s="13"/>
    </row>
    <row r="9572">
      <c r="F9572" s="13"/>
      <c r="M9572" s="13"/>
    </row>
    <row r="9573">
      <c r="F9573" s="13"/>
      <c r="M9573" s="13"/>
    </row>
    <row r="9574">
      <c r="F9574" s="13"/>
      <c r="M9574" s="13"/>
    </row>
    <row r="9575">
      <c r="F9575" s="13"/>
      <c r="M9575" s="13"/>
    </row>
    <row r="9576">
      <c r="F9576" s="13"/>
      <c r="M9576" s="13"/>
    </row>
    <row r="9577">
      <c r="F9577" s="13"/>
      <c r="M9577" s="13"/>
    </row>
    <row r="9578">
      <c r="F9578" s="13"/>
      <c r="M9578" s="13"/>
    </row>
    <row r="9579">
      <c r="F9579" s="13"/>
      <c r="M9579" s="13"/>
    </row>
    <row r="9580">
      <c r="F9580" s="13"/>
      <c r="M9580" s="13"/>
    </row>
    <row r="9581">
      <c r="F9581" s="13"/>
      <c r="M9581" s="13"/>
    </row>
    <row r="9582">
      <c r="F9582" s="13"/>
      <c r="M9582" s="13"/>
    </row>
    <row r="9583">
      <c r="F9583" s="13"/>
      <c r="M9583" s="13"/>
    </row>
    <row r="9584">
      <c r="F9584" s="13"/>
      <c r="M9584" s="13"/>
    </row>
    <row r="9585">
      <c r="F9585" s="13"/>
      <c r="M9585" s="13"/>
    </row>
    <row r="9586">
      <c r="F9586" s="13"/>
      <c r="M9586" s="13"/>
    </row>
    <row r="9587">
      <c r="F9587" s="13"/>
      <c r="M9587" s="13"/>
    </row>
    <row r="9588">
      <c r="F9588" s="13"/>
      <c r="M9588" s="13"/>
    </row>
    <row r="9589">
      <c r="F9589" s="13"/>
      <c r="M9589" s="13"/>
    </row>
    <row r="9590">
      <c r="F9590" s="13"/>
      <c r="M9590" s="13"/>
    </row>
    <row r="9591">
      <c r="F9591" s="13"/>
      <c r="M9591" s="13"/>
    </row>
    <row r="9592">
      <c r="F9592" s="13"/>
      <c r="M9592" s="13"/>
    </row>
    <row r="9593">
      <c r="F9593" s="13"/>
      <c r="M9593" s="13"/>
    </row>
    <row r="9594">
      <c r="F9594" s="13"/>
      <c r="M9594" s="13"/>
    </row>
    <row r="9595">
      <c r="F9595" s="13"/>
      <c r="M9595" s="13"/>
    </row>
    <row r="9596">
      <c r="F9596" s="13"/>
      <c r="M9596" s="13"/>
    </row>
    <row r="9597">
      <c r="F9597" s="13"/>
      <c r="M9597" s="13"/>
    </row>
    <row r="9598">
      <c r="F9598" s="13"/>
      <c r="M9598" s="13"/>
    </row>
    <row r="9599">
      <c r="F9599" s="13"/>
      <c r="M9599" s="13"/>
    </row>
    <row r="9600">
      <c r="F9600" s="13"/>
      <c r="M9600" s="13"/>
    </row>
    <row r="9601">
      <c r="F9601" s="13"/>
      <c r="M9601" s="13"/>
    </row>
    <row r="9602">
      <c r="F9602" s="13"/>
      <c r="M9602" s="13"/>
    </row>
    <row r="9603">
      <c r="F9603" s="13"/>
      <c r="M9603" s="13"/>
    </row>
    <row r="9604">
      <c r="F9604" s="13"/>
      <c r="M9604" s="13"/>
    </row>
    <row r="9605">
      <c r="F9605" s="13"/>
      <c r="M9605" s="13"/>
    </row>
    <row r="9606">
      <c r="F9606" s="13"/>
      <c r="M9606" s="13"/>
    </row>
    <row r="9607">
      <c r="F9607" s="13"/>
      <c r="M9607" s="13"/>
    </row>
    <row r="9608">
      <c r="F9608" s="13"/>
      <c r="M9608" s="13"/>
    </row>
    <row r="9609">
      <c r="F9609" s="13"/>
      <c r="M9609" s="13"/>
    </row>
    <row r="9610">
      <c r="F9610" s="13"/>
      <c r="M9610" s="13"/>
    </row>
    <row r="9611">
      <c r="F9611" s="13"/>
      <c r="M9611" s="13"/>
    </row>
    <row r="9612">
      <c r="F9612" s="13"/>
      <c r="M9612" s="13"/>
    </row>
    <row r="9613">
      <c r="F9613" s="13"/>
      <c r="M9613" s="13"/>
    </row>
    <row r="9614">
      <c r="F9614" s="13"/>
      <c r="M9614" s="13"/>
    </row>
    <row r="9615">
      <c r="F9615" s="13"/>
      <c r="M9615" s="13"/>
    </row>
    <row r="9616">
      <c r="F9616" s="13"/>
      <c r="M9616" s="13"/>
    </row>
    <row r="9617">
      <c r="F9617" s="13"/>
      <c r="M9617" s="13"/>
    </row>
    <row r="9618">
      <c r="F9618" s="13"/>
      <c r="M9618" s="13"/>
    </row>
    <row r="9619">
      <c r="F9619" s="13"/>
      <c r="M9619" s="13"/>
    </row>
    <row r="9620">
      <c r="F9620" s="13"/>
      <c r="M9620" s="13"/>
    </row>
    <row r="9621">
      <c r="F9621" s="13"/>
      <c r="M9621" s="13"/>
    </row>
    <row r="9622">
      <c r="F9622" s="13"/>
      <c r="M9622" s="13"/>
    </row>
    <row r="9623">
      <c r="F9623" s="13"/>
      <c r="M9623" s="13"/>
    </row>
    <row r="9624">
      <c r="F9624" s="13"/>
      <c r="M9624" s="13"/>
    </row>
    <row r="9625">
      <c r="F9625" s="13"/>
      <c r="M9625" s="13"/>
    </row>
    <row r="9626">
      <c r="F9626" s="13"/>
      <c r="M9626" s="13"/>
    </row>
    <row r="9627">
      <c r="F9627" s="13"/>
      <c r="M9627" s="13"/>
    </row>
    <row r="9628">
      <c r="F9628" s="13"/>
      <c r="M9628" s="13"/>
    </row>
    <row r="9629">
      <c r="F9629" s="13"/>
      <c r="M9629" s="13"/>
    </row>
    <row r="9630">
      <c r="F9630" s="13"/>
      <c r="M9630" s="13"/>
    </row>
    <row r="9631">
      <c r="F9631" s="13"/>
      <c r="M9631" s="13"/>
    </row>
    <row r="9632">
      <c r="F9632" s="13"/>
      <c r="M9632" s="13"/>
    </row>
    <row r="9633">
      <c r="F9633" s="13"/>
      <c r="M9633" s="13"/>
    </row>
    <row r="9634">
      <c r="F9634" s="13"/>
      <c r="M9634" s="13"/>
    </row>
    <row r="9635">
      <c r="F9635" s="13"/>
      <c r="M9635" s="13"/>
    </row>
    <row r="9636">
      <c r="F9636" s="13"/>
      <c r="M9636" s="13"/>
    </row>
    <row r="9637">
      <c r="F9637" s="13"/>
      <c r="M9637" s="13"/>
    </row>
    <row r="9638">
      <c r="F9638" s="13"/>
      <c r="M9638" s="13"/>
    </row>
    <row r="9639">
      <c r="F9639" s="13"/>
      <c r="M9639" s="13"/>
    </row>
    <row r="9640">
      <c r="F9640" s="13"/>
      <c r="M9640" s="13"/>
    </row>
    <row r="9641">
      <c r="F9641" s="13"/>
      <c r="M9641" s="13"/>
    </row>
    <row r="9642">
      <c r="F9642" s="13"/>
      <c r="M9642" s="13"/>
    </row>
    <row r="9643">
      <c r="F9643" s="13"/>
      <c r="M9643" s="13"/>
    </row>
    <row r="9644">
      <c r="F9644" s="13"/>
      <c r="M9644" s="13"/>
    </row>
    <row r="9645">
      <c r="F9645" s="13"/>
      <c r="M9645" s="13"/>
    </row>
    <row r="9646">
      <c r="F9646" s="13"/>
      <c r="M9646" s="13"/>
    </row>
    <row r="9647">
      <c r="F9647" s="13"/>
      <c r="M9647" s="13"/>
    </row>
    <row r="9648">
      <c r="F9648" s="13"/>
      <c r="M9648" s="13"/>
    </row>
    <row r="9649">
      <c r="F9649" s="13"/>
      <c r="M9649" s="13"/>
    </row>
    <row r="9650">
      <c r="F9650" s="13"/>
      <c r="M9650" s="13"/>
    </row>
    <row r="9651">
      <c r="F9651" s="13"/>
      <c r="M9651" s="13"/>
    </row>
    <row r="9652">
      <c r="F9652" s="13"/>
      <c r="M9652" s="13"/>
    </row>
    <row r="9653">
      <c r="F9653" s="13"/>
      <c r="M9653" s="13"/>
    </row>
    <row r="9654">
      <c r="F9654" s="13"/>
      <c r="M9654" s="13"/>
    </row>
    <row r="9655">
      <c r="F9655" s="13"/>
      <c r="M9655" s="13"/>
    </row>
    <row r="9656">
      <c r="F9656" s="13"/>
      <c r="M9656" s="13"/>
    </row>
    <row r="9657">
      <c r="F9657" s="13"/>
      <c r="M9657" s="13"/>
    </row>
    <row r="9658">
      <c r="F9658" s="13"/>
      <c r="M9658" s="13"/>
    </row>
    <row r="9659">
      <c r="F9659" s="13"/>
      <c r="M9659" s="13"/>
    </row>
    <row r="9660">
      <c r="F9660" s="13"/>
      <c r="M9660" s="13"/>
    </row>
    <row r="9661">
      <c r="F9661" s="13"/>
      <c r="M9661" s="13"/>
    </row>
    <row r="9662">
      <c r="F9662" s="13"/>
      <c r="M9662" s="13"/>
    </row>
    <row r="9663">
      <c r="F9663" s="13"/>
      <c r="M9663" s="13"/>
    </row>
    <row r="9664">
      <c r="F9664" s="13"/>
      <c r="M9664" s="13"/>
    </row>
    <row r="9665">
      <c r="F9665" s="13"/>
      <c r="M9665" s="13"/>
    </row>
    <row r="9666">
      <c r="F9666" s="13"/>
      <c r="M9666" s="13"/>
    </row>
    <row r="9667">
      <c r="F9667" s="13"/>
      <c r="M9667" s="13"/>
    </row>
    <row r="9668">
      <c r="F9668" s="13"/>
      <c r="M9668" s="13"/>
    </row>
    <row r="9669">
      <c r="F9669" s="13"/>
      <c r="M9669" s="13"/>
    </row>
    <row r="9670">
      <c r="F9670" s="13"/>
      <c r="M9670" s="13"/>
    </row>
    <row r="9671">
      <c r="F9671" s="13"/>
      <c r="M9671" s="13"/>
    </row>
    <row r="9672">
      <c r="F9672" s="13"/>
      <c r="M9672" s="13"/>
    </row>
    <row r="9673">
      <c r="F9673" s="13"/>
      <c r="M9673" s="13"/>
    </row>
    <row r="9674">
      <c r="F9674" s="13"/>
      <c r="M9674" s="13"/>
    </row>
    <row r="9675">
      <c r="F9675" s="13"/>
      <c r="M9675" s="13"/>
    </row>
    <row r="9676">
      <c r="F9676" s="13"/>
      <c r="M9676" s="13"/>
    </row>
    <row r="9677">
      <c r="F9677" s="13"/>
      <c r="M9677" s="13"/>
    </row>
    <row r="9678">
      <c r="F9678" s="13"/>
      <c r="M9678" s="13"/>
    </row>
    <row r="9679">
      <c r="F9679" s="13"/>
      <c r="M9679" s="13"/>
    </row>
    <row r="9680">
      <c r="F9680" s="13"/>
      <c r="M9680" s="13"/>
    </row>
    <row r="9681">
      <c r="F9681" s="13"/>
      <c r="M9681" s="13"/>
    </row>
    <row r="9682">
      <c r="F9682" s="13"/>
      <c r="M9682" s="13"/>
    </row>
    <row r="9683">
      <c r="F9683" s="13"/>
      <c r="M9683" s="13"/>
    </row>
    <row r="9684">
      <c r="F9684" s="13"/>
      <c r="M9684" s="13"/>
    </row>
    <row r="9685">
      <c r="F9685" s="13"/>
      <c r="M9685" s="13"/>
    </row>
    <row r="9686">
      <c r="F9686" s="13"/>
      <c r="M9686" s="13"/>
    </row>
    <row r="9687">
      <c r="F9687" s="13"/>
      <c r="M9687" s="13"/>
    </row>
    <row r="9688">
      <c r="F9688" s="13"/>
      <c r="M9688" s="13"/>
    </row>
    <row r="9689">
      <c r="F9689" s="13"/>
      <c r="M9689" s="13"/>
    </row>
    <row r="9690">
      <c r="F9690" s="13"/>
      <c r="M9690" s="13"/>
    </row>
    <row r="9691">
      <c r="F9691" s="13"/>
      <c r="M9691" s="13"/>
    </row>
    <row r="9692">
      <c r="F9692" s="13"/>
      <c r="M9692" s="13"/>
    </row>
    <row r="9693">
      <c r="F9693" s="13"/>
      <c r="M9693" s="13"/>
    </row>
    <row r="9694">
      <c r="F9694" s="13"/>
      <c r="M9694" s="13"/>
    </row>
    <row r="9695">
      <c r="F9695" s="13"/>
      <c r="M9695" s="13"/>
    </row>
    <row r="9696">
      <c r="F9696" s="13"/>
      <c r="M9696" s="13"/>
    </row>
    <row r="9697">
      <c r="F9697" s="13"/>
      <c r="M9697" s="13"/>
    </row>
    <row r="9698">
      <c r="F9698" s="13"/>
      <c r="M9698" s="13"/>
    </row>
    <row r="9699">
      <c r="F9699" s="13"/>
      <c r="M9699" s="13"/>
    </row>
    <row r="9700">
      <c r="F9700" s="13"/>
      <c r="M9700" s="13"/>
    </row>
    <row r="9701">
      <c r="F9701" s="13"/>
      <c r="M9701" s="13"/>
    </row>
    <row r="9702">
      <c r="F9702" s="13"/>
      <c r="M9702" s="13"/>
    </row>
    <row r="9703">
      <c r="F9703" s="13"/>
      <c r="M9703" s="13"/>
    </row>
    <row r="9704">
      <c r="F9704" s="13"/>
      <c r="M9704" s="13"/>
    </row>
    <row r="9705">
      <c r="F9705" s="13"/>
      <c r="M9705" s="13"/>
    </row>
    <row r="9706">
      <c r="F9706" s="13"/>
      <c r="M9706" s="13"/>
    </row>
    <row r="9707">
      <c r="F9707" s="13"/>
      <c r="M9707" s="13"/>
    </row>
    <row r="9708">
      <c r="F9708" s="13"/>
      <c r="M9708" s="13"/>
    </row>
    <row r="9709">
      <c r="F9709" s="13"/>
      <c r="M9709" s="13"/>
    </row>
    <row r="9710">
      <c r="F9710" s="13"/>
      <c r="M9710" s="13"/>
    </row>
    <row r="9711">
      <c r="F9711" s="13"/>
      <c r="M9711" s="13"/>
    </row>
    <row r="9712">
      <c r="F9712" s="13"/>
      <c r="M9712" s="13"/>
    </row>
    <row r="9713">
      <c r="F9713" s="13"/>
      <c r="M9713" s="13"/>
    </row>
    <row r="9714">
      <c r="F9714" s="13"/>
      <c r="M9714" s="13"/>
    </row>
    <row r="9715">
      <c r="F9715" s="13"/>
      <c r="M9715" s="13"/>
    </row>
    <row r="9716">
      <c r="F9716" s="13"/>
      <c r="M9716" s="13"/>
    </row>
    <row r="9717">
      <c r="F9717" s="13"/>
      <c r="M9717" s="13"/>
    </row>
    <row r="9718">
      <c r="F9718" s="13"/>
      <c r="M9718" s="13"/>
    </row>
    <row r="9719">
      <c r="F9719" s="13"/>
      <c r="M9719" s="13"/>
    </row>
    <row r="9720">
      <c r="F9720" s="13"/>
      <c r="M9720" s="13"/>
    </row>
    <row r="9721">
      <c r="F9721" s="13"/>
      <c r="M9721" s="13"/>
    </row>
    <row r="9722">
      <c r="F9722" s="13"/>
      <c r="M9722" s="13"/>
    </row>
    <row r="9723">
      <c r="F9723" s="13"/>
      <c r="M9723" s="13"/>
    </row>
    <row r="9724">
      <c r="F9724" s="13"/>
      <c r="M9724" s="13"/>
    </row>
    <row r="9725">
      <c r="F9725" s="13"/>
      <c r="M9725" s="13"/>
    </row>
    <row r="9726">
      <c r="F9726" s="13"/>
      <c r="M9726" s="13"/>
    </row>
    <row r="9727">
      <c r="F9727" s="13"/>
      <c r="M9727" s="13"/>
    </row>
    <row r="9728">
      <c r="F9728" s="13"/>
      <c r="M9728" s="13"/>
    </row>
    <row r="9729">
      <c r="F9729" s="13"/>
      <c r="M9729" s="13"/>
    </row>
    <row r="9730">
      <c r="F9730" s="13"/>
      <c r="M9730" s="13"/>
    </row>
    <row r="9731">
      <c r="F9731" s="13"/>
      <c r="M9731" s="13"/>
    </row>
    <row r="9732">
      <c r="F9732" s="13"/>
      <c r="M9732" s="13"/>
    </row>
    <row r="9733">
      <c r="F9733" s="13"/>
      <c r="M9733" s="13"/>
    </row>
    <row r="9734">
      <c r="F9734" s="13"/>
      <c r="M9734" s="13"/>
    </row>
    <row r="9735">
      <c r="F9735" s="13"/>
      <c r="M9735" s="13"/>
    </row>
    <row r="9736">
      <c r="F9736" s="13"/>
      <c r="M9736" s="13"/>
    </row>
    <row r="9737">
      <c r="F9737" s="13"/>
      <c r="M9737" s="13"/>
    </row>
    <row r="9738">
      <c r="F9738" s="13"/>
      <c r="M9738" s="13"/>
    </row>
    <row r="9739">
      <c r="F9739" s="13"/>
      <c r="M9739" s="13"/>
    </row>
    <row r="9740">
      <c r="F9740" s="13"/>
      <c r="M9740" s="13"/>
    </row>
    <row r="9741">
      <c r="F9741" s="13"/>
      <c r="M9741" s="13"/>
    </row>
    <row r="9742">
      <c r="F9742" s="13"/>
      <c r="M9742" s="13"/>
    </row>
    <row r="9743">
      <c r="F9743" s="13"/>
      <c r="M9743" s="13"/>
    </row>
    <row r="9744">
      <c r="F9744" s="13"/>
      <c r="M9744" s="13"/>
    </row>
    <row r="9745">
      <c r="F9745" s="13"/>
      <c r="M9745" s="13"/>
    </row>
    <row r="9746">
      <c r="F9746" s="13"/>
      <c r="M9746" s="13"/>
    </row>
    <row r="9747">
      <c r="F9747" s="13"/>
      <c r="M9747" s="13"/>
    </row>
    <row r="9748">
      <c r="F9748" s="13"/>
      <c r="M9748" s="13"/>
    </row>
    <row r="9749">
      <c r="F9749" s="13"/>
      <c r="M9749" s="13"/>
    </row>
    <row r="9750">
      <c r="F9750" s="13"/>
      <c r="M9750" s="13"/>
    </row>
    <row r="9751">
      <c r="F9751" s="13"/>
      <c r="M9751" s="13"/>
    </row>
    <row r="9752">
      <c r="F9752" s="13"/>
      <c r="M9752" s="13"/>
    </row>
    <row r="9753">
      <c r="F9753" s="13"/>
      <c r="M9753" s="13"/>
    </row>
    <row r="9754">
      <c r="F9754" s="13"/>
      <c r="M9754" s="13"/>
    </row>
    <row r="9755">
      <c r="F9755" s="13"/>
      <c r="M9755" s="13"/>
    </row>
    <row r="9756">
      <c r="F9756" s="13"/>
      <c r="M9756" s="13"/>
    </row>
    <row r="9757">
      <c r="F9757" s="13"/>
      <c r="M9757" s="13"/>
    </row>
    <row r="9758">
      <c r="F9758" s="13"/>
      <c r="M9758" s="13"/>
    </row>
    <row r="9759">
      <c r="F9759" s="13"/>
      <c r="M9759" s="13"/>
    </row>
    <row r="9760">
      <c r="F9760" s="13"/>
      <c r="M9760" s="13"/>
    </row>
    <row r="9761">
      <c r="F9761" s="13"/>
      <c r="M9761" s="13"/>
    </row>
    <row r="9762">
      <c r="F9762" s="13"/>
      <c r="M9762" s="13"/>
    </row>
    <row r="9763">
      <c r="F9763" s="13"/>
      <c r="M9763" s="13"/>
    </row>
    <row r="9764">
      <c r="F9764" s="13"/>
      <c r="M9764" s="13"/>
    </row>
    <row r="9765">
      <c r="F9765" s="13"/>
      <c r="M9765" s="13"/>
    </row>
    <row r="9766">
      <c r="F9766" s="13"/>
      <c r="M9766" s="13"/>
    </row>
    <row r="9767">
      <c r="F9767" s="13"/>
      <c r="M9767" s="13"/>
    </row>
    <row r="9768">
      <c r="F9768" s="13"/>
      <c r="M9768" s="13"/>
    </row>
    <row r="9769">
      <c r="F9769" s="13"/>
      <c r="M9769" s="13"/>
    </row>
    <row r="9770">
      <c r="F9770" s="13"/>
      <c r="M9770" s="13"/>
    </row>
    <row r="9771">
      <c r="F9771" s="13"/>
      <c r="M9771" s="13"/>
    </row>
    <row r="9772">
      <c r="F9772" s="13"/>
      <c r="M9772" s="13"/>
    </row>
    <row r="9773">
      <c r="F9773" s="13"/>
      <c r="M9773" s="13"/>
    </row>
    <row r="9774">
      <c r="F9774" s="13"/>
      <c r="M9774" s="13"/>
    </row>
    <row r="9775">
      <c r="F9775" s="13"/>
      <c r="M9775" s="13"/>
    </row>
    <row r="9776">
      <c r="F9776" s="13"/>
      <c r="M9776" s="13"/>
    </row>
    <row r="9777">
      <c r="F9777" s="13"/>
      <c r="M9777" s="13"/>
    </row>
    <row r="9778">
      <c r="F9778" s="13"/>
      <c r="M9778" s="13"/>
    </row>
    <row r="9779">
      <c r="F9779" s="13"/>
      <c r="M9779" s="13"/>
    </row>
    <row r="9780">
      <c r="F9780" s="13"/>
      <c r="M9780" s="13"/>
    </row>
    <row r="9781">
      <c r="F9781" s="13"/>
      <c r="M9781" s="13"/>
    </row>
    <row r="9782">
      <c r="F9782" s="13"/>
      <c r="M9782" s="13"/>
    </row>
    <row r="9783">
      <c r="F9783" s="13"/>
      <c r="M9783" s="13"/>
    </row>
    <row r="9784">
      <c r="F9784" s="13"/>
      <c r="M9784" s="13"/>
    </row>
    <row r="9785">
      <c r="F9785" s="13"/>
      <c r="M9785" s="13"/>
    </row>
    <row r="9786">
      <c r="F9786" s="13"/>
      <c r="M9786" s="13"/>
    </row>
    <row r="9787">
      <c r="F9787" s="13"/>
      <c r="M9787" s="13"/>
    </row>
    <row r="9788">
      <c r="F9788" s="13"/>
      <c r="M9788" s="13"/>
    </row>
    <row r="9789">
      <c r="F9789" s="13"/>
      <c r="M9789" s="13"/>
    </row>
    <row r="9790">
      <c r="F9790" s="13"/>
      <c r="M9790" s="13"/>
    </row>
    <row r="9791">
      <c r="F9791" s="13"/>
      <c r="M9791" s="13"/>
    </row>
    <row r="9792">
      <c r="F9792" s="13"/>
      <c r="M9792" s="13"/>
    </row>
    <row r="9793">
      <c r="F9793" s="13"/>
      <c r="M9793" s="13"/>
    </row>
    <row r="9794">
      <c r="F9794" s="13"/>
      <c r="M9794" s="13"/>
    </row>
    <row r="9795">
      <c r="F9795" s="13"/>
      <c r="M9795" s="13"/>
    </row>
    <row r="9796">
      <c r="F9796" s="13"/>
      <c r="M9796" s="13"/>
    </row>
    <row r="9797">
      <c r="F9797" s="13"/>
      <c r="M9797" s="13"/>
    </row>
    <row r="9798">
      <c r="F9798" s="13"/>
      <c r="M9798" s="13"/>
    </row>
    <row r="9799">
      <c r="F9799" s="13"/>
      <c r="M9799" s="13"/>
    </row>
    <row r="9800">
      <c r="F9800" s="13"/>
      <c r="M9800" s="13"/>
    </row>
    <row r="9801">
      <c r="F9801" s="13"/>
      <c r="M9801" s="13"/>
    </row>
    <row r="9802">
      <c r="F9802" s="13"/>
      <c r="M9802" s="13"/>
    </row>
    <row r="9803">
      <c r="F9803" s="13"/>
      <c r="M9803" s="13"/>
    </row>
    <row r="9804">
      <c r="F9804" s="13"/>
      <c r="M9804" s="13"/>
    </row>
    <row r="9805">
      <c r="F9805" s="13"/>
      <c r="M9805" s="13"/>
    </row>
    <row r="9806">
      <c r="F9806" s="13"/>
      <c r="M9806" s="13"/>
    </row>
    <row r="9807">
      <c r="F9807" s="13"/>
      <c r="M9807" s="13"/>
    </row>
    <row r="9808">
      <c r="F9808" s="13"/>
      <c r="M9808" s="13"/>
    </row>
    <row r="9809">
      <c r="F9809" s="13"/>
      <c r="M9809" s="13"/>
    </row>
    <row r="9810">
      <c r="F9810" s="13"/>
      <c r="M9810" s="13"/>
    </row>
    <row r="9811">
      <c r="F9811" s="13"/>
      <c r="M9811" s="13"/>
    </row>
    <row r="9812">
      <c r="F9812" s="13"/>
      <c r="M9812" s="13"/>
    </row>
    <row r="9813">
      <c r="F9813" s="13"/>
      <c r="M9813" s="13"/>
    </row>
    <row r="9814">
      <c r="F9814" s="13"/>
      <c r="M9814" s="13"/>
    </row>
    <row r="9815">
      <c r="F9815" s="13"/>
      <c r="M9815" s="13"/>
    </row>
    <row r="9816">
      <c r="F9816" s="13"/>
      <c r="M9816" s="13"/>
    </row>
    <row r="9817">
      <c r="F9817" s="13"/>
      <c r="M9817" s="13"/>
    </row>
    <row r="9818">
      <c r="F9818" s="13"/>
      <c r="M9818" s="13"/>
    </row>
    <row r="9819">
      <c r="F9819" s="13"/>
      <c r="M9819" s="13"/>
    </row>
    <row r="9820">
      <c r="F9820" s="13"/>
      <c r="M9820" s="13"/>
    </row>
    <row r="9821">
      <c r="F9821" s="13"/>
      <c r="M9821" s="13"/>
    </row>
    <row r="9822">
      <c r="F9822" s="13"/>
      <c r="M9822" s="13"/>
    </row>
    <row r="9823">
      <c r="F9823" s="13"/>
      <c r="M9823" s="13"/>
    </row>
    <row r="9824">
      <c r="F9824" s="13"/>
      <c r="M9824" s="13"/>
    </row>
    <row r="9825">
      <c r="F9825" s="13"/>
      <c r="M9825" s="13"/>
    </row>
    <row r="9826">
      <c r="F9826" s="13"/>
      <c r="M9826" s="13"/>
    </row>
    <row r="9827">
      <c r="F9827" s="13"/>
      <c r="M9827" s="13"/>
    </row>
    <row r="9828">
      <c r="F9828" s="13"/>
      <c r="M9828" s="13"/>
    </row>
    <row r="9829">
      <c r="F9829" s="13"/>
      <c r="M9829" s="13"/>
    </row>
    <row r="9830">
      <c r="F9830" s="13"/>
      <c r="M9830" s="13"/>
    </row>
    <row r="9831">
      <c r="F9831" s="13"/>
      <c r="M9831" s="13"/>
    </row>
    <row r="9832">
      <c r="F9832" s="13"/>
      <c r="M9832" s="13"/>
    </row>
    <row r="9833">
      <c r="F9833" s="13"/>
      <c r="M9833" s="13"/>
    </row>
    <row r="9834">
      <c r="F9834" s="13"/>
      <c r="M9834" s="13"/>
    </row>
    <row r="9835">
      <c r="F9835" s="13"/>
      <c r="M9835" s="13"/>
    </row>
    <row r="9836">
      <c r="F9836" s="13"/>
      <c r="M9836" s="13"/>
    </row>
    <row r="9837">
      <c r="F9837" s="13"/>
      <c r="M9837" s="13"/>
    </row>
    <row r="9838">
      <c r="F9838" s="13"/>
      <c r="M9838" s="13"/>
    </row>
    <row r="9839">
      <c r="F9839" s="13"/>
      <c r="M9839" s="13"/>
    </row>
    <row r="9840">
      <c r="F9840" s="13"/>
      <c r="M9840" s="13"/>
    </row>
    <row r="9841">
      <c r="F9841" s="13"/>
      <c r="M9841" s="13"/>
    </row>
    <row r="9842">
      <c r="F9842" s="13"/>
      <c r="M9842" s="13"/>
    </row>
    <row r="9843">
      <c r="F9843" s="13"/>
      <c r="M9843" s="13"/>
    </row>
    <row r="9844">
      <c r="F9844" s="13"/>
      <c r="M9844" s="13"/>
    </row>
    <row r="9845">
      <c r="F9845" s="13"/>
      <c r="M9845" s="13"/>
    </row>
    <row r="9846">
      <c r="F9846" s="13"/>
      <c r="M9846" s="13"/>
    </row>
    <row r="9847">
      <c r="F9847" s="13"/>
      <c r="M9847" s="13"/>
    </row>
    <row r="9848">
      <c r="F9848" s="13"/>
      <c r="M9848" s="13"/>
    </row>
    <row r="9849">
      <c r="F9849" s="13"/>
      <c r="M9849" s="13"/>
    </row>
    <row r="9850">
      <c r="F9850" s="13"/>
      <c r="M9850" s="13"/>
    </row>
    <row r="9851">
      <c r="F9851" s="13"/>
      <c r="M9851" s="13"/>
    </row>
    <row r="9852">
      <c r="F9852" s="13"/>
      <c r="M9852" s="13"/>
    </row>
    <row r="9853">
      <c r="F9853" s="13"/>
      <c r="M9853" s="13"/>
    </row>
    <row r="9854">
      <c r="F9854" s="13"/>
      <c r="M9854" s="13"/>
    </row>
    <row r="9855">
      <c r="F9855" s="13"/>
      <c r="M9855" s="13"/>
    </row>
    <row r="9856">
      <c r="F9856" s="13"/>
      <c r="M9856" s="13"/>
    </row>
    <row r="9857">
      <c r="F9857" s="13"/>
      <c r="M9857" s="13"/>
    </row>
    <row r="9858">
      <c r="F9858" s="13"/>
      <c r="M9858" s="13"/>
    </row>
    <row r="9859">
      <c r="F9859" s="13"/>
      <c r="M9859" s="13"/>
    </row>
    <row r="9860">
      <c r="F9860" s="13"/>
      <c r="M9860" s="13"/>
    </row>
    <row r="9861">
      <c r="F9861" s="13"/>
      <c r="M9861" s="13"/>
    </row>
    <row r="9862">
      <c r="F9862" s="13"/>
      <c r="M9862" s="13"/>
    </row>
    <row r="9863">
      <c r="F9863" s="13"/>
      <c r="M9863" s="13"/>
    </row>
    <row r="9864">
      <c r="F9864" s="13"/>
      <c r="M9864" s="13"/>
    </row>
    <row r="9865">
      <c r="F9865" s="13"/>
      <c r="M9865" s="13"/>
    </row>
    <row r="9866">
      <c r="F9866" s="13"/>
      <c r="M9866" s="13"/>
    </row>
    <row r="9867">
      <c r="F9867" s="13"/>
      <c r="M9867" s="13"/>
    </row>
    <row r="9868">
      <c r="F9868" s="13"/>
      <c r="M9868" s="13"/>
    </row>
    <row r="9869">
      <c r="F9869" s="13"/>
      <c r="M9869" s="13"/>
    </row>
    <row r="9870">
      <c r="F9870" s="13"/>
      <c r="M9870" s="13"/>
    </row>
    <row r="9871">
      <c r="F9871" s="13"/>
      <c r="M9871" s="13"/>
    </row>
    <row r="9872">
      <c r="F9872" s="13"/>
      <c r="M9872" s="13"/>
    </row>
    <row r="9873">
      <c r="F9873" s="13"/>
      <c r="M9873" s="13"/>
    </row>
    <row r="9874">
      <c r="F9874" s="13"/>
      <c r="M9874" s="13"/>
    </row>
    <row r="9875">
      <c r="F9875" s="13"/>
      <c r="M9875" s="13"/>
    </row>
    <row r="9876">
      <c r="F9876" s="13"/>
      <c r="M9876" s="13"/>
    </row>
    <row r="9877">
      <c r="F9877" s="13"/>
      <c r="M9877" s="13"/>
    </row>
    <row r="9878">
      <c r="F9878" s="13"/>
      <c r="M9878" s="13"/>
    </row>
    <row r="9879">
      <c r="F9879" s="13"/>
      <c r="M9879" s="13"/>
    </row>
    <row r="9880">
      <c r="F9880" s="13"/>
      <c r="M9880" s="13"/>
    </row>
    <row r="9881">
      <c r="F9881" s="13"/>
      <c r="M9881" s="13"/>
    </row>
    <row r="9882">
      <c r="F9882" s="13"/>
      <c r="M9882" s="13"/>
    </row>
    <row r="9883">
      <c r="F9883" s="13"/>
      <c r="M9883" s="13"/>
    </row>
    <row r="9884">
      <c r="F9884" s="13"/>
      <c r="M9884" s="13"/>
    </row>
    <row r="9885">
      <c r="F9885" s="13"/>
      <c r="M9885" s="13"/>
    </row>
    <row r="9886">
      <c r="F9886" s="13"/>
      <c r="M9886" s="13"/>
    </row>
    <row r="9887">
      <c r="F9887" s="13"/>
      <c r="M9887" s="13"/>
    </row>
    <row r="9888">
      <c r="F9888" s="13"/>
      <c r="M9888" s="13"/>
    </row>
    <row r="9889">
      <c r="F9889" s="13"/>
      <c r="M9889" s="13"/>
    </row>
    <row r="9890">
      <c r="F9890" s="13"/>
      <c r="M9890" s="13"/>
    </row>
    <row r="9891">
      <c r="F9891" s="13"/>
      <c r="M9891" s="13"/>
    </row>
    <row r="9892">
      <c r="F9892" s="13"/>
      <c r="M9892" s="13"/>
    </row>
    <row r="9893">
      <c r="F9893" s="13"/>
      <c r="M9893" s="13"/>
    </row>
    <row r="9894">
      <c r="F9894" s="13"/>
      <c r="M9894" s="13"/>
    </row>
    <row r="9895">
      <c r="F9895" s="13"/>
      <c r="M9895" s="13"/>
    </row>
    <row r="9896">
      <c r="F9896" s="13"/>
      <c r="M9896" s="13"/>
    </row>
    <row r="9897">
      <c r="F9897" s="13"/>
      <c r="M9897" s="13"/>
    </row>
    <row r="9898">
      <c r="F9898" s="13"/>
      <c r="M9898" s="13"/>
    </row>
    <row r="9899">
      <c r="F9899" s="13"/>
      <c r="M9899" s="13"/>
    </row>
    <row r="9900">
      <c r="F9900" s="13"/>
      <c r="M9900" s="13"/>
    </row>
    <row r="9901">
      <c r="F9901" s="13"/>
      <c r="M9901" s="13"/>
    </row>
    <row r="9902">
      <c r="F9902" s="13"/>
      <c r="M9902" s="13"/>
    </row>
    <row r="9903">
      <c r="F9903" s="13"/>
      <c r="M9903" s="13"/>
    </row>
    <row r="9904">
      <c r="F9904" s="13"/>
      <c r="M9904" s="13"/>
    </row>
    <row r="9905">
      <c r="F9905" s="13"/>
      <c r="M9905" s="13"/>
    </row>
    <row r="9906">
      <c r="F9906" s="13"/>
      <c r="M9906" s="13"/>
    </row>
    <row r="9907">
      <c r="F9907" s="13"/>
      <c r="M9907" s="13"/>
    </row>
    <row r="9908">
      <c r="F9908" s="13"/>
      <c r="M9908" s="13"/>
    </row>
    <row r="9909">
      <c r="F9909" s="13"/>
      <c r="M9909" s="13"/>
    </row>
    <row r="9910">
      <c r="F9910" s="13"/>
      <c r="M9910" s="13"/>
    </row>
    <row r="9911">
      <c r="F9911" s="13"/>
      <c r="M9911" s="13"/>
    </row>
    <row r="9912">
      <c r="F9912" s="13"/>
      <c r="M9912" s="13"/>
    </row>
    <row r="9913">
      <c r="F9913" s="13"/>
      <c r="M9913" s="13"/>
    </row>
    <row r="9914">
      <c r="F9914" s="13"/>
      <c r="M9914" s="13"/>
    </row>
    <row r="9915">
      <c r="F9915" s="13"/>
      <c r="M9915" s="13"/>
    </row>
    <row r="9916">
      <c r="F9916" s="13"/>
      <c r="M9916" s="13"/>
    </row>
    <row r="9917">
      <c r="F9917" s="13"/>
      <c r="M9917" s="13"/>
    </row>
    <row r="9918">
      <c r="F9918" s="13"/>
      <c r="M9918" s="13"/>
    </row>
    <row r="9919">
      <c r="F9919" s="13"/>
      <c r="M9919" s="13"/>
    </row>
    <row r="9920">
      <c r="F9920" s="13"/>
      <c r="M9920" s="13"/>
    </row>
    <row r="9921">
      <c r="F9921" s="13"/>
      <c r="M9921" s="13"/>
    </row>
    <row r="9922">
      <c r="F9922" s="13"/>
      <c r="M9922" s="13"/>
    </row>
    <row r="9923">
      <c r="F9923" s="13"/>
      <c r="M9923" s="13"/>
    </row>
    <row r="9924">
      <c r="F9924" s="13"/>
      <c r="M9924" s="13"/>
    </row>
    <row r="9925">
      <c r="F9925" s="13"/>
      <c r="M9925" s="13"/>
    </row>
    <row r="9926">
      <c r="F9926" s="13"/>
      <c r="M9926" s="13"/>
    </row>
    <row r="9927">
      <c r="F9927" s="13"/>
      <c r="M9927" s="13"/>
    </row>
    <row r="9928">
      <c r="F9928" s="13"/>
      <c r="M9928" s="13"/>
    </row>
    <row r="9929">
      <c r="F9929" s="13"/>
      <c r="M9929" s="13"/>
    </row>
    <row r="9930">
      <c r="F9930" s="13"/>
      <c r="M9930" s="13"/>
    </row>
    <row r="9931">
      <c r="F9931" s="13"/>
      <c r="M9931" s="13"/>
    </row>
    <row r="9932">
      <c r="F9932" s="13"/>
      <c r="M9932" s="13"/>
    </row>
    <row r="9933">
      <c r="F9933" s="13"/>
      <c r="M9933" s="13"/>
    </row>
    <row r="9934">
      <c r="F9934" s="13"/>
      <c r="M9934" s="13"/>
    </row>
    <row r="9935">
      <c r="F9935" s="13"/>
      <c r="M9935" s="13"/>
    </row>
    <row r="9936">
      <c r="F9936" s="13"/>
      <c r="M9936" s="13"/>
    </row>
    <row r="9937">
      <c r="F9937" s="13"/>
      <c r="M9937" s="13"/>
    </row>
    <row r="9938">
      <c r="F9938" s="13"/>
      <c r="M9938" s="13"/>
    </row>
    <row r="9939">
      <c r="F9939" s="13"/>
      <c r="M9939" s="13"/>
    </row>
    <row r="9940">
      <c r="F9940" s="13"/>
      <c r="M9940" s="13"/>
    </row>
    <row r="9941">
      <c r="F9941" s="13"/>
      <c r="M9941" s="13"/>
    </row>
    <row r="9942">
      <c r="F9942" s="13"/>
      <c r="M9942" s="13"/>
    </row>
    <row r="9943">
      <c r="F9943" s="13"/>
      <c r="M9943" s="13"/>
    </row>
    <row r="9944">
      <c r="F9944" s="13"/>
      <c r="M9944" s="13"/>
    </row>
    <row r="9945">
      <c r="F9945" s="13"/>
      <c r="M9945" s="13"/>
    </row>
    <row r="9946">
      <c r="F9946" s="13"/>
      <c r="M9946" s="13"/>
    </row>
    <row r="9947">
      <c r="F9947" s="13"/>
      <c r="M9947" s="13"/>
    </row>
    <row r="9948">
      <c r="F9948" s="13"/>
      <c r="M9948" s="13"/>
    </row>
    <row r="9949">
      <c r="F9949" s="13"/>
      <c r="M9949" s="13"/>
    </row>
    <row r="9950">
      <c r="F9950" s="13"/>
      <c r="M9950" s="13"/>
    </row>
    <row r="9951">
      <c r="F9951" s="13"/>
      <c r="M9951" s="13"/>
    </row>
    <row r="9952">
      <c r="F9952" s="13"/>
      <c r="M9952" s="13"/>
    </row>
    <row r="9953">
      <c r="F9953" s="13"/>
      <c r="M9953" s="13"/>
    </row>
    <row r="9954">
      <c r="F9954" s="13"/>
      <c r="M9954" s="13"/>
    </row>
    <row r="9955">
      <c r="F9955" s="13"/>
      <c r="M9955" s="13"/>
    </row>
    <row r="9956">
      <c r="F9956" s="13"/>
      <c r="M9956" s="13"/>
    </row>
    <row r="9957">
      <c r="F9957" s="13"/>
      <c r="M9957" s="13"/>
    </row>
    <row r="9958">
      <c r="F9958" s="13"/>
      <c r="M9958" s="13"/>
    </row>
    <row r="9959">
      <c r="F9959" s="13"/>
      <c r="M9959" s="13"/>
    </row>
    <row r="9960">
      <c r="F9960" s="13"/>
      <c r="M9960" s="13"/>
    </row>
    <row r="9961">
      <c r="F9961" s="13"/>
      <c r="M9961" s="13"/>
    </row>
    <row r="9962">
      <c r="F9962" s="13"/>
      <c r="M9962" s="13"/>
    </row>
    <row r="9963">
      <c r="F9963" s="13"/>
      <c r="M9963" s="13"/>
    </row>
    <row r="9964">
      <c r="F9964" s="13"/>
      <c r="M9964" s="13"/>
    </row>
    <row r="9965">
      <c r="F9965" s="13"/>
      <c r="M9965" s="13"/>
    </row>
    <row r="9966">
      <c r="F9966" s="13"/>
      <c r="M9966" s="13"/>
    </row>
    <row r="9967">
      <c r="F9967" s="13"/>
      <c r="M9967" s="13"/>
    </row>
    <row r="9968">
      <c r="F9968" s="13"/>
      <c r="M9968" s="13"/>
    </row>
    <row r="9969">
      <c r="F9969" s="13"/>
      <c r="M9969" s="13"/>
    </row>
    <row r="9970">
      <c r="F9970" s="13"/>
      <c r="M9970" s="13"/>
    </row>
    <row r="9971">
      <c r="F9971" s="13"/>
      <c r="M9971" s="13"/>
    </row>
    <row r="9972">
      <c r="F9972" s="13"/>
      <c r="M9972" s="13"/>
    </row>
    <row r="9973">
      <c r="F9973" s="13"/>
      <c r="M9973" s="13"/>
    </row>
    <row r="9974">
      <c r="F9974" s="13"/>
      <c r="M9974" s="13"/>
    </row>
    <row r="9975">
      <c r="F9975" s="13"/>
      <c r="M9975" s="13"/>
    </row>
    <row r="9976">
      <c r="F9976" s="13"/>
      <c r="M9976" s="13"/>
    </row>
    <row r="9977">
      <c r="F9977" s="13"/>
      <c r="M9977" s="13"/>
    </row>
    <row r="9978">
      <c r="F9978" s="13"/>
      <c r="M9978" s="13"/>
    </row>
    <row r="9979">
      <c r="F9979" s="13"/>
      <c r="M9979" s="13"/>
    </row>
    <row r="9980">
      <c r="F9980" s="13"/>
      <c r="M9980" s="13"/>
    </row>
    <row r="9981">
      <c r="F9981" s="13"/>
      <c r="M9981" s="13"/>
    </row>
    <row r="9982">
      <c r="F9982" s="13"/>
      <c r="M9982" s="13"/>
    </row>
    <row r="9983">
      <c r="F9983" s="13"/>
      <c r="M9983" s="13"/>
    </row>
    <row r="9984">
      <c r="F9984" s="13"/>
      <c r="M9984" s="13"/>
    </row>
    <row r="9985">
      <c r="F9985" s="13"/>
      <c r="M9985" s="13"/>
    </row>
    <row r="9986">
      <c r="F9986" s="13"/>
      <c r="M9986" s="13"/>
    </row>
    <row r="9987">
      <c r="F9987" s="13"/>
      <c r="M9987" s="13"/>
    </row>
    <row r="9988">
      <c r="F9988" s="13"/>
      <c r="M9988" s="13"/>
    </row>
    <row r="9989">
      <c r="F9989" s="13"/>
      <c r="M9989" s="13"/>
    </row>
    <row r="9990">
      <c r="F9990" s="13"/>
      <c r="M9990" s="13"/>
    </row>
    <row r="9991">
      <c r="F9991" s="13"/>
      <c r="M9991" s="13"/>
    </row>
    <row r="9992">
      <c r="F9992" s="13"/>
      <c r="M9992" s="13"/>
    </row>
    <row r="9993">
      <c r="F9993" s="13"/>
      <c r="M9993" s="13"/>
    </row>
    <row r="9994">
      <c r="F9994" s="13"/>
      <c r="M9994" s="13"/>
    </row>
    <row r="9995">
      <c r="F9995" s="13"/>
      <c r="M9995" s="13"/>
    </row>
    <row r="9996">
      <c r="F9996" s="13"/>
      <c r="M9996" s="13"/>
    </row>
    <row r="9997">
      <c r="F9997" s="13"/>
      <c r="M9997" s="13"/>
    </row>
    <row r="9998">
      <c r="F9998" s="13"/>
      <c r="M9998" s="13"/>
    </row>
    <row r="9999">
      <c r="F9999" s="13"/>
      <c r="M9999" s="13"/>
    </row>
    <row r="10000">
      <c r="F10000" s="13"/>
      <c r="M10000" s="13"/>
    </row>
    <row r="10001">
      <c r="F10001" s="13"/>
      <c r="M10001" s="13"/>
    </row>
    <row r="10002">
      <c r="F10002" s="13"/>
      <c r="M10002" s="13"/>
    </row>
    <row r="10003">
      <c r="F10003" s="13"/>
      <c r="M10003" s="13"/>
    </row>
    <row r="10004">
      <c r="F10004" s="13"/>
      <c r="M10004" s="13"/>
    </row>
    <row r="10005">
      <c r="F10005" s="13"/>
      <c r="M10005" s="13"/>
    </row>
    <row r="10006">
      <c r="F10006" s="13"/>
      <c r="M10006" s="13"/>
    </row>
    <row r="10007">
      <c r="F10007" s="13"/>
      <c r="M10007" s="13"/>
    </row>
    <row r="10008">
      <c r="F10008" s="13"/>
      <c r="M10008" s="13"/>
    </row>
    <row r="10009">
      <c r="F10009" s="13"/>
      <c r="M10009" s="13"/>
    </row>
    <row r="10010">
      <c r="F10010" s="13"/>
      <c r="M10010" s="13"/>
    </row>
    <row r="10011">
      <c r="F10011" s="13"/>
      <c r="M10011" s="13"/>
    </row>
    <row r="10012">
      <c r="F10012" s="13"/>
      <c r="M10012" s="13"/>
    </row>
    <row r="10013">
      <c r="F10013" s="13"/>
      <c r="M10013" s="13"/>
    </row>
    <row r="10014">
      <c r="F10014" s="13"/>
      <c r="M10014" s="13"/>
    </row>
    <row r="10015">
      <c r="F10015" s="13"/>
      <c r="M10015" s="13"/>
    </row>
    <row r="10016">
      <c r="F10016" s="13"/>
      <c r="M10016" s="13"/>
    </row>
    <row r="10017">
      <c r="F10017" s="13"/>
      <c r="M10017" s="13"/>
    </row>
    <row r="10018">
      <c r="F10018" s="13"/>
      <c r="M10018" s="13"/>
    </row>
    <row r="10019">
      <c r="F10019" s="13"/>
      <c r="M10019" s="13"/>
    </row>
    <row r="10020">
      <c r="F10020" s="13"/>
      <c r="M10020" s="13"/>
    </row>
    <row r="10021">
      <c r="F10021" s="13"/>
      <c r="M10021" s="13"/>
    </row>
    <row r="10022">
      <c r="F10022" s="13"/>
      <c r="M10022" s="13"/>
    </row>
    <row r="10023">
      <c r="F10023" s="13"/>
      <c r="M10023" s="13"/>
    </row>
    <row r="10024">
      <c r="F10024" s="13"/>
      <c r="M10024" s="13"/>
    </row>
    <row r="10025">
      <c r="F10025" s="13"/>
      <c r="M10025" s="13"/>
    </row>
    <row r="10026">
      <c r="F10026" s="13"/>
      <c r="M10026" s="13"/>
    </row>
    <row r="10027">
      <c r="F10027" s="13"/>
      <c r="M10027" s="13"/>
    </row>
    <row r="10028">
      <c r="F10028" s="13"/>
      <c r="M10028" s="13"/>
    </row>
    <row r="10029">
      <c r="F10029" s="13"/>
      <c r="M10029" s="13"/>
    </row>
    <row r="10030">
      <c r="F10030" s="13"/>
      <c r="M10030" s="13"/>
    </row>
    <row r="10031">
      <c r="F10031" s="13"/>
      <c r="M10031" s="13"/>
    </row>
    <row r="10032">
      <c r="F10032" s="13"/>
      <c r="M10032" s="13"/>
    </row>
    <row r="10033">
      <c r="F10033" s="13"/>
      <c r="M10033" s="13"/>
    </row>
    <row r="10034">
      <c r="F10034" s="13"/>
      <c r="M10034" s="13"/>
    </row>
    <row r="10035">
      <c r="F10035" s="13"/>
      <c r="M10035" s="13"/>
    </row>
    <row r="10036">
      <c r="F10036" s="13"/>
      <c r="M10036" s="13"/>
    </row>
    <row r="10037">
      <c r="F10037" s="13"/>
      <c r="M10037" s="13"/>
    </row>
    <row r="10038">
      <c r="F10038" s="13"/>
      <c r="M10038" s="13"/>
    </row>
    <row r="10039">
      <c r="F10039" s="13"/>
      <c r="M10039" s="13"/>
    </row>
    <row r="10040">
      <c r="F10040" s="13"/>
      <c r="M10040" s="13"/>
    </row>
    <row r="10041">
      <c r="F10041" s="13"/>
      <c r="M10041" s="13"/>
    </row>
    <row r="10042">
      <c r="F10042" s="13"/>
      <c r="M10042" s="13"/>
    </row>
    <row r="10043">
      <c r="F10043" s="13"/>
      <c r="M10043" s="13"/>
    </row>
    <row r="10044">
      <c r="F10044" s="13"/>
      <c r="M10044" s="13"/>
    </row>
    <row r="10045">
      <c r="F10045" s="13"/>
      <c r="M10045" s="13"/>
    </row>
    <row r="10046">
      <c r="F10046" s="13"/>
      <c r="M10046" s="13"/>
    </row>
    <row r="10047">
      <c r="F10047" s="13"/>
      <c r="M10047" s="13"/>
    </row>
    <row r="10048">
      <c r="F10048" s="13"/>
      <c r="M10048" s="13"/>
    </row>
    <row r="10049">
      <c r="F10049" s="13"/>
      <c r="M10049" s="13"/>
    </row>
    <row r="10050">
      <c r="F10050" s="13"/>
      <c r="M10050" s="13"/>
    </row>
    <row r="10051">
      <c r="F10051" s="13"/>
      <c r="M10051" s="13"/>
    </row>
    <row r="10052">
      <c r="F10052" s="13"/>
      <c r="M10052" s="13"/>
    </row>
    <row r="10053">
      <c r="F10053" s="13"/>
      <c r="M10053" s="13"/>
    </row>
    <row r="10054">
      <c r="F10054" s="13"/>
      <c r="M10054" s="13"/>
    </row>
    <row r="10055">
      <c r="F10055" s="13"/>
      <c r="M10055" s="13"/>
    </row>
    <row r="10056">
      <c r="F10056" s="13"/>
      <c r="M10056" s="13"/>
    </row>
    <row r="10057">
      <c r="F10057" s="13"/>
      <c r="M10057" s="13"/>
    </row>
    <row r="10058">
      <c r="F10058" s="13"/>
      <c r="M10058" s="13"/>
    </row>
    <row r="10059">
      <c r="F10059" s="13"/>
      <c r="M10059" s="13"/>
    </row>
    <row r="10060">
      <c r="F10060" s="13"/>
      <c r="M10060" s="13"/>
    </row>
    <row r="10061">
      <c r="F10061" s="13"/>
      <c r="M10061" s="13"/>
    </row>
    <row r="10062">
      <c r="F10062" s="13"/>
      <c r="M10062" s="13"/>
    </row>
    <row r="10063">
      <c r="F10063" s="13"/>
      <c r="M10063" s="13"/>
    </row>
    <row r="10064">
      <c r="F10064" s="13"/>
      <c r="M10064" s="13"/>
    </row>
    <row r="10065">
      <c r="F10065" s="13"/>
      <c r="M10065" s="13"/>
    </row>
    <row r="10066">
      <c r="F10066" s="13"/>
      <c r="M10066" s="13"/>
    </row>
    <row r="10067">
      <c r="F10067" s="13"/>
      <c r="M10067" s="13"/>
    </row>
    <row r="10068">
      <c r="F10068" s="13"/>
      <c r="M10068" s="13"/>
    </row>
    <row r="10069">
      <c r="F10069" s="13"/>
      <c r="M10069" s="13"/>
    </row>
    <row r="10070">
      <c r="F10070" s="13"/>
      <c r="M10070" s="13"/>
    </row>
    <row r="10071">
      <c r="F10071" s="13"/>
      <c r="M10071" s="13"/>
    </row>
    <row r="10072">
      <c r="F10072" s="13"/>
      <c r="M10072" s="13"/>
    </row>
    <row r="10073">
      <c r="F10073" s="13"/>
      <c r="M10073" s="13"/>
    </row>
    <row r="10074">
      <c r="F10074" s="13"/>
      <c r="M10074" s="13"/>
    </row>
    <row r="10075">
      <c r="F10075" s="13"/>
      <c r="M10075" s="13"/>
    </row>
    <row r="10076">
      <c r="F10076" s="13"/>
      <c r="M10076" s="13"/>
    </row>
    <row r="10077">
      <c r="F10077" s="13"/>
      <c r="M10077" s="13"/>
    </row>
    <row r="10078">
      <c r="F10078" s="13"/>
      <c r="M10078" s="13"/>
    </row>
    <row r="10079">
      <c r="F10079" s="13"/>
      <c r="M10079" s="13"/>
    </row>
    <row r="10080">
      <c r="F10080" s="13"/>
      <c r="M10080" s="13"/>
    </row>
    <row r="10081">
      <c r="F10081" s="13"/>
      <c r="M10081" s="13"/>
    </row>
    <row r="10082">
      <c r="F10082" s="13"/>
      <c r="M10082" s="13"/>
    </row>
    <row r="10083">
      <c r="F10083" s="13"/>
      <c r="M10083" s="13"/>
    </row>
    <row r="10084">
      <c r="F10084" s="13"/>
      <c r="M10084" s="13"/>
    </row>
    <row r="10085">
      <c r="F10085" s="13"/>
      <c r="M10085" s="13"/>
    </row>
    <row r="10086">
      <c r="F10086" s="13"/>
      <c r="M10086" s="13"/>
    </row>
    <row r="10087">
      <c r="F10087" s="13"/>
      <c r="M10087" s="13"/>
    </row>
    <row r="10088">
      <c r="F10088" s="13"/>
      <c r="M10088" s="13"/>
    </row>
    <row r="10089">
      <c r="F10089" s="13"/>
      <c r="M10089" s="13"/>
    </row>
    <row r="10090">
      <c r="F10090" s="13"/>
      <c r="M10090" s="13"/>
    </row>
    <row r="10091">
      <c r="F10091" s="13"/>
      <c r="M10091" s="13"/>
    </row>
    <row r="10092">
      <c r="F10092" s="13"/>
      <c r="M10092" s="13"/>
    </row>
    <row r="10093">
      <c r="F10093" s="13"/>
      <c r="M10093" s="13"/>
    </row>
    <row r="10094">
      <c r="F10094" s="13"/>
      <c r="M10094" s="13"/>
    </row>
    <row r="10095">
      <c r="F10095" s="13"/>
      <c r="M10095" s="13"/>
    </row>
    <row r="10096">
      <c r="F10096" s="13"/>
      <c r="M10096" s="13"/>
    </row>
    <row r="10097">
      <c r="F10097" s="13"/>
      <c r="M10097" s="13"/>
    </row>
    <row r="10098">
      <c r="F10098" s="13"/>
      <c r="M10098" s="13"/>
    </row>
    <row r="10099">
      <c r="F10099" s="13"/>
      <c r="M10099" s="13"/>
    </row>
    <row r="10100">
      <c r="F10100" s="13"/>
      <c r="M10100" s="13"/>
    </row>
    <row r="10101">
      <c r="F10101" s="13"/>
      <c r="M10101" s="13"/>
    </row>
    <row r="10102">
      <c r="F10102" s="13"/>
      <c r="M10102" s="13"/>
    </row>
    <row r="10103">
      <c r="F10103" s="13"/>
      <c r="M10103" s="13"/>
    </row>
    <row r="10104">
      <c r="F10104" s="13"/>
      <c r="M10104" s="13"/>
    </row>
    <row r="10105">
      <c r="F10105" s="13"/>
      <c r="M10105" s="13"/>
    </row>
    <row r="10106">
      <c r="F10106" s="13"/>
      <c r="M10106" s="13"/>
    </row>
    <row r="10107">
      <c r="F10107" s="13"/>
      <c r="M10107" s="13"/>
    </row>
    <row r="10108">
      <c r="F10108" s="13"/>
      <c r="M10108" s="13"/>
    </row>
    <row r="10109">
      <c r="F10109" s="13"/>
      <c r="M10109" s="13"/>
    </row>
    <row r="10110">
      <c r="F10110" s="13"/>
      <c r="M10110" s="13"/>
    </row>
    <row r="10111">
      <c r="F10111" s="13"/>
      <c r="M10111" s="13"/>
    </row>
    <row r="10112">
      <c r="F10112" s="13"/>
      <c r="M10112" s="13"/>
    </row>
    <row r="10113">
      <c r="F10113" s="13"/>
      <c r="M10113" s="13"/>
    </row>
    <row r="10114">
      <c r="F10114" s="13"/>
      <c r="M10114" s="13"/>
    </row>
    <row r="10115">
      <c r="F10115" s="13"/>
      <c r="M10115" s="13"/>
    </row>
    <row r="10116">
      <c r="F10116" s="13"/>
      <c r="M10116" s="13"/>
    </row>
    <row r="10117">
      <c r="F10117" s="13"/>
      <c r="M10117" s="13"/>
    </row>
    <row r="10118">
      <c r="F10118" s="13"/>
      <c r="M10118" s="13"/>
    </row>
    <row r="10119">
      <c r="F10119" s="13"/>
      <c r="M10119" s="13"/>
    </row>
    <row r="10120">
      <c r="F10120" s="13"/>
      <c r="M10120" s="13"/>
    </row>
    <row r="10121">
      <c r="F10121" s="13"/>
      <c r="M10121" s="13"/>
    </row>
    <row r="10122">
      <c r="F10122" s="13"/>
      <c r="M10122" s="13"/>
    </row>
    <row r="10123">
      <c r="F10123" s="13"/>
      <c r="M10123" s="13"/>
    </row>
    <row r="10124">
      <c r="F10124" s="13"/>
      <c r="M10124" s="13"/>
    </row>
    <row r="10125">
      <c r="F10125" s="13"/>
      <c r="M10125" s="13"/>
    </row>
    <row r="10126">
      <c r="F10126" s="13"/>
      <c r="M10126" s="13"/>
    </row>
    <row r="10127">
      <c r="F10127" s="13"/>
      <c r="M10127" s="13"/>
    </row>
    <row r="10128">
      <c r="F10128" s="13"/>
      <c r="M10128" s="13"/>
    </row>
    <row r="10129">
      <c r="F10129" s="13"/>
      <c r="M10129" s="13"/>
    </row>
    <row r="10130">
      <c r="F10130" s="13"/>
      <c r="M10130" s="13"/>
    </row>
    <row r="10131">
      <c r="F10131" s="13"/>
      <c r="M10131" s="13"/>
    </row>
    <row r="10132">
      <c r="F10132" s="13"/>
      <c r="M10132" s="13"/>
    </row>
    <row r="10133">
      <c r="F10133" s="13"/>
      <c r="M10133" s="13"/>
    </row>
    <row r="10134">
      <c r="F10134" s="13"/>
      <c r="M10134" s="13"/>
    </row>
    <row r="10135">
      <c r="F10135" s="13"/>
      <c r="M10135" s="13"/>
    </row>
    <row r="10136">
      <c r="F10136" s="13"/>
      <c r="M10136" s="13"/>
    </row>
    <row r="10137">
      <c r="F10137" s="13"/>
      <c r="M10137" s="13"/>
    </row>
    <row r="10138">
      <c r="F10138" s="13"/>
      <c r="M10138" s="13"/>
    </row>
    <row r="10139">
      <c r="F10139" s="13"/>
      <c r="M10139" s="13"/>
    </row>
    <row r="10140">
      <c r="F10140" s="13"/>
      <c r="M10140" s="13"/>
    </row>
    <row r="10141">
      <c r="F10141" s="13"/>
      <c r="M10141" s="13"/>
    </row>
    <row r="10142">
      <c r="F10142" s="13"/>
      <c r="M10142" s="13"/>
    </row>
    <row r="10143">
      <c r="F10143" s="13"/>
      <c r="M10143" s="13"/>
    </row>
    <row r="10144">
      <c r="F10144" s="13"/>
      <c r="M10144" s="13"/>
    </row>
    <row r="10145">
      <c r="F10145" s="13"/>
      <c r="M10145" s="13"/>
    </row>
    <row r="10146">
      <c r="F10146" s="13"/>
      <c r="M10146" s="13"/>
    </row>
    <row r="10147">
      <c r="F10147" s="13"/>
      <c r="M10147" s="13"/>
    </row>
    <row r="10148">
      <c r="F10148" s="13"/>
      <c r="M10148" s="13"/>
    </row>
    <row r="10149">
      <c r="F10149" s="13"/>
      <c r="M10149" s="13"/>
    </row>
    <row r="10150">
      <c r="F10150" s="13"/>
      <c r="M10150" s="13"/>
    </row>
    <row r="10151">
      <c r="F10151" s="13"/>
      <c r="M10151" s="13"/>
    </row>
    <row r="10152">
      <c r="F10152" s="13"/>
      <c r="M10152" s="13"/>
    </row>
    <row r="10153">
      <c r="F10153" s="13"/>
      <c r="M10153" s="13"/>
    </row>
    <row r="10154">
      <c r="F10154" s="13"/>
      <c r="M10154" s="13"/>
    </row>
    <row r="10155">
      <c r="F10155" s="13"/>
      <c r="M10155" s="13"/>
    </row>
    <row r="10156">
      <c r="F10156" s="13"/>
      <c r="M10156" s="13"/>
    </row>
    <row r="10157">
      <c r="F10157" s="13"/>
      <c r="M10157" s="13"/>
    </row>
    <row r="10158">
      <c r="F10158" s="13"/>
      <c r="M10158" s="13"/>
    </row>
    <row r="10159">
      <c r="F10159" s="13"/>
      <c r="M10159" s="13"/>
    </row>
    <row r="10160">
      <c r="F10160" s="13"/>
      <c r="M10160" s="13"/>
    </row>
    <row r="10161">
      <c r="F10161" s="13"/>
      <c r="M10161" s="13"/>
    </row>
    <row r="10162">
      <c r="F10162" s="13"/>
      <c r="M10162" s="13"/>
    </row>
    <row r="10163">
      <c r="F10163" s="13"/>
      <c r="M10163" s="13"/>
    </row>
    <row r="10164">
      <c r="F10164" s="13"/>
      <c r="M10164" s="13"/>
    </row>
    <row r="10165">
      <c r="F10165" s="13"/>
      <c r="M10165" s="13"/>
    </row>
    <row r="10166">
      <c r="F10166" s="13"/>
      <c r="M10166" s="13"/>
    </row>
    <row r="10167">
      <c r="F10167" s="13"/>
      <c r="M10167" s="13"/>
    </row>
    <row r="10168">
      <c r="F10168" s="13"/>
      <c r="M10168" s="13"/>
    </row>
    <row r="10169">
      <c r="F10169" s="13"/>
      <c r="M10169" s="13"/>
    </row>
    <row r="10170">
      <c r="F10170" s="13"/>
      <c r="M10170" s="13"/>
    </row>
    <row r="10171">
      <c r="F10171" s="13"/>
      <c r="M10171" s="13"/>
    </row>
    <row r="10172">
      <c r="F10172" s="13"/>
      <c r="M10172" s="13"/>
    </row>
    <row r="10173">
      <c r="F10173" s="13"/>
      <c r="M10173" s="13"/>
    </row>
    <row r="10174">
      <c r="F10174" s="13"/>
      <c r="M10174" s="13"/>
    </row>
    <row r="10175">
      <c r="F10175" s="13"/>
      <c r="M10175" s="13"/>
    </row>
    <row r="10176">
      <c r="F10176" s="13"/>
      <c r="M10176" s="13"/>
    </row>
    <row r="10177">
      <c r="F10177" s="13"/>
      <c r="M10177" s="13"/>
    </row>
    <row r="10178">
      <c r="F10178" s="13"/>
      <c r="M10178" s="13"/>
    </row>
    <row r="10179">
      <c r="F10179" s="13"/>
      <c r="M10179" s="13"/>
    </row>
    <row r="10180">
      <c r="F10180" s="13"/>
      <c r="M10180" s="13"/>
    </row>
    <row r="10181">
      <c r="F10181" s="13"/>
      <c r="M10181" s="13"/>
    </row>
    <row r="10182">
      <c r="F10182" s="13"/>
      <c r="M10182" s="13"/>
    </row>
    <row r="10183">
      <c r="F10183" s="13"/>
      <c r="M10183" s="13"/>
    </row>
    <row r="10184">
      <c r="F10184" s="13"/>
      <c r="M10184" s="13"/>
    </row>
    <row r="10185">
      <c r="F10185" s="13"/>
      <c r="M10185" s="13"/>
    </row>
    <row r="10186">
      <c r="F10186" s="13"/>
      <c r="M10186" s="13"/>
    </row>
    <row r="10187">
      <c r="F10187" s="13"/>
      <c r="M10187" s="13"/>
    </row>
    <row r="10188">
      <c r="F10188" s="13"/>
      <c r="M10188" s="13"/>
    </row>
    <row r="10189">
      <c r="F10189" s="13"/>
      <c r="M10189" s="13"/>
    </row>
    <row r="10190">
      <c r="F10190" s="13"/>
      <c r="M10190" s="13"/>
    </row>
    <row r="10191">
      <c r="F10191" s="13"/>
      <c r="M10191" s="13"/>
    </row>
    <row r="10192">
      <c r="F10192" s="13"/>
      <c r="M10192" s="13"/>
    </row>
    <row r="10193">
      <c r="F10193" s="13"/>
      <c r="M10193" s="13"/>
    </row>
    <row r="10194">
      <c r="F10194" s="13"/>
      <c r="M10194" s="13"/>
    </row>
    <row r="10195">
      <c r="F10195" s="13"/>
      <c r="M10195" s="13"/>
    </row>
    <row r="10196">
      <c r="F10196" s="13"/>
      <c r="M10196" s="13"/>
    </row>
    <row r="10197">
      <c r="F10197" s="13"/>
      <c r="M10197" s="13"/>
    </row>
    <row r="10198">
      <c r="F10198" s="13"/>
      <c r="M10198" s="13"/>
    </row>
    <row r="10199">
      <c r="F10199" s="13"/>
      <c r="M10199" s="13"/>
    </row>
    <row r="10200">
      <c r="F10200" s="13"/>
      <c r="M10200" s="13"/>
    </row>
    <row r="10201">
      <c r="F10201" s="13"/>
      <c r="M10201" s="13"/>
    </row>
    <row r="10202">
      <c r="F10202" s="13"/>
      <c r="M10202" s="13"/>
    </row>
    <row r="10203">
      <c r="F10203" s="13"/>
      <c r="M10203" s="13"/>
    </row>
    <row r="10204">
      <c r="F10204" s="13"/>
      <c r="M10204" s="13"/>
    </row>
    <row r="10205">
      <c r="F10205" s="13"/>
      <c r="M10205" s="13"/>
    </row>
    <row r="10206">
      <c r="F10206" s="13"/>
      <c r="M10206" s="13"/>
    </row>
    <row r="10207">
      <c r="F10207" s="13"/>
      <c r="M10207" s="13"/>
    </row>
    <row r="10208">
      <c r="F10208" s="13"/>
      <c r="M10208" s="13"/>
    </row>
    <row r="10209">
      <c r="F10209" s="13"/>
      <c r="M10209" s="13"/>
    </row>
    <row r="10210">
      <c r="F10210" s="13"/>
      <c r="M10210" s="13"/>
    </row>
    <row r="10211">
      <c r="F10211" s="13"/>
      <c r="M10211" s="13"/>
    </row>
    <row r="10212">
      <c r="F10212" s="13"/>
      <c r="M10212" s="13"/>
    </row>
    <row r="10213">
      <c r="F10213" s="13"/>
      <c r="M10213" s="13"/>
    </row>
    <row r="10214">
      <c r="F10214" s="13"/>
      <c r="M10214" s="13"/>
    </row>
    <row r="10215">
      <c r="F10215" s="13"/>
      <c r="M10215" s="13"/>
    </row>
    <row r="10216">
      <c r="F10216" s="13"/>
      <c r="M10216" s="13"/>
    </row>
    <row r="10217">
      <c r="F10217" s="13"/>
      <c r="M10217" s="13"/>
    </row>
    <row r="10218">
      <c r="F10218" s="13"/>
      <c r="M10218" s="13"/>
    </row>
    <row r="10219">
      <c r="F10219" s="13"/>
      <c r="M10219" s="13"/>
    </row>
    <row r="10220">
      <c r="F10220" s="13"/>
      <c r="M10220" s="13"/>
    </row>
    <row r="10221">
      <c r="F10221" s="13"/>
      <c r="M10221" s="13"/>
    </row>
    <row r="10222">
      <c r="F10222" s="13"/>
      <c r="M10222" s="13"/>
    </row>
    <row r="10223">
      <c r="F10223" s="13"/>
      <c r="M10223" s="13"/>
    </row>
    <row r="10224">
      <c r="F10224" s="13"/>
      <c r="M10224" s="13"/>
    </row>
    <row r="10225">
      <c r="F10225" s="13"/>
      <c r="M10225" s="13"/>
    </row>
    <row r="10226">
      <c r="F10226" s="13"/>
      <c r="M10226" s="13"/>
    </row>
    <row r="10227">
      <c r="F10227" s="13"/>
      <c r="M10227" s="13"/>
    </row>
    <row r="10228">
      <c r="F10228" s="13"/>
      <c r="M10228" s="13"/>
    </row>
    <row r="10229">
      <c r="F10229" s="13"/>
      <c r="M10229" s="13"/>
    </row>
    <row r="10230">
      <c r="F10230" s="13"/>
      <c r="M10230" s="13"/>
    </row>
    <row r="10231">
      <c r="F10231" s="13"/>
      <c r="M10231" s="13"/>
    </row>
    <row r="10232">
      <c r="F10232" s="13"/>
      <c r="M10232" s="13"/>
    </row>
    <row r="10233">
      <c r="F10233" s="13"/>
      <c r="M10233" s="13"/>
    </row>
    <row r="10234">
      <c r="F10234" s="13"/>
      <c r="M10234" s="13"/>
    </row>
    <row r="10235">
      <c r="F10235" s="13"/>
      <c r="M10235" s="13"/>
    </row>
    <row r="10236">
      <c r="F10236" s="13"/>
      <c r="M10236" s="13"/>
    </row>
    <row r="10237">
      <c r="F10237" s="13"/>
      <c r="M10237" s="13"/>
    </row>
    <row r="10238">
      <c r="F10238" s="13"/>
      <c r="M10238" s="13"/>
    </row>
    <row r="10239">
      <c r="F10239" s="13"/>
      <c r="M10239" s="13"/>
    </row>
    <row r="10240">
      <c r="F10240" s="13"/>
      <c r="M10240" s="13"/>
    </row>
    <row r="10241">
      <c r="F10241" s="13"/>
      <c r="M10241" s="13"/>
    </row>
    <row r="10242">
      <c r="F10242" s="13"/>
      <c r="M10242" s="13"/>
    </row>
    <row r="10243">
      <c r="F10243" s="13"/>
      <c r="M10243" s="13"/>
    </row>
    <row r="10244">
      <c r="F10244" s="13"/>
      <c r="M10244" s="13"/>
    </row>
    <row r="10245">
      <c r="F10245" s="13"/>
      <c r="M10245" s="13"/>
    </row>
    <row r="10246">
      <c r="F10246" s="13"/>
      <c r="M10246" s="13"/>
    </row>
    <row r="10247">
      <c r="F10247" s="13"/>
      <c r="M10247" s="13"/>
    </row>
    <row r="10248">
      <c r="F10248" s="13"/>
      <c r="M10248" s="13"/>
    </row>
    <row r="10249">
      <c r="F10249" s="13"/>
      <c r="M10249" s="13"/>
    </row>
    <row r="10250">
      <c r="F10250" s="13"/>
      <c r="M10250" s="13"/>
    </row>
    <row r="10251">
      <c r="F10251" s="13"/>
      <c r="M10251" s="13"/>
    </row>
    <row r="10252">
      <c r="F10252" s="13"/>
      <c r="M10252" s="13"/>
    </row>
    <row r="10253">
      <c r="F10253" s="13"/>
      <c r="M10253" s="13"/>
    </row>
    <row r="10254">
      <c r="F10254" s="13"/>
      <c r="M10254" s="13"/>
    </row>
    <row r="10255">
      <c r="F10255" s="13"/>
      <c r="M10255" s="13"/>
    </row>
    <row r="10256">
      <c r="F10256" s="13"/>
      <c r="M10256" s="13"/>
    </row>
    <row r="10257">
      <c r="F10257" s="13"/>
      <c r="M10257" s="13"/>
    </row>
    <row r="10258">
      <c r="F10258" s="13"/>
      <c r="M10258" s="13"/>
    </row>
    <row r="10259">
      <c r="F10259" s="13"/>
      <c r="M10259" s="13"/>
    </row>
    <row r="10260">
      <c r="F10260" s="13"/>
      <c r="M10260" s="13"/>
    </row>
    <row r="10261">
      <c r="F10261" s="13"/>
      <c r="M10261" s="13"/>
    </row>
    <row r="10262">
      <c r="F10262" s="13"/>
      <c r="M10262" s="13"/>
    </row>
    <row r="10263">
      <c r="F10263" s="13"/>
      <c r="M10263" s="13"/>
    </row>
    <row r="10264">
      <c r="F10264" s="13"/>
      <c r="M10264" s="13"/>
    </row>
    <row r="10265">
      <c r="F10265" s="13"/>
      <c r="M10265" s="13"/>
    </row>
    <row r="10266">
      <c r="F10266" s="13"/>
      <c r="M10266" s="13"/>
    </row>
    <row r="10267">
      <c r="F10267" s="13"/>
      <c r="M10267" s="13"/>
    </row>
    <row r="10268">
      <c r="F10268" s="13"/>
      <c r="M10268" s="13"/>
    </row>
    <row r="10269">
      <c r="F10269" s="13"/>
      <c r="M10269" s="13"/>
    </row>
    <row r="10270">
      <c r="F10270" s="13"/>
      <c r="M10270" s="13"/>
    </row>
    <row r="10271">
      <c r="F10271" s="13"/>
      <c r="M10271" s="13"/>
    </row>
    <row r="10272">
      <c r="F10272" s="13"/>
      <c r="M10272" s="13"/>
    </row>
    <row r="10273">
      <c r="F10273" s="13"/>
      <c r="M10273" s="13"/>
    </row>
    <row r="10274">
      <c r="F10274" s="13"/>
      <c r="M10274" s="13"/>
    </row>
    <row r="10275">
      <c r="F10275" s="13"/>
      <c r="M10275" s="13"/>
    </row>
    <row r="10276">
      <c r="F10276" s="13"/>
      <c r="M10276" s="13"/>
    </row>
    <row r="10277">
      <c r="F10277" s="13"/>
      <c r="M10277" s="13"/>
    </row>
    <row r="10278">
      <c r="F10278" s="13"/>
      <c r="M10278" s="13"/>
    </row>
    <row r="10279">
      <c r="F10279" s="13"/>
      <c r="M10279" s="13"/>
    </row>
    <row r="10280">
      <c r="F10280" s="13"/>
      <c r="M10280" s="13"/>
    </row>
    <row r="10281">
      <c r="F10281" s="13"/>
      <c r="M10281" s="13"/>
    </row>
    <row r="10282">
      <c r="F10282" s="13"/>
      <c r="M10282" s="13"/>
    </row>
    <row r="10283">
      <c r="F10283" s="13"/>
      <c r="M10283" s="13"/>
    </row>
    <row r="10284">
      <c r="F10284" s="13"/>
      <c r="M10284" s="13"/>
    </row>
    <row r="10285">
      <c r="F10285" s="13"/>
      <c r="M10285" s="13"/>
    </row>
    <row r="10286">
      <c r="F10286" s="13"/>
      <c r="M10286" s="13"/>
    </row>
    <row r="10287">
      <c r="F10287" s="13"/>
      <c r="M10287" s="13"/>
    </row>
    <row r="10288">
      <c r="F10288" s="13"/>
      <c r="M10288" s="13"/>
    </row>
    <row r="10289">
      <c r="F10289" s="13"/>
      <c r="M10289" s="13"/>
    </row>
    <row r="10290">
      <c r="F10290" s="13"/>
      <c r="M10290" s="13"/>
    </row>
    <row r="10291">
      <c r="F10291" s="13"/>
      <c r="M10291" s="13"/>
    </row>
    <row r="10292">
      <c r="F10292" s="13"/>
      <c r="M10292" s="13"/>
    </row>
    <row r="10293">
      <c r="F10293" s="13"/>
      <c r="M10293" s="13"/>
    </row>
    <row r="10294">
      <c r="F10294" s="13"/>
      <c r="M10294" s="13"/>
    </row>
    <row r="10295">
      <c r="F10295" s="13"/>
      <c r="M10295" s="13"/>
    </row>
    <row r="10296">
      <c r="F10296" s="13"/>
      <c r="M10296" s="13"/>
    </row>
    <row r="10297">
      <c r="F10297" s="13"/>
      <c r="M10297" s="13"/>
    </row>
    <row r="10298">
      <c r="F10298" s="13"/>
      <c r="M10298" s="13"/>
    </row>
    <row r="10299">
      <c r="F10299" s="13"/>
      <c r="M10299" s="13"/>
    </row>
    <row r="10300">
      <c r="F10300" s="13"/>
      <c r="M10300" s="13"/>
    </row>
    <row r="10301">
      <c r="F10301" s="13"/>
      <c r="M10301" s="13"/>
    </row>
    <row r="10302">
      <c r="F10302" s="13"/>
      <c r="M10302" s="13"/>
    </row>
    <row r="10303">
      <c r="F10303" s="13"/>
      <c r="M10303" s="13"/>
    </row>
    <row r="10304">
      <c r="F10304" s="13"/>
      <c r="M10304" s="13"/>
    </row>
    <row r="10305">
      <c r="F10305" s="13"/>
      <c r="M10305" s="13"/>
    </row>
    <row r="10306">
      <c r="F10306" s="13"/>
      <c r="M10306" s="13"/>
    </row>
    <row r="10307">
      <c r="F10307" s="13"/>
      <c r="M10307" s="13"/>
    </row>
    <row r="10308">
      <c r="F10308" s="13"/>
      <c r="M10308" s="13"/>
    </row>
    <row r="10309">
      <c r="F10309" s="13"/>
      <c r="M10309" s="13"/>
    </row>
    <row r="10310">
      <c r="F10310" s="13"/>
      <c r="M10310" s="13"/>
    </row>
    <row r="10311">
      <c r="F10311" s="13"/>
      <c r="M10311" s="13"/>
    </row>
    <row r="10312">
      <c r="F10312" s="13"/>
      <c r="M10312" s="13"/>
    </row>
    <row r="10313">
      <c r="F10313" s="13"/>
      <c r="M10313" s="13"/>
    </row>
    <row r="10314">
      <c r="F10314" s="13"/>
      <c r="M10314" s="13"/>
    </row>
    <row r="10315">
      <c r="F10315" s="13"/>
      <c r="M10315" s="13"/>
    </row>
    <row r="10316">
      <c r="F10316" s="13"/>
      <c r="M10316" s="13"/>
    </row>
    <row r="10317">
      <c r="F10317" s="13"/>
      <c r="M10317" s="13"/>
    </row>
    <row r="10318">
      <c r="F10318" s="13"/>
      <c r="M10318" s="13"/>
    </row>
    <row r="10319">
      <c r="F10319" s="13"/>
      <c r="M10319" s="13"/>
    </row>
    <row r="10320">
      <c r="F10320" s="13"/>
      <c r="M10320" s="13"/>
    </row>
    <row r="10321">
      <c r="F10321" s="13"/>
      <c r="M10321" s="13"/>
    </row>
    <row r="10322">
      <c r="F10322" s="13"/>
      <c r="M10322" s="13"/>
    </row>
    <row r="10323">
      <c r="F10323" s="13"/>
      <c r="M10323" s="13"/>
    </row>
    <row r="10324">
      <c r="F10324" s="13"/>
      <c r="M10324" s="13"/>
    </row>
    <row r="10325">
      <c r="F10325" s="13"/>
      <c r="M10325" s="13"/>
    </row>
    <row r="10326">
      <c r="F10326" s="13"/>
      <c r="M10326" s="13"/>
    </row>
    <row r="10327">
      <c r="F10327" s="13"/>
      <c r="M10327" s="13"/>
    </row>
    <row r="10328">
      <c r="F10328" s="13"/>
      <c r="M10328" s="13"/>
    </row>
    <row r="10329">
      <c r="F10329" s="13"/>
      <c r="M10329" s="13"/>
    </row>
    <row r="10330">
      <c r="F10330" s="13"/>
      <c r="M10330" s="13"/>
    </row>
    <row r="10331">
      <c r="F10331" s="13"/>
      <c r="M10331" s="13"/>
    </row>
    <row r="10332">
      <c r="F10332" s="13"/>
      <c r="M10332" s="13"/>
    </row>
    <row r="10333">
      <c r="F10333" s="13"/>
      <c r="M10333" s="13"/>
    </row>
    <row r="10334">
      <c r="F10334" s="13"/>
      <c r="M10334" s="13"/>
    </row>
    <row r="10335">
      <c r="F10335" s="13"/>
      <c r="M10335" s="13"/>
    </row>
    <row r="10336">
      <c r="F10336" s="13"/>
      <c r="M10336" s="13"/>
    </row>
    <row r="10337">
      <c r="F10337" s="13"/>
      <c r="M10337" s="13"/>
    </row>
    <row r="10338">
      <c r="F10338" s="13"/>
      <c r="M10338" s="13"/>
    </row>
    <row r="10339">
      <c r="F10339" s="13"/>
      <c r="M10339" s="13"/>
    </row>
    <row r="10340">
      <c r="F10340" s="13"/>
      <c r="M10340" s="13"/>
    </row>
    <row r="10341">
      <c r="F10341" s="13"/>
      <c r="M10341" s="13"/>
    </row>
    <row r="10342">
      <c r="F10342" s="13"/>
      <c r="M10342" s="13"/>
    </row>
    <row r="10343">
      <c r="F10343" s="13"/>
      <c r="M10343" s="13"/>
    </row>
    <row r="10344">
      <c r="F10344" s="13"/>
      <c r="M10344" s="13"/>
    </row>
    <row r="10345">
      <c r="F10345" s="13"/>
      <c r="M10345" s="13"/>
    </row>
    <row r="10346">
      <c r="F10346" s="13"/>
      <c r="M10346" s="13"/>
    </row>
    <row r="10347">
      <c r="F10347" s="13"/>
      <c r="M10347" s="13"/>
    </row>
    <row r="10348">
      <c r="F10348" s="13"/>
      <c r="M10348" s="13"/>
    </row>
    <row r="10349">
      <c r="F10349" s="13"/>
      <c r="M10349" s="13"/>
    </row>
    <row r="10350">
      <c r="F10350" s="13"/>
      <c r="M10350" s="13"/>
    </row>
    <row r="10351">
      <c r="F10351" s="13"/>
      <c r="M10351" s="13"/>
    </row>
    <row r="10352">
      <c r="F10352" s="13"/>
      <c r="M10352" s="13"/>
    </row>
    <row r="10353">
      <c r="F10353" s="13"/>
      <c r="M10353" s="13"/>
    </row>
    <row r="10354">
      <c r="F10354" s="13"/>
      <c r="M10354" s="13"/>
    </row>
    <row r="10355">
      <c r="F10355" s="13"/>
      <c r="M10355" s="13"/>
    </row>
    <row r="10356">
      <c r="F10356" s="13"/>
      <c r="M10356" s="13"/>
    </row>
    <row r="10357">
      <c r="F10357" s="13"/>
      <c r="M10357" s="13"/>
    </row>
    <row r="10358">
      <c r="F10358" s="13"/>
      <c r="M10358" s="13"/>
    </row>
    <row r="10359">
      <c r="F10359" s="13"/>
      <c r="M10359" s="13"/>
    </row>
    <row r="10360">
      <c r="F10360" s="13"/>
      <c r="M10360" s="13"/>
    </row>
    <row r="10361">
      <c r="F10361" s="13"/>
      <c r="M10361" s="13"/>
    </row>
    <row r="10362">
      <c r="F10362" s="13"/>
      <c r="M10362" s="13"/>
    </row>
    <row r="10363">
      <c r="F10363" s="13"/>
      <c r="M10363" s="13"/>
    </row>
    <row r="10364">
      <c r="F10364" s="13"/>
      <c r="M10364" s="13"/>
    </row>
    <row r="10365">
      <c r="F10365" s="13"/>
      <c r="M10365" s="13"/>
    </row>
    <row r="10366">
      <c r="F10366" s="13"/>
      <c r="M10366" s="13"/>
    </row>
    <row r="10367">
      <c r="F10367" s="13"/>
      <c r="M10367" s="13"/>
    </row>
    <row r="10368">
      <c r="F10368" s="13"/>
      <c r="M10368" s="13"/>
    </row>
    <row r="10369">
      <c r="F10369" s="13"/>
      <c r="M10369" s="13"/>
    </row>
    <row r="10370">
      <c r="F10370" s="13"/>
      <c r="M10370" s="13"/>
    </row>
    <row r="10371">
      <c r="F10371" s="13"/>
      <c r="M10371" s="13"/>
    </row>
    <row r="10372">
      <c r="F10372" s="13"/>
      <c r="M10372" s="13"/>
    </row>
    <row r="10373">
      <c r="F10373" s="13"/>
      <c r="M10373" s="13"/>
    </row>
    <row r="10374">
      <c r="F10374" s="13"/>
      <c r="M10374" s="13"/>
    </row>
    <row r="10375">
      <c r="F10375" s="13"/>
      <c r="M10375" s="13"/>
    </row>
    <row r="10376">
      <c r="F10376" s="13"/>
      <c r="M10376" s="13"/>
    </row>
    <row r="10377">
      <c r="F10377" s="13"/>
      <c r="M10377" s="13"/>
    </row>
    <row r="10378">
      <c r="F10378" s="13"/>
      <c r="M10378" s="13"/>
    </row>
    <row r="10379">
      <c r="F10379" s="13"/>
      <c r="M10379" s="13"/>
    </row>
    <row r="10380">
      <c r="F10380" s="13"/>
      <c r="M10380" s="13"/>
    </row>
    <row r="10381">
      <c r="F10381" s="13"/>
      <c r="M10381" s="13"/>
    </row>
    <row r="10382">
      <c r="F10382" s="13"/>
      <c r="M10382" s="13"/>
    </row>
    <row r="10383">
      <c r="F10383" s="13"/>
      <c r="M10383" s="13"/>
    </row>
    <row r="10384">
      <c r="F10384" s="13"/>
      <c r="M10384" s="13"/>
    </row>
    <row r="10385">
      <c r="F10385" s="13"/>
      <c r="M10385" s="13"/>
    </row>
    <row r="10386">
      <c r="F10386" s="13"/>
      <c r="M10386" s="13"/>
    </row>
    <row r="10387">
      <c r="F10387" s="13"/>
      <c r="M10387" s="13"/>
    </row>
    <row r="10388">
      <c r="F10388" s="13"/>
      <c r="M10388" s="13"/>
    </row>
    <row r="10389">
      <c r="F10389" s="13"/>
      <c r="M10389" s="13"/>
    </row>
    <row r="10390">
      <c r="F10390" s="13"/>
      <c r="M10390" s="13"/>
    </row>
    <row r="10391">
      <c r="F10391" s="13"/>
      <c r="M10391" s="13"/>
    </row>
    <row r="10392">
      <c r="F10392" s="13"/>
      <c r="M10392" s="13"/>
    </row>
    <row r="10393">
      <c r="F10393" s="13"/>
      <c r="M10393" s="13"/>
    </row>
    <row r="10394">
      <c r="F10394" s="13"/>
      <c r="M10394" s="13"/>
    </row>
    <row r="10395">
      <c r="F10395" s="13"/>
      <c r="M10395" s="13"/>
    </row>
    <row r="10396">
      <c r="F10396" s="13"/>
      <c r="M10396" s="13"/>
    </row>
    <row r="10397">
      <c r="F10397" s="13"/>
      <c r="M10397" s="13"/>
    </row>
    <row r="10398">
      <c r="F10398" s="13"/>
      <c r="M10398" s="13"/>
    </row>
    <row r="10399">
      <c r="F10399" s="13"/>
      <c r="M10399" s="13"/>
    </row>
    <row r="10400">
      <c r="F10400" s="13"/>
      <c r="M10400" s="13"/>
    </row>
    <row r="10401">
      <c r="F10401" s="13"/>
      <c r="M10401" s="13"/>
    </row>
    <row r="10402">
      <c r="F10402" s="13"/>
      <c r="M10402" s="13"/>
    </row>
    <row r="10403">
      <c r="F10403" s="13"/>
      <c r="M10403" s="13"/>
    </row>
    <row r="10404">
      <c r="F10404" s="13"/>
      <c r="M10404" s="13"/>
    </row>
    <row r="10405">
      <c r="F10405" s="13"/>
      <c r="M10405" s="13"/>
    </row>
    <row r="10406">
      <c r="F10406" s="13"/>
      <c r="M10406" s="13"/>
    </row>
    <row r="10407">
      <c r="F10407" s="13"/>
      <c r="M10407" s="13"/>
    </row>
    <row r="10408">
      <c r="F10408" s="13"/>
      <c r="M10408" s="13"/>
    </row>
    <row r="10409">
      <c r="F10409" s="13"/>
      <c r="M10409" s="13"/>
    </row>
    <row r="10410">
      <c r="F10410" s="13"/>
      <c r="M10410" s="13"/>
    </row>
    <row r="10411">
      <c r="F10411" s="13"/>
      <c r="M10411" s="13"/>
    </row>
    <row r="10412">
      <c r="F10412" s="13"/>
      <c r="M10412" s="13"/>
    </row>
    <row r="10413">
      <c r="F10413" s="13"/>
      <c r="M10413" s="13"/>
    </row>
    <row r="10414">
      <c r="F10414" s="13"/>
      <c r="M10414" s="13"/>
    </row>
    <row r="10415">
      <c r="F10415" s="13"/>
      <c r="M10415" s="13"/>
    </row>
    <row r="10416">
      <c r="F10416" s="13"/>
      <c r="M10416" s="13"/>
    </row>
    <row r="10417">
      <c r="F10417" s="13"/>
      <c r="M10417" s="13"/>
    </row>
    <row r="10418">
      <c r="F10418" s="13"/>
      <c r="M10418" s="13"/>
    </row>
    <row r="10419">
      <c r="F10419" s="13"/>
      <c r="M10419" s="13"/>
    </row>
    <row r="10420">
      <c r="F10420" s="13"/>
      <c r="M10420" s="13"/>
    </row>
    <row r="10421">
      <c r="F10421" s="13"/>
      <c r="M10421" s="13"/>
    </row>
    <row r="10422">
      <c r="F10422" s="13"/>
      <c r="M10422" s="13"/>
    </row>
    <row r="10423">
      <c r="F10423" s="13"/>
      <c r="M10423" s="13"/>
    </row>
    <row r="10424">
      <c r="F10424" s="13"/>
      <c r="M10424" s="13"/>
    </row>
    <row r="10425">
      <c r="F10425" s="13"/>
      <c r="M10425" s="13"/>
    </row>
    <row r="10426">
      <c r="F10426" s="13"/>
      <c r="M10426" s="13"/>
    </row>
    <row r="10427">
      <c r="F10427" s="13"/>
      <c r="M10427" s="13"/>
    </row>
    <row r="10428">
      <c r="F10428" s="13"/>
      <c r="M10428" s="13"/>
    </row>
    <row r="10429">
      <c r="F10429" s="13"/>
      <c r="M10429" s="13"/>
    </row>
    <row r="10430">
      <c r="F10430" s="13"/>
      <c r="M10430" s="13"/>
    </row>
    <row r="10431">
      <c r="F10431" s="13"/>
      <c r="M10431" s="13"/>
    </row>
    <row r="10432">
      <c r="F10432" s="13"/>
      <c r="M10432" s="13"/>
    </row>
    <row r="10433">
      <c r="F10433" s="13"/>
      <c r="M10433" s="13"/>
    </row>
    <row r="10434">
      <c r="F10434" s="13"/>
      <c r="M10434" s="13"/>
    </row>
    <row r="10435">
      <c r="F10435" s="13"/>
      <c r="M10435" s="13"/>
    </row>
    <row r="10436">
      <c r="F10436" s="13"/>
      <c r="M10436" s="13"/>
    </row>
    <row r="10437">
      <c r="F10437" s="13"/>
      <c r="M10437" s="13"/>
    </row>
    <row r="10438">
      <c r="F10438" s="13"/>
      <c r="M10438" s="13"/>
    </row>
    <row r="10439">
      <c r="F10439" s="13"/>
      <c r="M10439" s="13"/>
    </row>
    <row r="10440">
      <c r="F10440" s="13"/>
      <c r="M10440" s="13"/>
    </row>
    <row r="10441">
      <c r="F10441" s="13"/>
      <c r="M10441" s="13"/>
    </row>
    <row r="10442">
      <c r="F10442" s="13"/>
      <c r="M10442" s="13"/>
    </row>
    <row r="10443">
      <c r="F10443" s="13"/>
      <c r="M10443" s="13"/>
    </row>
    <row r="10444">
      <c r="F10444" s="13"/>
      <c r="M10444" s="13"/>
    </row>
    <row r="10445">
      <c r="F10445" s="13"/>
      <c r="M10445" s="13"/>
    </row>
    <row r="10446">
      <c r="F10446" s="13"/>
      <c r="M10446" s="13"/>
    </row>
    <row r="10447">
      <c r="F10447" s="13"/>
      <c r="M10447" s="13"/>
    </row>
    <row r="10448">
      <c r="F10448" s="13"/>
      <c r="M10448" s="13"/>
    </row>
    <row r="10449">
      <c r="F10449" s="13"/>
      <c r="M10449" s="13"/>
    </row>
    <row r="10450">
      <c r="F10450" s="13"/>
      <c r="M10450" s="13"/>
    </row>
    <row r="10451">
      <c r="F10451" s="13"/>
      <c r="M10451" s="13"/>
    </row>
    <row r="10452">
      <c r="F10452" s="13"/>
      <c r="M10452" s="13"/>
    </row>
    <row r="10453">
      <c r="F10453" s="13"/>
      <c r="M10453" s="13"/>
    </row>
    <row r="10454">
      <c r="F10454" s="13"/>
      <c r="M10454" s="13"/>
    </row>
    <row r="10455">
      <c r="F10455" s="13"/>
      <c r="M10455" s="13"/>
    </row>
    <row r="10456">
      <c r="F10456" s="13"/>
      <c r="M10456" s="13"/>
    </row>
    <row r="10457">
      <c r="F10457" s="13"/>
      <c r="M10457" s="13"/>
    </row>
    <row r="10458">
      <c r="F10458" s="13"/>
      <c r="M10458" s="13"/>
    </row>
    <row r="10459">
      <c r="F10459" s="13"/>
      <c r="M10459" s="13"/>
    </row>
    <row r="10460">
      <c r="F10460" s="13"/>
      <c r="M10460" s="13"/>
    </row>
    <row r="10461">
      <c r="F10461" s="13"/>
      <c r="M10461" s="13"/>
    </row>
    <row r="10462">
      <c r="F10462" s="13"/>
      <c r="M10462" s="13"/>
    </row>
    <row r="10463">
      <c r="F10463" s="13"/>
      <c r="M10463" s="13"/>
    </row>
    <row r="10464">
      <c r="F10464" s="13"/>
      <c r="M10464" s="13"/>
    </row>
    <row r="10465">
      <c r="F10465" s="13"/>
      <c r="M10465" s="13"/>
    </row>
    <row r="10466">
      <c r="F10466" s="13"/>
      <c r="M10466" s="13"/>
    </row>
    <row r="10467">
      <c r="F10467" s="13"/>
      <c r="M10467" s="13"/>
    </row>
    <row r="10468">
      <c r="F10468" s="13"/>
      <c r="M10468" s="13"/>
    </row>
    <row r="10469">
      <c r="F10469" s="13"/>
      <c r="M10469" s="13"/>
    </row>
    <row r="10470">
      <c r="F10470" s="13"/>
      <c r="M10470" s="13"/>
    </row>
    <row r="10471">
      <c r="F10471" s="13"/>
      <c r="M10471" s="13"/>
    </row>
    <row r="10472">
      <c r="F10472" s="13"/>
      <c r="M10472" s="13"/>
    </row>
    <row r="10473">
      <c r="F10473" s="13"/>
      <c r="M10473" s="13"/>
    </row>
    <row r="10474">
      <c r="F10474" s="13"/>
      <c r="M10474" s="13"/>
    </row>
    <row r="10475">
      <c r="F10475" s="13"/>
      <c r="M10475" s="13"/>
    </row>
    <row r="10476">
      <c r="F10476" s="13"/>
      <c r="M10476" s="13"/>
    </row>
    <row r="10477">
      <c r="F10477" s="13"/>
      <c r="M10477" s="13"/>
    </row>
    <row r="10478">
      <c r="F10478" s="13"/>
      <c r="M10478" s="13"/>
    </row>
    <row r="10479">
      <c r="F10479" s="13"/>
      <c r="M10479" s="13"/>
    </row>
    <row r="10480">
      <c r="F10480" s="13"/>
      <c r="M10480" s="13"/>
    </row>
    <row r="10481">
      <c r="F10481" s="13"/>
      <c r="M10481" s="13"/>
    </row>
    <row r="10482">
      <c r="F10482" s="13"/>
      <c r="M10482" s="13"/>
    </row>
    <row r="10483">
      <c r="F10483" s="13"/>
      <c r="M10483" s="13"/>
    </row>
    <row r="10484">
      <c r="F10484" s="13"/>
      <c r="M10484" s="13"/>
    </row>
    <row r="10485">
      <c r="F10485" s="13"/>
      <c r="M10485" s="13"/>
    </row>
    <row r="10486">
      <c r="F10486" s="13"/>
      <c r="M10486" s="13"/>
    </row>
    <row r="10487">
      <c r="F10487" s="13"/>
      <c r="M10487" s="13"/>
    </row>
    <row r="10488">
      <c r="F10488" s="13"/>
      <c r="M10488" s="13"/>
    </row>
    <row r="10489">
      <c r="F10489" s="13"/>
      <c r="M10489" s="13"/>
    </row>
    <row r="10490">
      <c r="F10490" s="13"/>
      <c r="M10490" s="13"/>
    </row>
    <row r="10491">
      <c r="F10491" s="13"/>
      <c r="M10491" s="13"/>
    </row>
    <row r="10492">
      <c r="F10492" s="13"/>
      <c r="M10492" s="13"/>
    </row>
    <row r="10493">
      <c r="F10493" s="13"/>
      <c r="M10493" s="13"/>
    </row>
    <row r="10494">
      <c r="F10494" s="13"/>
      <c r="M10494" s="13"/>
    </row>
    <row r="10495">
      <c r="F10495" s="13"/>
      <c r="M10495" s="13"/>
    </row>
    <row r="10496">
      <c r="F10496" s="13"/>
      <c r="M10496" s="13"/>
    </row>
    <row r="10497">
      <c r="F10497" s="13"/>
      <c r="M10497" s="13"/>
    </row>
    <row r="10498">
      <c r="F10498" s="13"/>
      <c r="M10498" s="13"/>
    </row>
    <row r="10499">
      <c r="F10499" s="13"/>
      <c r="M10499" s="13"/>
    </row>
    <row r="10500">
      <c r="F10500" s="13"/>
      <c r="M10500" s="13"/>
    </row>
    <row r="10501">
      <c r="F10501" s="13"/>
      <c r="M10501" s="13"/>
    </row>
    <row r="10502">
      <c r="F10502" s="13"/>
      <c r="M10502" s="13"/>
    </row>
    <row r="10503">
      <c r="F10503" s="13"/>
      <c r="M10503" s="13"/>
    </row>
    <row r="10504">
      <c r="F10504" s="13"/>
      <c r="M10504" s="13"/>
    </row>
    <row r="10505">
      <c r="F10505" s="13"/>
      <c r="M10505" s="13"/>
    </row>
    <row r="10506">
      <c r="F10506" s="13"/>
      <c r="M10506" s="13"/>
    </row>
    <row r="10507">
      <c r="F10507" s="13"/>
      <c r="M10507" s="13"/>
    </row>
    <row r="10508">
      <c r="F10508" s="13"/>
      <c r="M10508" s="13"/>
    </row>
    <row r="10509">
      <c r="F10509" s="13"/>
      <c r="M10509" s="13"/>
    </row>
    <row r="10510">
      <c r="F10510" s="13"/>
      <c r="M10510" s="13"/>
    </row>
    <row r="10511">
      <c r="F10511" s="13"/>
      <c r="M10511" s="13"/>
    </row>
    <row r="10512">
      <c r="F10512" s="13"/>
      <c r="M10512" s="13"/>
    </row>
    <row r="10513">
      <c r="F10513" s="13"/>
      <c r="M10513" s="13"/>
    </row>
    <row r="10514">
      <c r="F10514" s="13"/>
      <c r="M10514" s="13"/>
    </row>
    <row r="10515">
      <c r="F10515" s="13"/>
      <c r="M10515" s="13"/>
    </row>
    <row r="10516">
      <c r="F10516" s="13"/>
      <c r="M10516" s="13"/>
    </row>
    <row r="10517">
      <c r="F10517" s="13"/>
      <c r="M10517" s="13"/>
    </row>
    <row r="10518">
      <c r="F10518" s="13"/>
      <c r="M10518" s="13"/>
    </row>
    <row r="10519">
      <c r="F10519" s="13"/>
      <c r="M10519" s="13"/>
    </row>
    <row r="10520">
      <c r="F10520" s="13"/>
      <c r="M10520" s="13"/>
    </row>
    <row r="10521">
      <c r="F10521" s="13"/>
      <c r="M10521" s="13"/>
    </row>
    <row r="10522">
      <c r="F10522" s="13"/>
      <c r="M10522" s="13"/>
    </row>
    <row r="10523">
      <c r="F10523" s="13"/>
      <c r="M10523" s="13"/>
    </row>
    <row r="10524">
      <c r="F10524" s="13"/>
      <c r="M10524" s="13"/>
    </row>
    <row r="10525">
      <c r="F10525" s="13"/>
      <c r="M10525" s="13"/>
    </row>
    <row r="10526">
      <c r="F10526" s="13"/>
      <c r="M10526" s="13"/>
    </row>
    <row r="10527">
      <c r="F10527" s="13"/>
      <c r="M10527" s="13"/>
    </row>
    <row r="10528">
      <c r="F10528" s="13"/>
      <c r="M10528" s="13"/>
    </row>
    <row r="10529">
      <c r="F10529" s="13"/>
      <c r="M10529" s="13"/>
    </row>
    <row r="10530">
      <c r="F10530" s="13"/>
      <c r="M10530" s="13"/>
    </row>
    <row r="10531">
      <c r="F10531" s="13"/>
      <c r="M10531" s="13"/>
    </row>
    <row r="10532">
      <c r="F10532" s="13"/>
      <c r="M10532" s="13"/>
    </row>
    <row r="10533">
      <c r="F10533" s="13"/>
      <c r="M10533" s="13"/>
    </row>
    <row r="10534">
      <c r="F10534" s="13"/>
      <c r="M10534" s="13"/>
    </row>
    <row r="10535">
      <c r="F10535" s="13"/>
      <c r="M10535" s="13"/>
    </row>
    <row r="10536">
      <c r="F10536" s="13"/>
      <c r="M10536" s="13"/>
    </row>
    <row r="10537">
      <c r="F10537" s="13"/>
      <c r="M10537" s="13"/>
    </row>
    <row r="10538">
      <c r="F10538" s="13"/>
      <c r="M10538" s="13"/>
    </row>
    <row r="10539">
      <c r="F10539" s="13"/>
      <c r="M10539" s="13"/>
    </row>
    <row r="10540">
      <c r="F10540" s="13"/>
      <c r="M10540" s="13"/>
    </row>
    <row r="10541">
      <c r="F10541" s="13"/>
      <c r="M10541" s="13"/>
    </row>
    <row r="10542">
      <c r="F10542" s="13"/>
      <c r="M10542" s="13"/>
    </row>
    <row r="10543">
      <c r="F10543" s="13"/>
      <c r="M10543" s="13"/>
    </row>
    <row r="10544">
      <c r="F10544" s="13"/>
      <c r="M10544" s="13"/>
    </row>
    <row r="10545">
      <c r="F10545" s="13"/>
      <c r="M10545" s="13"/>
    </row>
    <row r="10546">
      <c r="F10546" s="13"/>
      <c r="M10546" s="13"/>
    </row>
    <row r="10547">
      <c r="F10547" s="13"/>
      <c r="M10547" s="13"/>
    </row>
    <row r="10548">
      <c r="F10548" s="13"/>
      <c r="M10548" s="13"/>
    </row>
    <row r="10549">
      <c r="F10549" s="13"/>
      <c r="M10549" s="13"/>
    </row>
    <row r="10550">
      <c r="F10550" s="13"/>
      <c r="M10550" s="13"/>
    </row>
    <row r="10551">
      <c r="F10551" s="13"/>
      <c r="M10551" s="13"/>
    </row>
    <row r="10552">
      <c r="F10552" s="13"/>
      <c r="M10552" s="13"/>
    </row>
    <row r="10553">
      <c r="F10553" s="13"/>
      <c r="M10553" s="13"/>
    </row>
    <row r="10554">
      <c r="F10554" s="13"/>
      <c r="M10554" s="13"/>
    </row>
    <row r="10555">
      <c r="F10555" s="13"/>
      <c r="M10555" s="13"/>
    </row>
    <row r="10556">
      <c r="F10556" s="13"/>
      <c r="M10556" s="13"/>
    </row>
    <row r="10557">
      <c r="F10557" s="13"/>
      <c r="M10557" s="13"/>
    </row>
    <row r="10558">
      <c r="F10558" s="13"/>
      <c r="M10558" s="13"/>
    </row>
    <row r="10559">
      <c r="F10559" s="13"/>
      <c r="M10559" s="13"/>
    </row>
    <row r="10560">
      <c r="F10560" s="13"/>
      <c r="M10560" s="13"/>
    </row>
    <row r="10561">
      <c r="F10561" s="13"/>
      <c r="M10561" s="13"/>
    </row>
    <row r="10562">
      <c r="F10562" s="13"/>
      <c r="M10562" s="13"/>
    </row>
    <row r="10563">
      <c r="F10563" s="13"/>
      <c r="M10563" s="13"/>
    </row>
    <row r="10564">
      <c r="F10564" s="13"/>
      <c r="M10564" s="13"/>
    </row>
    <row r="10565">
      <c r="F10565" s="13"/>
      <c r="M10565" s="13"/>
    </row>
    <row r="10566">
      <c r="F10566" s="13"/>
      <c r="M10566" s="13"/>
    </row>
    <row r="10567">
      <c r="F10567" s="13"/>
      <c r="M10567" s="13"/>
    </row>
    <row r="10568">
      <c r="F10568" s="13"/>
      <c r="M10568" s="13"/>
    </row>
    <row r="10569">
      <c r="F10569" s="13"/>
      <c r="M10569" s="13"/>
    </row>
    <row r="10570">
      <c r="F10570" s="13"/>
      <c r="M10570" s="13"/>
    </row>
    <row r="10571">
      <c r="F10571" s="13"/>
      <c r="M10571" s="13"/>
    </row>
    <row r="10572">
      <c r="F10572" s="13"/>
      <c r="M10572" s="13"/>
    </row>
    <row r="10573">
      <c r="F10573" s="13"/>
      <c r="M10573" s="13"/>
    </row>
    <row r="10574">
      <c r="F10574" s="13"/>
      <c r="M10574" s="13"/>
    </row>
    <row r="10575">
      <c r="F10575" s="13"/>
      <c r="M10575" s="13"/>
    </row>
    <row r="10576">
      <c r="F10576" s="13"/>
      <c r="M10576" s="13"/>
    </row>
    <row r="10577">
      <c r="F10577" s="13"/>
      <c r="M10577" s="13"/>
    </row>
    <row r="10578">
      <c r="F10578" s="13"/>
      <c r="M10578" s="13"/>
    </row>
    <row r="10579">
      <c r="F10579" s="13"/>
      <c r="M10579" s="13"/>
    </row>
    <row r="10580">
      <c r="F10580" s="13"/>
      <c r="M10580" s="13"/>
    </row>
    <row r="10581">
      <c r="F10581" s="13"/>
      <c r="M10581" s="13"/>
    </row>
    <row r="10582">
      <c r="F10582" s="13"/>
      <c r="M10582" s="13"/>
    </row>
    <row r="10583">
      <c r="F10583" s="13"/>
      <c r="M10583" s="13"/>
    </row>
    <row r="10584">
      <c r="F10584" s="13"/>
      <c r="M10584" s="13"/>
    </row>
    <row r="10585">
      <c r="F10585" s="13"/>
      <c r="M10585" s="13"/>
    </row>
    <row r="10586">
      <c r="F10586" s="13"/>
      <c r="M10586" s="13"/>
    </row>
    <row r="10587">
      <c r="F10587" s="13"/>
      <c r="M10587" s="13"/>
    </row>
    <row r="10588">
      <c r="F10588" s="13"/>
      <c r="M10588" s="13"/>
    </row>
    <row r="10589">
      <c r="F10589" s="13"/>
      <c r="M10589" s="13"/>
    </row>
    <row r="10590">
      <c r="F10590" s="13"/>
      <c r="M10590" s="13"/>
    </row>
    <row r="10591">
      <c r="F10591" s="13"/>
      <c r="M10591" s="13"/>
    </row>
    <row r="10592">
      <c r="F10592" s="13"/>
      <c r="M10592" s="13"/>
    </row>
    <row r="10593">
      <c r="F10593" s="13"/>
      <c r="M10593" s="13"/>
    </row>
    <row r="10594">
      <c r="F10594" s="13"/>
      <c r="M10594" s="13"/>
    </row>
    <row r="10595">
      <c r="F10595" s="13"/>
      <c r="M10595" s="13"/>
    </row>
    <row r="10596">
      <c r="F10596" s="13"/>
      <c r="M10596" s="13"/>
    </row>
    <row r="10597">
      <c r="F10597" s="13"/>
      <c r="M10597" s="13"/>
    </row>
    <row r="10598">
      <c r="F10598" s="13"/>
      <c r="M10598" s="13"/>
    </row>
    <row r="10599">
      <c r="F10599" s="13"/>
      <c r="M10599" s="13"/>
    </row>
    <row r="10600">
      <c r="F10600" s="13"/>
      <c r="M10600" s="13"/>
    </row>
    <row r="10601">
      <c r="F10601" s="13"/>
      <c r="M10601" s="13"/>
    </row>
    <row r="10602">
      <c r="F10602" s="13"/>
      <c r="M10602" s="13"/>
    </row>
    <row r="10603">
      <c r="F10603" s="13"/>
      <c r="M10603" s="13"/>
    </row>
    <row r="10604">
      <c r="F10604" s="13"/>
      <c r="M10604" s="13"/>
    </row>
    <row r="10605">
      <c r="F10605" s="13"/>
      <c r="M10605" s="13"/>
    </row>
    <row r="10606">
      <c r="F10606" s="13"/>
      <c r="M10606" s="13"/>
    </row>
    <row r="10607">
      <c r="F10607" s="13"/>
      <c r="M10607" s="13"/>
    </row>
    <row r="10608">
      <c r="F10608" s="13"/>
      <c r="M10608" s="13"/>
    </row>
    <row r="10609">
      <c r="F10609" s="13"/>
      <c r="M10609" s="13"/>
    </row>
    <row r="10610">
      <c r="F10610" s="13"/>
      <c r="M10610" s="13"/>
    </row>
    <row r="10611">
      <c r="F10611" s="13"/>
      <c r="M10611" s="13"/>
    </row>
    <row r="10612">
      <c r="F10612" s="13"/>
      <c r="M10612" s="13"/>
    </row>
    <row r="10613">
      <c r="F10613" s="13"/>
      <c r="M10613" s="13"/>
    </row>
    <row r="10614">
      <c r="F10614" s="13"/>
      <c r="M10614" s="13"/>
    </row>
    <row r="10615">
      <c r="F10615" s="13"/>
      <c r="M10615" s="13"/>
    </row>
    <row r="10616">
      <c r="F10616" s="13"/>
      <c r="M10616" s="13"/>
    </row>
    <row r="10617">
      <c r="F10617" s="13"/>
      <c r="M10617" s="13"/>
    </row>
    <row r="10618">
      <c r="F10618" s="13"/>
      <c r="M10618" s="13"/>
    </row>
    <row r="10619">
      <c r="F10619" s="13"/>
      <c r="M10619" s="13"/>
    </row>
    <row r="10620">
      <c r="F10620" s="13"/>
      <c r="M10620" s="13"/>
    </row>
    <row r="10621">
      <c r="F10621" s="13"/>
      <c r="M10621" s="13"/>
    </row>
    <row r="10622">
      <c r="F10622" s="13"/>
      <c r="M10622" s="13"/>
    </row>
    <row r="10623">
      <c r="F10623" s="13"/>
      <c r="M10623" s="13"/>
    </row>
    <row r="10624">
      <c r="F10624" s="13"/>
      <c r="M10624" s="13"/>
    </row>
    <row r="10625">
      <c r="F10625" s="13"/>
      <c r="M10625" s="13"/>
    </row>
    <row r="10626">
      <c r="F10626" s="13"/>
      <c r="M10626" s="13"/>
    </row>
    <row r="10627">
      <c r="F10627" s="13"/>
      <c r="M10627" s="13"/>
    </row>
    <row r="10628">
      <c r="F10628" s="13"/>
      <c r="M10628" s="13"/>
    </row>
    <row r="10629">
      <c r="F10629" s="13"/>
      <c r="M10629" s="13"/>
    </row>
    <row r="10630">
      <c r="F10630" s="13"/>
      <c r="M10630" s="13"/>
    </row>
    <row r="10631">
      <c r="F10631" s="13"/>
      <c r="M10631" s="13"/>
    </row>
    <row r="10632">
      <c r="F10632" s="13"/>
      <c r="M10632" s="13"/>
    </row>
    <row r="10633">
      <c r="F10633" s="13"/>
      <c r="M10633" s="13"/>
    </row>
    <row r="10634">
      <c r="F10634" s="13"/>
      <c r="M10634" s="13"/>
    </row>
    <row r="10635">
      <c r="F10635" s="13"/>
      <c r="M10635" s="13"/>
    </row>
    <row r="10636">
      <c r="F10636" s="13"/>
      <c r="M10636" s="13"/>
    </row>
    <row r="10637">
      <c r="F10637" s="13"/>
      <c r="M10637" s="13"/>
    </row>
    <row r="10638">
      <c r="F10638" s="13"/>
      <c r="M10638" s="13"/>
    </row>
    <row r="10639">
      <c r="F10639" s="13"/>
      <c r="M10639" s="13"/>
    </row>
    <row r="10640">
      <c r="F10640" s="13"/>
      <c r="M10640" s="13"/>
    </row>
    <row r="10641">
      <c r="F10641" s="13"/>
      <c r="M10641" s="13"/>
    </row>
    <row r="10642">
      <c r="F10642" s="13"/>
      <c r="M10642" s="13"/>
    </row>
    <row r="10643">
      <c r="F10643" s="13"/>
      <c r="M10643" s="13"/>
    </row>
    <row r="10644">
      <c r="F10644" s="13"/>
      <c r="M10644" s="13"/>
    </row>
    <row r="10645">
      <c r="F10645" s="13"/>
      <c r="M10645" s="13"/>
    </row>
    <row r="10646">
      <c r="F10646" s="13"/>
      <c r="M10646" s="13"/>
    </row>
    <row r="10647">
      <c r="F10647" s="13"/>
      <c r="M10647" s="13"/>
    </row>
    <row r="10648">
      <c r="F10648" s="13"/>
      <c r="M10648" s="13"/>
    </row>
    <row r="10649">
      <c r="F10649" s="13"/>
      <c r="M10649" s="13"/>
    </row>
    <row r="10650">
      <c r="F10650" s="13"/>
      <c r="M10650" s="13"/>
    </row>
    <row r="10651">
      <c r="F10651" s="13"/>
      <c r="M10651" s="13"/>
    </row>
    <row r="10652">
      <c r="F10652" s="13"/>
      <c r="M10652" s="13"/>
    </row>
    <row r="10653">
      <c r="F10653" s="13"/>
      <c r="M10653" s="13"/>
    </row>
    <row r="10654">
      <c r="F10654" s="13"/>
      <c r="M10654" s="13"/>
    </row>
    <row r="10655">
      <c r="F10655" s="13"/>
      <c r="M10655" s="13"/>
    </row>
    <row r="10656">
      <c r="F10656" s="13"/>
      <c r="M10656" s="13"/>
    </row>
    <row r="10657">
      <c r="F10657" s="13"/>
      <c r="M10657" s="13"/>
    </row>
    <row r="10658">
      <c r="F10658" s="13"/>
      <c r="M10658" s="13"/>
    </row>
    <row r="10659">
      <c r="F10659" s="13"/>
      <c r="M10659" s="13"/>
    </row>
    <row r="10660">
      <c r="F10660" s="13"/>
      <c r="M10660" s="13"/>
    </row>
    <row r="10661">
      <c r="F10661" s="13"/>
      <c r="M10661" s="13"/>
    </row>
    <row r="10662">
      <c r="F10662" s="13"/>
      <c r="M10662" s="13"/>
    </row>
    <row r="10663">
      <c r="F10663" s="13"/>
      <c r="M10663" s="13"/>
    </row>
    <row r="10664">
      <c r="F10664" s="13"/>
      <c r="M10664" s="13"/>
    </row>
    <row r="10665">
      <c r="F10665" s="13"/>
      <c r="M10665" s="13"/>
    </row>
    <row r="10666">
      <c r="F10666" s="13"/>
      <c r="M10666" s="13"/>
    </row>
    <row r="10667">
      <c r="F10667" s="13"/>
      <c r="M10667" s="13"/>
    </row>
    <row r="10668">
      <c r="F10668" s="13"/>
      <c r="M10668" s="13"/>
    </row>
    <row r="10669">
      <c r="F10669" s="13"/>
      <c r="M10669" s="13"/>
    </row>
    <row r="10670">
      <c r="F10670" s="13"/>
      <c r="M10670" s="13"/>
    </row>
    <row r="10671">
      <c r="F10671" s="13"/>
      <c r="M10671" s="13"/>
    </row>
    <row r="10672">
      <c r="F10672" s="13"/>
      <c r="M10672" s="13"/>
    </row>
    <row r="10673">
      <c r="F10673" s="13"/>
      <c r="M10673" s="13"/>
    </row>
    <row r="10674">
      <c r="F10674" s="13"/>
      <c r="M10674" s="13"/>
    </row>
    <row r="10675">
      <c r="F10675" s="13"/>
      <c r="M10675" s="13"/>
    </row>
    <row r="10676">
      <c r="F10676" s="13"/>
      <c r="M10676" s="13"/>
    </row>
    <row r="10677">
      <c r="F10677" s="13"/>
      <c r="M10677" s="13"/>
    </row>
    <row r="10678">
      <c r="F10678" s="13"/>
      <c r="M10678" s="13"/>
    </row>
    <row r="10679">
      <c r="F10679" s="13"/>
      <c r="M10679" s="13"/>
    </row>
    <row r="10680">
      <c r="F10680" s="13"/>
      <c r="M10680" s="13"/>
    </row>
    <row r="10681">
      <c r="F10681" s="13"/>
      <c r="M10681" s="13"/>
    </row>
    <row r="10682">
      <c r="F10682" s="13"/>
      <c r="M10682" s="13"/>
    </row>
    <row r="10683">
      <c r="F10683" s="13"/>
      <c r="M10683" s="13"/>
    </row>
    <row r="10684">
      <c r="F10684" s="13"/>
      <c r="M10684" s="13"/>
    </row>
    <row r="10685">
      <c r="F10685" s="13"/>
      <c r="M10685" s="13"/>
    </row>
    <row r="10686">
      <c r="F10686" s="13"/>
      <c r="M10686" s="13"/>
    </row>
    <row r="10687">
      <c r="F10687" s="13"/>
      <c r="M10687" s="13"/>
    </row>
    <row r="10688">
      <c r="F10688" s="13"/>
      <c r="M10688" s="13"/>
    </row>
    <row r="10689">
      <c r="F10689" s="13"/>
      <c r="M10689" s="13"/>
    </row>
    <row r="10690">
      <c r="F10690" s="13"/>
      <c r="M10690" s="13"/>
    </row>
    <row r="10691">
      <c r="F10691" s="13"/>
      <c r="M10691" s="13"/>
    </row>
    <row r="10692">
      <c r="F10692" s="13"/>
      <c r="M10692" s="13"/>
    </row>
    <row r="10693">
      <c r="F10693" s="13"/>
      <c r="M10693" s="13"/>
    </row>
    <row r="10694">
      <c r="F10694" s="13"/>
      <c r="M10694" s="13"/>
    </row>
    <row r="10695">
      <c r="F10695" s="13"/>
      <c r="M10695" s="13"/>
    </row>
    <row r="10696">
      <c r="F10696" s="13"/>
      <c r="M10696" s="13"/>
    </row>
    <row r="10697">
      <c r="F10697" s="13"/>
      <c r="M10697" s="13"/>
    </row>
    <row r="10698">
      <c r="F10698" s="13"/>
      <c r="M10698" s="13"/>
    </row>
    <row r="10699">
      <c r="F10699" s="13"/>
      <c r="M10699" s="13"/>
    </row>
    <row r="10700">
      <c r="F10700" s="13"/>
      <c r="M10700" s="13"/>
    </row>
    <row r="10701">
      <c r="F10701" s="13"/>
      <c r="M10701" s="13"/>
    </row>
    <row r="10702">
      <c r="F10702" s="13"/>
      <c r="M10702" s="13"/>
    </row>
    <row r="10703">
      <c r="F10703" s="13"/>
      <c r="M10703" s="13"/>
    </row>
    <row r="10704">
      <c r="F10704" s="13"/>
      <c r="M10704" s="13"/>
    </row>
    <row r="10705">
      <c r="F10705" s="13"/>
      <c r="M10705" s="13"/>
    </row>
    <row r="10706">
      <c r="F10706" s="13"/>
      <c r="M10706" s="13"/>
    </row>
    <row r="10707">
      <c r="F10707" s="13"/>
      <c r="M10707" s="13"/>
    </row>
    <row r="10708">
      <c r="F10708" s="13"/>
      <c r="M10708" s="13"/>
    </row>
    <row r="10709">
      <c r="F10709" s="13"/>
      <c r="M10709" s="13"/>
    </row>
    <row r="10710">
      <c r="F10710" s="13"/>
      <c r="M10710" s="13"/>
    </row>
    <row r="10711">
      <c r="F10711" s="13"/>
      <c r="M10711" s="13"/>
    </row>
    <row r="10712">
      <c r="F10712" s="13"/>
      <c r="M10712" s="13"/>
    </row>
    <row r="10713">
      <c r="F10713" s="13"/>
      <c r="M10713" s="13"/>
    </row>
    <row r="10714">
      <c r="F10714" s="13"/>
      <c r="M10714" s="13"/>
    </row>
    <row r="10715">
      <c r="F10715" s="13"/>
      <c r="M10715" s="13"/>
    </row>
    <row r="10716">
      <c r="F10716" s="13"/>
      <c r="M10716" s="13"/>
    </row>
    <row r="10717">
      <c r="F10717" s="13"/>
      <c r="M10717" s="13"/>
    </row>
    <row r="10718">
      <c r="F10718" s="13"/>
      <c r="M10718" s="13"/>
    </row>
    <row r="10719">
      <c r="F10719" s="13"/>
      <c r="M10719" s="13"/>
    </row>
    <row r="10720">
      <c r="F10720" s="13"/>
      <c r="M10720" s="13"/>
    </row>
    <row r="10721">
      <c r="F10721" s="13"/>
      <c r="M10721" s="13"/>
    </row>
    <row r="10722">
      <c r="F10722" s="13"/>
      <c r="M10722" s="13"/>
    </row>
    <row r="10723">
      <c r="F10723" s="13"/>
      <c r="M10723" s="13"/>
    </row>
    <row r="10724">
      <c r="F10724" s="13"/>
      <c r="M10724" s="13"/>
    </row>
    <row r="10725">
      <c r="F10725" s="13"/>
      <c r="M10725" s="13"/>
    </row>
    <row r="10726">
      <c r="F10726" s="13"/>
      <c r="M10726" s="13"/>
    </row>
    <row r="10727">
      <c r="F10727" s="13"/>
      <c r="M10727" s="13"/>
    </row>
    <row r="10728">
      <c r="F10728" s="13"/>
      <c r="M10728" s="13"/>
    </row>
    <row r="10729">
      <c r="F10729" s="13"/>
      <c r="M10729" s="13"/>
    </row>
    <row r="10730">
      <c r="F10730" s="13"/>
      <c r="M10730" s="13"/>
    </row>
    <row r="10731">
      <c r="F10731" s="13"/>
      <c r="M10731" s="13"/>
    </row>
    <row r="10732">
      <c r="F10732" s="13"/>
      <c r="M10732" s="13"/>
    </row>
    <row r="10733">
      <c r="F10733" s="13"/>
      <c r="M10733" s="13"/>
    </row>
    <row r="10734">
      <c r="F10734" s="13"/>
      <c r="M10734" s="13"/>
    </row>
    <row r="10735">
      <c r="F10735" s="13"/>
      <c r="M10735" s="13"/>
    </row>
    <row r="10736">
      <c r="F10736" s="13"/>
      <c r="M10736" s="13"/>
    </row>
    <row r="10737">
      <c r="F10737" s="13"/>
      <c r="M10737" s="13"/>
    </row>
    <row r="10738">
      <c r="F10738" s="13"/>
      <c r="M10738" s="13"/>
    </row>
    <row r="10739">
      <c r="F10739" s="13"/>
      <c r="M10739" s="13"/>
    </row>
    <row r="10740">
      <c r="F10740" s="13"/>
      <c r="M10740" s="13"/>
    </row>
    <row r="10741">
      <c r="F10741" s="13"/>
      <c r="M10741" s="13"/>
    </row>
    <row r="10742">
      <c r="F10742" s="13"/>
      <c r="M10742" s="13"/>
    </row>
    <row r="10743">
      <c r="F10743" s="13"/>
      <c r="M10743" s="13"/>
    </row>
    <row r="10744">
      <c r="F10744" s="13"/>
      <c r="M10744" s="13"/>
    </row>
    <row r="10745">
      <c r="F10745" s="13"/>
      <c r="M10745" s="13"/>
    </row>
    <row r="10746">
      <c r="F10746" s="13"/>
      <c r="M10746" s="13"/>
    </row>
    <row r="10747">
      <c r="F10747" s="13"/>
      <c r="M10747" s="13"/>
    </row>
    <row r="10748">
      <c r="F10748" s="13"/>
      <c r="M10748" s="13"/>
    </row>
    <row r="10749">
      <c r="F10749" s="13"/>
      <c r="M10749" s="13"/>
    </row>
    <row r="10750">
      <c r="F10750" s="13"/>
      <c r="M10750" s="13"/>
    </row>
    <row r="10751">
      <c r="F10751" s="13"/>
      <c r="M10751" s="13"/>
    </row>
    <row r="10752">
      <c r="F10752" s="13"/>
      <c r="M10752" s="13"/>
    </row>
    <row r="10753">
      <c r="F10753" s="13"/>
      <c r="M10753" s="13"/>
    </row>
    <row r="10754">
      <c r="F10754" s="13"/>
      <c r="M10754" s="13"/>
    </row>
    <row r="10755">
      <c r="F10755" s="13"/>
      <c r="M10755" s="13"/>
    </row>
    <row r="10756">
      <c r="F10756" s="13"/>
      <c r="M10756" s="13"/>
    </row>
    <row r="10757">
      <c r="F10757" s="13"/>
      <c r="M10757" s="13"/>
    </row>
    <row r="10758">
      <c r="F10758" s="13"/>
      <c r="M10758" s="13"/>
    </row>
    <row r="10759">
      <c r="F10759" s="13"/>
      <c r="M10759" s="13"/>
    </row>
    <row r="10760">
      <c r="F10760" s="13"/>
      <c r="M10760" s="13"/>
    </row>
    <row r="10761">
      <c r="F10761" s="13"/>
      <c r="M10761" s="13"/>
    </row>
    <row r="10762">
      <c r="F10762" s="13"/>
      <c r="M10762" s="13"/>
    </row>
    <row r="10763">
      <c r="F10763" s="13"/>
      <c r="M10763" s="13"/>
    </row>
    <row r="10764">
      <c r="F10764" s="13"/>
      <c r="M10764" s="13"/>
    </row>
    <row r="10765">
      <c r="F10765" s="13"/>
      <c r="M10765" s="13"/>
    </row>
    <row r="10766">
      <c r="F10766" s="13"/>
      <c r="M10766" s="13"/>
    </row>
    <row r="10767">
      <c r="F10767" s="13"/>
      <c r="M10767" s="13"/>
    </row>
    <row r="10768">
      <c r="F10768" s="13"/>
      <c r="M10768" s="13"/>
    </row>
    <row r="10769">
      <c r="F10769" s="13"/>
      <c r="M10769" s="13"/>
    </row>
    <row r="10770">
      <c r="F10770" s="13"/>
      <c r="M10770" s="13"/>
    </row>
    <row r="10771">
      <c r="F10771" s="13"/>
      <c r="M10771" s="13"/>
    </row>
    <row r="10772">
      <c r="F10772" s="13"/>
      <c r="M10772" s="13"/>
    </row>
    <row r="10773">
      <c r="F10773" s="13"/>
      <c r="M10773" s="13"/>
    </row>
    <row r="10774">
      <c r="F10774" s="13"/>
      <c r="M10774" s="13"/>
    </row>
    <row r="10775">
      <c r="F10775" s="13"/>
      <c r="M10775" s="13"/>
    </row>
    <row r="10776">
      <c r="F10776" s="13"/>
      <c r="M10776" s="13"/>
    </row>
    <row r="10777">
      <c r="F10777" s="13"/>
      <c r="M10777" s="13"/>
    </row>
    <row r="10778">
      <c r="F10778" s="13"/>
      <c r="M10778" s="13"/>
    </row>
    <row r="10779">
      <c r="F10779" s="13"/>
      <c r="M10779" s="13"/>
    </row>
    <row r="10780">
      <c r="F10780" s="13"/>
      <c r="M10780" s="13"/>
    </row>
    <row r="10781">
      <c r="F10781" s="13"/>
      <c r="M10781" s="13"/>
    </row>
    <row r="10782">
      <c r="F10782" s="13"/>
      <c r="M10782" s="13"/>
    </row>
    <row r="10783">
      <c r="F10783" s="13"/>
      <c r="M10783" s="13"/>
    </row>
    <row r="10784">
      <c r="F10784" s="13"/>
      <c r="M10784" s="13"/>
    </row>
    <row r="10785">
      <c r="F10785" s="13"/>
      <c r="M10785" s="13"/>
    </row>
    <row r="10786">
      <c r="F10786" s="13"/>
      <c r="M10786" s="13"/>
    </row>
    <row r="10787">
      <c r="F10787" s="13"/>
      <c r="M10787" s="13"/>
    </row>
    <row r="10788">
      <c r="F10788" s="13"/>
      <c r="M10788" s="13"/>
    </row>
    <row r="10789">
      <c r="F10789" s="13"/>
      <c r="M10789" s="13"/>
    </row>
    <row r="10790">
      <c r="F10790" s="13"/>
      <c r="M10790" s="13"/>
    </row>
    <row r="10791">
      <c r="F10791" s="13"/>
      <c r="M10791" s="13"/>
    </row>
    <row r="10792">
      <c r="F10792" s="13"/>
      <c r="M10792" s="13"/>
    </row>
    <row r="10793">
      <c r="F10793" s="13"/>
      <c r="M10793" s="13"/>
    </row>
    <row r="10794">
      <c r="F10794" s="13"/>
      <c r="M10794" s="13"/>
    </row>
    <row r="10795">
      <c r="F10795" s="13"/>
      <c r="M10795" s="13"/>
    </row>
    <row r="10796">
      <c r="F10796" s="13"/>
      <c r="M10796" s="13"/>
    </row>
    <row r="10797">
      <c r="F10797" s="13"/>
      <c r="M10797" s="13"/>
    </row>
    <row r="10798">
      <c r="F10798" s="13"/>
      <c r="M10798" s="13"/>
    </row>
    <row r="10799">
      <c r="F10799" s="13"/>
      <c r="M10799" s="13"/>
    </row>
    <row r="10800">
      <c r="F10800" s="13"/>
      <c r="M10800" s="13"/>
    </row>
    <row r="10801">
      <c r="F10801" s="13"/>
      <c r="M10801" s="13"/>
    </row>
    <row r="10802">
      <c r="F10802" s="13"/>
      <c r="M10802" s="13"/>
    </row>
    <row r="10803">
      <c r="F10803" s="13"/>
      <c r="M10803" s="13"/>
    </row>
    <row r="10804">
      <c r="F10804" s="13"/>
      <c r="M10804" s="13"/>
    </row>
    <row r="10805">
      <c r="F10805" s="13"/>
      <c r="M10805" s="13"/>
    </row>
    <row r="10806">
      <c r="F10806" s="13"/>
      <c r="M10806" s="13"/>
    </row>
    <row r="10807">
      <c r="F10807" s="13"/>
      <c r="M10807" s="13"/>
    </row>
    <row r="10808">
      <c r="F10808" s="13"/>
      <c r="M10808" s="13"/>
    </row>
    <row r="10809">
      <c r="F10809" s="13"/>
      <c r="M10809" s="13"/>
    </row>
    <row r="10810">
      <c r="F10810" s="13"/>
      <c r="M10810" s="13"/>
    </row>
    <row r="10811">
      <c r="F10811" s="13"/>
      <c r="M10811" s="13"/>
    </row>
    <row r="10812">
      <c r="F10812" s="13"/>
      <c r="M10812" s="13"/>
    </row>
    <row r="10813">
      <c r="F10813" s="13"/>
      <c r="M10813" s="13"/>
    </row>
    <row r="10814">
      <c r="F10814" s="13"/>
      <c r="M10814" s="13"/>
    </row>
    <row r="10815">
      <c r="F10815" s="13"/>
      <c r="M10815" s="13"/>
    </row>
    <row r="10816">
      <c r="F10816" s="13"/>
      <c r="M10816" s="13"/>
    </row>
    <row r="10817">
      <c r="F10817" s="13"/>
      <c r="M10817" s="13"/>
    </row>
    <row r="10818">
      <c r="F10818" s="13"/>
      <c r="M10818" s="13"/>
    </row>
    <row r="10819">
      <c r="F10819" s="13"/>
      <c r="M10819" s="13"/>
    </row>
    <row r="10820">
      <c r="F10820" s="13"/>
      <c r="M10820" s="13"/>
    </row>
    <row r="10821">
      <c r="F10821" s="13"/>
      <c r="M10821" s="13"/>
    </row>
    <row r="10822">
      <c r="F10822" s="13"/>
      <c r="M10822" s="13"/>
    </row>
    <row r="10823">
      <c r="F10823" s="13"/>
      <c r="M10823" s="13"/>
    </row>
    <row r="10824">
      <c r="F10824" s="13"/>
      <c r="M10824" s="13"/>
    </row>
    <row r="10825">
      <c r="F10825" s="13"/>
      <c r="M10825" s="13"/>
    </row>
    <row r="10826">
      <c r="F10826" s="13"/>
      <c r="M10826" s="13"/>
    </row>
    <row r="10827">
      <c r="F10827" s="13"/>
      <c r="M10827" s="13"/>
    </row>
    <row r="10828">
      <c r="F10828" s="13"/>
      <c r="M10828" s="13"/>
    </row>
    <row r="10829">
      <c r="F10829" s="13"/>
      <c r="M10829" s="13"/>
    </row>
    <row r="10830">
      <c r="F10830" s="13"/>
      <c r="M10830" s="13"/>
    </row>
    <row r="10831">
      <c r="F10831" s="13"/>
      <c r="M10831" s="13"/>
    </row>
    <row r="10832">
      <c r="F10832" s="13"/>
      <c r="M10832" s="13"/>
    </row>
    <row r="10833">
      <c r="F10833" s="13"/>
      <c r="M10833" s="13"/>
    </row>
    <row r="10834">
      <c r="F10834" s="13"/>
      <c r="M10834" s="13"/>
    </row>
    <row r="10835">
      <c r="F10835" s="13"/>
      <c r="M10835" s="13"/>
    </row>
    <row r="10836">
      <c r="F10836" s="13"/>
      <c r="M10836" s="13"/>
    </row>
    <row r="10837">
      <c r="F10837" s="13"/>
      <c r="M10837" s="13"/>
    </row>
    <row r="10838">
      <c r="F10838" s="13"/>
      <c r="M10838" s="13"/>
    </row>
    <row r="10839">
      <c r="F10839" s="13"/>
      <c r="M10839" s="13"/>
    </row>
    <row r="10840">
      <c r="F10840" s="13"/>
      <c r="M10840" s="13"/>
    </row>
    <row r="10841">
      <c r="F10841" s="13"/>
      <c r="M10841" s="13"/>
    </row>
    <row r="10842">
      <c r="F10842" s="13"/>
      <c r="M10842" s="13"/>
    </row>
    <row r="10843">
      <c r="F10843" s="13"/>
      <c r="M10843" s="13"/>
    </row>
    <row r="10844">
      <c r="F10844" s="13"/>
      <c r="M10844" s="13"/>
    </row>
    <row r="10845">
      <c r="F10845" s="13"/>
      <c r="M10845" s="13"/>
    </row>
    <row r="10846">
      <c r="F10846" s="13"/>
      <c r="M10846" s="13"/>
    </row>
    <row r="10847">
      <c r="F10847" s="13"/>
      <c r="M10847" s="13"/>
    </row>
    <row r="10848">
      <c r="F10848" s="13"/>
      <c r="M10848" s="13"/>
    </row>
    <row r="10849">
      <c r="F10849" s="13"/>
      <c r="M10849" s="13"/>
    </row>
    <row r="10850">
      <c r="F10850" s="13"/>
      <c r="M10850" s="13"/>
    </row>
    <row r="10851">
      <c r="F10851" s="13"/>
      <c r="M10851" s="13"/>
    </row>
    <row r="10852">
      <c r="F10852" s="13"/>
      <c r="M10852" s="13"/>
    </row>
    <row r="10853">
      <c r="F10853" s="13"/>
      <c r="M10853" s="13"/>
    </row>
    <row r="10854">
      <c r="F10854" s="13"/>
      <c r="M10854" s="13"/>
    </row>
    <row r="10855">
      <c r="F10855" s="13"/>
      <c r="M10855" s="13"/>
    </row>
    <row r="10856">
      <c r="F10856" s="13"/>
      <c r="M10856" s="13"/>
    </row>
    <row r="10857">
      <c r="F10857" s="13"/>
      <c r="M10857" s="13"/>
    </row>
    <row r="10858">
      <c r="F10858" s="13"/>
      <c r="M10858" s="13"/>
    </row>
    <row r="10859">
      <c r="F10859" s="13"/>
      <c r="M10859" s="13"/>
    </row>
    <row r="10860">
      <c r="F10860" s="13"/>
      <c r="M10860" s="13"/>
    </row>
    <row r="10861">
      <c r="F10861" s="13"/>
      <c r="M10861" s="13"/>
    </row>
    <row r="10862">
      <c r="F10862" s="13"/>
      <c r="M10862" s="13"/>
    </row>
    <row r="10863">
      <c r="F10863" s="13"/>
      <c r="M10863" s="13"/>
    </row>
    <row r="10864">
      <c r="F10864" s="13"/>
      <c r="M10864" s="13"/>
    </row>
    <row r="10865">
      <c r="F10865" s="13"/>
      <c r="M10865" s="13"/>
    </row>
    <row r="10866">
      <c r="F10866" s="13"/>
      <c r="M10866" s="13"/>
    </row>
    <row r="10867">
      <c r="F10867" s="13"/>
      <c r="M10867" s="13"/>
    </row>
    <row r="10868">
      <c r="F10868" s="13"/>
      <c r="M10868" s="13"/>
    </row>
    <row r="10869">
      <c r="F10869" s="13"/>
      <c r="M10869" s="13"/>
    </row>
    <row r="10870">
      <c r="F10870" s="13"/>
      <c r="M10870" s="13"/>
    </row>
    <row r="10871">
      <c r="F10871" s="13"/>
      <c r="M10871" s="13"/>
    </row>
    <row r="10872">
      <c r="F10872" s="13"/>
      <c r="M10872" s="13"/>
    </row>
    <row r="10873">
      <c r="F10873" s="13"/>
      <c r="M10873" s="13"/>
    </row>
    <row r="10874">
      <c r="F10874" s="13"/>
      <c r="M10874" s="13"/>
    </row>
    <row r="10875">
      <c r="F10875" s="13"/>
      <c r="M10875" s="13"/>
    </row>
    <row r="10876">
      <c r="F10876" s="13"/>
      <c r="M10876" s="13"/>
    </row>
    <row r="10877">
      <c r="F10877" s="13"/>
      <c r="M10877" s="13"/>
    </row>
    <row r="10878">
      <c r="F10878" s="13"/>
      <c r="M10878" s="13"/>
    </row>
    <row r="10879">
      <c r="F10879" s="13"/>
      <c r="M10879" s="13"/>
    </row>
    <row r="10880">
      <c r="F10880" s="13"/>
      <c r="M10880" s="13"/>
    </row>
    <row r="10881">
      <c r="F10881" s="13"/>
      <c r="M10881" s="13"/>
    </row>
    <row r="10882">
      <c r="F10882" s="13"/>
      <c r="M10882" s="13"/>
    </row>
    <row r="10883">
      <c r="F10883" s="13"/>
      <c r="M10883" s="13"/>
    </row>
    <row r="10884">
      <c r="F10884" s="13"/>
      <c r="M10884" s="13"/>
    </row>
    <row r="10885">
      <c r="F10885" s="13"/>
      <c r="M10885" s="13"/>
    </row>
    <row r="10886">
      <c r="F10886" s="13"/>
      <c r="M10886" s="13"/>
    </row>
    <row r="10887">
      <c r="F10887" s="13"/>
      <c r="M10887" s="13"/>
    </row>
    <row r="10888">
      <c r="F10888" s="13"/>
      <c r="M10888" s="13"/>
    </row>
    <row r="10889">
      <c r="F10889" s="13"/>
      <c r="M10889" s="13"/>
    </row>
    <row r="10890">
      <c r="F10890" s="13"/>
      <c r="M10890" s="13"/>
    </row>
    <row r="10891">
      <c r="F10891" s="13"/>
      <c r="M10891" s="13"/>
    </row>
    <row r="10892">
      <c r="F10892" s="13"/>
      <c r="M10892" s="13"/>
    </row>
    <row r="10893">
      <c r="F10893" s="13"/>
      <c r="M10893" s="13"/>
    </row>
    <row r="10894">
      <c r="F10894" s="13"/>
      <c r="M10894" s="13"/>
    </row>
    <row r="10895">
      <c r="F10895" s="13"/>
      <c r="M10895" s="13"/>
    </row>
    <row r="10896">
      <c r="F10896" s="13"/>
      <c r="M10896" s="13"/>
    </row>
    <row r="10897">
      <c r="F10897" s="13"/>
      <c r="M10897" s="13"/>
    </row>
    <row r="10898">
      <c r="F10898" s="13"/>
      <c r="M10898" s="13"/>
    </row>
    <row r="10899">
      <c r="F10899" s="13"/>
      <c r="M10899" s="13"/>
    </row>
    <row r="10900">
      <c r="F10900" s="13"/>
      <c r="M10900" s="13"/>
    </row>
    <row r="10901">
      <c r="F10901" s="13"/>
      <c r="M10901" s="13"/>
    </row>
    <row r="10902">
      <c r="F10902" s="13"/>
      <c r="M10902" s="13"/>
    </row>
    <row r="10903">
      <c r="F10903" s="13"/>
      <c r="M10903" s="13"/>
    </row>
    <row r="10904">
      <c r="F10904" s="13"/>
      <c r="M10904" s="13"/>
    </row>
    <row r="10905">
      <c r="F10905" s="13"/>
      <c r="M10905" s="13"/>
    </row>
    <row r="10906">
      <c r="F10906" s="13"/>
      <c r="M10906" s="13"/>
    </row>
    <row r="10907">
      <c r="F10907" s="13"/>
      <c r="M10907" s="13"/>
    </row>
    <row r="10908">
      <c r="F10908" s="13"/>
      <c r="M10908" s="13"/>
    </row>
    <row r="10909">
      <c r="F10909" s="13"/>
      <c r="M10909" s="13"/>
    </row>
    <row r="10910">
      <c r="F10910" s="13"/>
      <c r="M10910" s="13"/>
    </row>
    <row r="10911">
      <c r="F10911" s="13"/>
      <c r="M10911" s="13"/>
    </row>
    <row r="10912">
      <c r="F10912" s="13"/>
      <c r="M10912" s="13"/>
    </row>
    <row r="10913">
      <c r="F10913" s="13"/>
      <c r="M10913" s="13"/>
    </row>
    <row r="10914">
      <c r="F10914" s="13"/>
      <c r="M10914" s="13"/>
    </row>
    <row r="10915">
      <c r="F10915" s="13"/>
      <c r="M10915" s="13"/>
    </row>
    <row r="10916">
      <c r="F10916" s="13"/>
      <c r="M10916" s="13"/>
    </row>
    <row r="10917">
      <c r="F10917" s="13"/>
      <c r="M10917" s="13"/>
    </row>
    <row r="10918">
      <c r="F10918" s="13"/>
      <c r="M10918" s="13"/>
    </row>
    <row r="10919">
      <c r="F10919" s="13"/>
      <c r="M10919" s="13"/>
    </row>
    <row r="10920">
      <c r="F10920" s="13"/>
      <c r="M10920" s="13"/>
    </row>
    <row r="10921">
      <c r="F10921" s="13"/>
      <c r="M10921" s="13"/>
    </row>
    <row r="10922">
      <c r="F10922" s="13"/>
      <c r="M10922" s="13"/>
    </row>
    <row r="10923">
      <c r="F10923" s="13"/>
      <c r="M10923" s="13"/>
    </row>
    <row r="10924">
      <c r="F10924" s="13"/>
      <c r="M10924" s="13"/>
    </row>
    <row r="10925">
      <c r="F10925" s="13"/>
      <c r="M10925" s="13"/>
    </row>
    <row r="10926">
      <c r="F10926" s="13"/>
      <c r="M10926" s="13"/>
    </row>
    <row r="10927">
      <c r="F10927" s="13"/>
      <c r="M10927" s="13"/>
    </row>
    <row r="10928">
      <c r="F10928" s="13"/>
      <c r="M10928" s="13"/>
    </row>
    <row r="10929">
      <c r="F10929" s="13"/>
      <c r="M10929" s="13"/>
    </row>
    <row r="10930">
      <c r="F10930" s="13"/>
      <c r="M10930" s="13"/>
    </row>
    <row r="10931">
      <c r="F10931" s="13"/>
      <c r="M10931" s="13"/>
    </row>
    <row r="10932">
      <c r="F10932" s="13"/>
      <c r="M10932" s="13"/>
    </row>
    <row r="10933">
      <c r="F10933" s="13"/>
      <c r="M10933" s="13"/>
    </row>
    <row r="10934">
      <c r="F10934" s="13"/>
      <c r="M10934" s="13"/>
    </row>
    <row r="10935">
      <c r="F10935" s="13"/>
      <c r="M10935" s="13"/>
    </row>
    <row r="10936">
      <c r="F10936" s="13"/>
      <c r="M10936" s="13"/>
    </row>
    <row r="10937">
      <c r="F10937" s="13"/>
      <c r="M10937" s="13"/>
    </row>
    <row r="10938">
      <c r="F10938" s="13"/>
      <c r="M10938" s="13"/>
    </row>
    <row r="10939">
      <c r="F10939" s="13"/>
      <c r="M10939" s="13"/>
    </row>
    <row r="10940">
      <c r="F10940" s="13"/>
      <c r="M10940" s="13"/>
    </row>
    <row r="10941">
      <c r="F10941" s="13"/>
      <c r="M10941" s="13"/>
    </row>
    <row r="10942">
      <c r="F10942" s="13"/>
      <c r="M10942" s="13"/>
    </row>
    <row r="10943">
      <c r="F10943" s="13"/>
      <c r="M10943" s="13"/>
    </row>
    <row r="10944">
      <c r="F10944" s="13"/>
      <c r="M10944" s="13"/>
    </row>
    <row r="10945">
      <c r="F10945" s="13"/>
      <c r="M10945" s="13"/>
    </row>
    <row r="10946">
      <c r="F10946" s="13"/>
      <c r="M10946" s="13"/>
    </row>
    <row r="10947">
      <c r="F10947" s="13"/>
      <c r="M10947" s="13"/>
    </row>
    <row r="10948">
      <c r="F10948" s="13"/>
      <c r="M10948" s="13"/>
    </row>
    <row r="10949">
      <c r="F10949" s="13"/>
      <c r="M10949" s="13"/>
    </row>
    <row r="10950">
      <c r="F10950" s="13"/>
      <c r="M10950" s="13"/>
    </row>
    <row r="10951">
      <c r="F10951" s="13"/>
      <c r="M10951" s="13"/>
    </row>
    <row r="10952">
      <c r="F10952" s="13"/>
      <c r="M10952" s="13"/>
    </row>
    <row r="10953">
      <c r="F10953" s="13"/>
      <c r="M10953" s="13"/>
    </row>
    <row r="10954">
      <c r="F10954" s="13"/>
      <c r="M10954" s="13"/>
    </row>
    <row r="10955">
      <c r="F10955" s="13"/>
      <c r="M10955" s="13"/>
    </row>
    <row r="10956">
      <c r="F10956" s="13"/>
      <c r="M10956" s="13"/>
    </row>
    <row r="10957">
      <c r="F10957" s="13"/>
      <c r="M10957" s="13"/>
    </row>
    <row r="10958">
      <c r="F10958" s="13"/>
      <c r="M10958" s="13"/>
    </row>
    <row r="10959">
      <c r="F10959" s="13"/>
      <c r="M10959" s="13"/>
    </row>
    <row r="10960">
      <c r="F10960" s="13"/>
      <c r="M10960" s="13"/>
    </row>
    <row r="10961">
      <c r="F10961" s="13"/>
      <c r="M10961" s="13"/>
    </row>
    <row r="10962">
      <c r="F10962" s="13"/>
      <c r="M10962" s="13"/>
    </row>
    <row r="10963">
      <c r="F10963" s="13"/>
      <c r="M10963" s="13"/>
    </row>
    <row r="10964">
      <c r="F10964" s="13"/>
      <c r="M10964" s="13"/>
    </row>
    <row r="10965">
      <c r="F10965" s="13"/>
      <c r="M10965" s="13"/>
    </row>
    <row r="10966">
      <c r="F10966" s="13"/>
      <c r="M10966" s="13"/>
    </row>
    <row r="10967">
      <c r="F10967" s="13"/>
      <c r="M10967" s="13"/>
    </row>
    <row r="10968">
      <c r="F10968" s="13"/>
      <c r="M10968" s="13"/>
    </row>
    <row r="10969">
      <c r="F10969" s="13"/>
      <c r="M10969" s="13"/>
    </row>
    <row r="10970">
      <c r="F10970" s="13"/>
      <c r="M10970" s="13"/>
    </row>
    <row r="10971">
      <c r="F10971" s="13"/>
      <c r="M10971" s="13"/>
    </row>
    <row r="10972">
      <c r="F10972" s="13"/>
      <c r="M10972" s="13"/>
    </row>
    <row r="10973">
      <c r="F10973" s="13"/>
      <c r="M10973" s="13"/>
    </row>
    <row r="10974">
      <c r="F10974" s="13"/>
      <c r="M10974" s="13"/>
    </row>
    <row r="10975">
      <c r="F10975" s="13"/>
      <c r="M10975" s="13"/>
    </row>
    <row r="10976">
      <c r="F10976" s="13"/>
      <c r="M10976" s="13"/>
    </row>
    <row r="10977">
      <c r="F10977" s="13"/>
      <c r="M10977" s="13"/>
    </row>
    <row r="10978">
      <c r="F10978" s="13"/>
      <c r="M10978" s="13"/>
    </row>
    <row r="10979">
      <c r="F10979" s="13"/>
      <c r="M10979" s="13"/>
    </row>
    <row r="10980">
      <c r="F10980" s="13"/>
      <c r="M10980" s="13"/>
    </row>
    <row r="10981">
      <c r="F10981" s="13"/>
      <c r="M10981" s="13"/>
    </row>
    <row r="10982">
      <c r="F10982" s="13"/>
      <c r="M10982" s="13"/>
    </row>
    <row r="10983">
      <c r="F10983" s="13"/>
      <c r="M10983" s="13"/>
    </row>
    <row r="10984">
      <c r="F10984" s="13"/>
      <c r="M10984" s="13"/>
    </row>
    <row r="10985">
      <c r="F10985" s="13"/>
      <c r="M10985" s="13"/>
    </row>
    <row r="10986">
      <c r="F10986" s="13"/>
      <c r="M10986" s="13"/>
    </row>
    <row r="10987">
      <c r="F10987" s="13"/>
      <c r="M10987" s="13"/>
    </row>
    <row r="10988">
      <c r="F10988" s="13"/>
      <c r="M10988" s="13"/>
    </row>
    <row r="10989">
      <c r="F10989" s="13"/>
      <c r="M10989" s="13"/>
    </row>
    <row r="10990">
      <c r="F10990" s="13"/>
      <c r="M10990" s="13"/>
    </row>
    <row r="10991">
      <c r="F10991" s="13"/>
      <c r="M10991" s="13"/>
    </row>
    <row r="10992">
      <c r="F10992" s="13"/>
      <c r="M10992" s="13"/>
    </row>
    <row r="10993">
      <c r="F10993" s="13"/>
      <c r="M10993" s="13"/>
    </row>
    <row r="10994">
      <c r="F10994" s="13"/>
      <c r="M10994" s="13"/>
    </row>
    <row r="10995">
      <c r="F10995" s="13"/>
      <c r="M10995" s="13"/>
    </row>
    <row r="10996">
      <c r="F10996" s="13"/>
      <c r="M10996" s="13"/>
    </row>
    <row r="10997">
      <c r="F10997" s="13"/>
      <c r="M10997" s="13"/>
    </row>
    <row r="10998">
      <c r="F10998" s="13"/>
      <c r="M10998" s="13"/>
    </row>
    <row r="10999">
      <c r="F10999" s="13"/>
      <c r="M10999" s="13"/>
    </row>
    <row r="11000">
      <c r="F11000" s="13"/>
      <c r="M11000" s="13"/>
    </row>
    <row r="11001">
      <c r="F11001" s="13"/>
      <c r="M11001" s="13"/>
    </row>
    <row r="11002">
      <c r="F11002" s="13"/>
      <c r="M11002" s="13"/>
    </row>
    <row r="11003">
      <c r="F11003" s="13"/>
      <c r="M11003" s="13"/>
    </row>
    <row r="11004">
      <c r="F11004" s="13"/>
      <c r="M11004" s="13"/>
    </row>
    <row r="11005">
      <c r="F11005" s="13"/>
      <c r="M11005" s="13"/>
    </row>
    <row r="11006">
      <c r="F11006" s="13"/>
      <c r="M11006" s="13"/>
    </row>
    <row r="11007">
      <c r="F11007" s="13"/>
      <c r="M11007" s="13"/>
    </row>
    <row r="11008">
      <c r="F11008" s="13"/>
      <c r="M11008" s="13"/>
    </row>
    <row r="11009">
      <c r="F11009" s="13"/>
      <c r="M11009" s="13"/>
    </row>
    <row r="11010">
      <c r="F11010" s="13"/>
      <c r="M11010" s="13"/>
    </row>
    <row r="11011">
      <c r="F11011" s="13"/>
      <c r="M11011" s="13"/>
    </row>
    <row r="11012">
      <c r="F11012" s="13"/>
      <c r="M11012" s="13"/>
    </row>
    <row r="11013">
      <c r="F11013" s="13"/>
      <c r="M11013" s="13"/>
    </row>
    <row r="11014">
      <c r="F11014" s="13"/>
      <c r="M11014" s="13"/>
    </row>
    <row r="11015">
      <c r="F11015" s="13"/>
      <c r="M11015" s="13"/>
    </row>
    <row r="11016">
      <c r="F11016" s="13"/>
      <c r="M11016" s="13"/>
    </row>
    <row r="11017">
      <c r="F11017" s="13"/>
      <c r="M11017" s="13"/>
    </row>
    <row r="11018">
      <c r="F11018" s="13"/>
      <c r="M11018" s="13"/>
    </row>
    <row r="11019">
      <c r="F11019" s="13"/>
      <c r="M11019" s="13"/>
    </row>
    <row r="11020">
      <c r="F11020" s="13"/>
      <c r="M11020" s="13"/>
    </row>
    <row r="11021">
      <c r="F11021" s="13"/>
      <c r="M11021" s="13"/>
    </row>
    <row r="11022">
      <c r="F11022" s="13"/>
      <c r="M11022" s="13"/>
    </row>
    <row r="11023">
      <c r="F11023" s="13"/>
      <c r="M11023" s="13"/>
    </row>
    <row r="11024">
      <c r="F11024" s="13"/>
      <c r="M11024" s="13"/>
    </row>
    <row r="11025">
      <c r="F11025" s="13"/>
      <c r="M11025" s="13"/>
    </row>
    <row r="11026">
      <c r="F11026" s="13"/>
      <c r="M11026" s="13"/>
    </row>
    <row r="11027">
      <c r="F11027" s="13"/>
      <c r="M11027" s="13"/>
    </row>
    <row r="11028">
      <c r="F11028" s="13"/>
      <c r="M11028" s="13"/>
    </row>
    <row r="11029">
      <c r="F11029" s="13"/>
      <c r="M11029" s="13"/>
    </row>
    <row r="11030">
      <c r="F11030" s="13"/>
      <c r="M11030" s="13"/>
    </row>
    <row r="11031">
      <c r="F11031" s="13"/>
      <c r="M11031" s="13"/>
    </row>
    <row r="11032">
      <c r="F11032" s="13"/>
      <c r="M11032" s="13"/>
    </row>
    <row r="11033">
      <c r="F11033" s="13"/>
      <c r="M11033" s="13"/>
    </row>
    <row r="11034">
      <c r="F11034" s="13"/>
      <c r="M11034" s="13"/>
    </row>
    <row r="11035">
      <c r="F11035" s="13"/>
      <c r="M11035" s="13"/>
    </row>
    <row r="11036">
      <c r="F11036" s="13"/>
      <c r="M11036" s="13"/>
    </row>
    <row r="11037">
      <c r="F11037" s="13"/>
      <c r="M11037" s="13"/>
    </row>
    <row r="11038">
      <c r="F11038" s="13"/>
      <c r="M11038" s="13"/>
    </row>
    <row r="11039">
      <c r="F11039" s="13"/>
      <c r="M11039" s="13"/>
    </row>
    <row r="11040">
      <c r="F11040" s="13"/>
      <c r="M11040" s="13"/>
    </row>
    <row r="11041">
      <c r="F11041" s="13"/>
      <c r="M11041" s="13"/>
    </row>
    <row r="11042">
      <c r="F11042" s="13"/>
      <c r="M11042" s="13"/>
    </row>
    <row r="11043">
      <c r="F11043" s="13"/>
      <c r="M11043" s="13"/>
    </row>
    <row r="11044">
      <c r="F11044" s="13"/>
      <c r="M11044" s="13"/>
    </row>
    <row r="11045">
      <c r="F11045" s="13"/>
      <c r="M11045" s="13"/>
    </row>
    <row r="11046">
      <c r="F11046" s="13"/>
      <c r="M11046" s="13"/>
    </row>
    <row r="11047">
      <c r="F11047" s="13"/>
      <c r="M11047" s="13"/>
    </row>
    <row r="11048">
      <c r="F11048" s="13"/>
      <c r="M11048" s="13"/>
    </row>
    <row r="11049">
      <c r="F11049" s="13"/>
      <c r="M11049" s="13"/>
    </row>
    <row r="11050">
      <c r="F11050" s="13"/>
      <c r="M11050" s="13"/>
    </row>
    <row r="11051">
      <c r="F11051" s="13"/>
      <c r="M11051" s="13"/>
    </row>
    <row r="11052">
      <c r="F11052" s="13"/>
      <c r="M11052" s="13"/>
    </row>
    <row r="11053">
      <c r="F11053" s="13"/>
      <c r="M11053" s="13"/>
    </row>
    <row r="11054">
      <c r="F11054" s="13"/>
      <c r="M11054" s="13"/>
    </row>
    <row r="11055">
      <c r="F11055" s="13"/>
      <c r="M11055" s="13"/>
    </row>
    <row r="11056">
      <c r="F11056" s="13"/>
      <c r="M11056" s="13"/>
    </row>
    <row r="11057">
      <c r="F11057" s="13"/>
      <c r="M11057" s="13"/>
    </row>
    <row r="11058">
      <c r="F11058" s="13"/>
      <c r="M11058" s="13"/>
    </row>
    <row r="11059">
      <c r="F11059" s="13"/>
      <c r="M11059" s="13"/>
    </row>
    <row r="11060">
      <c r="F11060" s="13"/>
      <c r="M11060" s="13"/>
    </row>
    <row r="11061">
      <c r="F11061" s="13"/>
      <c r="M11061" s="13"/>
    </row>
    <row r="11062">
      <c r="F11062" s="13"/>
      <c r="M11062" s="13"/>
    </row>
    <row r="11063">
      <c r="F11063" s="13"/>
      <c r="M11063" s="13"/>
    </row>
    <row r="11064">
      <c r="F11064" s="13"/>
      <c r="M11064" s="13"/>
    </row>
    <row r="11065">
      <c r="F11065" s="13"/>
      <c r="M11065" s="13"/>
    </row>
    <row r="11066">
      <c r="F11066" s="13"/>
      <c r="M11066" s="13"/>
    </row>
    <row r="11067">
      <c r="F11067" s="13"/>
      <c r="M11067" s="13"/>
    </row>
    <row r="11068">
      <c r="F11068" s="13"/>
      <c r="M11068" s="13"/>
    </row>
    <row r="11069">
      <c r="F11069" s="13"/>
      <c r="M11069" s="13"/>
    </row>
    <row r="11070">
      <c r="F11070" s="13"/>
      <c r="M11070" s="13"/>
    </row>
    <row r="11071">
      <c r="F11071" s="13"/>
      <c r="M11071" s="13"/>
    </row>
    <row r="11072">
      <c r="F11072" s="13"/>
      <c r="M11072" s="13"/>
    </row>
    <row r="11073">
      <c r="F11073" s="13"/>
      <c r="M11073" s="13"/>
    </row>
    <row r="11074">
      <c r="F11074" s="13"/>
      <c r="M11074" s="13"/>
    </row>
    <row r="11075">
      <c r="F11075" s="13"/>
      <c r="M11075" s="13"/>
    </row>
    <row r="11076">
      <c r="F11076" s="13"/>
      <c r="M11076" s="13"/>
    </row>
    <row r="11077">
      <c r="F11077" s="13"/>
      <c r="M11077" s="13"/>
    </row>
    <row r="11078">
      <c r="F11078" s="13"/>
      <c r="M11078" s="13"/>
    </row>
    <row r="11079">
      <c r="F11079" s="13"/>
      <c r="M11079" s="13"/>
    </row>
    <row r="11080">
      <c r="F11080" s="13"/>
      <c r="M11080" s="13"/>
    </row>
    <row r="11081">
      <c r="F11081" s="13"/>
      <c r="M11081" s="13"/>
    </row>
    <row r="11082">
      <c r="F11082" s="13"/>
      <c r="M11082" s="13"/>
    </row>
    <row r="11083">
      <c r="F11083" s="13"/>
      <c r="M11083" s="13"/>
    </row>
    <row r="11084">
      <c r="F11084" s="13"/>
      <c r="M11084" s="13"/>
    </row>
    <row r="11085">
      <c r="F11085" s="13"/>
      <c r="M11085" s="13"/>
    </row>
    <row r="11086">
      <c r="F11086" s="13"/>
      <c r="M11086" s="13"/>
    </row>
    <row r="11087">
      <c r="F11087" s="13"/>
      <c r="M11087" s="13"/>
    </row>
    <row r="11088">
      <c r="F11088" s="13"/>
      <c r="M11088" s="13"/>
    </row>
    <row r="11089">
      <c r="F11089" s="13"/>
      <c r="M11089" s="13"/>
    </row>
    <row r="11090">
      <c r="F11090" s="13"/>
      <c r="M11090" s="13"/>
    </row>
    <row r="11091">
      <c r="F11091" s="13"/>
      <c r="M11091" s="13"/>
    </row>
    <row r="11092">
      <c r="F11092" s="13"/>
      <c r="M11092" s="13"/>
    </row>
    <row r="11093">
      <c r="F11093" s="13"/>
      <c r="M11093" s="13"/>
    </row>
    <row r="11094">
      <c r="F11094" s="13"/>
      <c r="M11094" s="13"/>
    </row>
    <row r="11095">
      <c r="F11095" s="13"/>
      <c r="M11095" s="13"/>
    </row>
    <row r="11096">
      <c r="F11096" s="13"/>
      <c r="M11096" s="13"/>
    </row>
    <row r="11097">
      <c r="F11097" s="13"/>
      <c r="M11097" s="13"/>
    </row>
    <row r="11098">
      <c r="F11098" s="13"/>
      <c r="M11098" s="13"/>
    </row>
    <row r="11099">
      <c r="F11099" s="13"/>
      <c r="M11099" s="13"/>
    </row>
    <row r="11100">
      <c r="F11100" s="13"/>
      <c r="M11100" s="13"/>
    </row>
    <row r="11101">
      <c r="F11101" s="13"/>
      <c r="M11101" s="13"/>
    </row>
    <row r="11102">
      <c r="F11102" s="13"/>
      <c r="M11102" s="13"/>
    </row>
    <row r="11103">
      <c r="F11103" s="13"/>
      <c r="M11103" s="13"/>
    </row>
    <row r="11104">
      <c r="F11104" s="13"/>
      <c r="M11104" s="13"/>
    </row>
    <row r="11105">
      <c r="F11105" s="13"/>
      <c r="M11105" s="13"/>
    </row>
    <row r="11106">
      <c r="F11106" s="13"/>
      <c r="M11106" s="13"/>
    </row>
    <row r="11107">
      <c r="F11107" s="13"/>
      <c r="M11107" s="13"/>
    </row>
    <row r="11108">
      <c r="F11108" s="13"/>
      <c r="M11108" s="13"/>
    </row>
    <row r="11109">
      <c r="F11109" s="13"/>
      <c r="M11109" s="13"/>
    </row>
    <row r="11110">
      <c r="F11110" s="13"/>
      <c r="M11110" s="13"/>
    </row>
    <row r="11111">
      <c r="F11111" s="13"/>
      <c r="M11111" s="13"/>
    </row>
    <row r="11112">
      <c r="F11112" s="13"/>
      <c r="M11112" s="13"/>
    </row>
    <row r="11113">
      <c r="F11113" s="13"/>
      <c r="M11113" s="13"/>
    </row>
    <row r="11114">
      <c r="F11114" s="13"/>
      <c r="M11114" s="13"/>
    </row>
    <row r="11115">
      <c r="F11115" s="13"/>
      <c r="M11115" s="13"/>
    </row>
    <row r="11116">
      <c r="F11116" s="13"/>
      <c r="M11116" s="13"/>
    </row>
    <row r="11117">
      <c r="F11117" s="13"/>
      <c r="M11117" s="13"/>
    </row>
    <row r="11118">
      <c r="F11118" s="13"/>
      <c r="M11118" s="13"/>
    </row>
    <row r="11119">
      <c r="F11119" s="13"/>
      <c r="M11119" s="13"/>
    </row>
    <row r="11120">
      <c r="F11120" s="13"/>
      <c r="M11120" s="13"/>
    </row>
    <row r="11121">
      <c r="F11121" s="13"/>
      <c r="M11121" s="13"/>
    </row>
    <row r="11122">
      <c r="F11122" s="13"/>
      <c r="M11122" s="13"/>
    </row>
    <row r="11123">
      <c r="F11123" s="13"/>
      <c r="M11123" s="13"/>
    </row>
    <row r="11124">
      <c r="F11124" s="13"/>
      <c r="M11124" s="13"/>
    </row>
    <row r="11125">
      <c r="F11125" s="13"/>
      <c r="M11125" s="13"/>
    </row>
    <row r="11126">
      <c r="F11126" s="13"/>
      <c r="M11126" s="13"/>
    </row>
    <row r="11127">
      <c r="F11127" s="13"/>
      <c r="M11127" s="13"/>
    </row>
    <row r="11128">
      <c r="F11128" s="13"/>
      <c r="M11128" s="13"/>
    </row>
    <row r="11129">
      <c r="F11129" s="13"/>
      <c r="M11129" s="13"/>
    </row>
    <row r="11130">
      <c r="F11130" s="13"/>
      <c r="M11130" s="13"/>
    </row>
    <row r="11131">
      <c r="F11131" s="13"/>
      <c r="M11131" s="13"/>
    </row>
    <row r="11132">
      <c r="F11132" s="13"/>
      <c r="M11132" s="13"/>
    </row>
    <row r="11133">
      <c r="F11133" s="13"/>
      <c r="M11133" s="13"/>
    </row>
    <row r="11134">
      <c r="F11134" s="13"/>
      <c r="M11134" s="13"/>
    </row>
    <row r="11135">
      <c r="F11135" s="13"/>
      <c r="M11135" s="13"/>
    </row>
    <row r="11136">
      <c r="F11136" s="13"/>
      <c r="M11136" s="13"/>
    </row>
    <row r="11137">
      <c r="F11137" s="13"/>
      <c r="M11137" s="13"/>
    </row>
    <row r="11138">
      <c r="F11138" s="13"/>
      <c r="M11138" s="13"/>
    </row>
    <row r="11139">
      <c r="F11139" s="13"/>
      <c r="M11139" s="13"/>
    </row>
    <row r="11140">
      <c r="F11140" s="13"/>
      <c r="M11140" s="13"/>
    </row>
    <row r="11141">
      <c r="F11141" s="13"/>
      <c r="M11141" s="13"/>
    </row>
    <row r="11142">
      <c r="F11142" s="13"/>
      <c r="M11142" s="13"/>
    </row>
    <row r="11143">
      <c r="F11143" s="13"/>
      <c r="M11143" s="13"/>
    </row>
    <row r="11144">
      <c r="F11144" s="13"/>
      <c r="M11144" s="13"/>
    </row>
    <row r="11145">
      <c r="F11145" s="13"/>
      <c r="M11145" s="13"/>
    </row>
    <row r="11146">
      <c r="F11146" s="13"/>
      <c r="M11146" s="13"/>
    </row>
    <row r="11147">
      <c r="F11147" s="13"/>
      <c r="M11147" s="13"/>
    </row>
    <row r="11148">
      <c r="F11148" s="13"/>
      <c r="M11148" s="13"/>
    </row>
    <row r="11149">
      <c r="F11149" s="13"/>
      <c r="M11149" s="13"/>
    </row>
    <row r="11150">
      <c r="F11150" s="13"/>
      <c r="M11150" s="13"/>
    </row>
    <row r="11151">
      <c r="F11151" s="13"/>
      <c r="M11151" s="13"/>
    </row>
    <row r="11152">
      <c r="F11152" s="13"/>
      <c r="M11152" s="13"/>
    </row>
    <row r="11153">
      <c r="F11153" s="13"/>
      <c r="M11153" s="13"/>
    </row>
    <row r="11154">
      <c r="F11154" s="13"/>
      <c r="M11154" s="13"/>
    </row>
    <row r="11155">
      <c r="F11155" s="13"/>
      <c r="M11155" s="13"/>
    </row>
    <row r="11156">
      <c r="F11156" s="13"/>
      <c r="M11156" s="13"/>
    </row>
    <row r="11157">
      <c r="F11157" s="13"/>
      <c r="M11157" s="13"/>
    </row>
    <row r="11158">
      <c r="F11158" s="13"/>
      <c r="M11158" s="13"/>
    </row>
    <row r="11159">
      <c r="F11159" s="13"/>
      <c r="M11159" s="13"/>
    </row>
    <row r="11160">
      <c r="F11160" s="13"/>
      <c r="M11160" s="13"/>
    </row>
    <row r="11161">
      <c r="F11161" s="13"/>
      <c r="M11161" s="13"/>
    </row>
    <row r="11162">
      <c r="F11162" s="13"/>
      <c r="M11162" s="13"/>
    </row>
    <row r="11163">
      <c r="F11163" s="13"/>
      <c r="M11163" s="13"/>
    </row>
    <row r="11164">
      <c r="F11164" s="13"/>
      <c r="M11164" s="13"/>
    </row>
    <row r="11165">
      <c r="F11165" s="13"/>
      <c r="M11165" s="13"/>
    </row>
    <row r="11166">
      <c r="F11166" s="13"/>
      <c r="M11166" s="13"/>
    </row>
    <row r="11167">
      <c r="F11167" s="13"/>
      <c r="M11167" s="13"/>
    </row>
    <row r="11168">
      <c r="F11168" s="13"/>
      <c r="M11168" s="13"/>
    </row>
    <row r="11169">
      <c r="F11169" s="13"/>
      <c r="M11169" s="13"/>
    </row>
    <row r="11170">
      <c r="F11170" s="13"/>
      <c r="M11170" s="13"/>
    </row>
    <row r="11171">
      <c r="F11171" s="13"/>
      <c r="M11171" s="13"/>
    </row>
    <row r="11172">
      <c r="F11172" s="13"/>
      <c r="M11172" s="13"/>
    </row>
    <row r="11173">
      <c r="F11173" s="13"/>
      <c r="M11173" s="13"/>
    </row>
    <row r="11174">
      <c r="F11174" s="13"/>
      <c r="M11174" s="13"/>
    </row>
    <row r="11175">
      <c r="F11175" s="13"/>
      <c r="M11175" s="13"/>
    </row>
    <row r="11176">
      <c r="F11176" s="13"/>
      <c r="M11176" s="13"/>
    </row>
    <row r="11177">
      <c r="F11177" s="13"/>
      <c r="M11177" s="13"/>
    </row>
    <row r="11178">
      <c r="F11178" s="13"/>
      <c r="M11178" s="13"/>
    </row>
    <row r="11179">
      <c r="F11179" s="13"/>
      <c r="M11179" s="13"/>
    </row>
    <row r="11180">
      <c r="F11180" s="13"/>
      <c r="M11180" s="13"/>
    </row>
    <row r="11181">
      <c r="F11181" s="13"/>
      <c r="M11181" s="13"/>
    </row>
    <row r="11182">
      <c r="F11182" s="13"/>
      <c r="M11182" s="13"/>
    </row>
    <row r="11183">
      <c r="F11183" s="13"/>
      <c r="M11183" s="13"/>
    </row>
    <row r="11184">
      <c r="F11184" s="13"/>
      <c r="M11184" s="13"/>
    </row>
    <row r="11185">
      <c r="F11185" s="13"/>
      <c r="M11185" s="13"/>
    </row>
    <row r="11186">
      <c r="F11186" s="13"/>
      <c r="M11186" s="13"/>
    </row>
    <row r="11187">
      <c r="F11187" s="13"/>
      <c r="M11187" s="13"/>
    </row>
    <row r="11188">
      <c r="F11188" s="13"/>
      <c r="M11188" s="13"/>
    </row>
    <row r="11189">
      <c r="F11189" s="13"/>
      <c r="M11189" s="13"/>
    </row>
    <row r="11190">
      <c r="F11190" s="13"/>
      <c r="M11190" s="13"/>
    </row>
    <row r="11191">
      <c r="F11191" s="13"/>
      <c r="M11191" s="13"/>
    </row>
    <row r="11192">
      <c r="F11192" s="13"/>
      <c r="M11192" s="13"/>
    </row>
    <row r="11193">
      <c r="F11193" s="13"/>
      <c r="M11193" s="13"/>
    </row>
    <row r="11194">
      <c r="F11194" s="13"/>
      <c r="M11194" s="13"/>
    </row>
    <row r="11195">
      <c r="F11195" s="13"/>
      <c r="M11195" s="13"/>
    </row>
    <row r="11196">
      <c r="F11196" s="13"/>
      <c r="M11196" s="13"/>
    </row>
    <row r="11197">
      <c r="F11197" s="13"/>
      <c r="M11197" s="13"/>
    </row>
    <row r="11198">
      <c r="F11198" s="13"/>
      <c r="M11198" s="13"/>
    </row>
    <row r="11199">
      <c r="F11199" s="13"/>
      <c r="M11199" s="13"/>
    </row>
    <row r="11200">
      <c r="F11200" s="13"/>
      <c r="M11200" s="13"/>
    </row>
    <row r="11201">
      <c r="F11201" s="13"/>
      <c r="M11201" s="13"/>
    </row>
    <row r="11202">
      <c r="F11202" s="13"/>
      <c r="M11202" s="13"/>
    </row>
    <row r="11203">
      <c r="F11203" s="13"/>
      <c r="M11203" s="13"/>
    </row>
    <row r="11204">
      <c r="F11204" s="13"/>
      <c r="M11204" s="13"/>
    </row>
    <row r="11205">
      <c r="F11205" s="13"/>
      <c r="M11205" s="13"/>
    </row>
    <row r="11206">
      <c r="F11206" s="13"/>
      <c r="M11206" s="13"/>
    </row>
    <row r="11207">
      <c r="F11207" s="13"/>
      <c r="M11207" s="13"/>
    </row>
    <row r="11208">
      <c r="F11208" s="13"/>
      <c r="M11208" s="13"/>
    </row>
    <row r="11209">
      <c r="F11209" s="13"/>
      <c r="M11209" s="13"/>
    </row>
    <row r="11210">
      <c r="F11210" s="13"/>
      <c r="M11210" s="13"/>
    </row>
    <row r="11211">
      <c r="F11211" s="13"/>
      <c r="M11211" s="13"/>
    </row>
    <row r="11212">
      <c r="F11212" s="13"/>
      <c r="M11212" s="13"/>
    </row>
    <row r="11213">
      <c r="F11213" s="13"/>
      <c r="M11213" s="13"/>
    </row>
    <row r="11214">
      <c r="F11214" s="13"/>
      <c r="M11214" s="13"/>
    </row>
    <row r="11215">
      <c r="F11215" s="13"/>
      <c r="M11215" s="13"/>
    </row>
    <row r="11216">
      <c r="F11216" s="13"/>
      <c r="M11216" s="13"/>
    </row>
    <row r="11217">
      <c r="F11217" s="13"/>
      <c r="M11217" s="13"/>
    </row>
    <row r="11218">
      <c r="F11218" s="13"/>
      <c r="M11218" s="13"/>
    </row>
    <row r="11219">
      <c r="F11219" s="13"/>
      <c r="M11219" s="13"/>
    </row>
    <row r="11220">
      <c r="F11220" s="13"/>
      <c r="M11220" s="13"/>
    </row>
    <row r="11221">
      <c r="F11221" s="13"/>
      <c r="M11221" s="13"/>
    </row>
    <row r="11222">
      <c r="F11222" s="13"/>
      <c r="M11222" s="13"/>
    </row>
    <row r="11223">
      <c r="F11223" s="13"/>
      <c r="M11223" s="13"/>
    </row>
    <row r="11224">
      <c r="F11224" s="13"/>
      <c r="M11224" s="13"/>
    </row>
    <row r="11225">
      <c r="F11225" s="13"/>
      <c r="M11225" s="13"/>
    </row>
    <row r="11226">
      <c r="F11226" s="13"/>
      <c r="M11226" s="13"/>
    </row>
    <row r="11227">
      <c r="F11227" s="13"/>
      <c r="M11227" s="13"/>
    </row>
    <row r="11228">
      <c r="F11228" s="13"/>
      <c r="M11228" s="13"/>
    </row>
    <row r="11229">
      <c r="F11229" s="13"/>
      <c r="M11229" s="13"/>
    </row>
    <row r="11230">
      <c r="F11230" s="13"/>
      <c r="M11230" s="13"/>
    </row>
    <row r="11231">
      <c r="F11231" s="13"/>
      <c r="M11231" s="13"/>
    </row>
    <row r="11232">
      <c r="F11232" s="13"/>
      <c r="M11232" s="13"/>
    </row>
    <row r="11233">
      <c r="F11233" s="13"/>
      <c r="M11233" s="13"/>
    </row>
    <row r="11234">
      <c r="F11234" s="13"/>
      <c r="M11234" s="13"/>
    </row>
    <row r="11235">
      <c r="F11235" s="13"/>
      <c r="M11235" s="13"/>
    </row>
    <row r="11236">
      <c r="F11236" s="13"/>
      <c r="M11236" s="13"/>
    </row>
    <row r="11237">
      <c r="F11237" s="13"/>
      <c r="M11237" s="13"/>
    </row>
    <row r="11238">
      <c r="F11238" s="13"/>
      <c r="M11238" s="13"/>
    </row>
    <row r="11239">
      <c r="F11239" s="13"/>
      <c r="M11239" s="13"/>
    </row>
    <row r="11240">
      <c r="F11240" s="13"/>
      <c r="M11240" s="13"/>
    </row>
    <row r="11241">
      <c r="F11241" s="13"/>
      <c r="M11241" s="13"/>
    </row>
    <row r="11242">
      <c r="F11242" s="13"/>
      <c r="M11242" s="13"/>
    </row>
    <row r="11243">
      <c r="F11243" s="13"/>
      <c r="M11243" s="13"/>
    </row>
    <row r="11244">
      <c r="F11244" s="13"/>
      <c r="M11244" s="13"/>
    </row>
    <row r="11245">
      <c r="F11245" s="13"/>
      <c r="M11245" s="13"/>
    </row>
    <row r="11246">
      <c r="F11246" s="13"/>
      <c r="M11246" s="13"/>
    </row>
    <row r="11247">
      <c r="F11247" s="13"/>
      <c r="M11247" s="13"/>
    </row>
    <row r="11248">
      <c r="F11248" s="13"/>
      <c r="M11248" s="13"/>
    </row>
    <row r="11249">
      <c r="F11249" s="13"/>
      <c r="M11249" s="13"/>
    </row>
    <row r="11250">
      <c r="F11250" s="13"/>
      <c r="M11250" s="13"/>
    </row>
    <row r="11251">
      <c r="F11251" s="13"/>
      <c r="M11251" s="13"/>
    </row>
    <row r="11252">
      <c r="F11252" s="13"/>
      <c r="M11252" s="13"/>
    </row>
    <row r="11253">
      <c r="F11253" s="13"/>
      <c r="M11253" s="13"/>
    </row>
    <row r="11254">
      <c r="F11254" s="13"/>
      <c r="M11254" s="13"/>
    </row>
    <row r="11255">
      <c r="F11255" s="13"/>
      <c r="M11255" s="13"/>
    </row>
    <row r="11256">
      <c r="F11256" s="13"/>
      <c r="M11256" s="13"/>
    </row>
    <row r="11257">
      <c r="F11257" s="13"/>
      <c r="M11257" s="13"/>
    </row>
    <row r="11258">
      <c r="F11258" s="13"/>
      <c r="M11258" s="13"/>
    </row>
    <row r="11259">
      <c r="F11259" s="13"/>
      <c r="M11259" s="13"/>
    </row>
    <row r="11260">
      <c r="F11260" s="13"/>
      <c r="M11260" s="13"/>
    </row>
    <row r="11261">
      <c r="F11261" s="13"/>
      <c r="M11261" s="13"/>
    </row>
    <row r="11262">
      <c r="F11262" s="13"/>
      <c r="M11262" s="13"/>
    </row>
    <row r="11263">
      <c r="F11263" s="13"/>
      <c r="M11263" s="13"/>
    </row>
    <row r="11264">
      <c r="F11264" s="13"/>
      <c r="M11264" s="13"/>
    </row>
    <row r="11265">
      <c r="F11265" s="13"/>
      <c r="M11265" s="13"/>
    </row>
    <row r="11266">
      <c r="F11266" s="13"/>
      <c r="M11266" s="13"/>
    </row>
    <row r="11267">
      <c r="F11267" s="13"/>
      <c r="M11267" s="13"/>
    </row>
    <row r="11268">
      <c r="F11268" s="13"/>
      <c r="M11268" s="13"/>
    </row>
    <row r="11269">
      <c r="F11269" s="13"/>
      <c r="M11269" s="13"/>
    </row>
    <row r="11270">
      <c r="F11270" s="13"/>
      <c r="M11270" s="13"/>
    </row>
    <row r="11271">
      <c r="F11271" s="13"/>
      <c r="M11271" s="13"/>
    </row>
    <row r="11272">
      <c r="F11272" s="13"/>
      <c r="M11272" s="13"/>
    </row>
    <row r="11273">
      <c r="F11273" s="13"/>
      <c r="M11273" s="13"/>
    </row>
    <row r="11274">
      <c r="F11274" s="13"/>
      <c r="M11274" s="13"/>
    </row>
    <row r="11275">
      <c r="F11275" s="13"/>
      <c r="M11275" s="13"/>
    </row>
    <row r="11276">
      <c r="F11276" s="13"/>
      <c r="M11276" s="13"/>
    </row>
    <row r="11277">
      <c r="F11277" s="13"/>
      <c r="M11277" s="13"/>
    </row>
    <row r="11278">
      <c r="F11278" s="13"/>
      <c r="M11278" s="13"/>
    </row>
    <row r="11279">
      <c r="F11279" s="13"/>
      <c r="M11279" s="13"/>
    </row>
    <row r="11280">
      <c r="F11280" s="13"/>
      <c r="M11280" s="13"/>
    </row>
    <row r="11281">
      <c r="F11281" s="13"/>
      <c r="M11281" s="13"/>
    </row>
    <row r="11282">
      <c r="F11282" s="13"/>
      <c r="M11282" s="13"/>
    </row>
    <row r="11283">
      <c r="F11283" s="13"/>
      <c r="M11283" s="13"/>
    </row>
    <row r="11284">
      <c r="F11284" s="13"/>
      <c r="M11284" s="13"/>
    </row>
    <row r="11285">
      <c r="F11285" s="13"/>
      <c r="M11285" s="13"/>
    </row>
    <row r="11286">
      <c r="F11286" s="13"/>
      <c r="M11286" s="13"/>
    </row>
    <row r="11287">
      <c r="F11287" s="13"/>
      <c r="M11287" s="13"/>
    </row>
    <row r="11288">
      <c r="F11288" s="13"/>
      <c r="M11288" s="13"/>
    </row>
    <row r="11289">
      <c r="F11289" s="13"/>
      <c r="M11289" s="13"/>
    </row>
    <row r="11290">
      <c r="F11290" s="13"/>
      <c r="M11290" s="13"/>
    </row>
    <row r="11291">
      <c r="F11291" s="13"/>
      <c r="M11291" s="13"/>
    </row>
    <row r="11292">
      <c r="F11292" s="13"/>
      <c r="M11292" s="13"/>
    </row>
    <row r="11293">
      <c r="F11293" s="13"/>
      <c r="M11293" s="13"/>
    </row>
    <row r="11294">
      <c r="F11294" s="13"/>
      <c r="M11294" s="13"/>
    </row>
    <row r="11295">
      <c r="F11295" s="13"/>
      <c r="M11295" s="13"/>
    </row>
    <row r="11296">
      <c r="F11296" s="13"/>
      <c r="M11296" s="13"/>
    </row>
    <row r="11297">
      <c r="F11297" s="13"/>
      <c r="M11297" s="13"/>
    </row>
    <row r="11298">
      <c r="F11298" s="13"/>
      <c r="M11298" s="13"/>
    </row>
    <row r="11299">
      <c r="F11299" s="13"/>
      <c r="M11299" s="13"/>
    </row>
    <row r="11300">
      <c r="F11300" s="13"/>
      <c r="M11300" s="13"/>
    </row>
    <row r="11301">
      <c r="F11301" s="13"/>
      <c r="M11301" s="13"/>
    </row>
    <row r="11302">
      <c r="F11302" s="13"/>
      <c r="M11302" s="13"/>
    </row>
    <row r="11303">
      <c r="F11303" s="13"/>
      <c r="M11303" s="13"/>
    </row>
    <row r="11304">
      <c r="F11304" s="13"/>
      <c r="M11304" s="13"/>
    </row>
    <row r="11305">
      <c r="F11305" s="13"/>
      <c r="M11305" s="13"/>
    </row>
    <row r="11306">
      <c r="F11306" s="13"/>
      <c r="M11306" s="13"/>
    </row>
    <row r="11307">
      <c r="F11307" s="13"/>
      <c r="M11307" s="13"/>
    </row>
    <row r="11308">
      <c r="F11308" s="13"/>
      <c r="M11308" s="13"/>
    </row>
    <row r="11309">
      <c r="F11309" s="13"/>
      <c r="M11309" s="13"/>
    </row>
    <row r="11310">
      <c r="F11310" s="13"/>
      <c r="M11310" s="13"/>
    </row>
    <row r="11311">
      <c r="F11311" s="13"/>
      <c r="M11311" s="13"/>
    </row>
    <row r="11312">
      <c r="F11312" s="13"/>
      <c r="M11312" s="13"/>
    </row>
    <row r="11313">
      <c r="F11313" s="13"/>
      <c r="M11313" s="13"/>
    </row>
    <row r="11314">
      <c r="F11314" s="13"/>
      <c r="M11314" s="13"/>
    </row>
    <row r="11315">
      <c r="F11315" s="13"/>
      <c r="M11315" s="13"/>
    </row>
    <row r="11316">
      <c r="F11316" s="13"/>
      <c r="M11316" s="13"/>
    </row>
    <row r="11317">
      <c r="F11317" s="13"/>
      <c r="M11317" s="13"/>
    </row>
    <row r="11318">
      <c r="F11318" s="13"/>
      <c r="M11318" s="13"/>
    </row>
    <row r="11319">
      <c r="F11319" s="13"/>
      <c r="M11319" s="13"/>
    </row>
    <row r="11320">
      <c r="F11320" s="13"/>
      <c r="M11320" s="13"/>
    </row>
    <row r="11321">
      <c r="F11321" s="13"/>
      <c r="M11321" s="13"/>
    </row>
    <row r="11322">
      <c r="F11322" s="13"/>
      <c r="M11322" s="13"/>
    </row>
    <row r="11323">
      <c r="F11323" s="13"/>
      <c r="M11323" s="13"/>
    </row>
    <row r="11324">
      <c r="F11324" s="13"/>
      <c r="M11324" s="13"/>
    </row>
    <row r="11325">
      <c r="F11325" s="13"/>
      <c r="M11325" s="13"/>
    </row>
    <row r="11326">
      <c r="F11326" s="13"/>
      <c r="M11326" s="13"/>
    </row>
    <row r="11327">
      <c r="F11327" s="13"/>
      <c r="M11327" s="13"/>
    </row>
    <row r="11328">
      <c r="F11328" s="13"/>
      <c r="M11328" s="13"/>
    </row>
    <row r="11329">
      <c r="F11329" s="13"/>
      <c r="M11329" s="13"/>
    </row>
    <row r="11330">
      <c r="F11330" s="13"/>
      <c r="M11330" s="13"/>
    </row>
    <row r="11331">
      <c r="F11331" s="13"/>
      <c r="M11331" s="13"/>
    </row>
    <row r="11332">
      <c r="F11332" s="13"/>
      <c r="M11332" s="13"/>
    </row>
    <row r="11333">
      <c r="F11333" s="13"/>
      <c r="M11333" s="13"/>
    </row>
    <row r="11334">
      <c r="F11334" s="13"/>
      <c r="M11334" s="13"/>
    </row>
    <row r="11335">
      <c r="F11335" s="13"/>
      <c r="M11335" s="13"/>
    </row>
    <row r="11336">
      <c r="F11336" s="13"/>
      <c r="M11336" s="13"/>
    </row>
    <row r="11337">
      <c r="F11337" s="13"/>
      <c r="M11337" s="13"/>
    </row>
    <row r="11338">
      <c r="F11338" s="13"/>
      <c r="M11338" s="13"/>
    </row>
    <row r="11339">
      <c r="F11339" s="13"/>
      <c r="M11339" s="13"/>
    </row>
    <row r="11340">
      <c r="F11340" s="13"/>
      <c r="M11340" s="13"/>
    </row>
    <row r="11341">
      <c r="F11341" s="13"/>
      <c r="M11341" s="13"/>
    </row>
    <row r="11342">
      <c r="F11342" s="13"/>
      <c r="M11342" s="13"/>
    </row>
    <row r="11343">
      <c r="F11343" s="13"/>
      <c r="M11343" s="13"/>
    </row>
    <row r="11344">
      <c r="F11344" s="13"/>
      <c r="M11344" s="13"/>
    </row>
    <row r="11345">
      <c r="F11345" s="13"/>
      <c r="M11345" s="13"/>
    </row>
    <row r="11346">
      <c r="F11346" s="13"/>
      <c r="M11346" s="13"/>
    </row>
    <row r="11347">
      <c r="F11347" s="13"/>
      <c r="M11347" s="13"/>
    </row>
    <row r="11348">
      <c r="F11348" s="13"/>
      <c r="M11348" s="13"/>
    </row>
    <row r="11349">
      <c r="F11349" s="13"/>
      <c r="M11349" s="13"/>
    </row>
    <row r="11350">
      <c r="F11350" s="13"/>
      <c r="M11350" s="13"/>
    </row>
    <row r="11351">
      <c r="F11351" s="13"/>
      <c r="M11351" s="13"/>
    </row>
    <row r="11352">
      <c r="F11352" s="13"/>
      <c r="M11352" s="13"/>
    </row>
    <row r="11353">
      <c r="F11353" s="13"/>
      <c r="M11353" s="13"/>
    </row>
    <row r="11354">
      <c r="F11354" s="13"/>
      <c r="M11354" s="13"/>
    </row>
    <row r="11355">
      <c r="F11355" s="13"/>
      <c r="M11355" s="13"/>
    </row>
    <row r="11356">
      <c r="F11356" s="13"/>
      <c r="M11356" s="13"/>
    </row>
    <row r="11357">
      <c r="F11357" s="13"/>
      <c r="M11357" s="13"/>
    </row>
    <row r="11358">
      <c r="F11358" s="13"/>
      <c r="M11358" s="13"/>
    </row>
    <row r="11359">
      <c r="F11359" s="13"/>
      <c r="M11359" s="13"/>
    </row>
    <row r="11360">
      <c r="F11360" s="13"/>
      <c r="M11360" s="13"/>
    </row>
    <row r="11361">
      <c r="F11361" s="13"/>
      <c r="M11361" s="13"/>
    </row>
    <row r="11362">
      <c r="F11362" s="13"/>
      <c r="M11362" s="13"/>
    </row>
    <row r="11363">
      <c r="F11363" s="13"/>
      <c r="M11363" s="13"/>
    </row>
    <row r="11364">
      <c r="F11364" s="13"/>
      <c r="M11364" s="13"/>
    </row>
    <row r="11365">
      <c r="F11365" s="13"/>
      <c r="M11365" s="13"/>
    </row>
    <row r="11366">
      <c r="F11366" s="13"/>
      <c r="M11366" s="13"/>
    </row>
    <row r="11367">
      <c r="F11367" s="13"/>
      <c r="M11367" s="13"/>
    </row>
    <row r="11368">
      <c r="F11368" s="13"/>
      <c r="M11368" s="13"/>
    </row>
    <row r="11369">
      <c r="F11369" s="13"/>
      <c r="M11369" s="13"/>
    </row>
    <row r="11370">
      <c r="F11370" s="13"/>
      <c r="M11370" s="13"/>
    </row>
    <row r="11371">
      <c r="F11371" s="13"/>
      <c r="M11371" s="13"/>
    </row>
    <row r="11372">
      <c r="F11372" s="13"/>
      <c r="M11372" s="13"/>
    </row>
    <row r="11373">
      <c r="F11373" s="13"/>
      <c r="M11373" s="13"/>
    </row>
    <row r="11374">
      <c r="F11374" s="13"/>
      <c r="M11374" s="13"/>
    </row>
    <row r="11375">
      <c r="F11375" s="13"/>
      <c r="M11375" s="13"/>
    </row>
    <row r="11376">
      <c r="F11376" s="13"/>
      <c r="M11376" s="13"/>
    </row>
    <row r="11377">
      <c r="F11377" s="13"/>
      <c r="M11377" s="13"/>
    </row>
    <row r="11378">
      <c r="F11378" s="13"/>
      <c r="M11378" s="13"/>
    </row>
    <row r="11379">
      <c r="F11379" s="13"/>
      <c r="M11379" s="13"/>
    </row>
    <row r="11380">
      <c r="F11380" s="13"/>
      <c r="M11380" s="13"/>
    </row>
    <row r="11381">
      <c r="F11381" s="13"/>
      <c r="M11381" s="13"/>
    </row>
    <row r="11382">
      <c r="F11382" s="13"/>
      <c r="M11382" s="13"/>
    </row>
    <row r="11383">
      <c r="F11383" s="13"/>
      <c r="M11383" s="13"/>
    </row>
    <row r="11384">
      <c r="F11384" s="13"/>
      <c r="M11384" s="13"/>
    </row>
    <row r="11385">
      <c r="F11385" s="13"/>
      <c r="M11385" s="13"/>
    </row>
    <row r="11386">
      <c r="F11386" s="13"/>
      <c r="M11386" s="13"/>
    </row>
    <row r="11387">
      <c r="F11387" s="13"/>
      <c r="M11387" s="13"/>
    </row>
    <row r="11388">
      <c r="F11388" s="13"/>
      <c r="M11388" s="13"/>
    </row>
    <row r="11389">
      <c r="F11389" s="13"/>
      <c r="M11389" s="13"/>
    </row>
    <row r="11390">
      <c r="F11390" s="13"/>
      <c r="M11390" s="13"/>
    </row>
    <row r="11391">
      <c r="F11391" s="13"/>
      <c r="M11391" s="13"/>
    </row>
    <row r="11392">
      <c r="F11392" s="13"/>
      <c r="M11392" s="13"/>
    </row>
    <row r="11393">
      <c r="F11393" s="13"/>
      <c r="M11393" s="13"/>
    </row>
    <row r="11394">
      <c r="F11394" s="13"/>
      <c r="M11394" s="13"/>
    </row>
    <row r="11395">
      <c r="F11395" s="13"/>
      <c r="M11395" s="13"/>
    </row>
    <row r="11396">
      <c r="F11396" s="13"/>
      <c r="M11396" s="13"/>
    </row>
    <row r="11397">
      <c r="F11397" s="13"/>
      <c r="M11397" s="13"/>
    </row>
    <row r="11398">
      <c r="F11398" s="13"/>
      <c r="M11398" s="13"/>
    </row>
    <row r="11399">
      <c r="F11399" s="13"/>
      <c r="M11399" s="13"/>
    </row>
    <row r="11400">
      <c r="F11400" s="13"/>
      <c r="M11400" s="13"/>
    </row>
    <row r="11401">
      <c r="F11401" s="13"/>
      <c r="M11401" s="13"/>
    </row>
    <row r="11402">
      <c r="F11402" s="13"/>
      <c r="M11402" s="13"/>
    </row>
    <row r="11403">
      <c r="F11403" s="13"/>
      <c r="M11403" s="13"/>
    </row>
    <row r="11404">
      <c r="F11404" s="13"/>
      <c r="M11404" s="13"/>
    </row>
    <row r="11405">
      <c r="F11405" s="13"/>
      <c r="M11405" s="13"/>
    </row>
    <row r="11406">
      <c r="F11406" s="13"/>
      <c r="M11406" s="13"/>
    </row>
    <row r="11407">
      <c r="F11407" s="13"/>
      <c r="M11407" s="13"/>
    </row>
    <row r="11408">
      <c r="F11408" s="13"/>
      <c r="M11408" s="13"/>
    </row>
    <row r="11409">
      <c r="F11409" s="13"/>
      <c r="M11409" s="13"/>
    </row>
    <row r="11410">
      <c r="F11410" s="13"/>
      <c r="M11410" s="13"/>
    </row>
    <row r="11411">
      <c r="F11411" s="13"/>
      <c r="M11411" s="13"/>
    </row>
    <row r="11412">
      <c r="F11412" s="13"/>
      <c r="M11412" s="13"/>
    </row>
    <row r="11413">
      <c r="F11413" s="13"/>
      <c r="M11413" s="13"/>
    </row>
    <row r="11414">
      <c r="F11414" s="13"/>
      <c r="M11414" s="13"/>
    </row>
    <row r="11415">
      <c r="F11415" s="13"/>
      <c r="M11415" s="13"/>
    </row>
    <row r="11416">
      <c r="F11416" s="13"/>
      <c r="M11416" s="13"/>
    </row>
    <row r="11417">
      <c r="F11417" s="13"/>
      <c r="M11417" s="13"/>
    </row>
    <row r="11418">
      <c r="F11418" s="13"/>
      <c r="M11418" s="13"/>
    </row>
    <row r="11419">
      <c r="F11419" s="13"/>
      <c r="M11419" s="13"/>
    </row>
    <row r="11420">
      <c r="F11420" s="13"/>
      <c r="M11420" s="13"/>
    </row>
    <row r="11421">
      <c r="F11421" s="13"/>
      <c r="M11421" s="13"/>
    </row>
    <row r="11422">
      <c r="F11422" s="13"/>
      <c r="M11422" s="13"/>
    </row>
    <row r="11423">
      <c r="F11423" s="13"/>
      <c r="M11423" s="13"/>
    </row>
    <row r="11424">
      <c r="F11424" s="13"/>
      <c r="M11424" s="13"/>
    </row>
    <row r="11425">
      <c r="F11425" s="13"/>
      <c r="M11425" s="13"/>
    </row>
    <row r="11426">
      <c r="F11426" s="13"/>
      <c r="M11426" s="13"/>
    </row>
    <row r="11427">
      <c r="F11427" s="13"/>
      <c r="M11427" s="13"/>
    </row>
    <row r="11428">
      <c r="F11428" s="13"/>
      <c r="M11428" s="13"/>
    </row>
    <row r="11429">
      <c r="F11429" s="13"/>
      <c r="M11429" s="13"/>
    </row>
    <row r="11430">
      <c r="F11430" s="13"/>
      <c r="M11430" s="13"/>
    </row>
    <row r="11431">
      <c r="F11431" s="13"/>
      <c r="M11431" s="13"/>
    </row>
    <row r="11432">
      <c r="F11432" s="13"/>
      <c r="M11432" s="13"/>
    </row>
    <row r="11433">
      <c r="F11433" s="13"/>
      <c r="M11433" s="13"/>
    </row>
    <row r="11434">
      <c r="F11434" s="13"/>
      <c r="M11434" s="13"/>
    </row>
    <row r="11435">
      <c r="F11435" s="13"/>
      <c r="M11435" s="13"/>
    </row>
    <row r="11436">
      <c r="F11436" s="13"/>
      <c r="M11436" s="13"/>
    </row>
    <row r="11437">
      <c r="F11437" s="13"/>
      <c r="M11437" s="13"/>
    </row>
    <row r="11438">
      <c r="F11438" s="13"/>
      <c r="M11438" s="13"/>
    </row>
    <row r="11439">
      <c r="F11439" s="13"/>
      <c r="M11439" s="13"/>
    </row>
    <row r="11440">
      <c r="F11440" s="13"/>
      <c r="M11440" s="13"/>
    </row>
    <row r="11441">
      <c r="F11441" s="13"/>
      <c r="M11441" s="13"/>
    </row>
    <row r="11442">
      <c r="F11442" s="13"/>
      <c r="M11442" s="13"/>
    </row>
    <row r="11443">
      <c r="F11443" s="13"/>
      <c r="M11443" s="13"/>
    </row>
    <row r="11444">
      <c r="F11444" s="13"/>
      <c r="M11444" s="13"/>
    </row>
    <row r="11445">
      <c r="F11445" s="13"/>
      <c r="M11445" s="13"/>
    </row>
    <row r="11446">
      <c r="F11446" s="13"/>
      <c r="M11446" s="13"/>
    </row>
    <row r="11447">
      <c r="F11447" s="13"/>
      <c r="M11447" s="13"/>
    </row>
    <row r="11448">
      <c r="F11448" s="13"/>
      <c r="M11448" s="13"/>
    </row>
    <row r="11449">
      <c r="F11449" s="13"/>
      <c r="M11449" s="13"/>
    </row>
    <row r="11450">
      <c r="F11450" s="13"/>
      <c r="M11450" s="13"/>
    </row>
    <row r="11451">
      <c r="F11451" s="13"/>
      <c r="M11451" s="13"/>
    </row>
    <row r="11452">
      <c r="F11452" s="13"/>
      <c r="M11452" s="13"/>
    </row>
    <row r="11453">
      <c r="F11453" s="13"/>
      <c r="M11453" s="13"/>
    </row>
    <row r="11454">
      <c r="F11454" s="13"/>
      <c r="M11454" s="13"/>
    </row>
    <row r="11455">
      <c r="F11455" s="13"/>
      <c r="M11455" s="13"/>
    </row>
    <row r="11456">
      <c r="F11456" s="13"/>
      <c r="M11456" s="13"/>
    </row>
    <row r="11457">
      <c r="F11457" s="13"/>
      <c r="M11457" s="13"/>
    </row>
    <row r="11458">
      <c r="F11458" s="13"/>
      <c r="M11458" s="13"/>
    </row>
    <row r="11459">
      <c r="F11459" s="13"/>
      <c r="M11459" s="13"/>
    </row>
    <row r="11460">
      <c r="F11460" s="13"/>
      <c r="M11460" s="13"/>
    </row>
    <row r="11461">
      <c r="F11461" s="13"/>
      <c r="M11461" s="13"/>
    </row>
    <row r="11462">
      <c r="F11462" s="13"/>
      <c r="M11462" s="13"/>
    </row>
    <row r="11463">
      <c r="F11463" s="13"/>
      <c r="M11463" s="13"/>
    </row>
    <row r="11464">
      <c r="F11464" s="13"/>
      <c r="M11464" s="13"/>
    </row>
    <row r="11465">
      <c r="F11465" s="13"/>
      <c r="M11465" s="13"/>
    </row>
    <row r="11466">
      <c r="F11466" s="13"/>
      <c r="M11466" s="13"/>
    </row>
    <row r="11467">
      <c r="F11467" s="13"/>
      <c r="M11467" s="13"/>
    </row>
    <row r="11468">
      <c r="F11468" s="13"/>
      <c r="M11468" s="13"/>
    </row>
    <row r="11469">
      <c r="F11469" s="13"/>
      <c r="M11469" s="13"/>
    </row>
    <row r="11470">
      <c r="F11470" s="13"/>
      <c r="M11470" s="13"/>
    </row>
    <row r="11471">
      <c r="F11471" s="13"/>
      <c r="M11471" s="13"/>
    </row>
    <row r="11472">
      <c r="F11472" s="13"/>
      <c r="M11472" s="13"/>
    </row>
    <row r="11473">
      <c r="F11473" s="13"/>
      <c r="M11473" s="13"/>
    </row>
    <row r="11474">
      <c r="F11474" s="13"/>
      <c r="M11474" s="13"/>
    </row>
    <row r="11475">
      <c r="F11475" s="13"/>
      <c r="M11475" s="13"/>
    </row>
    <row r="11476">
      <c r="F11476" s="13"/>
      <c r="M11476" s="13"/>
    </row>
    <row r="11477">
      <c r="F11477" s="13"/>
      <c r="M11477" s="13"/>
    </row>
    <row r="11478">
      <c r="F11478" s="13"/>
      <c r="M11478" s="13"/>
    </row>
    <row r="11479">
      <c r="F11479" s="13"/>
      <c r="M11479" s="13"/>
    </row>
    <row r="11480">
      <c r="F11480" s="13"/>
      <c r="M11480" s="13"/>
    </row>
    <row r="11481">
      <c r="F11481" s="13"/>
      <c r="M11481" s="13"/>
    </row>
    <row r="11482">
      <c r="F11482" s="13"/>
      <c r="M11482" s="13"/>
    </row>
    <row r="11483">
      <c r="F11483" s="13"/>
      <c r="M11483" s="13"/>
    </row>
    <row r="11484">
      <c r="F11484" s="13"/>
      <c r="M11484" s="13"/>
    </row>
    <row r="11485">
      <c r="F11485" s="13"/>
      <c r="M11485" s="13"/>
    </row>
    <row r="11486">
      <c r="F11486" s="13"/>
      <c r="M11486" s="13"/>
    </row>
    <row r="11487">
      <c r="F11487" s="13"/>
      <c r="M11487" s="13"/>
    </row>
    <row r="11488">
      <c r="F11488" s="13"/>
      <c r="M11488" s="13"/>
    </row>
    <row r="11489">
      <c r="F11489" s="13"/>
      <c r="M11489" s="13"/>
    </row>
    <row r="11490">
      <c r="F11490" s="13"/>
      <c r="M11490" s="13"/>
    </row>
    <row r="11491">
      <c r="F11491" s="13"/>
      <c r="M11491" s="13"/>
    </row>
    <row r="11492">
      <c r="F11492" s="13"/>
      <c r="M11492" s="13"/>
    </row>
    <row r="11493">
      <c r="F11493" s="13"/>
      <c r="M11493" s="13"/>
    </row>
    <row r="11494">
      <c r="F11494" s="13"/>
      <c r="M11494" s="13"/>
    </row>
    <row r="11495">
      <c r="F11495" s="13"/>
      <c r="M11495" s="13"/>
    </row>
    <row r="11496">
      <c r="F11496" s="13"/>
      <c r="M11496" s="13"/>
    </row>
    <row r="11497">
      <c r="F11497" s="13"/>
      <c r="M11497" s="13"/>
    </row>
    <row r="11498">
      <c r="F11498" s="13"/>
      <c r="M11498" s="13"/>
    </row>
    <row r="11499">
      <c r="F11499" s="13"/>
      <c r="M11499" s="13"/>
    </row>
    <row r="11500">
      <c r="F11500" s="13"/>
      <c r="M11500" s="13"/>
    </row>
    <row r="11501">
      <c r="F11501" s="13"/>
      <c r="M11501" s="13"/>
    </row>
    <row r="11502">
      <c r="F11502" s="13"/>
      <c r="M11502" s="13"/>
    </row>
    <row r="11503">
      <c r="F11503" s="13"/>
      <c r="M11503" s="13"/>
    </row>
    <row r="11504">
      <c r="F11504" s="13"/>
      <c r="M11504" s="13"/>
    </row>
    <row r="11505">
      <c r="F11505" s="13"/>
      <c r="M11505" s="13"/>
    </row>
    <row r="11506">
      <c r="F11506" s="13"/>
      <c r="M11506" s="13"/>
    </row>
    <row r="11507">
      <c r="F11507" s="13"/>
      <c r="M11507" s="13"/>
    </row>
    <row r="11508">
      <c r="F11508" s="13"/>
      <c r="M11508" s="13"/>
    </row>
    <row r="11509">
      <c r="F11509" s="13"/>
      <c r="M11509" s="13"/>
    </row>
    <row r="11510">
      <c r="F11510" s="13"/>
      <c r="M11510" s="13"/>
    </row>
    <row r="11511">
      <c r="F11511" s="13"/>
      <c r="M11511" s="13"/>
    </row>
    <row r="11512">
      <c r="F11512" s="13"/>
      <c r="M11512" s="13"/>
    </row>
    <row r="11513">
      <c r="F11513" s="13"/>
      <c r="M11513" s="13"/>
    </row>
    <row r="11514">
      <c r="F11514" s="13"/>
      <c r="M11514" s="13"/>
    </row>
    <row r="11515">
      <c r="F11515" s="13"/>
      <c r="M11515" s="13"/>
    </row>
    <row r="11516">
      <c r="F11516" s="13"/>
      <c r="M11516" s="13"/>
    </row>
    <row r="11517">
      <c r="F11517" s="13"/>
      <c r="M11517" s="13"/>
    </row>
    <row r="11518">
      <c r="F11518" s="13"/>
      <c r="M11518" s="13"/>
    </row>
    <row r="11519">
      <c r="F11519" s="13"/>
      <c r="M11519" s="13"/>
    </row>
    <row r="11520">
      <c r="F11520" s="13"/>
      <c r="M11520" s="13"/>
    </row>
    <row r="11521">
      <c r="F11521" s="13"/>
      <c r="M11521" s="13"/>
    </row>
    <row r="11522">
      <c r="F11522" s="13"/>
      <c r="M11522" s="13"/>
    </row>
    <row r="11523">
      <c r="F11523" s="13"/>
      <c r="M11523" s="13"/>
    </row>
    <row r="11524">
      <c r="F11524" s="13"/>
      <c r="M11524" s="13"/>
    </row>
    <row r="11525">
      <c r="F11525" s="13"/>
      <c r="M11525" s="13"/>
    </row>
    <row r="11526">
      <c r="F11526" s="13"/>
      <c r="M11526" s="13"/>
    </row>
    <row r="11527">
      <c r="F11527" s="13"/>
      <c r="M11527" s="13"/>
    </row>
    <row r="11528">
      <c r="F11528" s="13"/>
      <c r="M11528" s="13"/>
    </row>
    <row r="11529">
      <c r="F11529" s="13"/>
      <c r="M11529" s="13"/>
    </row>
    <row r="11530">
      <c r="F11530" s="13"/>
      <c r="M11530" s="13"/>
    </row>
    <row r="11531">
      <c r="F11531" s="13"/>
      <c r="M11531" s="13"/>
    </row>
    <row r="11532">
      <c r="F11532" s="13"/>
      <c r="M11532" s="13"/>
    </row>
    <row r="11533">
      <c r="F11533" s="13"/>
      <c r="M11533" s="13"/>
    </row>
    <row r="11534">
      <c r="F11534" s="13"/>
      <c r="M11534" s="13"/>
    </row>
    <row r="11535">
      <c r="F11535" s="13"/>
      <c r="M11535" s="13"/>
    </row>
    <row r="11536">
      <c r="F11536" s="13"/>
      <c r="M11536" s="13"/>
    </row>
    <row r="11537">
      <c r="F11537" s="13"/>
      <c r="M11537" s="13"/>
    </row>
    <row r="11538">
      <c r="F11538" s="13"/>
      <c r="M11538" s="13"/>
    </row>
    <row r="11539">
      <c r="F11539" s="13"/>
      <c r="M11539" s="13"/>
    </row>
    <row r="11540">
      <c r="F11540" s="13"/>
      <c r="M11540" s="13"/>
    </row>
    <row r="11541">
      <c r="F11541" s="13"/>
      <c r="M11541" s="13"/>
    </row>
    <row r="11542">
      <c r="F11542" s="13"/>
      <c r="M11542" s="13"/>
    </row>
    <row r="11543">
      <c r="F11543" s="13"/>
      <c r="M11543" s="13"/>
    </row>
    <row r="11544">
      <c r="F11544" s="13"/>
      <c r="M11544" s="13"/>
    </row>
    <row r="11545">
      <c r="F11545" s="13"/>
      <c r="M11545" s="13"/>
    </row>
    <row r="11546">
      <c r="F11546" s="13"/>
      <c r="M11546" s="13"/>
    </row>
    <row r="11547">
      <c r="F11547" s="13"/>
      <c r="M11547" s="13"/>
    </row>
    <row r="11548">
      <c r="F11548" s="13"/>
      <c r="M11548" s="13"/>
    </row>
    <row r="11549">
      <c r="F11549" s="13"/>
      <c r="M11549" s="13"/>
    </row>
    <row r="11550">
      <c r="F11550" s="13"/>
      <c r="M11550" s="13"/>
    </row>
    <row r="11551">
      <c r="F11551" s="13"/>
      <c r="M11551" s="13"/>
    </row>
    <row r="11552">
      <c r="F11552" s="13"/>
      <c r="M11552" s="13"/>
    </row>
    <row r="11553">
      <c r="F11553" s="13"/>
      <c r="M11553" s="13"/>
    </row>
    <row r="11554">
      <c r="F11554" s="13"/>
      <c r="M11554" s="13"/>
    </row>
    <row r="11555">
      <c r="F11555" s="13"/>
      <c r="M11555" s="13"/>
    </row>
    <row r="11556">
      <c r="F11556" s="13"/>
      <c r="M11556" s="13"/>
    </row>
    <row r="11557">
      <c r="F11557" s="13"/>
      <c r="M11557" s="13"/>
    </row>
    <row r="11558">
      <c r="F11558" s="13"/>
      <c r="M11558" s="13"/>
    </row>
    <row r="11559">
      <c r="F11559" s="13"/>
      <c r="M11559" s="13"/>
    </row>
    <row r="11560">
      <c r="F11560" s="13"/>
      <c r="M11560" s="13"/>
    </row>
    <row r="11561">
      <c r="F11561" s="13"/>
      <c r="M11561" s="13"/>
    </row>
    <row r="11562">
      <c r="F11562" s="13"/>
      <c r="M11562" s="13"/>
    </row>
    <row r="11563">
      <c r="F11563" s="13"/>
      <c r="M11563" s="13"/>
    </row>
    <row r="11564">
      <c r="F11564" s="13"/>
      <c r="M11564" s="13"/>
    </row>
    <row r="11565">
      <c r="F11565" s="13"/>
      <c r="M11565" s="13"/>
    </row>
    <row r="11566">
      <c r="F11566" s="13"/>
      <c r="M11566" s="13"/>
    </row>
    <row r="11567">
      <c r="F11567" s="13"/>
      <c r="M11567" s="13"/>
    </row>
    <row r="11568">
      <c r="F11568" s="13"/>
      <c r="M11568" s="13"/>
    </row>
    <row r="11569">
      <c r="F11569" s="13"/>
      <c r="M11569" s="13"/>
    </row>
    <row r="11570">
      <c r="F11570" s="13"/>
      <c r="M11570" s="13"/>
    </row>
    <row r="11571">
      <c r="F11571" s="13"/>
      <c r="M11571" s="13"/>
    </row>
    <row r="11572">
      <c r="F11572" s="13"/>
      <c r="M11572" s="13"/>
    </row>
    <row r="11573">
      <c r="F11573" s="13"/>
      <c r="M11573" s="13"/>
    </row>
    <row r="11574">
      <c r="F11574" s="13"/>
      <c r="M11574" s="13"/>
    </row>
    <row r="11575">
      <c r="F11575" s="13"/>
      <c r="M11575" s="13"/>
    </row>
    <row r="11576">
      <c r="F11576" s="13"/>
      <c r="M11576" s="13"/>
    </row>
    <row r="11577">
      <c r="F11577" s="13"/>
      <c r="M11577" s="13"/>
    </row>
    <row r="11578">
      <c r="F11578" s="13"/>
      <c r="M11578" s="13"/>
    </row>
    <row r="11579">
      <c r="F11579" s="13"/>
      <c r="M11579" s="13"/>
    </row>
    <row r="11580">
      <c r="F11580" s="13"/>
      <c r="M11580" s="13"/>
    </row>
    <row r="11581">
      <c r="F11581" s="13"/>
      <c r="M11581" s="13"/>
    </row>
    <row r="11582">
      <c r="F11582" s="13"/>
      <c r="M11582" s="13"/>
    </row>
    <row r="11583">
      <c r="F11583" s="13"/>
      <c r="M11583" s="13"/>
    </row>
    <row r="11584">
      <c r="F11584" s="13"/>
      <c r="M11584" s="13"/>
    </row>
    <row r="11585">
      <c r="F11585" s="13"/>
      <c r="M11585" s="13"/>
    </row>
    <row r="11586">
      <c r="F11586" s="13"/>
      <c r="M11586" s="13"/>
    </row>
    <row r="11587">
      <c r="F11587" s="13"/>
      <c r="M11587" s="13"/>
    </row>
    <row r="11588">
      <c r="F11588" s="13"/>
      <c r="M11588" s="13"/>
    </row>
    <row r="11589">
      <c r="F11589" s="13"/>
      <c r="M11589" s="13"/>
    </row>
    <row r="11590">
      <c r="F11590" s="13"/>
      <c r="M11590" s="13"/>
    </row>
    <row r="11591">
      <c r="F11591" s="13"/>
      <c r="M11591" s="13"/>
    </row>
    <row r="11592">
      <c r="F11592" s="13"/>
      <c r="M11592" s="13"/>
    </row>
    <row r="11593">
      <c r="F11593" s="13"/>
      <c r="M11593" s="13"/>
    </row>
    <row r="11594">
      <c r="F11594" s="13"/>
      <c r="M11594" s="13"/>
    </row>
    <row r="11595">
      <c r="F11595" s="13"/>
      <c r="M11595" s="13"/>
    </row>
    <row r="11596">
      <c r="F11596" s="13"/>
      <c r="M11596" s="13"/>
    </row>
    <row r="11597">
      <c r="F11597" s="13"/>
      <c r="M11597" s="13"/>
    </row>
    <row r="11598">
      <c r="F11598" s="13"/>
      <c r="M11598" s="13"/>
    </row>
    <row r="11599">
      <c r="F11599" s="13"/>
      <c r="M11599" s="13"/>
    </row>
    <row r="11600">
      <c r="F11600" s="13"/>
      <c r="M11600" s="13"/>
    </row>
    <row r="11601">
      <c r="F11601" s="13"/>
      <c r="M11601" s="13"/>
    </row>
    <row r="11602">
      <c r="F11602" s="13"/>
      <c r="M11602" s="13"/>
    </row>
    <row r="11603">
      <c r="F11603" s="13"/>
      <c r="M11603" s="13"/>
    </row>
    <row r="11604">
      <c r="F11604" s="13"/>
      <c r="M11604" s="13"/>
    </row>
    <row r="11605">
      <c r="F11605" s="13"/>
      <c r="M11605" s="13"/>
    </row>
    <row r="11606">
      <c r="F11606" s="13"/>
      <c r="M11606" s="13"/>
    </row>
    <row r="11607">
      <c r="F11607" s="13"/>
      <c r="M11607" s="13"/>
    </row>
    <row r="11608">
      <c r="F11608" s="13"/>
      <c r="M11608" s="13"/>
    </row>
    <row r="11609">
      <c r="F11609" s="13"/>
      <c r="M11609" s="13"/>
    </row>
    <row r="11610">
      <c r="F11610" s="13"/>
      <c r="M11610" s="13"/>
    </row>
    <row r="11611">
      <c r="F11611" s="13"/>
      <c r="M11611" s="13"/>
    </row>
    <row r="11612">
      <c r="F11612" s="13"/>
      <c r="M11612" s="13"/>
    </row>
    <row r="11613">
      <c r="F11613" s="13"/>
      <c r="M11613" s="13"/>
    </row>
    <row r="11614">
      <c r="F11614" s="13"/>
      <c r="M11614" s="13"/>
    </row>
    <row r="11615">
      <c r="F11615" s="13"/>
      <c r="M11615" s="13"/>
    </row>
    <row r="11616">
      <c r="F11616" s="13"/>
      <c r="M11616" s="13"/>
    </row>
    <row r="11617">
      <c r="F11617" s="13"/>
      <c r="M11617" s="13"/>
    </row>
    <row r="11618">
      <c r="F11618" s="13"/>
      <c r="M11618" s="13"/>
    </row>
    <row r="11619">
      <c r="F11619" s="13"/>
      <c r="M11619" s="13"/>
    </row>
    <row r="11620">
      <c r="F11620" s="13"/>
      <c r="M11620" s="13"/>
    </row>
    <row r="11621">
      <c r="F11621" s="13"/>
      <c r="M11621" s="13"/>
    </row>
    <row r="11622">
      <c r="F11622" s="13"/>
      <c r="M11622" s="13"/>
    </row>
    <row r="11623">
      <c r="F11623" s="13"/>
      <c r="M11623" s="13"/>
    </row>
    <row r="11624">
      <c r="F11624" s="13"/>
      <c r="M11624" s="13"/>
    </row>
    <row r="11625">
      <c r="F11625" s="13"/>
      <c r="M11625" s="13"/>
    </row>
    <row r="11626">
      <c r="F11626" s="13"/>
      <c r="M11626" s="13"/>
    </row>
    <row r="11627">
      <c r="F11627" s="13"/>
      <c r="M11627" s="13"/>
    </row>
    <row r="11628">
      <c r="F11628" s="13"/>
      <c r="M11628" s="13"/>
    </row>
    <row r="11629">
      <c r="F11629" s="13"/>
      <c r="M11629" s="13"/>
    </row>
    <row r="11630">
      <c r="F11630" s="13"/>
      <c r="M11630" s="13"/>
    </row>
    <row r="11631">
      <c r="F11631" s="13"/>
      <c r="M11631" s="13"/>
    </row>
    <row r="11632">
      <c r="F11632" s="13"/>
      <c r="M11632" s="13"/>
    </row>
    <row r="11633">
      <c r="F11633" s="13"/>
      <c r="M11633" s="13"/>
    </row>
    <row r="11634">
      <c r="F11634" s="13"/>
      <c r="M11634" s="13"/>
    </row>
    <row r="11635">
      <c r="F11635" s="13"/>
      <c r="M11635" s="13"/>
    </row>
    <row r="11636">
      <c r="F11636" s="13"/>
      <c r="M11636" s="13"/>
    </row>
    <row r="11637">
      <c r="F11637" s="13"/>
      <c r="M11637" s="13"/>
    </row>
    <row r="11638">
      <c r="F11638" s="13"/>
      <c r="M11638" s="13"/>
    </row>
    <row r="11639">
      <c r="F11639" s="13"/>
      <c r="M11639" s="13"/>
    </row>
    <row r="11640">
      <c r="F11640" s="13"/>
      <c r="M11640" s="13"/>
    </row>
    <row r="11641">
      <c r="F11641" s="13"/>
      <c r="M11641" s="13"/>
    </row>
    <row r="11642">
      <c r="F11642" s="13"/>
      <c r="M11642" s="13"/>
    </row>
    <row r="11643">
      <c r="F11643" s="13"/>
      <c r="M11643" s="13"/>
    </row>
    <row r="11644">
      <c r="F11644" s="13"/>
      <c r="M11644" s="13"/>
    </row>
    <row r="11645">
      <c r="F11645" s="13"/>
      <c r="M11645" s="13"/>
    </row>
    <row r="11646">
      <c r="F11646" s="13"/>
      <c r="M11646" s="13"/>
    </row>
    <row r="11647">
      <c r="F11647" s="13"/>
      <c r="M11647" s="13"/>
    </row>
    <row r="11648">
      <c r="F11648" s="13"/>
      <c r="M11648" s="13"/>
    </row>
    <row r="11649">
      <c r="F11649" s="13"/>
      <c r="M11649" s="13"/>
    </row>
    <row r="11650">
      <c r="F11650" s="13"/>
      <c r="M11650" s="13"/>
    </row>
    <row r="11651">
      <c r="F11651" s="13"/>
      <c r="M11651" s="13"/>
    </row>
    <row r="11652">
      <c r="F11652" s="13"/>
      <c r="M11652" s="13"/>
    </row>
    <row r="11653">
      <c r="F11653" s="13"/>
      <c r="M11653" s="13"/>
    </row>
    <row r="11654">
      <c r="F11654" s="13"/>
      <c r="M11654" s="13"/>
    </row>
    <row r="11655">
      <c r="F11655" s="13"/>
      <c r="M11655" s="13"/>
    </row>
    <row r="11656">
      <c r="F11656" s="13"/>
      <c r="M11656" s="13"/>
    </row>
    <row r="11657">
      <c r="F11657" s="13"/>
      <c r="M11657" s="13"/>
    </row>
    <row r="11658">
      <c r="F11658" s="13"/>
      <c r="M11658" s="13"/>
    </row>
    <row r="11659">
      <c r="F11659" s="13"/>
      <c r="M11659" s="13"/>
    </row>
    <row r="11660">
      <c r="F11660" s="13"/>
      <c r="M11660" s="13"/>
    </row>
    <row r="11661">
      <c r="F11661" s="13"/>
      <c r="M11661" s="13"/>
    </row>
    <row r="11662">
      <c r="F11662" s="13"/>
      <c r="M11662" s="13"/>
    </row>
    <row r="11663">
      <c r="F11663" s="13"/>
      <c r="M11663" s="13"/>
    </row>
    <row r="11664">
      <c r="F11664" s="13"/>
      <c r="M11664" s="13"/>
    </row>
    <row r="11665">
      <c r="F11665" s="13"/>
      <c r="M11665" s="13"/>
    </row>
    <row r="11666">
      <c r="F11666" s="13"/>
      <c r="M11666" s="13"/>
    </row>
    <row r="11667">
      <c r="F11667" s="13"/>
      <c r="M11667" s="13"/>
    </row>
    <row r="11668">
      <c r="F11668" s="13"/>
      <c r="M11668" s="13"/>
    </row>
    <row r="11669">
      <c r="F11669" s="13"/>
      <c r="M11669" s="13"/>
    </row>
    <row r="11670">
      <c r="F11670" s="13"/>
      <c r="M11670" s="13"/>
    </row>
    <row r="11671">
      <c r="F11671" s="13"/>
      <c r="M11671" s="13"/>
    </row>
    <row r="11672">
      <c r="F11672" s="13"/>
      <c r="M11672" s="13"/>
    </row>
    <row r="11673">
      <c r="F11673" s="13"/>
      <c r="M11673" s="13"/>
    </row>
    <row r="11674">
      <c r="F11674" s="13"/>
      <c r="M11674" s="13"/>
    </row>
    <row r="11675">
      <c r="F11675" s="13"/>
      <c r="M11675" s="13"/>
    </row>
    <row r="11676">
      <c r="F11676" s="13"/>
      <c r="M11676" s="13"/>
    </row>
    <row r="11677">
      <c r="F11677" s="13"/>
      <c r="M11677" s="13"/>
    </row>
    <row r="11678">
      <c r="F11678" s="13"/>
      <c r="M11678" s="13"/>
    </row>
    <row r="11679">
      <c r="F11679" s="13"/>
      <c r="M11679" s="13"/>
    </row>
    <row r="11680">
      <c r="F11680" s="13"/>
      <c r="M11680" s="13"/>
    </row>
    <row r="11681">
      <c r="F11681" s="13"/>
      <c r="M11681" s="13"/>
    </row>
    <row r="11682">
      <c r="F11682" s="13"/>
      <c r="M11682" s="13"/>
    </row>
    <row r="11683">
      <c r="F11683" s="13"/>
      <c r="M11683" s="13"/>
    </row>
    <row r="11684">
      <c r="F11684" s="13"/>
      <c r="M11684" s="13"/>
    </row>
    <row r="11685">
      <c r="F11685" s="13"/>
      <c r="M11685" s="13"/>
    </row>
    <row r="11686">
      <c r="F11686" s="13"/>
      <c r="M11686" s="13"/>
    </row>
    <row r="11687">
      <c r="F11687" s="13"/>
      <c r="M11687" s="13"/>
    </row>
    <row r="11688">
      <c r="F11688" s="13"/>
      <c r="M11688" s="13"/>
    </row>
    <row r="11689">
      <c r="F11689" s="13"/>
      <c r="M11689" s="13"/>
    </row>
    <row r="11690">
      <c r="F11690" s="13"/>
      <c r="M11690" s="13"/>
    </row>
    <row r="11691">
      <c r="F11691" s="13"/>
      <c r="M11691" s="13"/>
    </row>
    <row r="11692">
      <c r="F11692" s="13"/>
      <c r="M11692" s="13"/>
    </row>
    <row r="11693">
      <c r="F11693" s="13"/>
      <c r="M11693" s="13"/>
    </row>
    <row r="11694">
      <c r="F11694" s="13"/>
      <c r="M11694" s="13"/>
    </row>
    <row r="11695">
      <c r="F11695" s="13"/>
      <c r="M11695" s="13"/>
    </row>
    <row r="11696">
      <c r="F11696" s="13"/>
      <c r="M11696" s="13"/>
    </row>
    <row r="11697">
      <c r="F11697" s="13"/>
      <c r="M11697" s="13"/>
    </row>
    <row r="11698">
      <c r="F11698" s="13"/>
      <c r="M11698" s="13"/>
    </row>
    <row r="11699">
      <c r="F11699" s="13"/>
      <c r="M11699" s="13"/>
    </row>
    <row r="11700">
      <c r="F11700" s="13"/>
      <c r="M11700" s="13"/>
    </row>
    <row r="11701">
      <c r="F11701" s="13"/>
      <c r="M11701" s="13"/>
    </row>
    <row r="11702">
      <c r="F11702" s="13"/>
      <c r="M11702" s="13"/>
    </row>
    <row r="11703">
      <c r="F11703" s="13"/>
      <c r="M11703" s="13"/>
    </row>
    <row r="11704">
      <c r="F11704" s="13"/>
      <c r="M11704" s="13"/>
    </row>
    <row r="11705">
      <c r="F11705" s="13"/>
      <c r="M11705" s="13"/>
    </row>
    <row r="11706">
      <c r="F11706" s="13"/>
      <c r="M11706" s="13"/>
    </row>
    <row r="11707">
      <c r="F11707" s="13"/>
      <c r="M11707" s="13"/>
    </row>
    <row r="11708">
      <c r="F11708" s="13"/>
      <c r="M11708" s="13"/>
    </row>
    <row r="11709">
      <c r="F11709" s="13"/>
      <c r="M11709" s="13"/>
    </row>
    <row r="11710">
      <c r="F11710" s="13"/>
      <c r="M11710" s="13"/>
    </row>
    <row r="11711">
      <c r="F11711" s="13"/>
      <c r="M11711" s="13"/>
    </row>
    <row r="11712">
      <c r="F11712" s="13"/>
      <c r="M11712" s="13"/>
    </row>
    <row r="11713">
      <c r="F11713" s="13"/>
      <c r="M11713" s="13"/>
    </row>
    <row r="11714">
      <c r="F11714" s="13"/>
      <c r="M11714" s="13"/>
    </row>
    <row r="11715">
      <c r="F11715" s="13"/>
      <c r="M11715" s="13"/>
    </row>
    <row r="11716">
      <c r="F11716" s="13"/>
      <c r="M11716" s="13"/>
    </row>
    <row r="11717">
      <c r="F11717" s="13"/>
      <c r="M11717" s="13"/>
    </row>
    <row r="11718">
      <c r="F11718" s="13"/>
      <c r="M11718" s="13"/>
    </row>
    <row r="11719">
      <c r="F11719" s="13"/>
      <c r="M11719" s="13"/>
    </row>
    <row r="11720">
      <c r="F11720" s="13"/>
      <c r="M11720" s="13"/>
    </row>
    <row r="11721">
      <c r="F11721" s="13"/>
      <c r="M11721" s="13"/>
    </row>
    <row r="11722">
      <c r="F11722" s="13"/>
      <c r="M11722" s="13"/>
    </row>
    <row r="11723">
      <c r="F11723" s="13"/>
      <c r="M11723" s="13"/>
    </row>
    <row r="11724">
      <c r="F11724" s="13"/>
      <c r="M11724" s="13"/>
    </row>
    <row r="11725">
      <c r="F11725" s="13"/>
      <c r="M11725" s="13"/>
    </row>
    <row r="11726">
      <c r="F11726" s="13"/>
      <c r="M11726" s="13"/>
    </row>
    <row r="11727">
      <c r="F11727" s="13"/>
      <c r="M11727" s="13"/>
    </row>
    <row r="11728">
      <c r="F11728" s="13"/>
      <c r="M11728" s="13"/>
    </row>
    <row r="11729">
      <c r="F11729" s="13"/>
      <c r="M11729" s="13"/>
    </row>
    <row r="11730">
      <c r="F11730" s="13"/>
      <c r="M11730" s="13"/>
    </row>
    <row r="11731">
      <c r="F11731" s="13"/>
      <c r="M11731" s="13"/>
    </row>
    <row r="11732">
      <c r="F11732" s="13"/>
      <c r="M11732" s="13"/>
    </row>
    <row r="11733">
      <c r="F11733" s="13"/>
      <c r="M11733" s="13"/>
    </row>
    <row r="11734">
      <c r="F11734" s="13"/>
      <c r="M11734" s="13"/>
    </row>
    <row r="11735">
      <c r="F11735" s="13"/>
      <c r="M11735" s="13"/>
    </row>
    <row r="11736">
      <c r="F11736" s="13"/>
      <c r="M11736" s="13"/>
    </row>
    <row r="11737">
      <c r="F11737" s="13"/>
      <c r="M11737" s="13"/>
    </row>
    <row r="11738">
      <c r="F11738" s="13"/>
      <c r="M11738" s="13"/>
    </row>
    <row r="11739">
      <c r="F11739" s="13"/>
      <c r="M11739" s="13"/>
    </row>
    <row r="11740">
      <c r="F11740" s="13"/>
      <c r="M11740" s="13"/>
    </row>
    <row r="11741">
      <c r="F11741" s="13"/>
      <c r="M11741" s="13"/>
    </row>
    <row r="11742">
      <c r="F11742" s="13"/>
      <c r="M11742" s="13"/>
    </row>
    <row r="11743">
      <c r="F11743" s="13"/>
      <c r="M11743" s="13"/>
    </row>
    <row r="11744">
      <c r="F11744" s="13"/>
      <c r="M11744" s="13"/>
    </row>
    <row r="11745">
      <c r="F11745" s="13"/>
      <c r="M11745" s="13"/>
    </row>
    <row r="11746">
      <c r="F11746" s="13"/>
      <c r="M11746" s="13"/>
    </row>
    <row r="11747">
      <c r="F11747" s="13"/>
      <c r="M11747" s="13"/>
    </row>
    <row r="11748">
      <c r="F11748" s="13"/>
      <c r="M11748" s="13"/>
    </row>
    <row r="11749">
      <c r="F11749" s="13"/>
      <c r="M11749" s="13"/>
    </row>
    <row r="11750">
      <c r="F11750" s="13"/>
      <c r="M11750" s="13"/>
    </row>
    <row r="11751">
      <c r="F11751" s="13"/>
      <c r="M11751" s="13"/>
    </row>
    <row r="11752">
      <c r="F11752" s="13"/>
      <c r="M11752" s="13"/>
    </row>
    <row r="11753">
      <c r="F11753" s="13"/>
      <c r="M11753" s="13"/>
    </row>
    <row r="11754">
      <c r="F11754" s="13"/>
      <c r="M11754" s="13"/>
    </row>
    <row r="11755">
      <c r="F11755" s="13"/>
      <c r="M11755" s="13"/>
    </row>
    <row r="11756">
      <c r="F11756" s="13"/>
      <c r="M11756" s="13"/>
    </row>
    <row r="11757">
      <c r="F11757" s="13"/>
      <c r="M11757" s="13"/>
    </row>
    <row r="11758">
      <c r="F11758" s="13"/>
      <c r="M11758" s="13"/>
    </row>
    <row r="11759">
      <c r="F11759" s="13"/>
      <c r="M11759" s="13"/>
    </row>
    <row r="11760">
      <c r="F11760" s="13"/>
      <c r="M11760" s="13"/>
    </row>
    <row r="11761">
      <c r="F11761" s="13"/>
      <c r="M11761" s="13"/>
    </row>
    <row r="11762">
      <c r="F11762" s="13"/>
      <c r="M11762" s="13"/>
    </row>
    <row r="11763">
      <c r="F11763" s="13"/>
      <c r="M11763" s="13"/>
    </row>
    <row r="11764">
      <c r="F11764" s="13"/>
      <c r="M11764" s="13"/>
    </row>
    <row r="11765">
      <c r="F11765" s="13"/>
      <c r="M11765" s="13"/>
    </row>
    <row r="11766">
      <c r="F11766" s="13"/>
      <c r="M11766" s="13"/>
    </row>
    <row r="11767">
      <c r="F11767" s="13"/>
      <c r="M11767" s="13"/>
    </row>
    <row r="11768">
      <c r="F11768" s="13"/>
      <c r="M11768" s="13"/>
    </row>
    <row r="11769">
      <c r="F11769" s="13"/>
      <c r="M11769" s="13"/>
    </row>
    <row r="11770">
      <c r="F11770" s="13"/>
      <c r="M11770" s="13"/>
    </row>
    <row r="11771">
      <c r="F11771" s="13"/>
      <c r="M11771" s="13"/>
    </row>
    <row r="11772">
      <c r="F11772" s="13"/>
      <c r="M11772" s="13"/>
    </row>
    <row r="11773">
      <c r="F11773" s="13"/>
      <c r="M11773" s="13"/>
    </row>
    <row r="11774">
      <c r="F11774" s="13"/>
      <c r="M11774" s="13"/>
    </row>
    <row r="11775">
      <c r="F11775" s="13"/>
      <c r="M11775" s="13"/>
    </row>
    <row r="11776">
      <c r="F11776" s="13"/>
      <c r="M11776" s="13"/>
    </row>
    <row r="11777">
      <c r="F11777" s="13"/>
      <c r="M11777" s="13"/>
    </row>
    <row r="11778">
      <c r="F11778" s="13"/>
      <c r="M11778" s="13"/>
    </row>
    <row r="11779">
      <c r="F11779" s="13"/>
      <c r="M11779" s="13"/>
    </row>
    <row r="11780">
      <c r="F11780" s="13"/>
      <c r="M11780" s="13"/>
    </row>
    <row r="11781">
      <c r="F11781" s="13"/>
      <c r="M11781" s="13"/>
    </row>
    <row r="11782">
      <c r="F11782" s="13"/>
      <c r="M11782" s="13"/>
    </row>
    <row r="11783">
      <c r="F11783" s="13"/>
      <c r="M11783" s="13"/>
    </row>
    <row r="11784">
      <c r="F11784" s="13"/>
      <c r="M11784" s="13"/>
    </row>
    <row r="11785">
      <c r="F11785" s="13"/>
      <c r="M11785" s="13"/>
    </row>
    <row r="11786">
      <c r="F11786" s="13"/>
      <c r="M11786" s="13"/>
    </row>
    <row r="11787">
      <c r="F11787" s="13"/>
      <c r="M11787" s="13"/>
    </row>
    <row r="11788">
      <c r="F11788" s="13"/>
      <c r="M11788" s="13"/>
    </row>
    <row r="11789">
      <c r="F11789" s="13"/>
      <c r="M11789" s="13"/>
    </row>
    <row r="11790">
      <c r="F11790" s="13"/>
      <c r="M11790" s="13"/>
    </row>
    <row r="11791">
      <c r="F11791" s="13"/>
      <c r="M11791" s="13"/>
    </row>
    <row r="11792">
      <c r="F11792" s="13"/>
      <c r="M11792" s="13"/>
    </row>
    <row r="11793">
      <c r="F11793" s="13"/>
      <c r="M11793" s="13"/>
    </row>
    <row r="11794">
      <c r="F11794" s="13"/>
      <c r="M11794" s="13"/>
    </row>
    <row r="11795">
      <c r="F11795" s="13"/>
      <c r="M11795" s="13"/>
    </row>
    <row r="11796">
      <c r="F11796" s="13"/>
      <c r="M11796" s="13"/>
    </row>
    <row r="11797">
      <c r="F11797" s="13"/>
      <c r="M11797" s="13"/>
    </row>
    <row r="11798">
      <c r="F11798" s="13"/>
      <c r="M11798" s="13"/>
    </row>
    <row r="11799">
      <c r="F11799" s="13"/>
      <c r="M11799" s="13"/>
    </row>
    <row r="11800">
      <c r="F11800" s="13"/>
      <c r="M11800" s="13"/>
    </row>
    <row r="11801">
      <c r="F11801" s="13"/>
      <c r="M11801" s="13"/>
    </row>
    <row r="11802">
      <c r="F11802" s="13"/>
      <c r="M11802" s="13"/>
    </row>
    <row r="11803">
      <c r="F11803" s="13"/>
      <c r="M11803" s="13"/>
    </row>
    <row r="11804">
      <c r="F11804" s="13"/>
      <c r="M11804" s="13"/>
    </row>
    <row r="11805">
      <c r="F11805" s="13"/>
      <c r="M11805" s="13"/>
    </row>
    <row r="11806">
      <c r="F11806" s="13"/>
      <c r="M11806" s="13"/>
    </row>
    <row r="11807">
      <c r="F11807" s="13"/>
      <c r="M11807" s="13"/>
    </row>
    <row r="11808">
      <c r="F11808" s="13"/>
      <c r="M11808" s="13"/>
    </row>
    <row r="11809">
      <c r="F11809" s="13"/>
      <c r="M11809" s="13"/>
    </row>
    <row r="11810">
      <c r="F11810" s="13"/>
      <c r="M11810" s="13"/>
    </row>
    <row r="11811">
      <c r="F11811" s="13"/>
      <c r="M11811" s="13"/>
    </row>
    <row r="11812">
      <c r="F11812" s="13"/>
      <c r="M11812" s="13"/>
    </row>
    <row r="11813">
      <c r="F11813" s="13"/>
      <c r="M11813" s="13"/>
    </row>
    <row r="11814">
      <c r="F11814" s="13"/>
      <c r="M11814" s="13"/>
    </row>
    <row r="11815">
      <c r="F11815" s="13"/>
      <c r="M11815" s="13"/>
    </row>
    <row r="11816">
      <c r="F11816" s="13"/>
      <c r="M11816" s="13"/>
    </row>
    <row r="11817">
      <c r="F11817" s="13"/>
      <c r="M11817" s="13"/>
    </row>
    <row r="11818">
      <c r="F11818" s="13"/>
      <c r="M11818" s="13"/>
    </row>
    <row r="11819">
      <c r="F11819" s="13"/>
      <c r="M11819" s="13"/>
    </row>
    <row r="11820">
      <c r="F11820" s="13"/>
      <c r="M11820" s="13"/>
    </row>
    <row r="11821">
      <c r="F11821" s="13"/>
      <c r="M11821" s="13"/>
    </row>
    <row r="11822">
      <c r="F11822" s="13"/>
      <c r="M11822" s="13"/>
    </row>
    <row r="11823">
      <c r="F11823" s="13"/>
      <c r="M11823" s="13"/>
    </row>
    <row r="11824">
      <c r="F11824" s="13"/>
      <c r="M11824" s="13"/>
    </row>
    <row r="11825">
      <c r="F11825" s="13"/>
      <c r="M11825" s="13"/>
    </row>
    <row r="11826">
      <c r="F11826" s="13"/>
      <c r="M11826" s="13"/>
    </row>
    <row r="11827">
      <c r="F11827" s="13"/>
      <c r="M11827" s="13"/>
    </row>
    <row r="11828">
      <c r="F11828" s="13"/>
      <c r="M11828" s="13"/>
    </row>
    <row r="11829">
      <c r="F11829" s="13"/>
      <c r="M11829" s="13"/>
    </row>
    <row r="11830">
      <c r="F11830" s="13"/>
      <c r="M11830" s="13"/>
    </row>
    <row r="11831">
      <c r="F11831" s="13"/>
      <c r="M11831" s="13"/>
    </row>
    <row r="11832">
      <c r="F11832" s="13"/>
      <c r="M11832" s="13"/>
    </row>
    <row r="11833">
      <c r="F11833" s="13"/>
      <c r="M11833" s="13"/>
    </row>
    <row r="11834">
      <c r="F11834" s="13"/>
      <c r="M11834" s="13"/>
    </row>
    <row r="11835">
      <c r="F11835" s="13"/>
      <c r="M11835" s="13"/>
    </row>
    <row r="11836">
      <c r="F11836" s="13"/>
      <c r="M11836" s="13"/>
    </row>
    <row r="11837">
      <c r="F11837" s="13"/>
      <c r="M11837" s="13"/>
    </row>
    <row r="11838">
      <c r="F11838" s="13"/>
      <c r="M11838" s="13"/>
    </row>
    <row r="11839">
      <c r="F11839" s="13"/>
      <c r="M11839" s="13"/>
    </row>
    <row r="11840">
      <c r="F11840" s="13"/>
      <c r="M11840" s="13"/>
    </row>
    <row r="11841">
      <c r="F11841" s="13"/>
      <c r="M11841" s="13"/>
    </row>
    <row r="11842">
      <c r="F11842" s="13"/>
      <c r="M11842" s="13"/>
    </row>
    <row r="11843">
      <c r="F11843" s="13"/>
      <c r="M11843" s="13"/>
    </row>
    <row r="11844">
      <c r="F11844" s="13"/>
      <c r="M11844" s="13"/>
    </row>
    <row r="11845">
      <c r="F11845" s="13"/>
      <c r="M11845" s="13"/>
    </row>
    <row r="11846">
      <c r="F11846" s="13"/>
      <c r="M11846" s="13"/>
    </row>
    <row r="11847">
      <c r="F11847" s="13"/>
      <c r="M11847" s="13"/>
    </row>
    <row r="11848">
      <c r="F11848" s="13"/>
      <c r="M11848" s="13"/>
    </row>
    <row r="11849">
      <c r="F11849" s="13"/>
      <c r="M11849" s="13"/>
    </row>
    <row r="11850">
      <c r="F11850" s="13"/>
      <c r="M11850" s="13"/>
    </row>
    <row r="11851">
      <c r="F11851" s="13"/>
      <c r="M11851" s="13"/>
    </row>
    <row r="11852">
      <c r="F11852" s="13"/>
      <c r="M11852" s="13"/>
    </row>
    <row r="11853">
      <c r="F11853" s="13"/>
      <c r="M11853" s="13"/>
    </row>
    <row r="11854">
      <c r="F11854" s="13"/>
      <c r="M11854" s="13"/>
    </row>
    <row r="11855">
      <c r="F11855" s="13"/>
      <c r="M11855" s="13"/>
    </row>
    <row r="11856">
      <c r="F11856" s="13"/>
      <c r="M11856" s="13"/>
    </row>
    <row r="11857">
      <c r="F11857" s="13"/>
      <c r="M11857" s="13"/>
    </row>
    <row r="11858">
      <c r="F11858" s="13"/>
      <c r="M11858" s="13"/>
    </row>
    <row r="11859">
      <c r="F11859" s="13"/>
      <c r="M11859" s="13"/>
    </row>
    <row r="11860">
      <c r="F11860" s="13"/>
      <c r="M11860" s="13"/>
    </row>
    <row r="11861">
      <c r="F11861" s="13"/>
      <c r="M11861" s="13"/>
    </row>
    <row r="11862">
      <c r="F11862" s="13"/>
      <c r="M11862" s="13"/>
    </row>
    <row r="11863">
      <c r="F11863" s="13"/>
      <c r="M11863" s="13"/>
    </row>
    <row r="11864">
      <c r="F11864" s="13"/>
      <c r="M11864" s="13"/>
    </row>
    <row r="11865">
      <c r="F11865" s="13"/>
      <c r="M11865" s="13"/>
    </row>
    <row r="11866">
      <c r="F11866" s="13"/>
      <c r="M11866" s="13"/>
    </row>
    <row r="11867">
      <c r="F11867" s="13"/>
      <c r="M11867" s="13"/>
    </row>
    <row r="11868">
      <c r="F11868" s="13"/>
      <c r="M11868" s="13"/>
    </row>
    <row r="11869">
      <c r="F11869" s="13"/>
      <c r="M11869" s="13"/>
    </row>
    <row r="11870">
      <c r="F11870" s="13"/>
      <c r="M11870" s="13"/>
    </row>
    <row r="11871">
      <c r="F11871" s="13"/>
      <c r="M11871" s="13"/>
    </row>
    <row r="11872">
      <c r="F11872" s="13"/>
      <c r="M11872" s="13"/>
    </row>
    <row r="11873">
      <c r="F11873" s="13"/>
      <c r="M11873" s="13"/>
    </row>
    <row r="11874">
      <c r="F11874" s="13"/>
      <c r="M11874" s="13"/>
    </row>
    <row r="11875">
      <c r="F11875" s="13"/>
      <c r="M11875" s="13"/>
    </row>
    <row r="11876">
      <c r="F11876" s="13"/>
      <c r="M11876" s="13"/>
    </row>
    <row r="11877">
      <c r="F11877" s="13"/>
      <c r="M11877" s="13"/>
    </row>
    <row r="11878">
      <c r="F11878" s="13"/>
      <c r="M11878" s="13"/>
    </row>
    <row r="11879">
      <c r="F11879" s="13"/>
      <c r="M11879" s="13"/>
    </row>
    <row r="11880">
      <c r="F11880" s="13"/>
      <c r="M11880" s="13"/>
    </row>
    <row r="11881">
      <c r="F11881" s="13"/>
      <c r="M11881" s="13"/>
    </row>
    <row r="11882">
      <c r="F11882" s="13"/>
      <c r="M11882" s="13"/>
    </row>
    <row r="11883">
      <c r="F11883" s="13"/>
      <c r="M11883" s="13"/>
    </row>
    <row r="11884">
      <c r="F11884" s="13"/>
      <c r="M11884" s="13"/>
    </row>
    <row r="11885">
      <c r="F11885" s="13"/>
      <c r="M11885" s="13"/>
    </row>
    <row r="11886">
      <c r="F11886" s="13"/>
      <c r="M11886" s="13"/>
    </row>
    <row r="11887">
      <c r="F11887" s="13"/>
      <c r="M11887" s="13"/>
    </row>
    <row r="11888">
      <c r="F11888" s="13"/>
      <c r="M11888" s="13"/>
    </row>
    <row r="11889">
      <c r="F11889" s="13"/>
      <c r="M11889" s="13"/>
    </row>
    <row r="11890">
      <c r="F11890" s="13"/>
      <c r="M11890" s="13"/>
    </row>
    <row r="11891">
      <c r="F11891" s="13"/>
      <c r="M11891" s="13"/>
    </row>
    <row r="11892">
      <c r="F11892" s="13"/>
      <c r="M11892" s="13"/>
    </row>
    <row r="11893">
      <c r="F11893" s="13"/>
      <c r="M11893" s="13"/>
    </row>
    <row r="11894">
      <c r="F11894" s="13"/>
      <c r="M11894" s="13"/>
    </row>
    <row r="11895">
      <c r="F11895" s="13"/>
      <c r="M11895" s="13"/>
    </row>
    <row r="11896">
      <c r="F11896" s="13"/>
      <c r="M11896" s="13"/>
    </row>
    <row r="11897">
      <c r="F11897" s="13"/>
      <c r="M11897" s="13"/>
    </row>
    <row r="11898">
      <c r="F11898" s="13"/>
      <c r="M11898" s="13"/>
    </row>
    <row r="11899">
      <c r="F11899" s="13"/>
      <c r="M11899" s="13"/>
    </row>
    <row r="11900">
      <c r="F11900" s="13"/>
      <c r="M11900" s="13"/>
    </row>
    <row r="11901">
      <c r="F11901" s="13"/>
      <c r="M11901" s="13"/>
    </row>
    <row r="11902">
      <c r="F11902" s="13"/>
      <c r="M11902" s="13"/>
    </row>
    <row r="11903">
      <c r="F11903" s="13"/>
      <c r="M11903" s="13"/>
    </row>
    <row r="11904">
      <c r="F11904" s="13"/>
      <c r="M11904" s="13"/>
    </row>
    <row r="11905">
      <c r="F11905" s="13"/>
      <c r="M11905" s="13"/>
    </row>
    <row r="11906">
      <c r="F11906" s="13"/>
      <c r="M11906" s="13"/>
    </row>
    <row r="11907">
      <c r="F11907" s="13"/>
      <c r="M11907" s="13"/>
    </row>
    <row r="11908">
      <c r="F11908" s="13"/>
      <c r="M11908" s="13"/>
    </row>
    <row r="11909">
      <c r="F11909" s="13"/>
      <c r="M11909" s="13"/>
    </row>
    <row r="11910">
      <c r="F11910" s="13"/>
      <c r="M11910" s="13"/>
    </row>
    <row r="11911">
      <c r="F11911" s="13"/>
      <c r="M11911" s="13"/>
    </row>
    <row r="11912">
      <c r="F11912" s="13"/>
      <c r="M11912" s="13"/>
    </row>
    <row r="11913">
      <c r="F11913" s="13"/>
      <c r="M11913" s="13"/>
    </row>
    <row r="11914">
      <c r="F11914" s="13"/>
      <c r="M11914" s="13"/>
    </row>
    <row r="11915">
      <c r="F11915" s="13"/>
      <c r="M11915" s="13"/>
    </row>
    <row r="11916">
      <c r="F11916" s="13"/>
      <c r="M11916" s="13"/>
    </row>
    <row r="11917">
      <c r="F11917" s="13"/>
      <c r="M11917" s="13"/>
    </row>
    <row r="11918">
      <c r="F11918" s="13"/>
      <c r="M11918" s="13"/>
    </row>
    <row r="11919">
      <c r="F11919" s="13"/>
      <c r="M11919" s="13"/>
    </row>
    <row r="11920">
      <c r="F11920" s="13"/>
      <c r="M11920" s="13"/>
    </row>
    <row r="11921">
      <c r="F11921" s="13"/>
      <c r="M11921" s="13"/>
    </row>
    <row r="11922">
      <c r="F11922" s="13"/>
      <c r="M11922" s="13"/>
    </row>
    <row r="11923">
      <c r="F11923" s="13"/>
      <c r="M11923" s="13"/>
    </row>
    <row r="11924">
      <c r="F11924" s="13"/>
      <c r="M11924" s="13"/>
    </row>
    <row r="11925">
      <c r="F11925" s="13"/>
      <c r="M11925" s="13"/>
    </row>
    <row r="11926">
      <c r="F11926" s="13"/>
      <c r="M11926" s="13"/>
    </row>
    <row r="11927">
      <c r="F11927" s="13"/>
      <c r="M11927" s="13"/>
    </row>
    <row r="11928">
      <c r="F11928" s="13"/>
      <c r="M11928" s="13"/>
    </row>
    <row r="11929">
      <c r="F11929" s="13"/>
      <c r="M11929" s="13"/>
    </row>
    <row r="11930">
      <c r="F11930" s="13"/>
      <c r="M11930" s="13"/>
    </row>
    <row r="11931">
      <c r="F11931" s="13"/>
      <c r="M11931" s="13"/>
    </row>
    <row r="11932">
      <c r="F11932" s="13"/>
      <c r="M11932" s="13"/>
    </row>
    <row r="11933">
      <c r="F11933" s="13"/>
      <c r="M11933" s="13"/>
    </row>
    <row r="11934">
      <c r="F11934" s="13"/>
      <c r="M11934" s="13"/>
    </row>
    <row r="11935">
      <c r="F11935" s="13"/>
      <c r="M11935" s="13"/>
    </row>
    <row r="11936">
      <c r="F11936" s="13"/>
      <c r="M11936" s="13"/>
    </row>
    <row r="11937">
      <c r="F11937" s="13"/>
      <c r="M11937" s="13"/>
    </row>
    <row r="11938">
      <c r="F11938" s="13"/>
      <c r="M11938" s="13"/>
    </row>
    <row r="11939">
      <c r="F11939" s="13"/>
      <c r="M11939" s="13"/>
    </row>
    <row r="11940">
      <c r="F11940" s="13"/>
      <c r="M11940" s="13"/>
    </row>
    <row r="11941">
      <c r="F11941" s="13"/>
      <c r="M11941" s="13"/>
    </row>
    <row r="11942">
      <c r="F11942" s="13"/>
      <c r="M11942" s="13"/>
    </row>
    <row r="11943">
      <c r="F11943" s="13"/>
      <c r="M11943" s="13"/>
    </row>
    <row r="11944">
      <c r="F11944" s="13"/>
      <c r="M11944" s="13"/>
    </row>
    <row r="11945">
      <c r="F11945" s="13"/>
      <c r="M11945" s="13"/>
    </row>
    <row r="11946">
      <c r="F11946" s="13"/>
      <c r="M11946" s="13"/>
    </row>
    <row r="11947">
      <c r="F11947" s="13"/>
      <c r="M11947" s="13"/>
    </row>
    <row r="11948">
      <c r="F11948" s="13"/>
      <c r="M11948" s="13"/>
    </row>
    <row r="11949">
      <c r="F11949" s="13"/>
      <c r="M11949" s="13"/>
    </row>
    <row r="11950">
      <c r="F11950" s="13"/>
      <c r="M11950" s="13"/>
    </row>
    <row r="11951">
      <c r="F11951" s="13"/>
      <c r="M11951" s="13"/>
    </row>
    <row r="11952">
      <c r="F11952" s="13"/>
      <c r="M11952" s="13"/>
    </row>
    <row r="11953">
      <c r="F11953" s="13"/>
      <c r="M11953" s="13"/>
    </row>
    <row r="11954">
      <c r="F11954" s="13"/>
      <c r="M11954" s="13"/>
    </row>
    <row r="11955">
      <c r="F11955" s="13"/>
      <c r="M11955" s="13"/>
    </row>
    <row r="11956">
      <c r="F11956" s="13"/>
      <c r="M11956" s="13"/>
    </row>
    <row r="11957">
      <c r="F11957" s="13"/>
      <c r="M11957" s="13"/>
    </row>
    <row r="11958">
      <c r="F11958" s="13"/>
      <c r="M11958" s="13"/>
    </row>
    <row r="11959">
      <c r="F11959" s="13"/>
      <c r="M11959" s="13"/>
    </row>
    <row r="11960">
      <c r="F11960" s="13"/>
      <c r="M11960" s="13"/>
    </row>
    <row r="11961">
      <c r="F11961" s="13"/>
      <c r="M11961" s="13"/>
    </row>
    <row r="11962">
      <c r="F11962" s="13"/>
      <c r="M11962" s="13"/>
    </row>
    <row r="11963">
      <c r="F11963" s="13"/>
      <c r="M11963" s="13"/>
    </row>
    <row r="11964">
      <c r="F11964" s="13"/>
      <c r="M11964" s="13"/>
    </row>
    <row r="11965">
      <c r="F11965" s="13"/>
      <c r="M11965" s="13"/>
    </row>
    <row r="11966">
      <c r="F11966" s="13"/>
      <c r="M11966" s="13"/>
    </row>
    <row r="11967">
      <c r="F11967" s="13"/>
      <c r="M11967" s="13"/>
    </row>
    <row r="11968">
      <c r="F11968" s="13"/>
      <c r="M11968" s="13"/>
    </row>
    <row r="11969">
      <c r="F11969" s="13"/>
      <c r="M11969" s="13"/>
    </row>
    <row r="11970">
      <c r="F11970" s="13"/>
      <c r="M11970" s="13"/>
    </row>
    <row r="11971">
      <c r="F11971" s="13"/>
      <c r="M11971" s="13"/>
    </row>
    <row r="11972">
      <c r="F11972" s="13"/>
      <c r="M11972" s="13"/>
    </row>
    <row r="11973">
      <c r="F11973" s="13"/>
      <c r="M11973" s="13"/>
    </row>
    <row r="11974">
      <c r="F11974" s="13"/>
      <c r="M11974" s="13"/>
    </row>
    <row r="11975">
      <c r="F11975" s="13"/>
      <c r="M11975" s="13"/>
    </row>
    <row r="11976">
      <c r="F11976" s="13"/>
      <c r="M11976" s="13"/>
    </row>
    <row r="11977">
      <c r="F11977" s="13"/>
      <c r="M11977" s="13"/>
    </row>
    <row r="11978">
      <c r="F11978" s="13"/>
      <c r="M11978" s="13"/>
    </row>
    <row r="11979">
      <c r="F11979" s="13"/>
      <c r="M11979" s="13"/>
    </row>
    <row r="11980">
      <c r="F11980" s="13"/>
      <c r="M11980" s="13"/>
    </row>
    <row r="11981">
      <c r="F11981" s="13"/>
      <c r="M11981" s="13"/>
    </row>
    <row r="11982">
      <c r="F11982" s="13"/>
      <c r="M11982" s="13"/>
    </row>
    <row r="11983">
      <c r="F11983" s="13"/>
      <c r="M11983" s="13"/>
    </row>
    <row r="11984">
      <c r="F11984" s="13"/>
      <c r="M11984" s="13"/>
    </row>
    <row r="11985">
      <c r="F11985" s="13"/>
      <c r="M11985" s="13"/>
    </row>
    <row r="11986">
      <c r="F11986" s="13"/>
      <c r="M11986" s="13"/>
    </row>
    <row r="11987">
      <c r="F11987" s="13"/>
      <c r="M11987" s="13"/>
    </row>
    <row r="11988">
      <c r="F11988" s="13"/>
      <c r="M11988" s="13"/>
    </row>
    <row r="11989">
      <c r="F11989" s="13"/>
      <c r="M11989" s="13"/>
    </row>
    <row r="11990">
      <c r="F11990" s="13"/>
      <c r="M11990" s="13"/>
    </row>
    <row r="11991">
      <c r="F11991" s="13"/>
      <c r="M11991" s="13"/>
    </row>
    <row r="11992">
      <c r="F11992" s="13"/>
      <c r="M11992" s="13"/>
    </row>
    <row r="11993">
      <c r="F11993" s="13"/>
      <c r="M11993" s="13"/>
    </row>
    <row r="11994">
      <c r="F11994" s="13"/>
      <c r="M11994" s="13"/>
    </row>
    <row r="11995">
      <c r="F11995" s="13"/>
      <c r="M11995" s="13"/>
    </row>
    <row r="11996">
      <c r="F11996" s="13"/>
      <c r="M11996" s="13"/>
    </row>
    <row r="11997">
      <c r="F11997" s="13"/>
      <c r="M11997" s="13"/>
    </row>
    <row r="11998">
      <c r="F11998" s="13"/>
      <c r="M11998" s="13"/>
    </row>
    <row r="11999">
      <c r="F11999" s="13"/>
      <c r="M11999" s="13"/>
    </row>
    <row r="12000">
      <c r="F12000" s="13"/>
      <c r="M12000" s="13"/>
    </row>
    <row r="12001">
      <c r="F12001" s="13"/>
      <c r="M12001" s="13"/>
    </row>
    <row r="12002">
      <c r="F12002" s="13"/>
      <c r="M12002" s="13"/>
    </row>
    <row r="12003">
      <c r="F12003" s="13"/>
      <c r="M12003" s="13"/>
    </row>
    <row r="12004">
      <c r="F12004" s="13"/>
      <c r="M12004" s="13"/>
    </row>
    <row r="12005">
      <c r="F12005" s="13"/>
      <c r="M12005" s="13"/>
    </row>
    <row r="12006">
      <c r="F12006" s="13"/>
      <c r="M12006" s="13"/>
    </row>
    <row r="12007">
      <c r="F12007" s="13"/>
      <c r="M12007" s="13"/>
    </row>
    <row r="12008">
      <c r="F12008" s="13"/>
      <c r="M12008" s="13"/>
    </row>
    <row r="12009">
      <c r="F12009" s="13"/>
      <c r="M12009" s="13"/>
    </row>
    <row r="12010">
      <c r="F12010" s="13"/>
      <c r="M12010" s="13"/>
    </row>
    <row r="12011">
      <c r="F12011" s="13"/>
      <c r="M12011" s="13"/>
    </row>
    <row r="12012">
      <c r="F12012" s="13"/>
      <c r="M12012" s="13"/>
    </row>
    <row r="12013">
      <c r="F12013" s="13"/>
      <c r="M12013" s="13"/>
    </row>
    <row r="12014">
      <c r="F12014" s="13"/>
      <c r="M12014" s="13"/>
    </row>
    <row r="12015">
      <c r="F12015" s="13"/>
      <c r="M12015" s="13"/>
    </row>
    <row r="12016">
      <c r="F12016" s="13"/>
      <c r="M12016" s="13"/>
    </row>
    <row r="12017">
      <c r="F12017" s="13"/>
      <c r="M12017" s="13"/>
    </row>
    <row r="12018">
      <c r="F12018" s="13"/>
      <c r="M12018" s="13"/>
    </row>
    <row r="12019">
      <c r="F12019" s="13"/>
      <c r="M12019" s="13"/>
    </row>
    <row r="12020">
      <c r="F12020" s="13"/>
      <c r="M12020" s="13"/>
    </row>
    <row r="12021">
      <c r="F12021" s="13"/>
      <c r="M12021" s="13"/>
    </row>
    <row r="12022">
      <c r="F12022" s="13"/>
      <c r="M12022" s="13"/>
    </row>
    <row r="12023">
      <c r="F12023" s="13"/>
      <c r="M12023" s="13"/>
    </row>
    <row r="12024">
      <c r="F12024" s="13"/>
      <c r="M12024" s="13"/>
    </row>
    <row r="12025">
      <c r="F12025" s="13"/>
      <c r="M12025" s="13"/>
    </row>
    <row r="12026">
      <c r="F12026" s="13"/>
      <c r="M12026" s="13"/>
    </row>
    <row r="12027">
      <c r="F12027" s="13"/>
      <c r="M12027" s="13"/>
    </row>
    <row r="12028">
      <c r="F12028" s="13"/>
      <c r="M12028" s="13"/>
    </row>
    <row r="12029">
      <c r="F12029" s="13"/>
      <c r="M12029" s="13"/>
    </row>
    <row r="12030">
      <c r="F12030" s="13"/>
      <c r="M12030" s="13"/>
    </row>
    <row r="12031">
      <c r="F12031" s="13"/>
      <c r="M12031" s="13"/>
    </row>
    <row r="12032">
      <c r="F12032" s="13"/>
      <c r="M12032" s="13"/>
    </row>
    <row r="12033">
      <c r="F12033" s="13"/>
      <c r="M12033" s="13"/>
    </row>
    <row r="12034">
      <c r="F12034" s="13"/>
      <c r="M12034" s="13"/>
    </row>
    <row r="12035">
      <c r="F12035" s="13"/>
      <c r="M12035" s="13"/>
    </row>
    <row r="12036">
      <c r="F12036" s="13"/>
      <c r="M12036" s="13"/>
    </row>
    <row r="12037">
      <c r="F12037" s="13"/>
      <c r="M12037" s="13"/>
    </row>
    <row r="12038">
      <c r="F12038" s="13"/>
      <c r="M12038" s="13"/>
    </row>
    <row r="12039">
      <c r="F12039" s="13"/>
      <c r="M12039" s="13"/>
    </row>
    <row r="12040">
      <c r="F12040" s="13"/>
      <c r="M12040" s="13"/>
    </row>
    <row r="12041">
      <c r="F12041" s="13"/>
      <c r="M12041" s="13"/>
    </row>
    <row r="12042">
      <c r="F12042" s="13"/>
      <c r="M12042" s="13"/>
    </row>
    <row r="12043">
      <c r="F12043" s="13"/>
      <c r="M12043" s="13"/>
    </row>
    <row r="12044">
      <c r="F12044" s="13"/>
      <c r="M12044" s="13"/>
    </row>
    <row r="12045">
      <c r="F12045" s="13"/>
      <c r="M12045" s="13"/>
    </row>
    <row r="12046">
      <c r="F12046" s="13"/>
      <c r="M12046" s="13"/>
    </row>
    <row r="12047">
      <c r="F12047" s="13"/>
      <c r="M12047" s="13"/>
    </row>
    <row r="12048">
      <c r="F12048" s="13"/>
      <c r="M12048" s="13"/>
    </row>
    <row r="12049">
      <c r="F12049" s="13"/>
      <c r="M12049" s="13"/>
    </row>
    <row r="12050">
      <c r="F12050" s="13"/>
      <c r="M12050" s="13"/>
    </row>
    <row r="12051">
      <c r="F12051" s="13"/>
      <c r="M12051" s="13"/>
    </row>
    <row r="12052">
      <c r="F12052" s="13"/>
      <c r="M12052" s="13"/>
    </row>
    <row r="12053">
      <c r="F12053" s="13"/>
      <c r="M12053" s="13"/>
    </row>
    <row r="12054">
      <c r="F12054" s="13"/>
      <c r="M12054" s="13"/>
    </row>
    <row r="12055">
      <c r="F12055" s="13"/>
      <c r="M12055" s="13"/>
    </row>
    <row r="12056">
      <c r="F12056" s="13"/>
      <c r="M12056" s="13"/>
    </row>
    <row r="12057">
      <c r="F12057" s="13"/>
      <c r="M12057" s="13"/>
    </row>
    <row r="12058">
      <c r="F12058" s="13"/>
      <c r="M12058" s="13"/>
    </row>
    <row r="12059">
      <c r="F12059" s="13"/>
      <c r="M12059" s="13"/>
    </row>
    <row r="12060">
      <c r="F12060" s="13"/>
      <c r="M12060" s="13"/>
    </row>
    <row r="12061">
      <c r="F12061" s="13"/>
      <c r="M12061" s="13"/>
    </row>
    <row r="12062">
      <c r="F12062" s="13"/>
      <c r="M12062" s="13"/>
    </row>
    <row r="12063">
      <c r="F12063" s="13"/>
      <c r="M12063" s="13"/>
    </row>
    <row r="12064">
      <c r="F12064" s="13"/>
      <c r="M12064" s="13"/>
    </row>
    <row r="12065">
      <c r="F12065" s="13"/>
      <c r="M12065" s="13"/>
    </row>
    <row r="12066">
      <c r="F12066" s="13"/>
      <c r="M12066" s="13"/>
    </row>
    <row r="12067">
      <c r="F12067" s="13"/>
      <c r="M12067" s="13"/>
    </row>
    <row r="12068">
      <c r="F12068" s="13"/>
      <c r="M12068" s="13"/>
    </row>
    <row r="12069">
      <c r="F12069" s="13"/>
      <c r="M12069" s="13"/>
    </row>
    <row r="12070">
      <c r="F12070" s="13"/>
      <c r="M12070" s="13"/>
    </row>
    <row r="12071">
      <c r="F12071" s="13"/>
      <c r="M12071" s="13"/>
    </row>
    <row r="12072">
      <c r="F12072" s="13"/>
      <c r="M12072" s="13"/>
    </row>
    <row r="12073">
      <c r="F12073" s="13"/>
      <c r="M12073" s="13"/>
    </row>
    <row r="12074">
      <c r="F12074" s="13"/>
      <c r="M12074" s="13"/>
    </row>
    <row r="12075">
      <c r="F12075" s="13"/>
      <c r="M12075" s="13"/>
    </row>
    <row r="12076">
      <c r="F12076" s="13"/>
      <c r="M12076" s="13"/>
    </row>
    <row r="12077">
      <c r="F12077" s="13"/>
      <c r="M12077" s="13"/>
    </row>
    <row r="12078">
      <c r="F12078" s="13"/>
      <c r="M12078" s="13"/>
    </row>
    <row r="12079">
      <c r="F12079" s="13"/>
      <c r="M12079" s="13"/>
    </row>
    <row r="12080">
      <c r="F12080" s="13"/>
      <c r="M12080" s="13"/>
    </row>
    <row r="12081">
      <c r="F12081" s="13"/>
      <c r="M12081" s="13"/>
    </row>
    <row r="12082">
      <c r="F12082" s="13"/>
      <c r="M12082" s="13"/>
    </row>
    <row r="12083">
      <c r="F12083" s="13"/>
      <c r="M12083" s="13"/>
    </row>
    <row r="12084">
      <c r="F12084" s="13"/>
      <c r="M12084" s="13"/>
    </row>
    <row r="12085">
      <c r="F12085" s="13"/>
      <c r="M12085" s="13"/>
    </row>
    <row r="12086">
      <c r="F12086" s="13"/>
      <c r="M12086" s="13"/>
    </row>
    <row r="12087">
      <c r="F12087" s="13"/>
      <c r="M12087" s="13"/>
    </row>
    <row r="12088">
      <c r="F12088" s="13"/>
      <c r="M12088" s="13"/>
    </row>
    <row r="12089">
      <c r="F12089" s="13"/>
      <c r="M12089" s="13"/>
    </row>
    <row r="12090">
      <c r="F12090" s="13"/>
      <c r="M12090" s="13"/>
    </row>
    <row r="12091">
      <c r="F12091" s="13"/>
      <c r="M12091" s="13"/>
    </row>
    <row r="12092">
      <c r="F12092" s="13"/>
      <c r="M12092" s="13"/>
    </row>
    <row r="12093">
      <c r="F12093" s="13"/>
      <c r="M12093" s="13"/>
    </row>
    <row r="12094">
      <c r="F12094" s="13"/>
      <c r="M12094" s="13"/>
    </row>
    <row r="12095">
      <c r="F12095" s="13"/>
      <c r="M12095" s="13"/>
    </row>
    <row r="12096">
      <c r="F12096" s="13"/>
      <c r="M12096" s="13"/>
    </row>
    <row r="12097">
      <c r="F12097" s="13"/>
      <c r="M12097" s="13"/>
    </row>
    <row r="12098">
      <c r="F12098" s="13"/>
      <c r="M12098" s="13"/>
    </row>
    <row r="12099">
      <c r="F12099" s="13"/>
      <c r="M12099" s="13"/>
    </row>
    <row r="12100">
      <c r="F12100" s="13"/>
      <c r="M12100" s="13"/>
    </row>
    <row r="12101">
      <c r="F12101" s="13"/>
      <c r="M12101" s="13"/>
    </row>
    <row r="12102">
      <c r="F12102" s="13"/>
      <c r="M12102" s="13"/>
    </row>
    <row r="12103">
      <c r="F12103" s="13"/>
      <c r="M12103" s="13"/>
    </row>
    <row r="12104">
      <c r="F12104" s="13"/>
      <c r="M12104" s="13"/>
    </row>
    <row r="12105">
      <c r="F12105" s="13"/>
      <c r="M12105" s="13"/>
    </row>
    <row r="12106">
      <c r="F12106" s="13"/>
      <c r="M12106" s="13"/>
    </row>
    <row r="12107">
      <c r="F12107" s="13"/>
      <c r="M12107" s="13"/>
    </row>
    <row r="12108">
      <c r="F12108" s="13"/>
      <c r="M12108" s="13"/>
    </row>
    <row r="12109">
      <c r="F12109" s="13"/>
      <c r="M12109" s="13"/>
    </row>
    <row r="12110">
      <c r="F12110" s="13"/>
      <c r="M12110" s="13"/>
    </row>
    <row r="12111">
      <c r="F12111" s="13"/>
      <c r="M12111" s="13"/>
    </row>
    <row r="12112">
      <c r="F12112" s="13"/>
      <c r="M12112" s="13"/>
    </row>
    <row r="12113">
      <c r="F12113" s="13"/>
      <c r="M12113" s="13"/>
    </row>
    <row r="12114">
      <c r="F12114" s="13"/>
      <c r="M12114" s="13"/>
    </row>
    <row r="12115">
      <c r="F12115" s="13"/>
      <c r="M12115" s="13"/>
    </row>
    <row r="12116">
      <c r="F12116" s="13"/>
      <c r="M12116" s="13"/>
    </row>
    <row r="12117">
      <c r="F12117" s="13"/>
      <c r="M12117" s="13"/>
    </row>
    <row r="12118">
      <c r="F12118" s="13"/>
      <c r="M12118" s="13"/>
    </row>
    <row r="12119">
      <c r="F12119" s="13"/>
      <c r="M12119" s="13"/>
    </row>
    <row r="12120">
      <c r="F12120" s="13"/>
      <c r="M12120" s="13"/>
    </row>
    <row r="12121">
      <c r="F12121" s="13"/>
      <c r="M12121" s="13"/>
    </row>
    <row r="12122">
      <c r="F12122" s="13"/>
      <c r="M12122" s="13"/>
    </row>
    <row r="12123">
      <c r="F12123" s="13"/>
      <c r="M12123" s="13"/>
    </row>
    <row r="12124">
      <c r="F12124" s="13"/>
      <c r="M12124" s="13"/>
    </row>
    <row r="12125">
      <c r="F12125" s="13"/>
      <c r="M12125" s="13"/>
    </row>
    <row r="12126">
      <c r="F12126" s="13"/>
      <c r="M12126" s="13"/>
    </row>
    <row r="12127">
      <c r="F12127" s="13"/>
      <c r="M12127" s="13"/>
    </row>
    <row r="12128">
      <c r="F12128" s="13"/>
      <c r="M12128" s="13"/>
    </row>
    <row r="12129">
      <c r="F12129" s="13"/>
      <c r="M12129" s="13"/>
    </row>
    <row r="12130">
      <c r="F12130" s="13"/>
      <c r="M12130" s="13"/>
    </row>
    <row r="12131">
      <c r="F12131" s="13"/>
      <c r="M12131" s="13"/>
    </row>
    <row r="12132">
      <c r="F12132" s="13"/>
      <c r="M12132" s="13"/>
    </row>
    <row r="12133">
      <c r="F12133" s="13"/>
      <c r="M12133" s="13"/>
    </row>
    <row r="12134">
      <c r="F12134" s="13"/>
      <c r="M12134" s="13"/>
    </row>
    <row r="12135">
      <c r="F12135" s="13"/>
      <c r="M12135" s="13"/>
    </row>
    <row r="12136">
      <c r="F12136" s="13"/>
      <c r="M12136" s="13"/>
    </row>
    <row r="12137">
      <c r="F12137" s="13"/>
      <c r="M12137" s="13"/>
    </row>
    <row r="12138">
      <c r="F12138" s="13"/>
      <c r="M12138" s="13"/>
    </row>
    <row r="12139">
      <c r="F12139" s="13"/>
      <c r="M12139" s="13"/>
    </row>
    <row r="12140">
      <c r="F12140" s="13"/>
      <c r="M12140" s="13"/>
    </row>
    <row r="12141">
      <c r="F12141" s="13"/>
      <c r="M12141" s="13"/>
    </row>
    <row r="12142">
      <c r="F12142" s="13"/>
      <c r="M12142" s="13"/>
    </row>
    <row r="12143">
      <c r="F12143" s="13"/>
      <c r="M12143" s="13"/>
    </row>
    <row r="12144">
      <c r="F12144" s="13"/>
      <c r="M12144" s="13"/>
    </row>
    <row r="12145">
      <c r="F12145" s="13"/>
      <c r="M12145" s="13"/>
    </row>
    <row r="12146">
      <c r="F12146" s="13"/>
      <c r="M12146" s="13"/>
    </row>
    <row r="12147">
      <c r="F12147" s="13"/>
      <c r="M12147" s="13"/>
    </row>
    <row r="12148">
      <c r="F12148" s="13"/>
      <c r="M12148" s="13"/>
    </row>
    <row r="12149">
      <c r="F12149" s="13"/>
      <c r="M12149" s="13"/>
    </row>
    <row r="12150">
      <c r="F12150" s="13"/>
      <c r="M12150" s="13"/>
    </row>
    <row r="12151">
      <c r="F12151" s="13"/>
      <c r="M12151" s="13"/>
    </row>
    <row r="12152">
      <c r="F12152" s="13"/>
      <c r="M12152" s="13"/>
    </row>
    <row r="12153">
      <c r="F12153" s="13"/>
      <c r="M12153" s="13"/>
    </row>
    <row r="12154">
      <c r="F12154" s="13"/>
      <c r="M12154" s="13"/>
    </row>
    <row r="12155">
      <c r="F12155" s="13"/>
      <c r="M12155" s="13"/>
    </row>
    <row r="12156">
      <c r="F12156" s="13"/>
      <c r="M12156" s="13"/>
    </row>
    <row r="12157">
      <c r="F12157" s="13"/>
      <c r="M12157" s="13"/>
    </row>
    <row r="12158">
      <c r="F12158" s="13"/>
      <c r="M12158" s="13"/>
    </row>
    <row r="12159">
      <c r="F12159" s="13"/>
      <c r="M12159" s="13"/>
    </row>
    <row r="12160">
      <c r="F12160" s="13"/>
      <c r="M12160" s="13"/>
    </row>
    <row r="12161">
      <c r="F12161" s="13"/>
      <c r="M12161" s="13"/>
    </row>
    <row r="12162">
      <c r="F12162" s="13"/>
      <c r="M12162" s="13"/>
    </row>
    <row r="12163">
      <c r="F12163" s="13"/>
      <c r="M12163" s="13"/>
    </row>
    <row r="12164">
      <c r="F12164" s="13"/>
      <c r="M12164" s="13"/>
    </row>
    <row r="12165">
      <c r="F12165" s="13"/>
      <c r="M12165" s="13"/>
    </row>
    <row r="12166">
      <c r="F12166" s="13"/>
      <c r="M12166" s="13"/>
    </row>
    <row r="12167">
      <c r="F12167" s="13"/>
      <c r="M12167" s="13"/>
    </row>
    <row r="12168">
      <c r="F12168" s="13"/>
      <c r="M12168" s="13"/>
    </row>
    <row r="12169">
      <c r="F12169" s="13"/>
      <c r="M12169" s="13"/>
    </row>
    <row r="12170">
      <c r="F12170" s="13"/>
      <c r="M12170" s="13"/>
    </row>
    <row r="12171">
      <c r="F12171" s="13"/>
      <c r="M12171" s="13"/>
    </row>
    <row r="12172">
      <c r="F12172" s="13"/>
      <c r="M12172" s="13"/>
    </row>
    <row r="12173">
      <c r="F12173" s="13"/>
      <c r="M12173" s="13"/>
    </row>
    <row r="12174">
      <c r="F12174" s="13"/>
      <c r="M12174" s="13"/>
    </row>
    <row r="12175">
      <c r="F12175" s="13"/>
      <c r="M12175" s="13"/>
    </row>
    <row r="12176">
      <c r="F12176" s="13"/>
      <c r="M12176" s="13"/>
    </row>
    <row r="12177">
      <c r="F12177" s="13"/>
      <c r="M12177" s="13"/>
    </row>
    <row r="12178">
      <c r="F12178" s="13"/>
      <c r="M12178" s="13"/>
    </row>
    <row r="12179">
      <c r="F12179" s="13"/>
      <c r="M12179" s="13"/>
    </row>
    <row r="12180">
      <c r="F12180" s="13"/>
      <c r="M12180" s="13"/>
    </row>
    <row r="12181">
      <c r="F12181" s="13"/>
      <c r="M12181" s="13"/>
    </row>
    <row r="12182">
      <c r="F12182" s="13"/>
      <c r="M12182" s="13"/>
    </row>
    <row r="12183">
      <c r="F12183" s="13"/>
      <c r="M12183" s="13"/>
    </row>
    <row r="12184">
      <c r="F12184" s="13"/>
      <c r="M12184" s="13"/>
    </row>
    <row r="12185">
      <c r="F12185" s="13"/>
      <c r="M12185" s="13"/>
    </row>
    <row r="12186">
      <c r="F12186" s="13"/>
      <c r="M12186" s="13"/>
    </row>
    <row r="12187">
      <c r="F12187" s="13"/>
      <c r="M12187" s="13"/>
    </row>
    <row r="12188">
      <c r="F12188" s="13"/>
      <c r="M12188" s="13"/>
    </row>
    <row r="12189">
      <c r="F12189" s="13"/>
      <c r="M12189" s="13"/>
    </row>
    <row r="12190">
      <c r="F12190" s="13"/>
      <c r="M12190" s="13"/>
    </row>
    <row r="12191">
      <c r="F12191" s="13"/>
      <c r="M12191" s="13"/>
    </row>
    <row r="12192">
      <c r="F12192" s="13"/>
      <c r="M12192" s="13"/>
    </row>
    <row r="12193">
      <c r="F12193" s="13"/>
      <c r="M12193" s="13"/>
    </row>
    <row r="12194">
      <c r="F12194" s="13"/>
      <c r="M12194" s="13"/>
    </row>
    <row r="12195">
      <c r="F12195" s="13"/>
      <c r="M12195" s="13"/>
    </row>
    <row r="12196">
      <c r="F12196" s="13"/>
      <c r="M12196" s="13"/>
    </row>
    <row r="12197">
      <c r="F12197" s="13"/>
      <c r="M12197" s="13"/>
    </row>
    <row r="12198">
      <c r="F12198" s="13"/>
      <c r="M12198" s="13"/>
    </row>
    <row r="12199">
      <c r="F12199" s="13"/>
      <c r="M12199" s="13"/>
    </row>
    <row r="12200">
      <c r="F12200" s="13"/>
      <c r="M12200" s="13"/>
    </row>
    <row r="12201">
      <c r="F12201" s="13"/>
      <c r="M12201" s="13"/>
    </row>
    <row r="12202">
      <c r="F12202" s="13"/>
      <c r="M12202" s="13"/>
    </row>
    <row r="12203">
      <c r="F12203" s="13"/>
      <c r="M12203" s="13"/>
    </row>
    <row r="12204">
      <c r="F12204" s="13"/>
      <c r="M12204" s="13"/>
    </row>
    <row r="12205">
      <c r="F12205" s="13"/>
      <c r="M12205" s="13"/>
    </row>
    <row r="12206">
      <c r="F12206" s="13"/>
      <c r="M12206" s="13"/>
    </row>
    <row r="12207">
      <c r="F12207" s="13"/>
      <c r="M12207" s="13"/>
    </row>
    <row r="12208">
      <c r="F12208" s="13"/>
      <c r="M12208" s="13"/>
    </row>
    <row r="12209">
      <c r="F12209" s="13"/>
      <c r="M12209" s="13"/>
    </row>
    <row r="12210">
      <c r="F12210" s="13"/>
      <c r="M12210" s="13"/>
    </row>
    <row r="12211">
      <c r="F12211" s="13"/>
      <c r="M12211" s="13"/>
    </row>
    <row r="12212">
      <c r="F12212" s="13"/>
      <c r="M12212" s="13"/>
    </row>
    <row r="12213">
      <c r="F12213" s="13"/>
      <c r="M12213" s="13"/>
    </row>
    <row r="12214">
      <c r="F12214" s="13"/>
      <c r="M12214" s="13"/>
    </row>
    <row r="12215">
      <c r="F12215" s="13"/>
      <c r="M12215" s="13"/>
    </row>
    <row r="12216">
      <c r="F12216" s="13"/>
      <c r="M12216" s="13"/>
    </row>
    <row r="12217">
      <c r="F12217" s="13"/>
      <c r="M12217" s="13"/>
    </row>
    <row r="12218">
      <c r="F12218" s="13"/>
      <c r="M12218" s="13"/>
    </row>
    <row r="12219">
      <c r="F12219" s="13"/>
      <c r="M12219" s="13"/>
    </row>
    <row r="12220">
      <c r="F12220" s="13"/>
      <c r="M12220" s="13"/>
    </row>
    <row r="12221">
      <c r="F12221" s="13"/>
      <c r="M12221" s="13"/>
    </row>
    <row r="12222">
      <c r="F12222" s="13"/>
      <c r="M12222" s="13"/>
    </row>
    <row r="12223">
      <c r="F12223" s="13"/>
      <c r="M12223" s="13"/>
    </row>
    <row r="12224">
      <c r="F12224" s="13"/>
      <c r="M12224" s="13"/>
    </row>
    <row r="12225">
      <c r="F12225" s="13"/>
      <c r="M12225" s="13"/>
    </row>
    <row r="12226">
      <c r="F12226" s="13"/>
      <c r="M12226" s="13"/>
    </row>
    <row r="12227">
      <c r="F12227" s="13"/>
      <c r="M12227" s="13"/>
    </row>
    <row r="12228">
      <c r="F12228" s="13"/>
      <c r="M12228" s="13"/>
    </row>
    <row r="12229">
      <c r="F12229" s="13"/>
      <c r="M12229" s="13"/>
    </row>
    <row r="12230">
      <c r="F12230" s="13"/>
      <c r="M12230" s="13"/>
    </row>
    <row r="12231">
      <c r="F12231" s="13"/>
      <c r="M12231" s="13"/>
    </row>
    <row r="12232">
      <c r="F12232" s="13"/>
      <c r="M12232" s="13"/>
    </row>
    <row r="12233">
      <c r="F12233" s="13"/>
      <c r="M12233" s="13"/>
    </row>
    <row r="12234">
      <c r="F12234" s="13"/>
      <c r="M12234" s="13"/>
    </row>
    <row r="12235">
      <c r="F12235" s="13"/>
      <c r="M12235" s="13"/>
    </row>
    <row r="12236">
      <c r="F12236" s="13"/>
      <c r="M12236" s="13"/>
    </row>
    <row r="12237">
      <c r="F12237" s="13"/>
      <c r="M12237" s="13"/>
    </row>
    <row r="12238">
      <c r="F12238" s="13"/>
      <c r="M12238" s="13"/>
    </row>
    <row r="12239">
      <c r="F12239" s="13"/>
      <c r="M12239" s="13"/>
    </row>
    <row r="12240">
      <c r="F12240" s="13"/>
      <c r="M12240" s="13"/>
    </row>
    <row r="12241">
      <c r="F12241" s="13"/>
      <c r="M12241" s="13"/>
    </row>
    <row r="12242">
      <c r="F12242" s="13"/>
      <c r="M12242" s="13"/>
    </row>
    <row r="12243">
      <c r="F12243" s="13"/>
      <c r="M12243" s="13"/>
    </row>
    <row r="12244">
      <c r="F12244" s="13"/>
      <c r="M12244" s="13"/>
    </row>
    <row r="12245">
      <c r="F12245" s="13"/>
      <c r="M12245" s="13"/>
    </row>
    <row r="12246">
      <c r="F12246" s="13"/>
      <c r="M12246" s="13"/>
    </row>
    <row r="12247">
      <c r="F12247" s="13"/>
      <c r="M12247" s="13"/>
    </row>
    <row r="12248">
      <c r="F12248" s="13"/>
      <c r="M12248" s="13"/>
    </row>
    <row r="12249">
      <c r="F12249" s="13"/>
      <c r="M12249" s="13"/>
    </row>
    <row r="12250">
      <c r="F12250" s="13"/>
      <c r="M12250" s="13"/>
    </row>
    <row r="12251">
      <c r="F12251" s="13"/>
      <c r="M12251" s="13"/>
    </row>
    <row r="12252">
      <c r="F12252" s="13"/>
      <c r="M12252" s="13"/>
    </row>
    <row r="12253">
      <c r="F12253" s="13"/>
      <c r="M12253" s="13"/>
    </row>
    <row r="12254">
      <c r="F12254" s="13"/>
      <c r="M12254" s="13"/>
    </row>
    <row r="12255">
      <c r="F12255" s="13"/>
      <c r="M12255" s="13"/>
    </row>
    <row r="12256">
      <c r="F12256" s="13"/>
      <c r="M12256" s="13"/>
    </row>
    <row r="12257">
      <c r="F12257" s="13"/>
      <c r="M12257" s="13"/>
    </row>
    <row r="12258">
      <c r="F12258" s="13"/>
      <c r="M12258" s="13"/>
    </row>
    <row r="12259">
      <c r="F12259" s="13"/>
      <c r="M12259" s="13"/>
    </row>
    <row r="12260">
      <c r="F12260" s="13"/>
      <c r="M12260" s="13"/>
    </row>
    <row r="12261">
      <c r="F12261" s="13"/>
      <c r="M12261" s="13"/>
    </row>
    <row r="12262">
      <c r="F12262" s="13"/>
      <c r="M12262" s="13"/>
    </row>
    <row r="12263">
      <c r="F12263" s="13"/>
      <c r="M12263" s="13"/>
    </row>
    <row r="12264">
      <c r="F12264" s="13"/>
      <c r="M12264" s="13"/>
    </row>
    <row r="12265">
      <c r="F12265" s="13"/>
      <c r="M12265" s="13"/>
    </row>
    <row r="12266">
      <c r="F12266" s="13"/>
      <c r="M12266" s="13"/>
    </row>
    <row r="12267">
      <c r="F12267" s="13"/>
      <c r="M12267" s="13"/>
    </row>
    <row r="12268">
      <c r="F12268" s="13"/>
      <c r="M12268" s="13"/>
    </row>
    <row r="12269">
      <c r="F12269" s="13"/>
      <c r="M12269" s="13"/>
    </row>
    <row r="12270">
      <c r="F12270" s="13"/>
      <c r="M12270" s="13"/>
    </row>
    <row r="12271">
      <c r="F12271" s="13"/>
      <c r="M12271" s="13"/>
    </row>
    <row r="12272">
      <c r="F12272" s="13"/>
      <c r="M12272" s="13"/>
    </row>
    <row r="12273">
      <c r="F12273" s="13"/>
      <c r="M12273" s="13"/>
    </row>
    <row r="12274">
      <c r="F12274" s="13"/>
      <c r="M12274" s="13"/>
    </row>
    <row r="12275">
      <c r="F12275" s="13"/>
      <c r="M12275" s="13"/>
    </row>
    <row r="12276">
      <c r="F12276" s="13"/>
      <c r="M12276" s="13"/>
    </row>
    <row r="12277">
      <c r="F12277" s="13"/>
      <c r="M12277" s="13"/>
    </row>
    <row r="12278">
      <c r="F12278" s="13"/>
      <c r="M12278" s="13"/>
    </row>
    <row r="12279">
      <c r="F12279" s="13"/>
      <c r="M12279" s="13"/>
    </row>
    <row r="12280">
      <c r="F12280" s="13"/>
      <c r="M12280" s="13"/>
    </row>
    <row r="12281">
      <c r="F12281" s="13"/>
      <c r="M12281" s="13"/>
    </row>
    <row r="12282">
      <c r="F12282" s="13"/>
      <c r="M12282" s="13"/>
    </row>
    <row r="12283">
      <c r="F12283" s="13"/>
      <c r="M12283" s="13"/>
    </row>
    <row r="12284">
      <c r="F12284" s="13"/>
      <c r="M12284" s="13"/>
    </row>
    <row r="12285">
      <c r="F12285" s="13"/>
      <c r="M12285" s="13"/>
    </row>
    <row r="12286">
      <c r="F12286" s="13"/>
      <c r="M12286" s="13"/>
    </row>
    <row r="12287">
      <c r="F12287" s="13"/>
      <c r="M12287" s="13"/>
    </row>
    <row r="12288">
      <c r="F12288" s="13"/>
      <c r="M12288" s="13"/>
    </row>
    <row r="12289">
      <c r="F12289" s="13"/>
      <c r="M12289" s="13"/>
    </row>
    <row r="12290">
      <c r="F12290" s="13"/>
      <c r="M12290" s="13"/>
    </row>
    <row r="12291">
      <c r="F12291" s="13"/>
      <c r="M12291" s="13"/>
    </row>
    <row r="12292">
      <c r="F12292" s="13"/>
      <c r="M12292" s="13"/>
    </row>
    <row r="12293">
      <c r="F12293" s="13"/>
      <c r="M12293" s="13"/>
    </row>
    <row r="12294">
      <c r="F12294" s="13"/>
      <c r="M12294" s="13"/>
    </row>
    <row r="12295">
      <c r="F12295" s="13"/>
      <c r="M12295" s="13"/>
    </row>
    <row r="12296">
      <c r="F12296" s="13"/>
      <c r="M12296" s="13"/>
    </row>
    <row r="12297">
      <c r="F12297" s="13"/>
      <c r="M12297" s="13"/>
    </row>
    <row r="12298">
      <c r="F12298" s="13"/>
      <c r="M12298" s="13"/>
    </row>
    <row r="12299">
      <c r="F12299" s="13"/>
      <c r="M12299" s="13"/>
    </row>
    <row r="12300">
      <c r="F12300" s="13"/>
      <c r="M12300" s="13"/>
    </row>
    <row r="12301">
      <c r="F12301" s="13"/>
      <c r="M12301" s="13"/>
    </row>
    <row r="12302">
      <c r="F12302" s="13"/>
      <c r="M12302" s="13"/>
    </row>
    <row r="12303">
      <c r="F12303" s="13"/>
      <c r="M12303" s="13"/>
    </row>
    <row r="12304">
      <c r="F12304" s="13"/>
      <c r="M12304" s="13"/>
    </row>
    <row r="12305">
      <c r="F12305" s="13"/>
      <c r="M12305" s="13"/>
    </row>
    <row r="12306">
      <c r="F12306" s="13"/>
      <c r="M12306" s="13"/>
    </row>
    <row r="12307">
      <c r="F12307" s="13"/>
      <c r="M12307" s="13"/>
    </row>
    <row r="12308">
      <c r="F12308" s="13"/>
      <c r="M12308" s="13"/>
    </row>
    <row r="12309">
      <c r="F12309" s="13"/>
      <c r="M12309" s="13"/>
    </row>
    <row r="12310">
      <c r="F12310" s="13"/>
      <c r="M12310" s="13"/>
    </row>
    <row r="12311">
      <c r="F12311" s="13"/>
      <c r="M12311" s="13"/>
    </row>
    <row r="12312">
      <c r="F12312" s="13"/>
      <c r="M12312" s="13"/>
    </row>
    <row r="12313">
      <c r="F12313" s="13"/>
      <c r="M12313" s="13"/>
    </row>
    <row r="12314">
      <c r="F12314" s="13"/>
      <c r="M12314" s="13"/>
    </row>
    <row r="12315">
      <c r="F12315" s="13"/>
      <c r="M12315" s="13"/>
    </row>
    <row r="12316">
      <c r="F12316" s="13"/>
      <c r="M12316" s="13"/>
    </row>
    <row r="12317">
      <c r="F12317" s="13"/>
      <c r="M12317" s="13"/>
    </row>
    <row r="12318">
      <c r="F12318" s="13"/>
      <c r="M12318" s="13"/>
    </row>
    <row r="12319">
      <c r="F12319" s="13"/>
      <c r="M12319" s="13"/>
    </row>
    <row r="12320">
      <c r="F12320" s="13"/>
      <c r="M12320" s="13"/>
    </row>
    <row r="12321">
      <c r="F12321" s="13"/>
      <c r="M12321" s="13"/>
    </row>
    <row r="12322">
      <c r="F12322" s="13"/>
      <c r="M12322" s="13"/>
    </row>
    <row r="12323">
      <c r="F12323" s="13"/>
      <c r="M12323" s="13"/>
    </row>
    <row r="12324">
      <c r="F12324" s="13"/>
      <c r="M12324" s="13"/>
    </row>
    <row r="12325">
      <c r="F12325" s="13"/>
      <c r="M12325" s="13"/>
    </row>
    <row r="12326">
      <c r="F12326" s="13"/>
      <c r="M12326" s="13"/>
    </row>
    <row r="12327">
      <c r="F12327" s="13"/>
      <c r="M12327" s="13"/>
    </row>
    <row r="12328">
      <c r="F12328" s="13"/>
      <c r="M12328" s="13"/>
    </row>
    <row r="12329">
      <c r="F12329" s="13"/>
      <c r="M12329" s="13"/>
    </row>
    <row r="12330">
      <c r="F12330" s="13"/>
      <c r="M12330" s="13"/>
    </row>
    <row r="12331">
      <c r="F12331" s="13"/>
      <c r="M12331" s="13"/>
    </row>
    <row r="12332">
      <c r="F12332" s="13"/>
      <c r="M12332" s="13"/>
    </row>
    <row r="12333">
      <c r="F12333" s="13"/>
      <c r="M12333" s="13"/>
    </row>
    <row r="12334">
      <c r="F12334" s="13"/>
      <c r="M12334" s="13"/>
    </row>
    <row r="12335">
      <c r="F12335" s="13"/>
      <c r="M12335" s="13"/>
    </row>
    <row r="12336">
      <c r="F12336" s="13"/>
      <c r="M12336" s="13"/>
    </row>
    <row r="12337">
      <c r="F12337" s="13"/>
      <c r="M12337" s="13"/>
    </row>
    <row r="12338">
      <c r="F12338" s="13"/>
      <c r="M12338" s="13"/>
    </row>
    <row r="12339">
      <c r="F12339" s="13"/>
      <c r="M12339" s="13"/>
    </row>
    <row r="12340">
      <c r="F12340" s="13"/>
      <c r="M12340" s="13"/>
    </row>
    <row r="12341">
      <c r="F12341" s="13"/>
      <c r="M12341" s="13"/>
    </row>
    <row r="12342">
      <c r="F12342" s="13"/>
      <c r="M12342" s="13"/>
    </row>
    <row r="12343">
      <c r="F12343" s="13"/>
      <c r="M12343" s="13"/>
    </row>
    <row r="12344">
      <c r="F12344" s="13"/>
      <c r="M12344" s="13"/>
    </row>
    <row r="12345">
      <c r="F12345" s="13"/>
      <c r="M12345" s="13"/>
    </row>
    <row r="12346">
      <c r="F12346" s="13"/>
      <c r="M12346" s="13"/>
    </row>
    <row r="12347">
      <c r="F12347" s="13"/>
      <c r="M12347" s="13"/>
    </row>
    <row r="12348">
      <c r="F12348" s="13"/>
      <c r="M12348" s="13"/>
    </row>
    <row r="12349">
      <c r="F12349" s="13"/>
      <c r="M12349" s="13"/>
    </row>
    <row r="12350">
      <c r="F12350" s="13"/>
      <c r="M12350" s="13"/>
    </row>
    <row r="12351">
      <c r="F12351" s="13"/>
      <c r="M12351" s="13"/>
    </row>
    <row r="12352">
      <c r="F12352" s="13"/>
      <c r="M12352" s="13"/>
    </row>
    <row r="12353">
      <c r="F12353" s="13"/>
      <c r="M12353" s="13"/>
    </row>
    <row r="12354">
      <c r="F12354" s="13"/>
      <c r="M12354" s="13"/>
    </row>
    <row r="12355">
      <c r="F12355" s="13"/>
      <c r="M12355" s="13"/>
    </row>
    <row r="12356">
      <c r="F12356" s="13"/>
      <c r="M12356" s="13"/>
    </row>
    <row r="12357">
      <c r="F12357" s="13"/>
      <c r="M12357" s="13"/>
    </row>
    <row r="12358">
      <c r="F12358" s="13"/>
      <c r="M12358" s="13"/>
    </row>
    <row r="12359">
      <c r="F12359" s="13"/>
      <c r="M12359" s="13"/>
    </row>
    <row r="12360">
      <c r="F12360" s="13"/>
      <c r="M12360" s="13"/>
    </row>
    <row r="12361">
      <c r="F12361" s="13"/>
      <c r="M12361" s="13"/>
    </row>
    <row r="12362">
      <c r="F12362" s="13"/>
      <c r="M12362" s="13"/>
    </row>
    <row r="12363">
      <c r="F12363" s="13"/>
      <c r="M12363" s="13"/>
    </row>
    <row r="12364">
      <c r="F12364" s="13"/>
      <c r="M12364" s="13"/>
    </row>
    <row r="12365">
      <c r="F12365" s="13"/>
      <c r="M12365" s="13"/>
    </row>
    <row r="12366">
      <c r="F12366" s="13"/>
      <c r="M12366" s="13"/>
    </row>
    <row r="12367">
      <c r="F12367" s="13"/>
      <c r="M12367" s="13"/>
    </row>
    <row r="12368">
      <c r="F12368" s="13"/>
      <c r="M12368" s="13"/>
    </row>
    <row r="12369">
      <c r="F12369" s="13"/>
      <c r="M12369" s="13"/>
    </row>
    <row r="12370">
      <c r="F12370" s="13"/>
      <c r="M12370" s="13"/>
    </row>
    <row r="12371">
      <c r="F12371" s="13"/>
      <c r="M12371" s="13"/>
    </row>
    <row r="12372">
      <c r="F12372" s="13"/>
      <c r="M12372" s="13"/>
    </row>
    <row r="12373">
      <c r="F12373" s="13"/>
      <c r="M12373" s="13"/>
    </row>
    <row r="12374">
      <c r="F12374" s="13"/>
      <c r="M12374" s="13"/>
    </row>
    <row r="12375">
      <c r="F12375" s="13"/>
      <c r="M12375" s="13"/>
    </row>
    <row r="12376">
      <c r="F12376" s="13"/>
      <c r="M12376" s="13"/>
    </row>
    <row r="12377">
      <c r="F12377" s="13"/>
      <c r="M12377" s="13"/>
    </row>
    <row r="12378">
      <c r="F12378" s="13"/>
      <c r="M12378" s="13"/>
    </row>
    <row r="12379">
      <c r="F12379" s="13"/>
      <c r="M12379" s="13"/>
    </row>
    <row r="12380">
      <c r="F12380" s="13"/>
      <c r="M12380" s="13"/>
    </row>
    <row r="12381">
      <c r="F12381" s="13"/>
      <c r="M12381" s="13"/>
    </row>
    <row r="12382">
      <c r="F12382" s="13"/>
      <c r="M12382" s="13"/>
    </row>
    <row r="12383">
      <c r="F12383" s="13"/>
      <c r="M12383" s="13"/>
    </row>
    <row r="12384">
      <c r="F12384" s="13"/>
      <c r="M12384" s="13"/>
    </row>
    <row r="12385">
      <c r="F12385" s="13"/>
      <c r="M12385" s="13"/>
    </row>
    <row r="12386">
      <c r="F12386" s="13"/>
      <c r="M12386" s="13"/>
    </row>
    <row r="12387">
      <c r="F12387" s="13"/>
      <c r="M12387" s="13"/>
    </row>
    <row r="12388">
      <c r="F12388" s="13"/>
      <c r="M12388" s="13"/>
    </row>
    <row r="12389">
      <c r="F12389" s="13"/>
      <c r="M12389" s="13"/>
    </row>
    <row r="12390">
      <c r="F12390" s="13"/>
      <c r="M12390" s="13"/>
    </row>
    <row r="12391">
      <c r="F12391" s="13"/>
      <c r="M12391" s="13"/>
    </row>
    <row r="12392">
      <c r="F12392" s="13"/>
      <c r="M12392" s="13"/>
    </row>
    <row r="12393">
      <c r="F12393" s="13"/>
      <c r="M12393" s="13"/>
    </row>
    <row r="12394">
      <c r="F12394" s="13"/>
      <c r="M12394" s="13"/>
    </row>
    <row r="12395">
      <c r="F12395" s="13"/>
      <c r="M12395" s="13"/>
    </row>
    <row r="12396">
      <c r="F12396" s="13"/>
      <c r="M12396" s="13"/>
    </row>
    <row r="12397">
      <c r="F12397" s="13"/>
      <c r="M12397" s="13"/>
    </row>
    <row r="12398">
      <c r="F12398" s="13"/>
      <c r="M12398" s="13"/>
    </row>
    <row r="12399">
      <c r="F12399" s="13"/>
      <c r="M12399" s="13"/>
    </row>
    <row r="12400">
      <c r="F12400" s="13"/>
      <c r="M12400" s="13"/>
    </row>
    <row r="12401">
      <c r="F12401" s="13"/>
      <c r="M12401" s="13"/>
    </row>
    <row r="12402">
      <c r="F12402" s="13"/>
      <c r="M12402" s="13"/>
    </row>
    <row r="12403">
      <c r="F12403" s="13"/>
      <c r="M12403" s="13"/>
    </row>
    <row r="12404">
      <c r="F12404" s="13"/>
      <c r="M12404" s="13"/>
    </row>
    <row r="12405">
      <c r="F12405" s="13"/>
      <c r="M12405" s="13"/>
    </row>
    <row r="12406">
      <c r="F12406" s="13"/>
      <c r="M12406" s="13"/>
    </row>
    <row r="12407">
      <c r="F12407" s="13"/>
      <c r="M12407" s="13"/>
    </row>
    <row r="12408">
      <c r="F12408" s="13"/>
      <c r="M12408" s="13"/>
    </row>
    <row r="12409">
      <c r="F12409" s="13"/>
      <c r="M12409" s="13"/>
    </row>
    <row r="12410">
      <c r="F12410" s="13"/>
      <c r="M12410" s="13"/>
    </row>
    <row r="12411">
      <c r="F12411" s="13"/>
      <c r="M12411" s="13"/>
    </row>
    <row r="12412">
      <c r="F12412" s="13"/>
      <c r="M12412" s="13"/>
    </row>
    <row r="12413">
      <c r="F12413" s="13"/>
      <c r="M12413" s="13"/>
    </row>
    <row r="12414">
      <c r="F12414" s="13"/>
      <c r="M12414" s="13"/>
    </row>
    <row r="12415">
      <c r="F12415" s="13"/>
      <c r="M12415" s="13"/>
    </row>
    <row r="12416">
      <c r="F12416" s="13"/>
      <c r="M12416" s="13"/>
    </row>
    <row r="12417">
      <c r="F12417" s="13"/>
      <c r="M12417" s="13"/>
    </row>
    <row r="12418">
      <c r="F12418" s="13"/>
      <c r="M12418" s="13"/>
    </row>
    <row r="12419">
      <c r="F12419" s="13"/>
      <c r="M12419" s="13"/>
    </row>
    <row r="12420">
      <c r="F12420" s="13"/>
      <c r="M12420" s="13"/>
    </row>
    <row r="12421">
      <c r="F12421" s="13"/>
      <c r="M12421" s="13"/>
    </row>
    <row r="12422">
      <c r="F12422" s="13"/>
      <c r="M12422" s="13"/>
    </row>
    <row r="12423">
      <c r="F12423" s="13"/>
      <c r="M12423" s="13"/>
    </row>
    <row r="12424">
      <c r="F12424" s="13"/>
      <c r="M12424" s="13"/>
    </row>
    <row r="12425">
      <c r="F12425" s="13"/>
      <c r="M12425" s="13"/>
    </row>
    <row r="12426">
      <c r="F12426" s="13"/>
      <c r="M12426" s="13"/>
    </row>
    <row r="12427">
      <c r="F12427" s="13"/>
      <c r="M12427" s="13"/>
    </row>
    <row r="12428">
      <c r="F12428" s="13"/>
      <c r="M12428" s="13"/>
    </row>
    <row r="12429">
      <c r="F12429" s="13"/>
      <c r="M12429" s="13"/>
    </row>
    <row r="12430">
      <c r="F12430" s="13"/>
      <c r="M12430" s="13"/>
    </row>
    <row r="12431">
      <c r="F12431" s="13"/>
      <c r="M12431" s="13"/>
    </row>
    <row r="12432">
      <c r="F12432" s="13"/>
      <c r="M12432" s="13"/>
    </row>
    <row r="12433">
      <c r="F12433" s="13"/>
      <c r="M12433" s="13"/>
    </row>
    <row r="12434">
      <c r="F12434" s="13"/>
      <c r="M12434" s="13"/>
    </row>
    <row r="12435">
      <c r="F12435" s="13"/>
      <c r="M12435" s="13"/>
    </row>
    <row r="12436">
      <c r="F12436" s="13"/>
      <c r="M12436" s="13"/>
    </row>
    <row r="12437">
      <c r="F12437" s="13"/>
      <c r="M12437" s="13"/>
    </row>
    <row r="12438">
      <c r="F12438" s="13"/>
      <c r="M12438" s="13"/>
    </row>
    <row r="12439">
      <c r="F12439" s="13"/>
      <c r="M12439" s="13"/>
    </row>
    <row r="12440">
      <c r="F12440" s="13"/>
      <c r="M12440" s="13"/>
    </row>
    <row r="12441">
      <c r="F12441" s="13"/>
      <c r="M12441" s="13"/>
    </row>
    <row r="12442">
      <c r="F12442" s="13"/>
      <c r="M12442" s="13"/>
    </row>
    <row r="12443">
      <c r="F12443" s="13"/>
      <c r="M12443" s="13"/>
    </row>
    <row r="12444">
      <c r="F12444" s="13"/>
      <c r="M12444" s="13"/>
    </row>
    <row r="12445">
      <c r="F12445" s="13"/>
      <c r="M12445" s="13"/>
    </row>
    <row r="12446">
      <c r="F12446" s="13"/>
      <c r="M12446" s="13"/>
    </row>
    <row r="12447">
      <c r="F12447" s="13"/>
      <c r="M12447" s="13"/>
    </row>
    <row r="12448">
      <c r="F12448" s="13"/>
      <c r="M12448" s="13"/>
    </row>
    <row r="12449">
      <c r="F12449" s="13"/>
      <c r="M12449" s="13"/>
    </row>
    <row r="12450">
      <c r="F12450" s="13"/>
      <c r="M12450" s="13"/>
    </row>
    <row r="12451">
      <c r="F12451" s="13"/>
      <c r="M12451" s="13"/>
    </row>
    <row r="12452">
      <c r="F12452" s="13"/>
      <c r="M12452" s="13"/>
    </row>
    <row r="12453">
      <c r="F12453" s="13"/>
      <c r="M12453" s="13"/>
    </row>
    <row r="12454">
      <c r="F12454" s="13"/>
      <c r="M12454" s="13"/>
    </row>
    <row r="12455">
      <c r="F12455" s="13"/>
      <c r="M12455" s="13"/>
    </row>
    <row r="12456">
      <c r="F12456" s="13"/>
      <c r="M12456" s="13"/>
    </row>
    <row r="12457">
      <c r="F12457" s="13"/>
      <c r="M12457" s="13"/>
    </row>
    <row r="12458">
      <c r="F12458" s="13"/>
      <c r="M12458" s="13"/>
    </row>
    <row r="12459">
      <c r="F12459" s="13"/>
      <c r="M12459" s="13"/>
    </row>
    <row r="12460">
      <c r="F12460" s="13"/>
      <c r="M12460" s="13"/>
    </row>
    <row r="12461">
      <c r="F12461" s="13"/>
      <c r="M12461" s="13"/>
    </row>
    <row r="12462">
      <c r="F12462" s="13"/>
      <c r="M12462" s="13"/>
    </row>
    <row r="12463">
      <c r="F12463" s="13"/>
      <c r="M12463" s="13"/>
    </row>
    <row r="12464">
      <c r="F12464" s="13"/>
      <c r="M12464" s="13"/>
    </row>
    <row r="12465">
      <c r="F12465" s="13"/>
      <c r="M12465" s="13"/>
    </row>
    <row r="12466">
      <c r="F12466" s="13"/>
      <c r="M12466" s="13"/>
    </row>
    <row r="12467">
      <c r="F12467" s="13"/>
      <c r="M12467" s="13"/>
    </row>
    <row r="12468">
      <c r="F12468" s="13"/>
      <c r="M12468" s="13"/>
    </row>
    <row r="12469">
      <c r="F12469" s="13"/>
      <c r="M12469" s="13"/>
    </row>
    <row r="12470">
      <c r="F12470" s="13"/>
      <c r="M12470" s="13"/>
    </row>
    <row r="12471">
      <c r="F12471" s="13"/>
      <c r="M12471" s="13"/>
    </row>
    <row r="12472">
      <c r="F12472" s="13"/>
      <c r="M12472" s="13"/>
    </row>
    <row r="12473">
      <c r="F12473" s="13"/>
      <c r="M12473" s="13"/>
    </row>
    <row r="12474">
      <c r="F12474" s="13"/>
      <c r="M12474" s="13"/>
    </row>
    <row r="12475">
      <c r="F12475" s="13"/>
      <c r="M12475" s="13"/>
    </row>
    <row r="12476">
      <c r="F12476" s="13"/>
      <c r="M12476" s="13"/>
    </row>
    <row r="12477">
      <c r="F12477" s="13"/>
      <c r="M12477" s="13"/>
    </row>
    <row r="12478">
      <c r="F12478" s="13"/>
      <c r="M12478" s="13"/>
    </row>
    <row r="12479">
      <c r="F12479" s="13"/>
      <c r="M12479" s="13"/>
    </row>
    <row r="12480">
      <c r="F12480" s="13"/>
      <c r="M12480" s="13"/>
    </row>
    <row r="12481">
      <c r="F12481" s="13"/>
      <c r="M12481" s="13"/>
    </row>
    <row r="12482">
      <c r="F12482" s="13"/>
      <c r="M12482" s="13"/>
    </row>
    <row r="12483">
      <c r="F12483" s="13"/>
      <c r="M12483" s="13"/>
    </row>
    <row r="12484">
      <c r="F12484" s="13"/>
      <c r="M12484" s="13"/>
    </row>
    <row r="12485">
      <c r="F12485" s="13"/>
      <c r="M12485" s="13"/>
    </row>
    <row r="12486">
      <c r="F12486" s="13"/>
      <c r="M12486" s="13"/>
    </row>
    <row r="12487">
      <c r="F12487" s="13"/>
      <c r="M12487" s="13"/>
    </row>
    <row r="12488">
      <c r="F12488" s="13"/>
      <c r="M12488" s="13"/>
    </row>
    <row r="12489">
      <c r="F12489" s="13"/>
      <c r="M12489" s="13"/>
    </row>
    <row r="12490">
      <c r="F12490" s="13"/>
      <c r="M12490" s="13"/>
    </row>
    <row r="12491">
      <c r="F12491" s="13"/>
      <c r="M12491" s="13"/>
    </row>
    <row r="12492">
      <c r="F12492" s="13"/>
      <c r="M12492" s="13"/>
    </row>
    <row r="12493">
      <c r="F12493" s="13"/>
      <c r="M12493" s="13"/>
    </row>
    <row r="12494">
      <c r="F12494" s="13"/>
      <c r="M12494" s="13"/>
    </row>
    <row r="12495">
      <c r="F12495" s="13"/>
      <c r="M12495" s="13"/>
    </row>
    <row r="12496">
      <c r="F12496" s="13"/>
      <c r="M12496" s="13"/>
    </row>
    <row r="12497">
      <c r="F12497" s="13"/>
      <c r="M12497" s="13"/>
    </row>
    <row r="12498">
      <c r="F12498" s="13"/>
      <c r="M12498" s="13"/>
    </row>
    <row r="12499">
      <c r="F12499" s="13"/>
      <c r="M12499" s="13"/>
    </row>
    <row r="12500">
      <c r="F12500" s="13"/>
      <c r="M12500" s="13"/>
    </row>
    <row r="12501">
      <c r="F12501" s="13"/>
      <c r="M12501" s="13"/>
    </row>
    <row r="12502">
      <c r="F12502" s="13"/>
      <c r="M12502" s="13"/>
    </row>
    <row r="12503">
      <c r="F12503" s="13"/>
      <c r="M12503" s="13"/>
    </row>
    <row r="12504">
      <c r="F12504" s="13"/>
      <c r="M12504" s="13"/>
    </row>
    <row r="12505">
      <c r="F12505" s="13"/>
      <c r="M12505" s="13"/>
    </row>
    <row r="12506">
      <c r="F12506" s="13"/>
      <c r="M12506" s="13"/>
    </row>
    <row r="12507">
      <c r="F12507" s="13"/>
      <c r="M12507" s="13"/>
    </row>
    <row r="12508">
      <c r="F12508" s="13"/>
      <c r="M12508" s="13"/>
    </row>
    <row r="12509">
      <c r="F12509" s="13"/>
      <c r="M12509" s="13"/>
    </row>
    <row r="12510">
      <c r="F12510" s="13"/>
      <c r="M12510" s="13"/>
    </row>
    <row r="12511">
      <c r="F12511" s="13"/>
      <c r="M12511" s="13"/>
    </row>
    <row r="12512">
      <c r="F12512" s="13"/>
      <c r="M12512" s="13"/>
    </row>
    <row r="12513">
      <c r="F12513" s="13"/>
      <c r="M12513" s="13"/>
    </row>
    <row r="12514">
      <c r="F12514" s="13"/>
      <c r="M12514" s="13"/>
    </row>
    <row r="12515">
      <c r="F12515" s="13"/>
      <c r="M12515" s="13"/>
    </row>
    <row r="12516">
      <c r="F12516" s="13"/>
      <c r="M12516" s="13"/>
    </row>
    <row r="12517">
      <c r="F12517" s="13"/>
      <c r="M12517" s="13"/>
    </row>
    <row r="12518">
      <c r="F12518" s="13"/>
      <c r="M12518" s="13"/>
    </row>
    <row r="12519">
      <c r="F12519" s="13"/>
      <c r="M12519" s="13"/>
    </row>
    <row r="12520">
      <c r="F12520" s="13"/>
      <c r="M12520" s="13"/>
    </row>
    <row r="12521">
      <c r="F12521" s="13"/>
      <c r="M12521" s="13"/>
    </row>
    <row r="12522">
      <c r="F12522" s="13"/>
      <c r="M12522" s="13"/>
    </row>
    <row r="12523">
      <c r="F12523" s="13"/>
      <c r="M12523" s="13"/>
    </row>
    <row r="12524">
      <c r="F12524" s="13"/>
      <c r="M12524" s="13"/>
    </row>
    <row r="12525">
      <c r="F12525" s="13"/>
      <c r="M12525" s="13"/>
    </row>
    <row r="12526">
      <c r="F12526" s="13"/>
      <c r="M12526" s="13"/>
    </row>
    <row r="12527">
      <c r="F12527" s="13"/>
      <c r="M12527" s="13"/>
    </row>
    <row r="12528">
      <c r="F12528" s="13"/>
      <c r="M12528" s="13"/>
    </row>
    <row r="12529">
      <c r="F12529" s="13"/>
      <c r="M12529" s="13"/>
    </row>
    <row r="12530">
      <c r="F12530" s="13"/>
      <c r="M12530" s="13"/>
    </row>
    <row r="12531">
      <c r="F12531" s="13"/>
      <c r="M12531" s="13"/>
    </row>
    <row r="12532">
      <c r="F12532" s="13"/>
      <c r="M12532" s="13"/>
    </row>
    <row r="12533">
      <c r="F12533" s="13"/>
      <c r="M12533" s="13"/>
    </row>
    <row r="12534">
      <c r="F12534" s="13"/>
      <c r="M12534" s="13"/>
    </row>
    <row r="12535">
      <c r="F12535" s="13"/>
      <c r="M12535" s="13"/>
    </row>
    <row r="12536">
      <c r="F12536" s="13"/>
      <c r="M12536" s="13"/>
    </row>
    <row r="12537">
      <c r="F12537" s="13"/>
      <c r="M12537" s="13"/>
    </row>
    <row r="12538">
      <c r="F12538" s="13"/>
      <c r="M12538" s="13"/>
    </row>
    <row r="12539">
      <c r="F12539" s="13"/>
      <c r="M12539" s="13"/>
    </row>
    <row r="12540">
      <c r="F12540" s="13"/>
      <c r="M12540" s="13"/>
    </row>
    <row r="12541">
      <c r="F12541" s="13"/>
      <c r="M12541" s="13"/>
    </row>
    <row r="12542">
      <c r="F12542" s="13"/>
      <c r="M12542" s="13"/>
    </row>
    <row r="12543">
      <c r="F12543" s="13"/>
      <c r="M12543" s="13"/>
    </row>
    <row r="12544">
      <c r="F12544" s="13"/>
      <c r="M12544" s="13"/>
    </row>
    <row r="12545">
      <c r="F12545" s="13"/>
      <c r="M12545" s="13"/>
    </row>
    <row r="12546">
      <c r="F12546" s="13"/>
      <c r="M12546" s="13"/>
    </row>
    <row r="12547">
      <c r="F12547" s="13"/>
      <c r="M12547" s="13"/>
    </row>
    <row r="12548">
      <c r="F12548" s="13"/>
      <c r="M12548" s="13"/>
    </row>
    <row r="12549">
      <c r="F12549" s="13"/>
      <c r="M12549" s="13"/>
    </row>
    <row r="12550">
      <c r="F12550" s="13"/>
      <c r="M12550" s="13"/>
    </row>
    <row r="12551">
      <c r="F12551" s="13"/>
      <c r="M12551" s="13"/>
    </row>
    <row r="12552">
      <c r="F12552" s="13"/>
      <c r="M12552" s="13"/>
    </row>
    <row r="12553">
      <c r="F12553" s="13"/>
      <c r="M12553" s="13"/>
    </row>
    <row r="12554">
      <c r="F12554" s="13"/>
      <c r="M12554" s="13"/>
    </row>
    <row r="12555">
      <c r="F12555" s="13"/>
      <c r="M12555" s="13"/>
    </row>
    <row r="12556">
      <c r="F12556" s="13"/>
      <c r="M12556" s="13"/>
    </row>
    <row r="12557">
      <c r="F12557" s="13"/>
      <c r="M12557" s="13"/>
    </row>
    <row r="12558">
      <c r="F12558" s="13"/>
      <c r="M12558" s="13"/>
    </row>
    <row r="12559">
      <c r="F12559" s="13"/>
      <c r="M12559" s="13"/>
    </row>
    <row r="12560">
      <c r="F12560" s="13"/>
      <c r="M12560" s="13"/>
    </row>
    <row r="12561">
      <c r="F12561" s="13"/>
      <c r="M12561" s="13"/>
    </row>
    <row r="12562">
      <c r="F12562" s="13"/>
      <c r="M12562" s="13"/>
    </row>
    <row r="12563">
      <c r="F12563" s="13"/>
      <c r="M12563" s="13"/>
    </row>
    <row r="12564">
      <c r="F12564" s="13"/>
      <c r="M12564" s="13"/>
    </row>
    <row r="12565">
      <c r="F12565" s="13"/>
      <c r="M12565" s="13"/>
    </row>
    <row r="12566">
      <c r="F12566" s="13"/>
      <c r="M12566" s="13"/>
    </row>
    <row r="12567">
      <c r="F12567" s="13"/>
      <c r="M12567" s="13"/>
    </row>
    <row r="12568">
      <c r="F12568" s="13"/>
      <c r="M12568" s="13"/>
    </row>
    <row r="12569">
      <c r="F12569" s="13"/>
      <c r="M12569" s="13"/>
    </row>
    <row r="12570">
      <c r="F12570" s="13"/>
      <c r="M12570" s="13"/>
    </row>
    <row r="12571">
      <c r="F12571" s="13"/>
      <c r="M12571" s="13"/>
    </row>
    <row r="12572">
      <c r="F12572" s="13"/>
      <c r="M12572" s="13"/>
    </row>
    <row r="12573">
      <c r="F12573" s="13"/>
      <c r="M12573" s="13"/>
    </row>
    <row r="12574">
      <c r="F12574" s="13"/>
      <c r="M12574" s="13"/>
    </row>
    <row r="12575">
      <c r="F12575" s="13"/>
      <c r="M12575" s="13"/>
    </row>
    <row r="12576">
      <c r="F12576" s="13"/>
      <c r="M12576" s="13"/>
    </row>
    <row r="12577">
      <c r="F12577" s="13"/>
      <c r="M12577" s="13"/>
    </row>
    <row r="12578">
      <c r="F12578" s="13"/>
      <c r="M12578" s="13"/>
    </row>
    <row r="12579">
      <c r="F12579" s="13"/>
      <c r="M12579" s="13"/>
    </row>
    <row r="12580">
      <c r="F12580" s="13"/>
      <c r="M12580" s="13"/>
    </row>
    <row r="12581">
      <c r="F12581" s="13"/>
      <c r="M12581" s="13"/>
    </row>
    <row r="12582">
      <c r="F12582" s="13"/>
      <c r="M12582" s="13"/>
    </row>
    <row r="12583">
      <c r="F12583" s="13"/>
      <c r="M12583" s="13"/>
    </row>
    <row r="12584">
      <c r="F12584" s="13"/>
      <c r="M12584" s="13"/>
    </row>
    <row r="12585">
      <c r="F12585" s="13"/>
      <c r="M12585" s="13"/>
    </row>
    <row r="12586">
      <c r="F12586" s="13"/>
      <c r="M12586" s="13"/>
    </row>
    <row r="12587">
      <c r="F12587" s="13"/>
      <c r="M12587" s="13"/>
    </row>
    <row r="12588">
      <c r="F12588" s="13"/>
      <c r="M12588" s="13"/>
    </row>
    <row r="12589">
      <c r="F12589" s="13"/>
      <c r="M12589" s="13"/>
    </row>
    <row r="12590">
      <c r="F12590" s="13"/>
      <c r="M12590" s="13"/>
    </row>
    <row r="12591">
      <c r="F12591" s="13"/>
      <c r="M12591" s="13"/>
    </row>
    <row r="12592">
      <c r="F12592" s="13"/>
      <c r="M12592" s="13"/>
    </row>
    <row r="12593">
      <c r="F12593" s="13"/>
      <c r="M12593" s="13"/>
    </row>
    <row r="12594">
      <c r="F12594" s="13"/>
      <c r="M12594" s="13"/>
    </row>
    <row r="12595">
      <c r="F12595" s="13"/>
      <c r="M12595" s="13"/>
    </row>
    <row r="12596">
      <c r="F12596" s="13"/>
      <c r="M12596" s="13"/>
    </row>
    <row r="12597">
      <c r="F12597" s="13"/>
      <c r="M12597" s="13"/>
    </row>
    <row r="12598">
      <c r="F12598" s="13"/>
      <c r="M12598" s="13"/>
    </row>
    <row r="12599">
      <c r="F12599" s="13"/>
      <c r="M12599" s="13"/>
    </row>
    <row r="12600">
      <c r="F12600" s="13"/>
      <c r="M12600" s="13"/>
    </row>
    <row r="12601">
      <c r="F12601" s="13"/>
      <c r="M12601" s="13"/>
    </row>
    <row r="12602">
      <c r="F12602" s="13"/>
      <c r="M12602" s="13"/>
    </row>
    <row r="12603">
      <c r="F12603" s="13"/>
      <c r="M12603" s="13"/>
    </row>
    <row r="12604">
      <c r="F12604" s="13"/>
      <c r="M12604" s="13"/>
    </row>
    <row r="12605">
      <c r="F12605" s="13"/>
      <c r="M12605" s="13"/>
    </row>
    <row r="12606">
      <c r="F12606" s="13"/>
      <c r="M12606" s="13"/>
    </row>
    <row r="12607">
      <c r="F12607" s="13"/>
      <c r="M12607" s="13"/>
    </row>
    <row r="12608">
      <c r="F12608" s="13"/>
      <c r="M12608" s="13"/>
    </row>
    <row r="12609">
      <c r="F12609" s="13"/>
      <c r="M12609" s="13"/>
    </row>
    <row r="12610">
      <c r="F12610" s="13"/>
      <c r="M12610" s="13"/>
    </row>
    <row r="12611">
      <c r="F12611" s="13"/>
      <c r="M12611" s="13"/>
    </row>
    <row r="12612">
      <c r="F12612" s="13"/>
      <c r="M12612" s="13"/>
    </row>
    <row r="12613">
      <c r="F12613" s="13"/>
      <c r="M12613" s="13"/>
    </row>
    <row r="12614">
      <c r="F12614" s="13"/>
      <c r="M12614" s="13"/>
    </row>
    <row r="12615">
      <c r="F12615" s="13"/>
      <c r="M12615" s="13"/>
    </row>
    <row r="12616">
      <c r="F12616" s="13"/>
      <c r="M12616" s="13"/>
    </row>
    <row r="12617">
      <c r="F12617" s="13"/>
      <c r="M12617" s="13"/>
    </row>
    <row r="12618">
      <c r="F12618" s="13"/>
      <c r="M12618" s="13"/>
    </row>
    <row r="12619">
      <c r="F12619" s="13"/>
      <c r="M12619" s="13"/>
    </row>
    <row r="12620">
      <c r="F12620" s="13"/>
      <c r="M12620" s="13"/>
    </row>
    <row r="12621">
      <c r="F12621" s="13"/>
      <c r="M12621" s="13"/>
    </row>
    <row r="12622">
      <c r="F12622" s="13"/>
      <c r="M12622" s="13"/>
    </row>
    <row r="12623">
      <c r="F12623" s="13"/>
      <c r="M12623" s="13"/>
    </row>
    <row r="12624">
      <c r="F12624" s="13"/>
      <c r="M12624" s="13"/>
    </row>
    <row r="12625">
      <c r="F12625" s="13"/>
      <c r="M12625" s="13"/>
    </row>
    <row r="12626">
      <c r="F12626" s="13"/>
      <c r="M12626" s="13"/>
    </row>
    <row r="12627">
      <c r="F12627" s="13"/>
      <c r="M12627" s="13"/>
    </row>
    <row r="12628">
      <c r="F12628" s="13"/>
      <c r="M12628" s="13"/>
    </row>
    <row r="12629">
      <c r="F12629" s="13"/>
      <c r="M12629" s="13"/>
    </row>
    <row r="12630">
      <c r="F12630" s="13"/>
      <c r="M12630" s="13"/>
    </row>
    <row r="12631">
      <c r="F12631" s="13"/>
      <c r="M12631" s="13"/>
    </row>
    <row r="12632">
      <c r="F12632" s="13"/>
      <c r="M12632" s="13"/>
    </row>
    <row r="12633">
      <c r="F12633" s="13"/>
      <c r="M12633" s="13"/>
    </row>
    <row r="12634">
      <c r="F12634" s="13"/>
      <c r="M12634" s="13"/>
    </row>
    <row r="12635">
      <c r="F12635" s="13"/>
      <c r="M12635" s="13"/>
    </row>
    <row r="12636">
      <c r="F12636" s="13"/>
      <c r="M12636" s="13"/>
    </row>
    <row r="12637">
      <c r="F12637" s="13"/>
      <c r="M12637" s="13"/>
    </row>
    <row r="12638">
      <c r="F12638" s="13"/>
      <c r="M12638" s="13"/>
    </row>
    <row r="12639">
      <c r="F12639" s="13"/>
      <c r="M12639" s="13"/>
    </row>
    <row r="12640">
      <c r="F12640" s="13"/>
      <c r="M12640" s="13"/>
    </row>
    <row r="12641">
      <c r="F12641" s="13"/>
      <c r="M12641" s="13"/>
    </row>
    <row r="12642">
      <c r="F12642" s="13"/>
      <c r="M12642" s="13"/>
    </row>
    <row r="12643">
      <c r="F12643" s="13"/>
      <c r="M12643" s="13"/>
    </row>
    <row r="12644">
      <c r="F12644" s="13"/>
      <c r="M12644" s="13"/>
    </row>
    <row r="12645">
      <c r="F12645" s="13"/>
      <c r="M12645" s="13"/>
    </row>
    <row r="12646">
      <c r="F12646" s="13"/>
      <c r="M12646" s="13"/>
    </row>
    <row r="12647">
      <c r="F12647" s="13"/>
      <c r="M12647" s="13"/>
    </row>
    <row r="12648">
      <c r="F12648" s="13"/>
      <c r="M12648" s="13"/>
    </row>
    <row r="12649">
      <c r="F12649" s="13"/>
      <c r="M12649" s="13"/>
    </row>
    <row r="12650">
      <c r="F12650" s="13"/>
      <c r="M12650" s="13"/>
    </row>
    <row r="12651">
      <c r="F12651" s="13"/>
      <c r="M12651" s="13"/>
    </row>
    <row r="12652">
      <c r="F12652" s="13"/>
      <c r="M12652" s="13"/>
    </row>
    <row r="12653">
      <c r="F12653" s="13"/>
      <c r="M12653" s="13"/>
    </row>
    <row r="12654">
      <c r="F12654" s="13"/>
      <c r="M12654" s="13"/>
    </row>
    <row r="12655">
      <c r="F12655" s="13"/>
      <c r="M12655" s="13"/>
    </row>
    <row r="12656">
      <c r="F12656" s="13"/>
      <c r="M12656" s="13"/>
    </row>
    <row r="12657">
      <c r="F12657" s="13"/>
      <c r="M12657" s="13"/>
    </row>
    <row r="12658">
      <c r="F12658" s="13"/>
      <c r="M12658" s="13"/>
    </row>
    <row r="12659">
      <c r="F12659" s="13"/>
      <c r="M12659" s="13"/>
    </row>
    <row r="12660">
      <c r="F12660" s="13"/>
      <c r="M12660" s="13"/>
    </row>
    <row r="12661">
      <c r="F12661" s="13"/>
      <c r="M12661" s="13"/>
    </row>
    <row r="12662">
      <c r="F12662" s="13"/>
      <c r="M12662" s="13"/>
    </row>
    <row r="12663">
      <c r="F12663" s="13"/>
      <c r="M12663" s="13"/>
    </row>
    <row r="12664">
      <c r="F12664" s="13"/>
      <c r="M12664" s="13"/>
    </row>
    <row r="12665">
      <c r="F12665" s="13"/>
      <c r="M12665" s="13"/>
    </row>
    <row r="12666">
      <c r="F12666" s="13"/>
      <c r="M12666" s="13"/>
    </row>
    <row r="12667">
      <c r="F12667" s="13"/>
      <c r="M12667" s="13"/>
    </row>
    <row r="12668">
      <c r="F12668" s="13"/>
      <c r="M12668" s="13"/>
    </row>
    <row r="12669">
      <c r="F12669" s="13"/>
      <c r="M12669" s="13"/>
    </row>
    <row r="12670">
      <c r="F12670" s="13"/>
      <c r="M12670" s="13"/>
    </row>
    <row r="12671">
      <c r="F12671" s="13"/>
      <c r="M12671" s="13"/>
    </row>
    <row r="12672">
      <c r="F12672" s="13"/>
      <c r="M12672" s="13"/>
    </row>
    <row r="12673">
      <c r="F12673" s="13"/>
      <c r="M12673" s="13"/>
    </row>
    <row r="12674">
      <c r="F12674" s="13"/>
      <c r="M12674" s="13"/>
    </row>
    <row r="12675">
      <c r="F12675" s="13"/>
      <c r="M12675" s="13"/>
    </row>
    <row r="12676">
      <c r="F12676" s="13"/>
      <c r="M12676" s="13"/>
    </row>
    <row r="12677">
      <c r="F12677" s="13"/>
      <c r="M12677" s="13"/>
    </row>
    <row r="12678">
      <c r="F12678" s="13"/>
      <c r="M12678" s="13"/>
    </row>
    <row r="12679">
      <c r="F12679" s="13"/>
      <c r="M12679" s="13"/>
    </row>
    <row r="12680">
      <c r="F12680" s="13"/>
      <c r="M12680" s="13"/>
    </row>
    <row r="12681">
      <c r="F12681" s="13"/>
      <c r="M12681" s="13"/>
    </row>
    <row r="12682">
      <c r="F12682" s="13"/>
      <c r="M12682" s="13"/>
    </row>
    <row r="12683">
      <c r="F12683" s="13"/>
      <c r="M12683" s="13"/>
    </row>
    <row r="12684">
      <c r="F12684" s="13"/>
      <c r="M12684" s="13"/>
    </row>
    <row r="12685">
      <c r="F12685" s="13"/>
      <c r="M12685" s="13"/>
    </row>
    <row r="12686">
      <c r="F12686" s="13"/>
      <c r="M12686" s="13"/>
    </row>
    <row r="12687">
      <c r="F12687" s="13"/>
      <c r="M12687" s="13"/>
    </row>
    <row r="12688">
      <c r="F12688" s="13"/>
      <c r="M12688" s="13"/>
    </row>
    <row r="12689">
      <c r="F12689" s="13"/>
      <c r="M12689" s="13"/>
    </row>
    <row r="12690">
      <c r="F12690" s="13"/>
      <c r="M12690" s="13"/>
    </row>
    <row r="12691">
      <c r="F12691" s="13"/>
      <c r="M12691" s="13"/>
    </row>
    <row r="12692">
      <c r="F12692" s="13"/>
      <c r="M12692" s="13"/>
    </row>
    <row r="12693">
      <c r="F12693" s="13"/>
      <c r="M12693" s="13"/>
    </row>
    <row r="12694">
      <c r="F12694" s="13"/>
      <c r="M12694" s="13"/>
    </row>
    <row r="12695">
      <c r="F12695" s="13"/>
      <c r="M12695" s="13"/>
    </row>
    <row r="12696">
      <c r="F12696" s="13"/>
      <c r="M12696" s="13"/>
    </row>
    <row r="12697">
      <c r="F12697" s="13"/>
      <c r="M12697" s="13"/>
    </row>
    <row r="12698">
      <c r="F12698" s="13"/>
      <c r="M12698" s="13"/>
    </row>
    <row r="12699">
      <c r="F12699" s="13"/>
      <c r="M12699" s="13"/>
    </row>
    <row r="12700">
      <c r="F12700" s="13"/>
      <c r="M12700" s="13"/>
    </row>
    <row r="12701">
      <c r="F12701" s="13"/>
      <c r="M12701" s="13"/>
    </row>
    <row r="12702">
      <c r="F12702" s="13"/>
      <c r="M12702" s="13"/>
    </row>
    <row r="12703">
      <c r="F12703" s="13"/>
      <c r="M12703" s="13"/>
    </row>
    <row r="12704">
      <c r="F12704" s="13"/>
      <c r="M12704" s="13"/>
    </row>
    <row r="12705">
      <c r="F12705" s="13"/>
      <c r="M12705" s="13"/>
    </row>
    <row r="12706">
      <c r="F12706" s="13"/>
      <c r="M12706" s="13"/>
    </row>
    <row r="12707">
      <c r="F12707" s="13"/>
      <c r="M12707" s="13"/>
    </row>
    <row r="12708">
      <c r="F12708" s="13"/>
      <c r="M12708" s="13"/>
    </row>
    <row r="12709">
      <c r="F12709" s="13"/>
      <c r="M12709" s="13"/>
    </row>
    <row r="12710">
      <c r="F12710" s="13"/>
      <c r="M12710" s="13"/>
    </row>
    <row r="12711">
      <c r="F12711" s="13"/>
      <c r="M12711" s="13"/>
    </row>
    <row r="12712">
      <c r="F12712" s="13"/>
      <c r="M12712" s="13"/>
    </row>
    <row r="12713">
      <c r="F12713" s="13"/>
      <c r="M12713" s="13"/>
    </row>
    <row r="12714">
      <c r="F12714" s="13"/>
      <c r="M12714" s="13"/>
    </row>
    <row r="12715">
      <c r="F12715" s="13"/>
      <c r="M12715" s="13"/>
    </row>
    <row r="12716">
      <c r="F12716" s="13"/>
      <c r="M12716" s="13"/>
    </row>
    <row r="12717">
      <c r="F12717" s="13"/>
      <c r="M12717" s="13"/>
    </row>
    <row r="12718">
      <c r="F12718" s="13"/>
      <c r="M12718" s="13"/>
    </row>
    <row r="12719">
      <c r="F12719" s="13"/>
      <c r="M12719" s="13"/>
    </row>
    <row r="12720">
      <c r="F12720" s="13"/>
      <c r="M12720" s="13"/>
    </row>
    <row r="12721">
      <c r="F12721" s="13"/>
      <c r="M12721" s="13"/>
    </row>
    <row r="12722">
      <c r="F12722" s="13"/>
      <c r="M12722" s="13"/>
    </row>
    <row r="12723">
      <c r="F12723" s="13"/>
      <c r="M12723" s="13"/>
    </row>
    <row r="12724">
      <c r="F12724" s="13"/>
      <c r="M12724" s="13"/>
    </row>
    <row r="12725">
      <c r="F12725" s="13"/>
      <c r="M12725" s="13"/>
    </row>
    <row r="12726">
      <c r="F12726" s="13"/>
      <c r="M12726" s="13"/>
    </row>
    <row r="12727">
      <c r="F12727" s="13"/>
      <c r="M12727" s="13"/>
    </row>
    <row r="12728">
      <c r="F12728" s="13"/>
      <c r="M12728" s="13"/>
    </row>
    <row r="12729">
      <c r="F12729" s="13"/>
      <c r="M12729" s="13"/>
    </row>
    <row r="12730">
      <c r="F12730" s="13"/>
      <c r="M12730" s="13"/>
    </row>
    <row r="12731">
      <c r="F12731" s="13"/>
      <c r="M12731" s="13"/>
    </row>
    <row r="12732">
      <c r="F12732" s="13"/>
      <c r="M12732" s="13"/>
    </row>
    <row r="12733">
      <c r="F12733" s="13"/>
      <c r="M12733" s="13"/>
    </row>
    <row r="12734">
      <c r="F12734" s="13"/>
      <c r="M12734" s="13"/>
    </row>
    <row r="12735">
      <c r="F12735" s="13"/>
      <c r="M12735" s="13"/>
    </row>
    <row r="12736">
      <c r="F12736" s="13"/>
      <c r="M12736" s="13"/>
    </row>
    <row r="12737">
      <c r="F12737" s="13"/>
      <c r="M12737" s="13"/>
    </row>
    <row r="12738">
      <c r="F12738" s="13"/>
      <c r="M12738" s="13"/>
    </row>
    <row r="12739">
      <c r="F12739" s="13"/>
      <c r="M12739" s="13"/>
    </row>
    <row r="12740">
      <c r="F12740" s="13"/>
      <c r="M12740" s="13"/>
    </row>
    <row r="12741">
      <c r="F12741" s="13"/>
      <c r="M12741" s="13"/>
    </row>
    <row r="12742">
      <c r="F12742" s="13"/>
      <c r="M12742" s="13"/>
    </row>
    <row r="12743">
      <c r="F12743" s="13"/>
      <c r="M12743" s="13"/>
    </row>
    <row r="12744">
      <c r="F12744" s="13"/>
      <c r="M12744" s="13"/>
    </row>
    <row r="12745">
      <c r="F12745" s="13"/>
      <c r="M12745" s="13"/>
    </row>
    <row r="12746">
      <c r="F12746" s="13"/>
      <c r="M12746" s="13"/>
    </row>
    <row r="12747">
      <c r="F12747" s="13"/>
      <c r="M12747" s="13"/>
    </row>
    <row r="12748">
      <c r="F12748" s="13"/>
      <c r="M12748" s="13"/>
    </row>
    <row r="12749">
      <c r="F12749" s="13"/>
      <c r="M12749" s="13"/>
    </row>
    <row r="12750">
      <c r="F12750" s="13"/>
      <c r="M12750" s="13"/>
    </row>
    <row r="12751">
      <c r="F12751" s="13"/>
      <c r="M12751" s="13"/>
    </row>
    <row r="12752">
      <c r="F12752" s="13"/>
      <c r="M12752" s="13"/>
    </row>
    <row r="12753">
      <c r="F12753" s="13"/>
      <c r="M12753" s="13"/>
    </row>
    <row r="12754">
      <c r="F12754" s="13"/>
      <c r="M12754" s="13"/>
    </row>
    <row r="12755">
      <c r="F12755" s="13"/>
      <c r="M12755" s="13"/>
    </row>
    <row r="12756">
      <c r="F12756" s="13"/>
      <c r="M12756" s="13"/>
    </row>
    <row r="12757">
      <c r="F12757" s="13"/>
      <c r="M12757" s="13"/>
    </row>
    <row r="12758">
      <c r="F12758" s="13"/>
      <c r="M12758" s="13"/>
    </row>
    <row r="12759">
      <c r="F12759" s="13"/>
      <c r="M12759" s="13"/>
    </row>
    <row r="12760">
      <c r="F12760" s="13"/>
      <c r="M12760" s="13"/>
    </row>
    <row r="12761">
      <c r="F12761" s="13"/>
      <c r="M12761" s="13"/>
    </row>
    <row r="12762">
      <c r="F12762" s="13"/>
      <c r="M12762" s="13"/>
    </row>
    <row r="12763">
      <c r="F12763" s="13"/>
      <c r="M12763" s="13"/>
    </row>
    <row r="12764">
      <c r="F12764" s="13"/>
      <c r="M12764" s="13"/>
    </row>
    <row r="12765">
      <c r="F12765" s="13"/>
      <c r="M12765" s="13"/>
    </row>
    <row r="12766">
      <c r="F12766" s="13"/>
      <c r="M12766" s="13"/>
    </row>
    <row r="12767">
      <c r="F12767" s="13"/>
      <c r="M12767" s="13"/>
    </row>
    <row r="12768">
      <c r="F12768" s="13"/>
      <c r="M12768" s="13"/>
    </row>
    <row r="12769">
      <c r="F12769" s="13"/>
      <c r="M12769" s="13"/>
    </row>
    <row r="12770">
      <c r="F12770" s="13"/>
      <c r="M12770" s="13"/>
    </row>
    <row r="12771">
      <c r="F12771" s="13"/>
      <c r="M12771" s="13"/>
    </row>
    <row r="12772">
      <c r="F12772" s="13"/>
      <c r="M12772" s="13"/>
    </row>
    <row r="12773">
      <c r="F12773" s="13"/>
      <c r="M12773" s="13"/>
    </row>
    <row r="12774">
      <c r="F12774" s="13"/>
      <c r="M12774" s="13"/>
    </row>
    <row r="12775">
      <c r="F12775" s="13"/>
      <c r="M12775" s="13"/>
    </row>
    <row r="12776">
      <c r="F12776" s="13"/>
      <c r="M12776" s="13"/>
    </row>
    <row r="12777">
      <c r="F12777" s="13"/>
      <c r="M12777" s="13"/>
    </row>
    <row r="12778">
      <c r="F12778" s="13"/>
      <c r="M12778" s="13"/>
    </row>
    <row r="12779">
      <c r="F12779" s="13"/>
      <c r="M12779" s="13"/>
    </row>
    <row r="12780">
      <c r="F12780" s="13"/>
      <c r="M12780" s="13"/>
    </row>
    <row r="12781">
      <c r="F12781" s="13"/>
      <c r="M12781" s="13"/>
    </row>
    <row r="12782">
      <c r="F12782" s="13"/>
      <c r="M12782" s="13"/>
    </row>
    <row r="12783">
      <c r="F12783" s="13"/>
      <c r="M12783" s="13"/>
    </row>
    <row r="12784">
      <c r="F12784" s="13"/>
      <c r="M12784" s="13"/>
    </row>
    <row r="12785">
      <c r="F12785" s="13"/>
      <c r="M12785" s="13"/>
    </row>
    <row r="12786">
      <c r="F12786" s="13"/>
      <c r="M12786" s="13"/>
    </row>
    <row r="12787">
      <c r="F12787" s="13"/>
      <c r="M12787" s="13"/>
    </row>
    <row r="12788">
      <c r="F12788" s="13"/>
      <c r="M12788" s="13"/>
    </row>
    <row r="12789">
      <c r="F12789" s="13"/>
      <c r="M12789" s="13"/>
    </row>
    <row r="12790">
      <c r="F12790" s="13"/>
      <c r="M12790" s="13"/>
    </row>
    <row r="12791">
      <c r="F12791" s="13"/>
      <c r="M12791" s="13"/>
    </row>
    <row r="12792">
      <c r="F12792" s="13"/>
      <c r="M12792" s="13"/>
    </row>
    <row r="12793">
      <c r="F12793" s="13"/>
      <c r="M12793" s="13"/>
    </row>
    <row r="12794">
      <c r="F12794" s="13"/>
      <c r="M12794" s="13"/>
    </row>
    <row r="12795">
      <c r="F12795" s="13"/>
      <c r="M12795" s="13"/>
    </row>
    <row r="12796">
      <c r="F12796" s="13"/>
      <c r="M12796" s="13"/>
    </row>
    <row r="12797">
      <c r="F12797" s="13"/>
      <c r="M12797" s="13"/>
    </row>
    <row r="12798">
      <c r="F12798" s="13"/>
      <c r="M12798" s="13"/>
    </row>
    <row r="12799">
      <c r="F12799" s="13"/>
      <c r="M12799" s="13"/>
    </row>
    <row r="12800">
      <c r="F12800" s="13"/>
      <c r="M12800" s="13"/>
    </row>
    <row r="12801">
      <c r="F12801" s="13"/>
      <c r="M12801" s="13"/>
    </row>
    <row r="12802">
      <c r="F12802" s="13"/>
      <c r="M12802" s="13"/>
    </row>
    <row r="12803">
      <c r="F12803" s="13"/>
      <c r="M12803" s="13"/>
    </row>
    <row r="12804">
      <c r="F12804" s="13"/>
      <c r="M12804" s="13"/>
    </row>
    <row r="12805">
      <c r="F12805" s="13"/>
      <c r="M12805" s="13"/>
    </row>
    <row r="12806">
      <c r="F12806" s="13"/>
      <c r="M12806" s="13"/>
    </row>
    <row r="12807">
      <c r="F12807" s="13"/>
      <c r="M12807" s="13"/>
    </row>
    <row r="12808">
      <c r="F12808" s="13"/>
      <c r="M12808" s="13"/>
    </row>
    <row r="12809">
      <c r="F12809" s="13"/>
      <c r="M12809" s="13"/>
    </row>
    <row r="12810">
      <c r="F12810" s="13"/>
      <c r="M12810" s="13"/>
    </row>
    <row r="12811">
      <c r="F12811" s="13"/>
      <c r="M12811" s="13"/>
    </row>
    <row r="12812">
      <c r="F12812" s="13"/>
      <c r="M12812" s="13"/>
    </row>
    <row r="12813">
      <c r="F12813" s="13"/>
      <c r="M12813" s="13"/>
    </row>
    <row r="12814">
      <c r="F12814" s="13"/>
      <c r="M12814" s="13"/>
    </row>
    <row r="12815">
      <c r="F12815" s="13"/>
      <c r="M12815" s="13"/>
    </row>
    <row r="12816">
      <c r="F12816" s="13"/>
      <c r="M12816" s="13"/>
    </row>
    <row r="12817">
      <c r="F12817" s="13"/>
      <c r="M12817" s="13"/>
    </row>
    <row r="12818">
      <c r="F12818" s="13"/>
      <c r="M12818" s="13"/>
    </row>
    <row r="12819">
      <c r="F12819" s="13"/>
      <c r="M12819" s="13"/>
    </row>
    <row r="12820">
      <c r="F12820" s="13"/>
      <c r="M12820" s="13"/>
    </row>
    <row r="12821">
      <c r="F12821" s="13"/>
      <c r="M12821" s="13"/>
    </row>
    <row r="12822">
      <c r="F12822" s="13"/>
      <c r="M12822" s="13"/>
    </row>
    <row r="12823">
      <c r="F12823" s="13"/>
      <c r="M12823" s="13"/>
    </row>
    <row r="12824">
      <c r="F12824" s="13"/>
      <c r="M12824" s="13"/>
    </row>
    <row r="12825">
      <c r="F12825" s="13"/>
      <c r="M12825" s="13"/>
    </row>
    <row r="12826">
      <c r="F12826" s="13"/>
      <c r="M12826" s="13"/>
    </row>
    <row r="12827">
      <c r="F12827" s="13"/>
      <c r="M12827" s="13"/>
    </row>
    <row r="12828">
      <c r="F12828" s="13"/>
      <c r="M12828" s="13"/>
    </row>
    <row r="12829">
      <c r="F12829" s="13"/>
      <c r="M12829" s="13"/>
    </row>
    <row r="12830">
      <c r="F12830" s="13"/>
      <c r="M12830" s="13"/>
    </row>
    <row r="12831">
      <c r="F12831" s="13"/>
      <c r="M12831" s="13"/>
    </row>
    <row r="12832">
      <c r="F12832" s="13"/>
      <c r="M12832" s="13"/>
    </row>
    <row r="12833">
      <c r="F12833" s="13"/>
      <c r="M12833" s="13"/>
    </row>
    <row r="12834">
      <c r="F12834" s="13"/>
      <c r="M12834" s="13"/>
    </row>
    <row r="12835">
      <c r="F12835" s="13"/>
      <c r="M12835" s="13"/>
    </row>
    <row r="12836">
      <c r="F12836" s="13"/>
      <c r="M12836" s="13"/>
    </row>
    <row r="12837">
      <c r="F12837" s="13"/>
      <c r="M12837" s="13"/>
    </row>
    <row r="12838">
      <c r="F12838" s="13"/>
      <c r="M12838" s="13"/>
    </row>
    <row r="12839">
      <c r="F12839" s="13"/>
      <c r="M12839" s="13"/>
    </row>
    <row r="12840">
      <c r="F12840" s="13"/>
      <c r="M12840" s="13"/>
    </row>
    <row r="12841">
      <c r="F12841" s="13"/>
      <c r="M12841" s="13"/>
    </row>
    <row r="12842">
      <c r="F12842" s="13"/>
      <c r="M12842" s="13"/>
    </row>
    <row r="12843">
      <c r="F12843" s="13"/>
      <c r="M12843" s="13"/>
    </row>
    <row r="12844">
      <c r="F12844" s="13"/>
      <c r="M12844" s="13"/>
    </row>
    <row r="12845">
      <c r="F12845" s="13"/>
      <c r="M12845" s="13"/>
    </row>
    <row r="12846">
      <c r="F12846" s="13"/>
      <c r="M12846" s="13"/>
    </row>
    <row r="12847">
      <c r="F12847" s="13"/>
      <c r="M12847" s="13"/>
    </row>
    <row r="12848">
      <c r="F12848" s="13"/>
      <c r="M12848" s="13"/>
    </row>
    <row r="12849">
      <c r="F12849" s="13"/>
      <c r="M12849" s="13"/>
    </row>
    <row r="12850">
      <c r="F12850" s="13"/>
      <c r="M12850" s="13"/>
    </row>
    <row r="12851">
      <c r="F12851" s="13"/>
      <c r="M12851" s="13"/>
    </row>
    <row r="12852">
      <c r="F12852" s="13"/>
      <c r="M12852" s="13"/>
    </row>
    <row r="12853">
      <c r="F12853" s="13"/>
      <c r="M12853" s="13"/>
    </row>
    <row r="12854">
      <c r="F12854" s="13"/>
      <c r="M12854" s="13"/>
    </row>
    <row r="12855">
      <c r="F12855" s="13"/>
      <c r="M12855" s="13"/>
    </row>
    <row r="12856">
      <c r="F12856" s="13"/>
      <c r="M12856" s="13"/>
    </row>
    <row r="12857">
      <c r="F12857" s="13"/>
      <c r="M12857" s="13"/>
    </row>
    <row r="12858">
      <c r="F12858" s="13"/>
      <c r="M12858" s="13"/>
    </row>
    <row r="12859">
      <c r="F12859" s="13"/>
      <c r="M12859" s="13"/>
    </row>
    <row r="12860">
      <c r="F12860" s="13"/>
      <c r="M12860" s="13"/>
    </row>
    <row r="12861">
      <c r="F12861" s="13"/>
      <c r="M12861" s="13"/>
    </row>
    <row r="12862">
      <c r="F12862" s="13"/>
      <c r="M12862" s="13"/>
    </row>
    <row r="12863">
      <c r="F12863" s="13"/>
      <c r="M12863" s="13"/>
    </row>
    <row r="12864">
      <c r="F12864" s="13"/>
      <c r="M12864" s="13"/>
    </row>
    <row r="12865">
      <c r="F12865" s="13"/>
      <c r="M12865" s="13"/>
    </row>
    <row r="12866">
      <c r="F12866" s="13"/>
      <c r="M12866" s="13"/>
    </row>
    <row r="12867">
      <c r="F12867" s="13"/>
      <c r="M12867" s="13"/>
    </row>
    <row r="12868">
      <c r="F12868" s="13"/>
      <c r="M12868" s="13"/>
    </row>
    <row r="12869">
      <c r="F12869" s="13"/>
      <c r="M12869" s="13"/>
    </row>
    <row r="12870">
      <c r="F12870" s="13"/>
      <c r="M12870" s="13"/>
    </row>
    <row r="12871">
      <c r="F12871" s="13"/>
      <c r="M12871" s="13"/>
    </row>
    <row r="12872">
      <c r="F12872" s="13"/>
      <c r="M12872" s="13"/>
    </row>
    <row r="12873">
      <c r="F12873" s="13"/>
      <c r="M12873" s="13"/>
    </row>
    <row r="12874">
      <c r="F12874" s="13"/>
      <c r="M12874" s="13"/>
    </row>
    <row r="12875">
      <c r="F12875" s="13"/>
      <c r="M12875" s="13"/>
    </row>
    <row r="12876">
      <c r="F12876" s="13"/>
      <c r="M12876" s="13"/>
    </row>
    <row r="12877">
      <c r="F12877" s="13"/>
      <c r="M12877" s="13"/>
    </row>
    <row r="12878">
      <c r="F12878" s="13"/>
      <c r="M12878" s="13"/>
    </row>
    <row r="12879">
      <c r="F12879" s="13"/>
      <c r="M12879" s="13"/>
    </row>
    <row r="12880">
      <c r="F12880" s="13"/>
      <c r="M12880" s="13"/>
    </row>
    <row r="12881">
      <c r="F12881" s="13"/>
      <c r="M12881" s="13"/>
    </row>
    <row r="12882">
      <c r="F12882" s="13"/>
      <c r="M12882" s="13"/>
    </row>
    <row r="12883">
      <c r="F12883" s="13"/>
      <c r="M12883" s="13"/>
    </row>
    <row r="12884">
      <c r="F12884" s="13"/>
      <c r="M12884" s="13"/>
    </row>
    <row r="12885">
      <c r="F12885" s="13"/>
      <c r="M12885" s="13"/>
    </row>
    <row r="12886">
      <c r="F12886" s="13"/>
      <c r="M12886" s="13"/>
    </row>
    <row r="12887">
      <c r="F12887" s="13"/>
      <c r="M12887" s="13"/>
    </row>
    <row r="12888">
      <c r="F12888" s="13"/>
      <c r="M12888" s="13"/>
    </row>
    <row r="12889">
      <c r="F12889" s="13"/>
      <c r="M12889" s="13"/>
    </row>
    <row r="12890">
      <c r="F12890" s="13"/>
      <c r="M12890" s="13"/>
    </row>
    <row r="12891">
      <c r="F12891" s="13"/>
      <c r="M12891" s="13"/>
    </row>
    <row r="12892">
      <c r="F12892" s="13"/>
      <c r="M12892" s="13"/>
    </row>
    <row r="12893">
      <c r="F12893" s="13"/>
      <c r="M12893" s="13"/>
    </row>
    <row r="12894">
      <c r="F12894" s="13"/>
      <c r="M12894" s="13"/>
    </row>
    <row r="12895">
      <c r="F12895" s="13"/>
      <c r="M12895" s="13"/>
    </row>
    <row r="12896">
      <c r="F12896" s="13"/>
      <c r="M12896" s="13"/>
    </row>
    <row r="12897">
      <c r="F12897" s="13"/>
      <c r="M12897" s="13"/>
    </row>
    <row r="12898">
      <c r="F12898" s="13"/>
      <c r="M12898" s="13"/>
    </row>
    <row r="12899">
      <c r="F12899" s="13"/>
      <c r="M12899" s="13"/>
    </row>
    <row r="12900">
      <c r="F12900" s="13"/>
      <c r="M12900" s="13"/>
    </row>
    <row r="12901">
      <c r="F12901" s="13"/>
      <c r="M12901" s="13"/>
    </row>
    <row r="12902">
      <c r="F12902" s="13"/>
      <c r="M12902" s="13"/>
    </row>
    <row r="12903">
      <c r="F12903" s="13"/>
      <c r="M12903" s="13"/>
    </row>
    <row r="12904">
      <c r="F12904" s="13"/>
      <c r="M12904" s="13"/>
    </row>
    <row r="12905">
      <c r="F12905" s="13"/>
      <c r="M12905" s="13"/>
    </row>
    <row r="12906">
      <c r="F12906" s="13"/>
      <c r="M12906" s="13"/>
    </row>
    <row r="12907">
      <c r="F12907" s="13"/>
      <c r="M12907" s="13"/>
    </row>
    <row r="12908">
      <c r="F12908" s="13"/>
      <c r="M12908" s="13"/>
    </row>
    <row r="12909">
      <c r="F12909" s="13"/>
      <c r="M12909" s="13"/>
    </row>
    <row r="12910">
      <c r="F12910" s="13"/>
      <c r="M12910" s="13"/>
    </row>
    <row r="12911">
      <c r="F12911" s="13"/>
      <c r="M12911" s="13"/>
    </row>
    <row r="12912">
      <c r="F12912" s="13"/>
      <c r="M12912" s="13"/>
    </row>
    <row r="12913">
      <c r="F12913" s="13"/>
      <c r="M12913" s="13"/>
    </row>
    <row r="12914">
      <c r="F12914" s="13"/>
      <c r="M12914" s="13"/>
    </row>
    <row r="12915">
      <c r="F12915" s="13"/>
      <c r="M12915" s="13"/>
    </row>
    <row r="12916">
      <c r="F12916" s="13"/>
      <c r="M12916" s="13"/>
    </row>
    <row r="12917">
      <c r="F12917" s="13"/>
      <c r="M12917" s="13"/>
    </row>
    <row r="12918">
      <c r="F12918" s="13"/>
      <c r="M12918" s="13"/>
    </row>
    <row r="12919">
      <c r="F12919" s="13"/>
      <c r="M12919" s="13"/>
    </row>
    <row r="12920">
      <c r="F12920" s="13"/>
      <c r="M12920" s="13"/>
    </row>
    <row r="12921">
      <c r="F12921" s="13"/>
      <c r="M12921" s="13"/>
    </row>
    <row r="12922">
      <c r="F12922" s="13"/>
      <c r="M12922" s="13"/>
    </row>
    <row r="12923">
      <c r="F12923" s="13"/>
      <c r="M12923" s="13"/>
    </row>
    <row r="12924">
      <c r="F12924" s="13"/>
      <c r="M12924" s="13"/>
    </row>
    <row r="12925">
      <c r="F12925" s="13"/>
      <c r="M12925" s="13"/>
    </row>
    <row r="12926">
      <c r="F12926" s="13"/>
      <c r="M12926" s="13"/>
    </row>
    <row r="12927">
      <c r="F12927" s="13"/>
      <c r="M12927" s="13"/>
    </row>
    <row r="12928">
      <c r="F12928" s="13"/>
      <c r="M12928" s="13"/>
    </row>
    <row r="12929">
      <c r="F12929" s="13"/>
      <c r="M12929" s="13"/>
    </row>
    <row r="12930">
      <c r="F12930" s="13"/>
      <c r="M12930" s="13"/>
    </row>
    <row r="12931">
      <c r="F12931" s="13"/>
      <c r="M12931" s="13"/>
    </row>
    <row r="12932">
      <c r="F12932" s="13"/>
      <c r="M12932" s="13"/>
    </row>
    <row r="12933">
      <c r="F12933" s="13"/>
      <c r="M12933" s="13"/>
    </row>
    <row r="12934">
      <c r="F12934" s="13"/>
      <c r="M12934" s="13"/>
    </row>
    <row r="12935">
      <c r="F12935" s="13"/>
      <c r="M12935" s="13"/>
    </row>
    <row r="12936">
      <c r="F12936" s="13"/>
      <c r="M12936" s="13"/>
    </row>
    <row r="12937">
      <c r="F12937" s="13"/>
      <c r="M12937" s="13"/>
    </row>
    <row r="12938">
      <c r="F12938" s="13"/>
      <c r="M12938" s="13"/>
    </row>
    <row r="12939">
      <c r="F12939" s="13"/>
      <c r="M12939" s="13"/>
    </row>
    <row r="12940">
      <c r="F12940" s="13"/>
      <c r="M12940" s="13"/>
    </row>
    <row r="12941">
      <c r="F12941" s="13"/>
      <c r="M12941" s="13"/>
    </row>
    <row r="12942">
      <c r="F12942" s="13"/>
      <c r="M12942" s="13"/>
    </row>
    <row r="12943">
      <c r="F12943" s="13"/>
      <c r="M12943" s="13"/>
    </row>
    <row r="12944">
      <c r="F12944" s="13"/>
      <c r="M12944" s="13"/>
    </row>
    <row r="12945">
      <c r="F12945" s="13"/>
      <c r="M12945" s="13"/>
    </row>
    <row r="12946">
      <c r="F12946" s="13"/>
      <c r="M12946" s="13"/>
    </row>
    <row r="12947">
      <c r="F12947" s="13"/>
      <c r="M12947" s="13"/>
    </row>
    <row r="12948">
      <c r="F12948" s="13"/>
      <c r="M12948" s="13"/>
    </row>
    <row r="12949">
      <c r="F12949" s="13"/>
      <c r="M12949" s="13"/>
    </row>
    <row r="12950">
      <c r="F12950" s="13"/>
      <c r="M12950" s="13"/>
    </row>
    <row r="12951">
      <c r="F12951" s="13"/>
      <c r="M12951" s="13"/>
    </row>
    <row r="12952">
      <c r="F12952" s="13"/>
      <c r="M12952" s="13"/>
    </row>
    <row r="12953">
      <c r="F12953" s="13"/>
      <c r="M12953" s="13"/>
    </row>
    <row r="12954">
      <c r="F12954" s="13"/>
      <c r="M12954" s="13"/>
    </row>
    <row r="12955">
      <c r="F12955" s="13"/>
      <c r="M12955" s="13"/>
    </row>
    <row r="12956">
      <c r="F12956" s="13"/>
      <c r="M12956" s="13"/>
    </row>
    <row r="12957">
      <c r="F12957" s="13"/>
      <c r="M12957" s="13"/>
    </row>
    <row r="12958">
      <c r="F12958" s="13"/>
      <c r="M12958" s="13"/>
    </row>
    <row r="12959">
      <c r="F12959" s="13"/>
      <c r="M12959" s="13"/>
    </row>
    <row r="12960">
      <c r="F12960" s="13"/>
      <c r="M12960" s="13"/>
    </row>
    <row r="12961">
      <c r="F12961" s="13"/>
      <c r="M12961" s="13"/>
    </row>
    <row r="12962">
      <c r="F12962" s="13"/>
      <c r="M12962" s="13"/>
    </row>
    <row r="12963">
      <c r="F12963" s="13"/>
      <c r="M12963" s="13"/>
    </row>
    <row r="12964">
      <c r="F12964" s="13"/>
      <c r="M12964" s="13"/>
    </row>
    <row r="12965">
      <c r="F12965" s="13"/>
      <c r="M12965" s="13"/>
    </row>
    <row r="12966">
      <c r="F12966" s="13"/>
      <c r="M12966" s="13"/>
    </row>
    <row r="12967">
      <c r="F12967" s="13"/>
      <c r="M12967" s="13"/>
    </row>
    <row r="12968">
      <c r="F12968" s="13"/>
      <c r="M12968" s="13"/>
    </row>
    <row r="12969">
      <c r="F12969" s="13"/>
      <c r="M12969" s="13"/>
    </row>
    <row r="12970">
      <c r="F12970" s="13"/>
      <c r="M12970" s="13"/>
    </row>
    <row r="12971">
      <c r="F12971" s="13"/>
      <c r="M12971" s="13"/>
    </row>
    <row r="12972">
      <c r="F12972" s="13"/>
      <c r="M12972" s="13"/>
    </row>
    <row r="12973">
      <c r="F12973" s="13"/>
      <c r="M12973" s="13"/>
    </row>
    <row r="12974">
      <c r="F12974" s="13"/>
      <c r="M12974" s="13"/>
    </row>
    <row r="12975">
      <c r="F12975" s="13"/>
      <c r="M12975" s="13"/>
    </row>
    <row r="12976">
      <c r="F12976" s="13"/>
      <c r="M12976" s="13"/>
    </row>
    <row r="12977">
      <c r="F12977" s="13"/>
      <c r="M12977" s="13"/>
    </row>
    <row r="12978">
      <c r="F12978" s="13"/>
      <c r="M12978" s="13"/>
    </row>
    <row r="12979">
      <c r="F12979" s="13"/>
      <c r="M12979" s="13"/>
    </row>
    <row r="12980">
      <c r="F12980" s="13"/>
      <c r="M12980" s="13"/>
    </row>
    <row r="12981">
      <c r="F12981" s="13"/>
      <c r="M12981" s="13"/>
    </row>
    <row r="12982">
      <c r="F12982" s="13"/>
      <c r="M12982" s="13"/>
    </row>
    <row r="12983">
      <c r="F12983" s="13"/>
      <c r="M12983" s="13"/>
    </row>
    <row r="12984">
      <c r="F12984" s="13"/>
      <c r="M12984" s="13"/>
    </row>
    <row r="12985">
      <c r="F12985" s="13"/>
      <c r="M12985" s="13"/>
    </row>
    <row r="12986">
      <c r="F12986" s="13"/>
      <c r="M12986" s="13"/>
    </row>
    <row r="12987">
      <c r="F12987" s="13"/>
      <c r="M12987" s="13"/>
    </row>
    <row r="12988">
      <c r="F12988" s="13"/>
      <c r="M12988" s="13"/>
    </row>
    <row r="12989">
      <c r="F12989" s="13"/>
      <c r="M12989" s="13"/>
    </row>
    <row r="12990">
      <c r="F12990" s="13"/>
      <c r="M12990" s="13"/>
    </row>
    <row r="12991">
      <c r="F12991" s="13"/>
      <c r="M12991" s="13"/>
    </row>
    <row r="12992">
      <c r="F12992" s="13"/>
      <c r="M12992" s="13"/>
    </row>
    <row r="12993">
      <c r="F12993" s="13"/>
      <c r="M12993" s="13"/>
    </row>
    <row r="12994">
      <c r="F12994" s="13"/>
      <c r="M12994" s="13"/>
    </row>
    <row r="12995">
      <c r="F12995" s="13"/>
      <c r="M12995" s="13"/>
    </row>
    <row r="12996">
      <c r="F12996" s="13"/>
      <c r="M12996" s="13"/>
    </row>
    <row r="12997">
      <c r="F12997" s="13"/>
      <c r="M12997" s="13"/>
    </row>
    <row r="12998">
      <c r="F12998" s="13"/>
      <c r="M12998" s="13"/>
    </row>
    <row r="12999">
      <c r="F12999" s="13"/>
      <c r="M12999" s="13"/>
    </row>
    <row r="13000">
      <c r="F13000" s="13"/>
      <c r="M13000" s="13"/>
    </row>
    <row r="13001">
      <c r="F13001" s="13"/>
      <c r="M13001" s="13"/>
    </row>
    <row r="13002">
      <c r="F13002" s="13"/>
      <c r="M13002" s="13"/>
    </row>
    <row r="13003">
      <c r="F13003" s="13"/>
      <c r="M13003" s="13"/>
    </row>
    <row r="13004">
      <c r="F13004" s="13"/>
      <c r="M13004" s="13"/>
    </row>
    <row r="13005">
      <c r="F13005" s="13"/>
      <c r="M13005" s="13"/>
    </row>
    <row r="13006">
      <c r="F13006" s="13"/>
      <c r="M13006" s="13"/>
    </row>
    <row r="13007">
      <c r="F13007" s="13"/>
      <c r="M13007" s="13"/>
    </row>
    <row r="13008">
      <c r="F13008" s="13"/>
      <c r="M13008" s="13"/>
    </row>
    <row r="13009">
      <c r="F13009" s="13"/>
      <c r="M13009" s="13"/>
    </row>
    <row r="13010">
      <c r="F13010" s="13"/>
      <c r="M13010" s="13"/>
    </row>
    <row r="13011">
      <c r="F13011" s="13"/>
      <c r="M13011" s="13"/>
    </row>
    <row r="13012">
      <c r="F13012" s="13"/>
      <c r="M13012" s="13"/>
    </row>
    <row r="13013">
      <c r="F13013" s="13"/>
      <c r="M13013" s="13"/>
    </row>
    <row r="13014">
      <c r="F13014" s="13"/>
      <c r="M13014" s="13"/>
    </row>
    <row r="13015">
      <c r="F13015" s="13"/>
      <c r="M13015" s="13"/>
    </row>
    <row r="13016">
      <c r="F13016" s="13"/>
      <c r="M13016" s="13"/>
    </row>
    <row r="13017">
      <c r="F13017" s="13"/>
      <c r="M13017" s="13"/>
    </row>
    <row r="13018">
      <c r="F13018" s="13"/>
      <c r="M13018" s="13"/>
    </row>
    <row r="13019">
      <c r="F13019" s="13"/>
      <c r="M13019" s="13"/>
    </row>
    <row r="13020">
      <c r="F13020" s="13"/>
      <c r="M13020" s="13"/>
    </row>
    <row r="13021">
      <c r="F13021" s="13"/>
      <c r="M13021" s="13"/>
    </row>
    <row r="13022">
      <c r="F13022" s="13"/>
      <c r="M13022" s="13"/>
    </row>
    <row r="13023">
      <c r="F13023" s="13"/>
      <c r="M13023" s="13"/>
    </row>
    <row r="13024">
      <c r="F13024" s="13"/>
      <c r="M13024" s="13"/>
    </row>
    <row r="13025">
      <c r="F13025" s="13"/>
      <c r="M13025" s="13"/>
    </row>
    <row r="13026">
      <c r="F13026" s="13"/>
      <c r="M13026" s="13"/>
    </row>
    <row r="13027">
      <c r="F13027" s="13"/>
      <c r="M13027" s="13"/>
    </row>
    <row r="13028">
      <c r="F13028" s="13"/>
      <c r="M13028" s="13"/>
    </row>
    <row r="13029">
      <c r="F13029" s="13"/>
      <c r="M13029" s="13"/>
    </row>
    <row r="13030">
      <c r="F13030" s="13"/>
      <c r="M13030" s="13"/>
    </row>
    <row r="13031">
      <c r="F13031" s="13"/>
      <c r="M13031" s="13"/>
    </row>
    <row r="13032">
      <c r="F13032" s="13"/>
      <c r="M13032" s="13"/>
    </row>
    <row r="13033">
      <c r="F13033" s="13"/>
      <c r="M13033" s="13"/>
    </row>
    <row r="13034">
      <c r="F13034" s="13"/>
      <c r="M13034" s="13"/>
    </row>
    <row r="13035">
      <c r="F13035" s="13"/>
      <c r="M13035" s="13"/>
    </row>
    <row r="13036">
      <c r="F13036" s="13"/>
      <c r="M13036" s="13"/>
    </row>
    <row r="13037">
      <c r="F13037" s="13"/>
      <c r="M13037" s="13"/>
    </row>
    <row r="13038">
      <c r="F13038" s="13"/>
      <c r="M13038" s="13"/>
    </row>
    <row r="13039">
      <c r="F13039" s="13"/>
      <c r="M13039" s="13"/>
    </row>
    <row r="13040">
      <c r="F13040" s="13"/>
      <c r="M13040" s="13"/>
    </row>
    <row r="13041">
      <c r="F13041" s="13"/>
      <c r="M13041" s="13"/>
    </row>
    <row r="13042">
      <c r="F13042" s="13"/>
      <c r="M13042" s="13"/>
    </row>
    <row r="13043">
      <c r="F13043" s="13"/>
      <c r="M13043" s="13"/>
    </row>
    <row r="13044">
      <c r="F13044" s="13"/>
      <c r="M13044" s="13"/>
    </row>
    <row r="13045">
      <c r="F13045" s="13"/>
      <c r="M13045" s="13"/>
    </row>
    <row r="13046">
      <c r="F13046" s="13"/>
      <c r="M13046" s="13"/>
    </row>
    <row r="13047">
      <c r="F13047" s="13"/>
      <c r="M13047" s="13"/>
    </row>
    <row r="13048">
      <c r="F13048" s="13"/>
      <c r="M13048" s="13"/>
    </row>
    <row r="13049">
      <c r="F13049" s="13"/>
      <c r="M13049" s="13"/>
    </row>
    <row r="13050">
      <c r="F13050" s="13"/>
      <c r="M13050" s="13"/>
    </row>
    <row r="13051">
      <c r="F13051" s="13"/>
      <c r="M13051" s="13"/>
    </row>
    <row r="13052">
      <c r="F13052" s="13"/>
      <c r="M13052" s="13"/>
    </row>
    <row r="13053">
      <c r="F13053" s="13"/>
      <c r="M13053" s="13"/>
    </row>
    <row r="13054">
      <c r="F13054" s="13"/>
      <c r="M13054" s="13"/>
    </row>
    <row r="13055">
      <c r="F13055" s="13"/>
      <c r="M13055" s="13"/>
    </row>
    <row r="13056">
      <c r="F13056" s="13"/>
      <c r="M13056" s="13"/>
    </row>
    <row r="13057">
      <c r="F13057" s="13"/>
      <c r="M13057" s="13"/>
    </row>
    <row r="13058">
      <c r="F13058" s="13"/>
      <c r="M13058" s="13"/>
    </row>
    <row r="13059">
      <c r="F13059" s="13"/>
      <c r="M13059" s="13"/>
    </row>
    <row r="13060">
      <c r="F13060" s="13"/>
      <c r="M13060" s="13"/>
    </row>
    <row r="13061">
      <c r="F13061" s="13"/>
      <c r="M13061" s="13"/>
    </row>
    <row r="13062">
      <c r="F13062" s="13"/>
      <c r="M13062" s="13"/>
    </row>
    <row r="13063">
      <c r="F13063" s="13"/>
      <c r="M13063" s="13"/>
    </row>
    <row r="13064">
      <c r="F13064" s="13"/>
      <c r="M13064" s="13"/>
    </row>
    <row r="13065">
      <c r="F13065" s="13"/>
      <c r="M13065" s="13"/>
    </row>
    <row r="13066">
      <c r="F13066" s="13"/>
      <c r="M13066" s="13"/>
    </row>
    <row r="13067">
      <c r="F13067" s="13"/>
      <c r="M13067" s="13"/>
    </row>
    <row r="13068">
      <c r="F13068" s="13"/>
      <c r="M13068" s="13"/>
    </row>
    <row r="13069">
      <c r="F13069" s="13"/>
      <c r="M13069" s="13"/>
    </row>
    <row r="13070">
      <c r="F13070" s="13"/>
      <c r="M13070" s="13"/>
    </row>
    <row r="13071">
      <c r="F13071" s="13"/>
      <c r="M13071" s="13"/>
    </row>
    <row r="13072">
      <c r="F13072" s="13"/>
      <c r="M13072" s="13"/>
    </row>
    <row r="13073">
      <c r="F13073" s="13"/>
      <c r="M13073" s="13"/>
    </row>
    <row r="13074">
      <c r="F13074" s="13"/>
      <c r="M13074" s="13"/>
    </row>
    <row r="13075">
      <c r="F13075" s="13"/>
      <c r="M13075" s="13"/>
    </row>
    <row r="13076">
      <c r="F13076" s="13"/>
      <c r="M13076" s="13"/>
    </row>
    <row r="13077">
      <c r="F13077" s="13"/>
      <c r="M13077" s="13"/>
    </row>
    <row r="13078">
      <c r="F13078" s="13"/>
      <c r="M13078" s="13"/>
    </row>
    <row r="13079">
      <c r="F13079" s="13"/>
      <c r="M13079" s="13"/>
    </row>
    <row r="13080">
      <c r="F13080" s="13"/>
      <c r="M13080" s="13"/>
    </row>
    <row r="13081">
      <c r="F13081" s="13"/>
      <c r="M13081" s="13"/>
    </row>
    <row r="13082">
      <c r="F13082" s="13"/>
      <c r="M13082" s="13"/>
    </row>
    <row r="13083">
      <c r="F13083" s="13"/>
      <c r="M13083" s="13"/>
    </row>
    <row r="13084">
      <c r="F13084" s="13"/>
      <c r="M13084" s="13"/>
    </row>
    <row r="13085">
      <c r="F13085" s="13"/>
      <c r="M13085" s="13"/>
    </row>
    <row r="13086">
      <c r="F13086" s="13"/>
      <c r="M13086" s="13"/>
    </row>
    <row r="13087">
      <c r="F13087" s="13"/>
      <c r="M13087" s="13"/>
    </row>
    <row r="13088">
      <c r="F13088" s="13"/>
      <c r="M13088" s="13"/>
    </row>
    <row r="13089">
      <c r="F13089" s="13"/>
      <c r="M13089" s="13"/>
    </row>
    <row r="13090">
      <c r="F13090" s="13"/>
      <c r="M13090" s="13"/>
    </row>
    <row r="13091">
      <c r="F13091" s="13"/>
      <c r="M13091" s="13"/>
    </row>
    <row r="13092">
      <c r="F13092" s="13"/>
      <c r="M13092" s="13"/>
    </row>
    <row r="13093">
      <c r="F13093" s="13"/>
      <c r="M13093" s="13"/>
    </row>
    <row r="13094">
      <c r="F13094" s="13"/>
      <c r="M13094" s="13"/>
    </row>
    <row r="13095">
      <c r="F13095" s="13"/>
      <c r="M13095" s="13"/>
    </row>
    <row r="13096">
      <c r="F13096" s="13"/>
      <c r="M13096" s="13"/>
    </row>
    <row r="13097">
      <c r="F13097" s="13"/>
      <c r="M13097" s="13"/>
    </row>
    <row r="13098">
      <c r="F13098" s="13"/>
      <c r="M13098" s="13"/>
    </row>
    <row r="13099">
      <c r="F13099" s="13"/>
      <c r="M13099" s="13"/>
    </row>
    <row r="13100">
      <c r="F13100" s="13"/>
      <c r="M13100" s="13"/>
    </row>
    <row r="13101">
      <c r="F13101" s="13"/>
      <c r="M13101" s="13"/>
    </row>
    <row r="13102">
      <c r="F13102" s="13"/>
      <c r="M13102" s="13"/>
    </row>
    <row r="13103">
      <c r="F13103" s="13"/>
      <c r="M13103" s="13"/>
    </row>
    <row r="13104">
      <c r="F13104" s="13"/>
      <c r="M13104" s="13"/>
    </row>
    <row r="13105">
      <c r="F13105" s="13"/>
      <c r="M13105" s="13"/>
    </row>
    <row r="13106">
      <c r="F13106" s="13"/>
      <c r="M13106" s="13"/>
    </row>
    <row r="13107">
      <c r="F13107" s="13"/>
      <c r="M13107" s="13"/>
    </row>
    <row r="13108">
      <c r="F13108" s="13"/>
      <c r="M13108" s="13"/>
    </row>
    <row r="13109">
      <c r="F13109" s="13"/>
      <c r="M13109" s="13"/>
    </row>
    <row r="13110">
      <c r="F13110" s="13"/>
      <c r="M13110" s="13"/>
    </row>
    <row r="13111">
      <c r="F13111" s="13"/>
      <c r="M13111" s="13"/>
    </row>
    <row r="13112">
      <c r="F13112" s="13"/>
      <c r="M13112" s="13"/>
    </row>
    <row r="13113">
      <c r="F13113" s="13"/>
      <c r="M13113" s="13"/>
    </row>
    <row r="13114">
      <c r="F13114" s="13"/>
      <c r="M13114" s="13"/>
    </row>
    <row r="13115">
      <c r="F13115" s="13"/>
      <c r="M13115" s="13"/>
    </row>
    <row r="13116">
      <c r="F13116" s="13"/>
      <c r="M13116" s="13"/>
    </row>
    <row r="13117">
      <c r="F13117" s="13"/>
      <c r="M13117" s="13"/>
    </row>
    <row r="13118">
      <c r="F13118" s="13"/>
      <c r="M13118" s="13"/>
    </row>
    <row r="13119">
      <c r="F13119" s="13"/>
      <c r="M13119" s="13"/>
    </row>
    <row r="13120">
      <c r="F13120" s="13"/>
      <c r="M13120" s="13"/>
    </row>
    <row r="13121">
      <c r="F13121" s="13"/>
      <c r="M13121" s="13"/>
    </row>
    <row r="13122">
      <c r="F13122" s="13"/>
      <c r="M13122" s="13"/>
    </row>
    <row r="13123">
      <c r="F13123" s="13"/>
      <c r="M13123" s="13"/>
    </row>
    <row r="13124">
      <c r="F13124" s="13"/>
      <c r="M13124" s="13"/>
    </row>
    <row r="13125">
      <c r="F13125" s="13"/>
      <c r="M13125" s="13"/>
    </row>
    <row r="13126">
      <c r="F13126" s="13"/>
      <c r="M13126" s="13"/>
    </row>
    <row r="13127">
      <c r="F13127" s="13"/>
      <c r="M13127" s="13"/>
    </row>
    <row r="13128">
      <c r="F13128" s="13"/>
      <c r="M13128" s="13"/>
    </row>
    <row r="13129">
      <c r="F13129" s="13"/>
      <c r="M13129" s="13"/>
    </row>
    <row r="13130">
      <c r="F13130" s="13"/>
      <c r="M13130" s="13"/>
    </row>
    <row r="13131">
      <c r="F13131" s="13"/>
      <c r="M13131" s="13"/>
    </row>
    <row r="13132">
      <c r="F13132" s="13"/>
      <c r="M13132" s="13"/>
    </row>
    <row r="13133">
      <c r="F13133" s="13"/>
      <c r="M13133" s="13"/>
    </row>
    <row r="13134">
      <c r="F13134" s="13"/>
      <c r="M13134" s="13"/>
    </row>
    <row r="13135">
      <c r="F13135" s="13"/>
      <c r="M13135" s="13"/>
    </row>
    <row r="13136">
      <c r="F13136" s="13"/>
      <c r="M13136" s="13"/>
    </row>
    <row r="13137">
      <c r="F13137" s="13"/>
      <c r="M13137" s="13"/>
    </row>
    <row r="13138">
      <c r="F13138" s="13"/>
      <c r="M13138" s="13"/>
    </row>
    <row r="13139">
      <c r="F13139" s="13"/>
      <c r="M13139" s="13"/>
    </row>
    <row r="13140">
      <c r="F13140" s="13"/>
      <c r="M13140" s="13"/>
    </row>
    <row r="13141">
      <c r="F13141" s="13"/>
      <c r="M13141" s="13"/>
    </row>
    <row r="13142">
      <c r="F13142" s="13"/>
      <c r="M13142" s="13"/>
    </row>
    <row r="13143">
      <c r="F13143" s="13"/>
      <c r="M13143" s="13"/>
    </row>
    <row r="13144">
      <c r="F13144" s="13"/>
      <c r="M13144" s="13"/>
    </row>
    <row r="13145">
      <c r="F13145" s="13"/>
      <c r="M13145" s="13"/>
    </row>
    <row r="13146">
      <c r="F13146" s="13"/>
      <c r="M13146" s="13"/>
    </row>
    <row r="13147">
      <c r="F13147" s="13"/>
      <c r="M13147" s="13"/>
    </row>
    <row r="13148">
      <c r="F13148" s="13"/>
      <c r="M13148" s="13"/>
    </row>
    <row r="13149">
      <c r="F13149" s="13"/>
      <c r="M13149" s="13"/>
    </row>
    <row r="13150">
      <c r="F13150" s="13"/>
      <c r="M13150" s="13"/>
    </row>
    <row r="13151">
      <c r="F13151" s="13"/>
      <c r="M13151" s="13"/>
    </row>
    <row r="13152">
      <c r="F13152" s="13"/>
      <c r="M13152" s="13"/>
    </row>
    <row r="13153">
      <c r="F13153" s="13"/>
      <c r="M13153" s="13"/>
    </row>
    <row r="13154">
      <c r="F13154" s="13"/>
      <c r="M13154" s="13"/>
    </row>
    <row r="13155">
      <c r="F13155" s="13"/>
      <c r="M13155" s="13"/>
    </row>
    <row r="13156">
      <c r="F13156" s="13"/>
      <c r="M13156" s="13"/>
    </row>
    <row r="13157">
      <c r="F13157" s="13"/>
      <c r="M13157" s="13"/>
    </row>
    <row r="13158">
      <c r="F13158" s="13"/>
      <c r="M13158" s="13"/>
    </row>
    <row r="13159">
      <c r="F13159" s="13"/>
      <c r="M13159" s="13"/>
    </row>
    <row r="13160">
      <c r="F13160" s="13"/>
      <c r="M13160" s="13"/>
    </row>
    <row r="13161">
      <c r="F13161" s="13"/>
      <c r="M13161" s="13"/>
    </row>
    <row r="13162">
      <c r="F13162" s="13"/>
      <c r="M13162" s="13"/>
    </row>
    <row r="13163">
      <c r="F13163" s="13"/>
      <c r="M13163" s="13"/>
    </row>
    <row r="13164">
      <c r="F13164" s="13"/>
      <c r="M13164" s="13"/>
    </row>
    <row r="13165">
      <c r="F13165" s="13"/>
      <c r="M13165" s="13"/>
    </row>
    <row r="13166">
      <c r="F13166" s="13"/>
      <c r="M13166" s="13"/>
    </row>
    <row r="13167">
      <c r="F13167" s="13"/>
      <c r="M13167" s="13"/>
    </row>
    <row r="13168">
      <c r="F13168" s="13"/>
      <c r="M13168" s="13"/>
    </row>
    <row r="13169">
      <c r="F13169" s="13"/>
      <c r="M13169" s="13"/>
    </row>
    <row r="13170">
      <c r="F13170" s="13"/>
      <c r="M13170" s="13"/>
    </row>
    <row r="13171">
      <c r="F13171" s="13"/>
      <c r="M13171" s="13"/>
    </row>
    <row r="13172">
      <c r="F13172" s="13"/>
      <c r="M13172" s="13"/>
    </row>
    <row r="13173">
      <c r="F13173" s="13"/>
      <c r="M13173" s="13"/>
    </row>
    <row r="13174">
      <c r="F13174" s="13"/>
      <c r="M13174" s="13"/>
    </row>
    <row r="13175">
      <c r="F13175" s="13"/>
      <c r="M13175" s="13"/>
    </row>
    <row r="13176">
      <c r="F13176" s="13"/>
      <c r="M13176" s="13"/>
    </row>
    <row r="13177">
      <c r="F13177" s="13"/>
      <c r="M13177" s="13"/>
    </row>
    <row r="13178">
      <c r="F13178" s="13"/>
      <c r="M13178" s="13"/>
    </row>
    <row r="13179">
      <c r="F13179" s="13"/>
      <c r="M13179" s="13"/>
    </row>
    <row r="13180">
      <c r="F13180" s="13"/>
      <c r="M13180" s="13"/>
    </row>
    <row r="13181">
      <c r="F13181" s="13"/>
      <c r="M13181" s="13"/>
    </row>
    <row r="13182">
      <c r="F13182" s="13"/>
      <c r="M13182" s="13"/>
    </row>
    <row r="13183">
      <c r="F13183" s="13"/>
      <c r="M13183" s="13"/>
    </row>
    <row r="13184">
      <c r="F13184" s="13"/>
      <c r="M13184" s="13"/>
    </row>
    <row r="13185">
      <c r="F13185" s="13"/>
      <c r="M13185" s="13"/>
    </row>
    <row r="13186">
      <c r="F13186" s="13"/>
      <c r="M13186" s="13"/>
    </row>
    <row r="13187">
      <c r="F13187" s="13"/>
      <c r="M13187" s="13"/>
    </row>
    <row r="13188">
      <c r="F13188" s="13"/>
      <c r="M13188" s="13"/>
    </row>
    <row r="13189">
      <c r="F13189" s="13"/>
      <c r="M13189" s="13"/>
    </row>
    <row r="13190">
      <c r="F13190" s="13"/>
      <c r="M13190" s="13"/>
    </row>
    <row r="13191">
      <c r="F13191" s="13"/>
      <c r="M13191" s="13"/>
    </row>
    <row r="13192">
      <c r="F13192" s="13"/>
      <c r="M13192" s="13"/>
    </row>
    <row r="13193">
      <c r="F13193" s="13"/>
      <c r="M13193" s="13"/>
    </row>
    <row r="13194">
      <c r="F13194" s="13"/>
      <c r="M13194" s="13"/>
    </row>
    <row r="13195">
      <c r="F13195" s="13"/>
      <c r="M13195" s="13"/>
    </row>
    <row r="13196">
      <c r="F13196" s="13"/>
      <c r="M13196" s="13"/>
    </row>
    <row r="13197">
      <c r="F13197" s="13"/>
      <c r="M13197" s="13"/>
    </row>
    <row r="13198">
      <c r="F13198" s="13"/>
      <c r="M13198" s="13"/>
    </row>
    <row r="13199">
      <c r="F13199" s="13"/>
      <c r="M13199" s="13"/>
    </row>
    <row r="13200">
      <c r="F13200" s="13"/>
      <c r="M13200" s="13"/>
    </row>
    <row r="13201">
      <c r="F13201" s="13"/>
      <c r="M13201" s="13"/>
    </row>
    <row r="13202">
      <c r="F13202" s="13"/>
      <c r="M13202" s="13"/>
    </row>
    <row r="13203">
      <c r="F13203" s="13"/>
      <c r="M13203" s="13"/>
    </row>
    <row r="13204">
      <c r="F13204" s="13"/>
      <c r="M13204" s="13"/>
    </row>
    <row r="13205">
      <c r="F13205" s="13"/>
      <c r="M13205" s="13"/>
    </row>
    <row r="13206">
      <c r="F13206" s="13"/>
      <c r="M13206" s="13"/>
    </row>
    <row r="13207">
      <c r="F13207" s="13"/>
      <c r="M13207" s="13"/>
    </row>
    <row r="13208">
      <c r="F13208" s="13"/>
      <c r="M13208" s="13"/>
    </row>
    <row r="13209">
      <c r="F13209" s="13"/>
      <c r="M13209" s="13"/>
    </row>
    <row r="13210">
      <c r="F13210" s="13"/>
      <c r="M13210" s="13"/>
    </row>
    <row r="13211">
      <c r="F13211" s="13"/>
      <c r="M13211" s="13"/>
    </row>
    <row r="13212">
      <c r="F13212" s="13"/>
      <c r="M13212" s="13"/>
    </row>
    <row r="13213">
      <c r="F13213" s="13"/>
      <c r="M13213" s="13"/>
    </row>
    <row r="13214">
      <c r="F13214" s="13"/>
      <c r="M13214" s="13"/>
    </row>
    <row r="13215">
      <c r="F13215" s="13"/>
      <c r="M13215" s="13"/>
    </row>
    <row r="13216">
      <c r="F13216" s="13"/>
      <c r="M13216" s="13"/>
    </row>
    <row r="13217">
      <c r="F13217" s="13"/>
      <c r="M13217" s="13"/>
    </row>
    <row r="13218">
      <c r="F13218" s="13"/>
      <c r="M13218" s="13"/>
    </row>
    <row r="13219">
      <c r="F13219" s="13"/>
      <c r="M13219" s="13"/>
    </row>
    <row r="13220">
      <c r="F13220" s="13"/>
      <c r="M13220" s="13"/>
    </row>
    <row r="13221">
      <c r="F13221" s="13"/>
      <c r="M13221" s="13"/>
    </row>
    <row r="13222">
      <c r="F13222" s="13"/>
      <c r="M13222" s="13"/>
    </row>
    <row r="13223">
      <c r="F13223" s="13"/>
      <c r="M13223" s="13"/>
    </row>
    <row r="13224">
      <c r="F13224" s="13"/>
      <c r="M13224" s="13"/>
    </row>
    <row r="13225">
      <c r="F13225" s="13"/>
      <c r="M13225" s="13"/>
    </row>
    <row r="13226">
      <c r="F13226" s="13"/>
      <c r="M13226" s="13"/>
    </row>
    <row r="13227">
      <c r="F13227" s="13"/>
      <c r="M13227" s="13"/>
    </row>
    <row r="13228">
      <c r="F13228" s="13"/>
      <c r="M13228" s="13"/>
    </row>
    <row r="13229">
      <c r="F13229" s="13"/>
      <c r="M13229" s="13"/>
    </row>
    <row r="13230">
      <c r="F13230" s="13"/>
      <c r="M13230" s="13"/>
    </row>
    <row r="13231">
      <c r="F13231" s="13"/>
      <c r="M13231" s="13"/>
    </row>
    <row r="13232">
      <c r="F13232" s="13"/>
      <c r="M13232" s="13"/>
    </row>
    <row r="13233">
      <c r="F13233" s="13"/>
      <c r="M13233" s="13"/>
    </row>
    <row r="13234">
      <c r="F13234" s="13"/>
      <c r="M13234" s="13"/>
    </row>
    <row r="13235">
      <c r="F13235" s="13"/>
      <c r="M13235" s="13"/>
    </row>
    <row r="13236">
      <c r="F13236" s="13"/>
      <c r="M13236" s="13"/>
    </row>
    <row r="13237">
      <c r="F13237" s="13"/>
      <c r="M13237" s="13"/>
    </row>
    <row r="13238">
      <c r="F13238" s="13"/>
      <c r="M13238" s="13"/>
    </row>
    <row r="13239">
      <c r="F13239" s="13"/>
      <c r="M13239" s="13"/>
    </row>
    <row r="13240">
      <c r="F13240" s="13"/>
      <c r="M13240" s="13"/>
    </row>
    <row r="13241">
      <c r="F13241" s="13"/>
      <c r="M13241" s="13"/>
    </row>
    <row r="13242">
      <c r="F13242" s="13"/>
      <c r="M13242" s="13"/>
    </row>
    <row r="13243">
      <c r="F13243" s="13"/>
      <c r="M13243" s="13"/>
    </row>
    <row r="13244">
      <c r="F13244" s="13"/>
      <c r="M13244" s="13"/>
    </row>
    <row r="13245">
      <c r="F13245" s="13"/>
      <c r="M13245" s="13"/>
    </row>
    <row r="13246">
      <c r="F13246" s="13"/>
      <c r="M13246" s="13"/>
    </row>
    <row r="13247">
      <c r="F13247" s="13"/>
      <c r="M13247" s="13"/>
    </row>
    <row r="13248">
      <c r="F13248" s="13"/>
      <c r="M13248" s="13"/>
    </row>
    <row r="13249">
      <c r="F13249" s="13"/>
      <c r="M13249" s="13"/>
    </row>
    <row r="13250">
      <c r="F13250" s="13"/>
      <c r="M13250" s="13"/>
    </row>
    <row r="13251">
      <c r="F13251" s="13"/>
      <c r="M13251" s="13"/>
    </row>
    <row r="13252">
      <c r="F13252" s="13"/>
      <c r="M13252" s="13"/>
    </row>
    <row r="13253">
      <c r="F13253" s="13"/>
      <c r="M13253" s="13"/>
    </row>
    <row r="13254">
      <c r="F13254" s="13"/>
      <c r="M13254" s="13"/>
    </row>
    <row r="13255">
      <c r="F13255" s="13"/>
      <c r="M13255" s="13"/>
    </row>
    <row r="13256">
      <c r="F13256" s="13"/>
      <c r="M13256" s="13"/>
    </row>
    <row r="13257">
      <c r="F13257" s="13"/>
      <c r="M13257" s="13"/>
    </row>
    <row r="13258">
      <c r="F13258" s="13"/>
      <c r="M13258" s="13"/>
    </row>
    <row r="13259">
      <c r="F13259" s="13"/>
      <c r="M13259" s="13"/>
    </row>
    <row r="13260">
      <c r="F13260" s="13"/>
      <c r="M13260" s="13"/>
    </row>
    <row r="13261">
      <c r="F13261" s="13"/>
      <c r="M13261" s="13"/>
    </row>
    <row r="13262">
      <c r="F13262" s="13"/>
      <c r="M13262" s="13"/>
    </row>
    <row r="13263">
      <c r="F13263" s="13"/>
      <c r="M13263" s="13"/>
    </row>
    <row r="13264">
      <c r="F13264" s="13"/>
      <c r="M13264" s="13"/>
    </row>
    <row r="13265">
      <c r="F13265" s="13"/>
      <c r="M13265" s="13"/>
    </row>
    <row r="13266">
      <c r="F13266" s="13"/>
      <c r="M13266" s="13"/>
    </row>
    <row r="13267">
      <c r="F13267" s="13"/>
      <c r="M13267" s="13"/>
    </row>
    <row r="13268">
      <c r="F13268" s="13"/>
      <c r="M13268" s="13"/>
    </row>
    <row r="13269">
      <c r="F13269" s="13"/>
      <c r="M13269" s="13"/>
    </row>
    <row r="13270">
      <c r="F13270" s="13"/>
      <c r="M13270" s="13"/>
    </row>
    <row r="13271">
      <c r="F13271" s="13"/>
      <c r="M13271" s="13"/>
    </row>
    <row r="13272">
      <c r="F13272" s="13"/>
      <c r="M13272" s="13"/>
    </row>
    <row r="13273">
      <c r="F13273" s="13"/>
      <c r="M13273" s="13"/>
    </row>
    <row r="13274">
      <c r="F13274" s="13"/>
      <c r="M13274" s="13"/>
    </row>
    <row r="13275">
      <c r="F13275" s="13"/>
      <c r="M13275" s="13"/>
    </row>
    <row r="13276">
      <c r="F13276" s="13"/>
      <c r="M13276" s="13"/>
    </row>
    <row r="13277">
      <c r="F13277" s="13"/>
      <c r="M13277" s="13"/>
    </row>
    <row r="13278">
      <c r="F13278" s="13"/>
      <c r="M13278" s="13"/>
    </row>
    <row r="13279">
      <c r="F13279" s="13"/>
      <c r="M13279" s="13"/>
    </row>
    <row r="13280">
      <c r="F13280" s="13"/>
      <c r="M13280" s="13"/>
    </row>
    <row r="13281">
      <c r="F13281" s="13"/>
      <c r="M13281" s="13"/>
    </row>
    <row r="13282">
      <c r="F13282" s="13"/>
      <c r="M13282" s="13"/>
    </row>
    <row r="13283">
      <c r="F13283" s="13"/>
      <c r="M13283" s="13"/>
    </row>
    <row r="13284">
      <c r="F13284" s="13"/>
      <c r="M13284" s="13"/>
    </row>
    <row r="13285">
      <c r="F13285" s="13"/>
      <c r="M13285" s="13"/>
    </row>
    <row r="13286">
      <c r="F13286" s="13"/>
      <c r="M13286" s="13"/>
    </row>
    <row r="13287">
      <c r="F13287" s="13"/>
      <c r="M13287" s="13"/>
    </row>
    <row r="13288">
      <c r="F13288" s="13"/>
      <c r="M13288" s="13"/>
    </row>
    <row r="13289">
      <c r="F13289" s="13"/>
      <c r="M13289" s="13"/>
    </row>
    <row r="13290">
      <c r="F13290" s="13"/>
      <c r="M13290" s="13"/>
    </row>
    <row r="13291">
      <c r="F13291" s="13"/>
      <c r="M13291" s="13"/>
    </row>
    <row r="13292">
      <c r="F13292" s="13"/>
      <c r="M13292" s="13"/>
    </row>
    <row r="13293">
      <c r="F13293" s="13"/>
      <c r="M13293" s="13"/>
    </row>
    <row r="13294">
      <c r="F13294" s="13"/>
      <c r="M13294" s="13"/>
    </row>
    <row r="13295">
      <c r="F13295" s="13"/>
      <c r="M13295" s="13"/>
    </row>
    <row r="13296">
      <c r="F13296" s="13"/>
      <c r="M13296" s="13"/>
    </row>
    <row r="13297">
      <c r="F13297" s="13"/>
      <c r="M13297" s="13"/>
    </row>
    <row r="13298">
      <c r="F13298" s="13"/>
      <c r="M13298" s="13"/>
    </row>
    <row r="13299">
      <c r="F13299" s="13"/>
      <c r="M13299" s="13"/>
    </row>
    <row r="13300">
      <c r="F13300" s="13"/>
      <c r="M13300" s="13"/>
    </row>
    <row r="13301">
      <c r="F13301" s="13"/>
      <c r="M13301" s="13"/>
    </row>
    <row r="13302">
      <c r="F13302" s="13"/>
      <c r="M13302" s="13"/>
    </row>
    <row r="13303">
      <c r="F13303" s="13"/>
      <c r="M13303" s="13"/>
    </row>
    <row r="13304">
      <c r="F13304" s="13"/>
      <c r="M13304" s="13"/>
    </row>
    <row r="13305">
      <c r="F13305" s="13"/>
      <c r="M13305" s="13"/>
    </row>
    <row r="13306">
      <c r="F13306" s="13"/>
      <c r="M13306" s="13"/>
    </row>
    <row r="13307">
      <c r="F13307" s="13"/>
      <c r="M13307" s="13"/>
    </row>
    <row r="13308">
      <c r="F13308" s="13"/>
      <c r="M13308" s="13"/>
    </row>
    <row r="13309">
      <c r="F13309" s="13"/>
      <c r="M13309" s="13"/>
    </row>
    <row r="13310">
      <c r="F13310" s="13"/>
      <c r="M13310" s="13"/>
    </row>
    <row r="13311">
      <c r="F13311" s="13"/>
      <c r="M13311" s="13"/>
    </row>
    <row r="13312">
      <c r="F13312" s="13"/>
      <c r="M13312" s="13"/>
    </row>
    <row r="13313">
      <c r="F13313" s="13"/>
      <c r="M13313" s="13"/>
    </row>
    <row r="13314">
      <c r="F13314" s="13"/>
      <c r="M13314" s="13"/>
    </row>
    <row r="13315">
      <c r="F13315" s="13"/>
      <c r="M13315" s="13"/>
    </row>
    <row r="13316">
      <c r="F13316" s="13"/>
      <c r="M13316" s="13"/>
    </row>
    <row r="13317">
      <c r="F13317" s="13"/>
      <c r="M13317" s="13"/>
    </row>
    <row r="13318">
      <c r="F13318" s="13"/>
      <c r="M13318" s="13"/>
    </row>
    <row r="13319">
      <c r="F13319" s="13"/>
      <c r="M13319" s="13"/>
    </row>
    <row r="13320">
      <c r="F13320" s="13"/>
      <c r="M13320" s="13"/>
    </row>
    <row r="13321">
      <c r="F13321" s="13"/>
      <c r="M13321" s="13"/>
    </row>
    <row r="13322">
      <c r="F13322" s="13"/>
      <c r="M13322" s="13"/>
    </row>
    <row r="13323">
      <c r="F13323" s="13"/>
      <c r="M13323" s="13"/>
    </row>
    <row r="13324">
      <c r="F13324" s="13"/>
      <c r="M13324" s="13"/>
    </row>
    <row r="13325">
      <c r="F13325" s="13"/>
      <c r="M13325" s="13"/>
    </row>
    <row r="13326">
      <c r="F13326" s="13"/>
      <c r="M13326" s="13"/>
    </row>
    <row r="13327">
      <c r="F13327" s="13"/>
      <c r="M13327" s="13"/>
    </row>
    <row r="13328">
      <c r="F13328" s="13"/>
      <c r="M13328" s="13"/>
    </row>
    <row r="13329">
      <c r="F13329" s="13"/>
      <c r="M13329" s="13"/>
    </row>
    <row r="13330">
      <c r="F13330" s="13"/>
      <c r="M13330" s="13"/>
    </row>
    <row r="13331">
      <c r="F13331" s="13"/>
      <c r="M13331" s="13"/>
    </row>
    <row r="13332">
      <c r="F13332" s="13"/>
      <c r="M13332" s="13"/>
    </row>
    <row r="13333">
      <c r="F13333" s="13"/>
      <c r="M13333" s="13"/>
    </row>
    <row r="13334">
      <c r="F13334" s="13"/>
      <c r="M13334" s="13"/>
    </row>
    <row r="13335">
      <c r="F13335" s="13"/>
      <c r="M13335" s="13"/>
    </row>
    <row r="13336">
      <c r="F13336" s="13"/>
      <c r="M13336" s="13"/>
    </row>
    <row r="13337">
      <c r="F13337" s="13"/>
      <c r="M13337" s="13"/>
    </row>
    <row r="13338">
      <c r="F13338" s="13"/>
      <c r="M13338" s="13"/>
    </row>
    <row r="13339">
      <c r="F13339" s="13"/>
      <c r="M13339" s="13"/>
    </row>
    <row r="13340">
      <c r="F13340" s="13"/>
      <c r="M13340" s="13"/>
    </row>
    <row r="13341">
      <c r="F13341" s="13"/>
      <c r="M13341" s="13"/>
    </row>
    <row r="13342">
      <c r="F13342" s="13"/>
      <c r="M13342" s="13"/>
    </row>
    <row r="13343">
      <c r="F13343" s="13"/>
      <c r="M13343" s="13"/>
    </row>
    <row r="13344">
      <c r="F13344" s="13"/>
      <c r="M13344" s="13"/>
    </row>
    <row r="13345">
      <c r="F13345" s="13"/>
      <c r="M13345" s="13"/>
    </row>
    <row r="13346">
      <c r="F13346" s="13"/>
      <c r="M13346" s="13"/>
    </row>
    <row r="13347">
      <c r="F13347" s="13"/>
      <c r="M13347" s="13"/>
    </row>
    <row r="13348">
      <c r="F13348" s="13"/>
      <c r="M13348" s="13"/>
    </row>
    <row r="13349">
      <c r="F13349" s="13"/>
      <c r="M13349" s="13"/>
    </row>
    <row r="13350">
      <c r="F13350" s="13"/>
      <c r="M13350" s="13"/>
    </row>
    <row r="13351">
      <c r="F13351" s="13"/>
      <c r="M13351" s="13"/>
    </row>
    <row r="13352">
      <c r="F13352" s="13"/>
      <c r="M13352" s="13"/>
    </row>
    <row r="13353">
      <c r="F13353" s="13"/>
      <c r="M13353" s="13"/>
    </row>
    <row r="13354">
      <c r="F13354" s="13"/>
      <c r="M13354" s="13"/>
    </row>
    <row r="13355">
      <c r="F13355" s="13"/>
      <c r="M13355" s="13"/>
    </row>
    <row r="13356">
      <c r="F13356" s="13"/>
      <c r="M13356" s="13"/>
    </row>
    <row r="13357">
      <c r="F13357" s="13"/>
      <c r="M13357" s="13"/>
    </row>
    <row r="13358">
      <c r="F13358" s="13"/>
      <c r="M13358" s="13"/>
    </row>
    <row r="13359">
      <c r="F13359" s="13"/>
      <c r="M13359" s="13"/>
    </row>
    <row r="13360">
      <c r="F13360" s="13"/>
      <c r="M13360" s="13"/>
    </row>
    <row r="13361">
      <c r="F13361" s="13"/>
      <c r="M13361" s="13"/>
    </row>
    <row r="13362">
      <c r="F13362" s="13"/>
      <c r="M13362" s="13"/>
    </row>
    <row r="13363">
      <c r="F13363" s="13"/>
      <c r="M13363" s="13"/>
    </row>
    <row r="13364">
      <c r="F13364" s="13"/>
      <c r="M13364" s="13"/>
    </row>
    <row r="13365">
      <c r="F13365" s="13"/>
      <c r="M13365" s="13"/>
    </row>
    <row r="13366">
      <c r="F13366" s="13"/>
      <c r="M13366" s="13"/>
    </row>
    <row r="13367">
      <c r="F13367" s="13"/>
      <c r="M13367" s="13"/>
    </row>
    <row r="13368">
      <c r="F13368" s="13"/>
      <c r="M13368" s="13"/>
    </row>
    <row r="13369">
      <c r="F13369" s="13"/>
      <c r="M13369" s="13"/>
    </row>
    <row r="13370">
      <c r="F13370" s="13"/>
      <c r="M13370" s="13"/>
    </row>
    <row r="13371">
      <c r="F13371" s="13"/>
      <c r="M13371" s="13"/>
    </row>
    <row r="13372">
      <c r="F13372" s="13"/>
      <c r="M13372" s="13"/>
    </row>
    <row r="13373">
      <c r="F13373" s="13"/>
      <c r="M13373" s="13"/>
    </row>
    <row r="13374">
      <c r="F13374" s="13"/>
      <c r="M13374" s="13"/>
    </row>
    <row r="13375">
      <c r="F13375" s="13"/>
      <c r="M13375" s="13"/>
    </row>
    <row r="13376">
      <c r="F13376" s="13"/>
      <c r="M13376" s="13"/>
    </row>
    <row r="13377">
      <c r="F13377" s="13"/>
      <c r="M13377" s="13"/>
    </row>
    <row r="13378">
      <c r="F13378" s="13"/>
      <c r="M13378" s="13"/>
    </row>
    <row r="13379">
      <c r="F13379" s="13"/>
      <c r="M13379" s="13"/>
    </row>
    <row r="13380">
      <c r="F13380" s="13"/>
      <c r="M13380" s="13"/>
    </row>
    <row r="13381">
      <c r="F13381" s="13"/>
      <c r="M13381" s="13"/>
    </row>
    <row r="13382">
      <c r="F13382" s="13"/>
      <c r="M13382" s="13"/>
    </row>
    <row r="13383">
      <c r="F13383" s="13"/>
      <c r="M13383" s="13"/>
    </row>
    <row r="13384">
      <c r="F13384" s="13"/>
      <c r="M13384" s="13"/>
    </row>
    <row r="13385">
      <c r="F13385" s="13"/>
      <c r="M13385" s="13"/>
    </row>
    <row r="13386">
      <c r="F13386" s="13"/>
      <c r="M13386" s="13"/>
    </row>
    <row r="13387">
      <c r="F13387" s="13"/>
      <c r="M13387" s="13"/>
    </row>
    <row r="13388">
      <c r="F13388" s="13"/>
      <c r="M13388" s="13"/>
    </row>
    <row r="13389">
      <c r="F13389" s="13"/>
      <c r="M13389" s="13"/>
    </row>
    <row r="13390">
      <c r="F13390" s="13"/>
      <c r="M13390" s="13"/>
    </row>
    <row r="13391">
      <c r="F13391" s="13"/>
      <c r="M13391" s="13"/>
    </row>
    <row r="13392">
      <c r="F13392" s="13"/>
      <c r="M13392" s="13"/>
    </row>
    <row r="13393">
      <c r="F13393" s="13"/>
      <c r="M13393" s="13"/>
    </row>
    <row r="13394">
      <c r="F13394" s="13"/>
      <c r="M13394" s="13"/>
    </row>
    <row r="13395">
      <c r="F13395" s="13"/>
      <c r="M13395" s="13"/>
    </row>
    <row r="13396">
      <c r="F13396" s="13"/>
      <c r="M13396" s="13"/>
    </row>
    <row r="13397">
      <c r="F13397" s="13"/>
      <c r="M13397" s="13"/>
    </row>
    <row r="13398">
      <c r="F13398" s="13"/>
      <c r="M13398" s="13"/>
    </row>
    <row r="13399">
      <c r="F13399" s="13"/>
      <c r="M13399" s="13"/>
    </row>
    <row r="13400">
      <c r="F13400" s="13"/>
      <c r="M13400" s="13"/>
    </row>
    <row r="13401">
      <c r="F13401" s="13"/>
      <c r="M13401" s="13"/>
    </row>
    <row r="13402">
      <c r="F13402" s="13"/>
      <c r="M13402" s="13"/>
    </row>
    <row r="13403">
      <c r="F13403" s="13"/>
      <c r="M13403" s="13"/>
    </row>
    <row r="13404">
      <c r="F13404" s="13"/>
      <c r="M13404" s="13"/>
    </row>
    <row r="13405">
      <c r="F13405" s="13"/>
      <c r="M13405" s="13"/>
    </row>
    <row r="13406">
      <c r="F13406" s="13"/>
      <c r="M13406" s="13"/>
    </row>
    <row r="13407">
      <c r="F13407" s="13"/>
      <c r="M13407" s="13"/>
    </row>
    <row r="13408">
      <c r="F13408" s="13"/>
      <c r="M13408" s="13"/>
    </row>
    <row r="13409">
      <c r="F13409" s="13"/>
      <c r="M13409" s="13"/>
    </row>
    <row r="13410">
      <c r="F13410" s="13"/>
      <c r="M13410" s="13"/>
    </row>
    <row r="13411">
      <c r="F13411" s="13"/>
      <c r="M13411" s="13"/>
    </row>
    <row r="13412">
      <c r="F13412" s="13"/>
      <c r="M13412" s="13"/>
    </row>
    <row r="13413">
      <c r="F13413" s="13"/>
      <c r="M13413" s="13"/>
    </row>
    <row r="13414">
      <c r="F13414" s="13"/>
      <c r="M13414" s="13"/>
    </row>
    <row r="13415">
      <c r="F13415" s="13"/>
      <c r="M13415" s="13"/>
    </row>
    <row r="13416">
      <c r="F13416" s="13"/>
      <c r="M13416" s="13"/>
    </row>
    <row r="13417">
      <c r="F13417" s="13"/>
      <c r="M13417" s="13"/>
    </row>
    <row r="13418">
      <c r="F13418" s="13"/>
      <c r="M13418" s="13"/>
    </row>
    <row r="13419">
      <c r="F13419" s="13"/>
      <c r="M13419" s="13"/>
    </row>
    <row r="13420">
      <c r="F13420" s="13"/>
      <c r="M13420" s="13"/>
    </row>
    <row r="13421">
      <c r="F13421" s="13"/>
      <c r="M13421" s="13"/>
    </row>
    <row r="13422">
      <c r="F13422" s="13"/>
      <c r="M13422" s="13"/>
    </row>
    <row r="13423">
      <c r="F13423" s="13"/>
      <c r="M13423" s="13"/>
    </row>
    <row r="13424">
      <c r="F13424" s="13"/>
      <c r="M13424" s="13"/>
    </row>
    <row r="13425">
      <c r="F13425" s="13"/>
      <c r="M13425" s="13"/>
    </row>
    <row r="13426">
      <c r="F13426" s="13"/>
      <c r="M13426" s="13"/>
    </row>
    <row r="13427">
      <c r="F13427" s="13"/>
      <c r="M13427" s="13"/>
    </row>
    <row r="13428">
      <c r="F13428" s="13"/>
      <c r="M13428" s="13"/>
    </row>
    <row r="13429">
      <c r="F13429" s="13"/>
      <c r="M13429" s="13"/>
    </row>
    <row r="13430">
      <c r="F13430" s="13"/>
      <c r="M13430" s="13"/>
    </row>
    <row r="13431">
      <c r="F13431" s="13"/>
      <c r="M13431" s="13"/>
    </row>
    <row r="13432">
      <c r="F13432" s="13"/>
      <c r="M13432" s="13"/>
    </row>
    <row r="13433">
      <c r="F13433" s="13"/>
      <c r="M13433" s="13"/>
    </row>
    <row r="13434">
      <c r="F13434" s="13"/>
      <c r="M13434" s="13"/>
    </row>
    <row r="13435">
      <c r="F13435" s="13"/>
      <c r="M13435" s="13"/>
    </row>
    <row r="13436">
      <c r="F13436" s="13"/>
      <c r="M13436" s="13"/>
    </row>
    <row r="13437">
      <c r="F13437" s="13"/>
      <c r="M13437" s="13"/>
    </row>
    <row r="13438">
      <c r="F13438" s="13"/>
      <c r="M13438" s="13"/>
    </row>
    <row r="13439">
      <c r="F13439" s="13"/>
      <c r="M13439" s="13"/>
    </row>
    <row r="13440">
      <c r="F13440" s="13"/>
      <c r="M13440" s="13"/>
    </row>
    <row r="13441">
      <c r="F13441" s="13"/>
      <c r="M13441" s="13"/>
    </row>
    <row r="13442">
      <c r="F13442" s="13"/>
      <c r="M13442" s="13"/>
    </row>
    <row r="13443">
      <c r="F13443" s="13"/>
      <c r="M13443" s="13"/>
    </row>
    <row r="13444">
      <c r="F13444" s="13"/>
      <c r="M13444" s="13"/>
    </row>
    <row r="13445">
      <c r="F13445" s="13"/>
      <c r="M13445" s="13"/>
    </row>
    <row r="13446">
      <c r="F13446" s="13"/>
      <c r="M13446" s="13"/>
    </row>
    <row r="13447">
      <c r="F13447" s="13"/>
      <c r="M13447" s="13"/>
    </row>
    <row r="13448">
      <c r="F13448" s="13"/>
      <c r="M13448" s="13"/>
    </row>
    <row r="13449">
      <c r="F13449" s="13"/>
      <c r="M13449" s="13"/>
    </row>
    <row r="13450">
      <c r="F13450" s="13"/>
      <c r="M13450" s="13"/>
    </row>
    <row r="13451">
      <c r="F13451" s="13"/>
      <c r="M13451" s="13"/>
    </row>
    <row r="13452">
      <c r="F13452" s="13"/>
      <c r="M13452" s="13"/>
    </row>
    <row r="13453">
      <c r="F13453" s="13"/>
      <c r="M13453" s="13"/>
    </row>
    <row r="13454">
      <c r="F13454" s="13"/>
      <c r="M13454" s="13"/>
    </row>
    <row r="13455">
      <c r="F13455" s="13"/>
      <c r="M13455" s="13"/>
    </row>
    <row r="13456">
      <c r="F13456" s="13"/>
      <c r="M13456" s="13"/>
    </row>
    <row r="13457">
      <c r="F13457" s="13"/>
      <c r="M13457" s="13"/>
    </row>
    <row r="13458">
      <c r="F13458" s="13"/>
      <c r="M13458" s="13"/>
    </row>
    <row r="13459">
      <c r="F13459" s="13"/>
      <c r="M13459" s="13"/>
    </row>
    <row r="13460">
      <c r="F13460" s="13"/>
      <c r="M13460" s="13"/>
    </row>
    <row r="13461">
      <c r="F13461" s="13"/>
      <c r="M13461" s="13"/>
    </row>
    <row r="13462">
      <c r="F13462" s="13"/>
      <c r="M13462" s="13"/>
    </row>
    <row r="13463">
      <c r="F13463" s="13"/>
      <c r="M13463" s="13"/>
    </row>
    <row r="13464">
      <c r="F13464" s="13"/>
      <c r="M13464" s="13"/>
    </row>
    <row r="13465">
      <c r="F13465" s="13"/>
      <c r="M13465" s="13"/>
    </row>
    <row r="13466">
      <c r="F13466" s="13"/>
      <c r="M13466" s="13"/>
    </row>
    <row r="13467">
      <c r="F13467" s="13"/>
      <c r="M13467" s="13"/>
    </row>
    <row r="13468">
      <c r="F13468" s="13"/>
      <c r="M13468" s="13"/>
    </row>
    <row r="13469">
      <c r="F13469" s="13"/>
      <c r="M13469" s="13"/>
    </row>
    <row r="13470">
      <c r="F13470" s="13"/>
      <c r="M13470" s="13"/>
    </row>
    <row r="13471">
      <c r="F13471" s="13"/>
      <c r="M13471" s="13"/>
    </row>
    <row r="13472">
      <c r="F13472" s="13"/>
      <c r="M13472" s="13"/>
    </row>
    <row r="13473">
      <c r="F13473" s="13"/>
      <c r="M13473" s="13"/>
    </row>
    <row r="13474">
      <c r="F13474" s="13"/>
      <c r="M13474" s="13"/>
    </row>
    <row r="13475">
      <c r="F13475" s="13"/>
      <c r="M13475" s="13"/>
    </row>
    <row r="13476">
      <c r="F13476" s="13"/>
      <c r="M13476" s="13"/>
    </row>
    <row r="13477">
      <c r="F13477" s="13"/>
      <c r="M13477" s="13"/>
    </row>
    <row r="13478">
      <c r="F13478" s="13"/>
      <c r="M13478" s="13"/>
    </row>
    <row r="13479">
      <c r="F13479" s="13"/>
      <c r="M13479" s="13"/>
    </row>
    <row r="13480">
      <c r="F13480" s="13"/>
      <c r="M13480" s="13"/>
    </row>
    <row r="13481">
      <c r="F13481" s="13"/>
      <c r="M13481" s="13"/>
    </row>
    <row r="13482">
      <c r="F13482" s="13"/>
      <c r="M13482" s="13"/>
    </row>
    <row r="13483">
      <c r="F13483" s="13"/>
      <c r="M13483" s="13"/>
    </row>
    <row r="13484">
      <c r="F13484" s="13"/>
      <c r="M13484" s="13"/>
    </row>
    <row r="13485">
      <c r="F13485" s="13"/>
      <c r="M13485" s="13"/>
    </row>
    <row r="13486">
      <c r="F13486" s="13"/>
      <c r="M13486" s="13"/>
    </row>
    <row r="13487">
      <c r="F13487" s="13"/>
      <c r="M13487" s="13"/>
    </row>
    <row r="13488">
      <c r="F13488" s="13"/>
      <c r="M13488" s="13"/>
    </row>
    <row r="13489">
      <c r="F13489" s="13"/>
      <c r="M13489" s="13"/>
    </row>
    <row r="13490">
      <c r="F13490" s="13"/>
      <c r="M13490" s="13"/>
    </row>
    <row r="13491">
      <c r="F13491" s="13"/>
      <c r="M13491" s="13"/>
    </row>
    <row r="13492">
      <c r="F13492" s="13"/>
      <c r="M13492" s="13"/>
    </row>
    <row r="13493">
      <c r="F13493" s="13"/>
      <c r="M13493" s="13"/>
    </row>
    <row r="13494">
      <c r="F13494" s="13"/>
      <c r="M13494" s="13"/>
    </row>
    <row r="13495">
      <c r="F13495" s="13"/>
      <c r="M13495" s="13"/>
    </row>
    <row r="13496">
      <c r="F13496" s="13"/>
      <c r="M13496" s="13"/>
    </row>
    <row r="13497">
      <c r="F13497" s="13"/>
      <c r="M13497" s="13"/>
    </row>
    <row r="13498">
      <c r="F13498" s="13"/>
      <c r="M13498" s="13"/>
    </row>
    <row r="13499">
      <c r="F13499" s="13"/>
      <c r="M13499" s="13"/>
    </row>
    <row r="13500">
      <c r="F13500" s="13"/>
      <c r="M13500" s="13"/>
    </row>
    <row r="13501">
      <c r="F13501" s="13"/>
      <c r="M13501" s="13"/>
    </row>
    <row r="13502">
      <c r="F13502" s="13"/>
      <c r="M13502" s="13"/>
    </row>
    <row r="13503">
      <c r="F13503" s="13"/>
      <c r="M13503" s="13"/>
    </row>
    <row r="13504">
      <c r="F13504" s="13"/>
      <c r="M13504" s="13"/>
    </row>
    <row r="13505">
      <c r="F13505" s="13"/>
      <c r="M13505" s="13"/>
    </row>
    <row r="13506">
      <c r="F13506" s="13"/>
      <c r="M13506" s="13"/>
    </row>
    <row r="13507">
      <c r="F13507" s="13"/>
      <c r="M13507" s="13"/>
    </row>
    <row r="13508">
      <c r="F13508" s="13"/>
      <c r="M13508" s="13"/>
    </row>
    <row r="13509">
      <c r="F13509" s="13"/>
      <c r="M13509" s="13"/>
    </row>
    <row r="13510">
      <c r="F13510" s="13"/>
      <c r="M13510" s="13"/>
    </row>
    <row r="13511">
      <c r="F13511" s="13"/>
      <c r="M13511" s="13"/>
    </row>
    <row r="13512">
      <c r="F13512" s="13"/>
      <c r="M13512" s="13"/>
    </row>
    <row r="13513">
      <c r="F13513" s="13"/>
      <c r="M13513" s="13"/>
    </row>
    <row r="13514">
      <c r="F13514" s="13"/>
      <c r="M13514" s="13"/>
    </row>
    <row r="13515">
      <c r="F13515" s="13"/>
      <c r="M13515" s="13"/>
    </row>
    <row r="13516">
      <c r="F13516" s="13"/>
      <c r="M13516" s="13"/>
    </row>
    <row r="13517">
      <c r="F13517" s="13"/>
      <c r="M13517" s="13"/>
    </row>
    <row r="13518">
      <c r="F13518" s="13"/>
      <c r="M13518" s="13"/>
    </row>
    <row r="13519">
      <c r="F13519" s="13"/>
      <c r="M13519" s="13"/>
    </row>
    <row r="13520">
      <c r="F13520" s="13"/>
      <c r="M13520" s="13"/>
    </row>
    <row r="13521">
      <c r="F13521" s="13"/>
      <c r="M13521" s="13"/>
    </row>
    <row r="13522">
      <c r="F13522" s="13"/>
      <c r="M13522" s="13"/>
    </row>
    <row r="13523">
      <c r="F13523" s="13"/>
      <c r="M13523" s="13"/>
    </row>
    <row r="13524">
      <c r="F13524" s="13"/>
      <c r="M13524" s="13"/>
    </row>
    <row r="13525">
      <c r="F13525" s="13"/>
      <c r="M13525" s="13"/>
    </row>
    <row r="13526">
      <c r="F13526" s="13"/>
      <c r="M13526" s="13"/>
    </row>
    <row r="13527">
      <c r="F13527" s="13"/>
      <c r="M13527" s="13"/>
    </row>
    <row r="13528">
      <c r="F13528" s="13"/>
      <c r="M13528" s="13"/>
    </row>
    <row r="13529">
      <c r="F13529" s="13"/>
      <c r="M13529" s="13"/>
    </row>
    <row r="13530">
      <c r="F13530" s="13"/>
      <c r="M13530" s="13"/>
    </row>
    <row r="13531">
      <c r="F13531" s="13"/>
      <c r="M13531" s="13"/>
    </row>
    <row r="13532">
      <c r="F13532" s="13"/>
      <c r="M13532" s="13"/>
    </row>
    <row r="13533">
      <c r="F13533" s="13"/>
      <c r="M13533" s="13"/>
    </row>
    <row r="13534">
      <c r="F13534" s="13"/>
      <c r="M13534" s="13"/>
    </row>
    <row r="13535">
      <c r="F13535" s="13"/>
      <c r="M13535" s="13"/>
    </row>
    <row r="13536">
      <c r="F13536" s="13"/>
      <c r="M13536" s="13"/>
    </row>
    <row r="13537">
      <c r="F13537" s="13"/>
      <c r="M13537" s="13"/>
    </row>
    <row r="13538">
      <c r="F13538" s="13"/>
      <c r="M13538" s="13"/>
    </row>
    <row r="13539">
      <c r="F13539" s="13"/>
      <c r="M13539" s="13"/>
    </row>
    <row r="13540">
      <c r="F13540" s="13"/>
      <c r="M13540" s="13"/>
    </row>
    <row r="13541">
      <c r="F13541" s="13"/>
      <c r="M13541" s="13"/>
    </row>
    <row r="13542">
      <c r="F13542" s="13"/>
      <c r="M13542" s="13"/>
    </row>
    <row r="13543">
      <c r="F13543" s="13"/>
      <c r="M13543" s="13"/>
    </row>
    <row r="13544">
      <c r="F13544" s="13"/>
      <c r="M13544" s="13"/>
    </row>
    <row r="13545">
      <c r="F13545" s="13"/>
      <c r="M13545" s="13"/>
    </row>
    <row r="13546">
      <c r="F13546" s="13"/>
      <c r="M13546" s="13"/>
    </row>
    <row r="13547">
      <c r="F13547" s="13"/>
      <c r="M13547" s="13"/>
    </row>
    <row r="13548">
      <c r="F13548" s="13"/>
      <c r="M13548" s="13"/>
    </row>
    <row r="13549">
      <c r="F13549" s="13"/>
      <c r="M13549" s="13"/>
    </row>
    <row r="13550">
      <c r="F13550" s="13"/>
      <c r="M13550" s="13"/>
    </row>
    <row r="13551">
      <c r="F13551" s="13"/>
      <c r="M13551" s="13"/>
    </row>
    <row r="13552">
      <c r="F13552" s="13"/>
      <c r="M13552" s="13"/>
    </row>
    <row r="13553">
      <c r="F13553" s="13"/>
      <c r="M13553" s="13"/>
    </row>
    <row r="13554">
      <c r="F13554" s="13"/>
      <c r="M13554" s="13"/>
    </row>
    <row r="13555">
      <c r="F13555" s="13"/>
      <c r="M13555" s="13"/>
    </row>
    <row r="13556">
      <c r="F13556" s="13"/>
      <c r="M13556" s="13"/>
    </row>
    <row r="13557">
      <c r="F13557" s="13"/>
      <c r="M13557" s="13"/>
    </row>
    <row r="13558">
      <c r="F13558" s="13"/>
      <c r="M13558" s="13"/>
    </row>
    <row r="13559">
      <c r="F13559" s="13"/>
      <c r="M13559" s="13"/>
    </row>
    <row r="13560">
      <c r="F13560" s="13"/>
      <c r="M13560" s="13"/>
    </row>
    <row r="13561">
      <c r="F13561" s="13"/>
      <c r="M13561" s="13"/>
    </row>
    <row r="13562">
      <c r="F13562" s="13"/>
      <c r="M13562" s="13"/>
    </row>
    <row r="13563">
      <c r="F13563" s="13"/>
      <c r="M13563" s="13"/>
    </row>
    <row r="13564">
      <c r="F13564" s="13"/>
      <c r="M13564" s="13"/>
    </row>
    <row r="13565">
      <c r="F13565" s="13"/>
      <c r="M13565" s="13"/>
    </row>
    <row r="13566">
      <c r="F13566" s="13"/>
      <c r="M13566" s="13"/>
    </row>
    <row r="13567">
      <c r="F13567" s="13"/>
      <c r="M13567" s="13"/>
    </row>
    <row r="13568">
      <c r="F13568" s="13"/>
      <c r="M13568" s="13"/>
    </row>
    <row r="13569">
      <c r="F13569" s="13"/>
      <c r="M13569" s="13"/>
    </row>
    <row r="13570">
      <c r="F13570" s="13"/>
      <c r="M13570" s="13"/>
    </row>
    <row r="13571">
      <c r="F13571" s="13"/>
      <c r="M13571" s="13"/>
    </row>
    <row r="13572">
      <c r="F13572" s="13"/>
      <c r="M13572" s="13"/>
    </row>
    <row r="13573">
      <c r="F13573" s="13"/>
      <c r="M13573" s="13"/>
    </row>
    <row r="13574">
      <c r="F13574" s="13"/>
      <c r="M13574" s="13"/>
    </row>
    <row r="13575">
      <c r="F13575" s="13"/>
      <c r="M13575" s="13"/>
    </row>
    <row r="13576">
      <c r="F13576" s="13"/>
      <c r="M13576" s="13"/>
    </row>
    <row r="13577">
      <c r="F13577" s="13"/>
      <c r="M13577" s="13"/>
    </row>
    <row r="13578">
      <c r="F13578" s="13"/>
      <c r="M13578" s="13"/>
    </row>
    <row r="13579">
      <c r="F13579" s="13"/>
      <c r="M13579" s="13"/>
    </row>
    <row r="13580">
      <c r="F13580" s="13"/>
      <c r="M13580" s="13"/>
    </row>
    <row r="13581">
      <c r="F13581" s="13"/>
      <c r="M13581" s="13"/>
    </row>
    <row r="13582">
      <c r="F13582" s="13"/>
      <c r="M13582" s="13"/>
    </row>
    <row r="13583">
      <c r="F13583" s="13"/>
      <c r="M13583" s="13"/>
    </row>
    <row r="13584">
      <c r="F13584" s="13"/>
      <c r="M13584" s="13"/>
    </row>
    <row r="13585">
      <c r="F13585" s="13"/>
      <c r="M13585" s="13"/>
    </row>
    <row r="13586">
      <c r="F13586" s="13"/>
      <c r="M13586" s="13"/>
    </row>
    <row r="13587">
      <c r="F13587" s="13"/>
      <c r="M13587" s="13"/>
    </row>
    <row r="13588">
      <c r="F13588" s="13"/>
      <c r="M13588" s="13"/>
    </row>
    <row r="13589">
      <c r="F13589" s="13"/>
      <c r="M13589" s="13"/>
    </row>
    <row r="13590">
      <c r="F13590" s="13"/>
      <c r="M13590" s="13"/>
    </row>
    <row r="13591">
      <c r="F13591" s="13"/>
      <c r="M13591" s="13"/>
    </row>
    <row r="13592">
      <c r="F13592" s="13"/>
      <c r="M13592" s="13"/>
    </row>
    <row r="13593">
      <c r="F13593" s="13"/>
      <c r="M13593" s="13"/>
    </row>
    <row r="13594">
      <c r="F13594" s="13"/>
      <c r="M13594" s="13"/>
    </row>
    <row r="13595">
      <c r="F13595" s="13"/>
      <c r="M13595" s="13"/>
    </row>
    <row r="13596">
      <c r="F13596" s="13"/>
      <c r="M13596" s="13"/>
    </row>
    <row r="13597">
      <c r="F13597" s="13"/>
      <c r="M13597" s="13"/>
    </row>
    <row r="13598">
      <c r="F13598" s="13"/>
      <c r="M13598" s="13"/>
    </row>
    <row r="13599">
      <c r="F13599" s="13"/>
      <c r="M13599" s="13"/>
    </row>
    <row r="13600">
      <c r="F13600" s="13"/>
      <c r="M13600" s="13"/>
    </row>
    <row r="13601">
      <c r="F13601" s="13"/>
      <c r="M13601" s="13"/>
    </row>
    <row r="13602">
      <c r="F13602" s="13"/>
      <c r="M13602" s="13"/>
    </row>
    <row r="13603">
      <c r="F13603" s="13"/>
      <c r="M13603" s="13"/>
    </row>
    <row r="13604">
      <c r="F13604" s="13"/>
      <c r="M13604" s="13"/>
    </row>
    <row r="13605">
      <c r="F13605" s="13"/>
      <c r="M13605" s="13"/>
    </row>
    <row r="13606">
      <c r="F13606" s="13"/>
      <c r="M13606" s="13"/>
    </row>
    <row r="13607">
      <c r="F13607" s="13"/>
      <c r="M13607" s="13"/>
    </row>
    <row r="13608">
      <c r="F13608" s="13"/>
      <c r="M13608" s="13"/>
    </row>
    <row r="13609">
      <c r="F13609" s="13"/>
      <c r="M13609" s="13"/>
    </row>
    <row r="13610">
      <c r="F13610" s="13"/>
      <c r="M13610" s="13"/>
    </row>
    <row r="13611">
      <c r="F13611" s="13"/>
      <c r="M13611" s="13"/>
    </row>
    <row r="13612">
      <c r="F13612" s="13"/>
      <c r="M13612" s="13"/>
    </row>
    <row r="13613">
      <c r="F13613" s="13"/>
      <c r="M13613" s="13"/>
    </row>
    <row r="13614">
      <c r="F13614" s="13"/>
      <c r="M13614" s="13"/>
    </row>
    <row r="13615">
      <c r="F13615" s="13"/>
      <c r="M13615" s="13"/>
    </row>
    <row r="13616">
      <c r="F13616" s="13"/>
      <c r="M13616" s="13"/>
    </row>
    <row r="13617">
      <c r="F13617" s="13"/>
      <c r="M13617" s="13"/>
    </row>
    <row r="13618">
      <c r="F13618" s="13"/>
      <c r="M13618" s="13"/>
    </row>
    <row r="13619">
      <c r="F13619" s="13"/>
      <c r="M13619" s="13"/>
    </row>
    <row r="13620">
      <c r="F13620" s="13"/>
      <c r="M13620" s="13"/>
    </row>
    <row r="13621">
      <c r="F13621" s="13"/>
      <c r="M13621" s="13"/>
    </row>
    <row r="13622">
      <c r="F13622" s="13"/>
      <c r="M13622" s="13"/>
    </row>
    <row r="13623">
      <c r="F13623" s="13"/>
      <c r="M13623" s="13"/>
    </row>
    <row r="13624">
      <c r="F13624" s="13"/>
      <c r="M13624" s="13"/>
    </row>
    <row r="13625">
      <c r="F13625" s="13"/>
      <c r="M13625" s="13"/>
    </row>
    <row r="13626">
      <c r="F13626" s="13"/>
      <c r="M13626" s="13"/>
    </row>
    <row r="13627">
      <c r="F13627" s="13"/>
      <c r="M13627" s="13"/>
    </row>
    <row r="13628">
      <c r="F13628" s="13"/>
      <c r="M13628" s="13"/>
    </row>
    <row r="13629">
      <c r="F13629" s="13"/>
      <c r="M13629" s="13"/>
    </row>
    <row r="13630">
      <c r="F13630" s="13"/>
      <c r="M13630" s="13"/>
    </row>
    <row r="13631">
      <c r="F13631" s="13"/>
      <c r="M13631" s="13"/>
    </row>
    <row r="13632">
      <c r="F13632" s="13"/>
      <c r="M13632" s="13"/>
    </row>
    <row r="13633">
      <c r="F13633" s="13"/>
      <c r="M13633" s="13"/>
    </row>
    <row r="13634">
      <c r="F13634" s="13"/>
      <c r="M13634" s="13"/>
    </row>
    <row r="13635">
      <c r="F13635" s="13"/>
      <c r="M13635" s="13"/>
    </row>
    <row r="13636">
      <c r="F13636" s="13"/>
      <c r="M13636" s="13"/>
    </row>
    <row r="13637">
      <c r="F13637" s="13"/>
      <c r="M13637" s="13"/>
    </row>
    <row r="13638">
      <c r="F13638" s="13"/>
      <c r="M13638" s="13"/>
    </row>
    <row r="13639">
      <c r="F13639" s="13"/>
      <c r="M13639" s="13"/>
    </row>
    <row r="13640">
      <c r="F13640" s="13"/>
      <c r="M13640" s="13"/>
    </row>
    <row r="13641">
      <c r="F13641" s="13"/>
      <c r="M13641" s="13"/>
    </row>
    <row r="13642">
      <c r="F13642" s="13"/>
      <c r="M13642" s="13"/>
    </row>
    <row r="13643">
      <c r="F13643" s="13"/>
      <c r="M13643" s="13"/>
    </row>
    <row r="13644">
      <c r="F13644" s="13"/>
      <c r="M13644" s="13"/>
    </row>
    <row r="13645">
      <c r="F13645" s="13"/>
      <c r="M13645" s="13"/>
    </row>
    <row r="13646">
      <c r="F13646" s="13"/>
      <c r="M13646" s="13"/>
    </row>
    <row r="13647">
      <c r="F13647" s="13"/>
      <c r="M13647" s="13"/>
    </row>
    <row r="13648">
      <c r="F13648" s="13"/>
      <c r="M13648" s="13"/>
    </row>
    <row r="13649">
      <c r="F13649" s="13"/>
      <c r="M13649" s="13"/>
    </row>
    <row r="13650">
      <c r="F13650" s="13"/>
      <c r="M13650" s="13"/>
    </row>
    <row r="13651">
      <c r="F13651" s="13"/>
      <c r="M13651" s="13"/>
    </row>
    <row r="13652">
      <c r="F13652" s="13"/>
      <c r="M13652" s="13"/>
    </row>
    <row r="13653">
      <c r="F13653" s="13"/>
      <c r="M13653" s="13"/>
    </row>
    <row r="13654">
      <c r="F13654" s="13"/>
      <c r="M13654" s="13"/>
    </row>
    <row r="13655">
      <c r="F13655" s="13"/>
      <c r="M13655" s="13"/>
    </row>
    <row r="13656">
      <c r="F13656" s="13"/>
      <c r="M13656" s="13"/>
    </row>
    <row r="13657">
      <c r="F13657" s="13"/>
      <c r="M13657" s="13"/>
    </row>
    <row r="13658">
      <c r="F13658" s="13"/>
      <c r="M13658" s="13"/>
    </row>
    <row r="13659">
      <c r="F13659" s="13"/>
      <c r="M13659" s="13"/>
    </row>
    <row r="13660">
      <c r="F13660" s="13"/>
      <c r="M13660" s="13"/>
    </row>
    <row r="13661">
      <c r="F13661" s="13"/>
      <c r="M13661" s="13"/>
    </row>
    <row r="13662">
      <c r="F13662" s="13"/>
      <c r="M13662" s="13"/>
    </row>
    <row r="13663">
      <c r="F13663" s="13"/>
      <c r="M13663" s="13"/>
    </row>
    <row r="13664">
      <c r="F13664" s="13"/>
      <c r="M13664" s="13"/>
    </row>
    <row r="13665">
      <c r="F13665" s="13"/>
      <c r="M13665" s="13"/>
    </row>
    <row r="13666">
      <c r="F13666" s="13"/>
      <c r="M13666" s="13"/>
    </row>
    <row r="13667">
      <c r="F13667" s="13"/>
      <c r="M13667" s="13"/>
    </row>
    <row r="13668">
      <c r="F13668" s="13"/>
      <c r="M13668" s="13"/>
    </row>
    <row r="13669">
      <c r="F13669" s="13"/>
      <c r="M13669" s="13"/>
    </row>
    <row r="13670">
      <c r="F13670" s="13"/>
      <c r="M13670" s="13"/>
    </row>
    <row r="13671">
      <c r="F13671" s="13"/>
      <c r="M13671" s="13"/>
    </row>
    <row r="13672">
      <c r="F13672" s="13"/>
      <c r="M13672" s="13"/>
    </row>
    <row r="13673">
      <c r="F13673" s="13"/>
      <c r="M13673" s="13"/>
    </row>
    <row r="13674">
      <c r="F13674" s="13"/>
      <c r="M13674" s="13"/>
    </row>
    <row r="13675">
      <c r="F13675" s="13"/>
      <c r="M13675" s="13"/>
    </row>
    <row r="13676">
      <c r="F13676" s="13"/>
      <c r="M13676" s="13"/>
    </row>
    <row r="13677">
      <c r="F13677" s="13"/>
      <c r="M13677" s="13"/>
    </row>
    <row r="13678">
      <c r="F13678" s="13"/>
      <c r="M13678" s="13"/>
    </row>
    <row r="13679">
      <c r="F13679" s="13"/>
      <c r="M13679" s="13"/>
    </row>
    <row r="13680">
      <c r="F13680" s="13"/>
      <c r="M13680" s="13"/>
    </row>
    <row r="13681">
      <c r="F13681" s="13"/>
      <c r="M13681" s="13"/>
    </row>
    <row r="13682">
      <c r="F13682" s="13"/>
      <c r="M13682" s="13"/>
    </row>
    <row r="13683">
      <c r="F13683" s="13"/>
      <c r="M13683" s="13"/>
    </row>
    <row r="13684">
      <c r="F13684" s="13"/>
      <c r="M13684" s="13"/>
    </row>
    <row r="13685">
      <c r="F13685" s="13"/>
      <c r="M13685" s="13"/>
    </row>
    <row r="13686">
      <c r="F13686" s="13"/>
      <c r="M13686" s="13"/>
    </row>
    <row r="13687">
      <c r="F13687" s="13"/>
      <c r="M13687" s="13"/>
    </row>
    <row r="13688">
      <c r="F13688" s="13"/>
      <c r="M13688" s="13"/>
    </row>
    <row r="13689">
      <c r="F13689" s="13"/>
      <c r="M13689" s="13"/>
    </row>
    <row r="13690">
      <c r="F13690" s="13"/>
      <c r="M13690" s="13"/>
    </row>
    <row r="13691">
      <c r="F13691" s="13"/>
      <c r="M13691" s="13"/>
    </row>
    <row r="13692">
      <c r="F13692" s="13"/>
      <c r="M13692" s="13"/>
    </row>
    <row r="13693">
      <c r="F13693" s="13"/>
      <c r="M13693" s="13"/>
    </row>
    <row r="13694">
      <c r="F13694" s="13"/>
      <c r="M13694" s="13"/>
    </row>
    <row r="13695">
      <c r="F13695" s="13"/>
      <c r="M13695" s="13"/>
    </row>
    <row r="13696">
      <c r="F13696" s="13"/>
      <c r="M13696" s="13"/>
    </row>
    <row r="13697">
      <c r="F13697" s="13"/>
      <c r="M13697" s="13"/>
    </row>
    <row r="13698">
      <c r="F13698" s="13"/>
      <c r="M13698" s="13"/>
    </row>
    <row r="13699">
      <c r="F13699" s="13"/>
      <c r="M13699" s="13"/>
    </row>
    <row r="13700">
      <c r="F13700" s="13"/>
      <c r="M13700" s="13"/>
    </row>
    <row r="13701">
      <c r="F13701" s="13"/>
      <c r="M13701" s="13"/>
    </row>
    <row r="13702">
      <c r="F13702" s="13"/>
      <c r="M13702" s="13"/>
    </row>
    <row r="13703">
      <c r="F13703" s="13"/>
      <c r="M13703" s="13"/>
    </row>
    <row r="13704">
      <c r="F13704" s="13"/>
      <c r="M13704" s="13"/>
    </row>
    <row r="13705">
      <c r="F13705" s="13"/>
      <c r="M13705" s="13"/>
    </row>
    <row r="13706">
      <c r="F13706" s="13"/>
      <c r="M13706" s="13"/>
    </row>
    <row r="13707">
      <c r="F13707" s="13"/>
      <c r="M13707" s="13"/>
    </row>
    <row r="13708">
      <c r="F13708" s="13"/>
      <c r="M13708" s="13"/>
    </row>
    <row r="13709">
      <c r="F13709" s="13"/>
      <c r="M13709" s="13"/>
    </row>
    <row r="13710">
      <c r="F13710" s="13"/>
      <c r="M13710" s="13"/>
    </row>
    <row r="13711">
      <c r="F13711" s="13"/>
      <c r="M13711" s="13"/>
    </row>
    <row r="13712">
      <c r="F13712" s="13"/>
      <c r="M13712" s="13"/>
    </row>
    <row r="13713">
      <c r="F13713" s="13"/>
      <c r="M13713" s="13"/>
    </row>
    <row r="13714">
      <c r="F13714" s="13"/>
      <c r="M13714" s="13"/>
    </row>
    <row r="13715">
      <c r="F13715" s="13"/>
      <c r="M13715" s="13"/>
    </row>
    <row r="13716">
      <c r="F13716" s="13"/>
      <c r="M13716" s="13"/>
    </row>
    <row r="13717">
      <c r="F13717" s="13"/>
      <c r="M13717" s="13"/>
    </row>
    <row r="13718">
      <c r="F13718" s="13"/>
      <c r="M13718" s="13"/>
    </row>
    <row r="13719">
      <c r="F13719" s="13"/>
      <c r="M13719" s="13"/>
    </row>
    <row r="13720">
      <c r="F13720" s="13"/>
      <c r="M13720" s="13"/>
    </row>
    <row r="13721">
      <c r="F13721" s="13"/>
      <c r="M13721" s="13"/>
    </row>
    <row r="13722">
      <c r="F13722" s="13"/>
      <c r="M13722" s="13"/>
    </row>
    <row r="13723">
      <c r="F13723" s="13"/>
      <c r="M13723" s="13"/>
    </row>
    <row r="13724">
      <c r="F13724" s="13"/>
      <c r="M13724" s="13"/>
    </row>
    <row r="13725">
      <c r="F13725" s="13"/>
      <c r="M13725" s="13"/>
    </row>
    <row r="13726">
      <c r="F13726" s="13"/>
      <c r="M13726" s="13"/>
    </row>
    <row r="13727">
      <c r="F13727" s="13"/>
      <c r="M13727" s="13"/>
    </row>
    <row r="13728">
      <c r="F13728" s="13"/>
      <c r="M13728" s="13"/>
    </row>
    <row r="13729">
      <c r="F13729" s="13"/>
      <c r="M13729" s="13"/>
    </row>
    <row r="13730">
      <c r="F13730" s="13"/>
      <c r="M13730" s="13"/>
    </row>
    <row r="13731">
      <c r="F13731" s="13"/>
      <c r="M13731" s="13"/>
    </row>
    <row r="13732">
      <c r="F13732" s="13"/>
      <c r="M13732" s="13"/>
    </row>
    <row r="13733">
      <c r="F13733" s="13"/>
      <c r="M13733" s="13"/>
    </row>
    <row r="13734">
      <c r="F13734" s="13"/>
      <c r="M13734" s="13"/>
    </row>
    <row r="13735">
      <c r="F13735" s="13"/>
      <c r="M13735" s="13"/>
    </row>
    <row r="13736">
      <c r="F13736" s="13"/>
      <c r="M13736" s="13"/>
    </row>
    <row r="13737">
      <c r="F13737" s="13"/>
      <c r="M13737" s="13"/>
    </row>
    <row r="13738">
      <c r="F13738" s="13"/>
      <c r="M13738" s="13"/>
    </row>
    <row r="13739">
      <c r="F13739" s="13"/>
      <c r="M13739" s="13"/>
    </row>
    <row r="13740">
      <c r="F13740" s="13"/>
      <c r="M13740" s="13"/>
    </row>
    <row r="13741">
      <c r="F13741" s="13"/>
      <c r="M13741" s="13"/>
    </row>
    <row r="13742">
      <c r="F13742" s="13"/>
      <c r="M13742" s="13"/>
    </row>
    <row r="13743">
      <c r="F13743" s="13"/>
      <c r="M13743" s="13"/>
    </row>
    <row r="13744">
      <c r="F13744" s="13"/>
      <c r="M13744" s="13"/>
    </row>
    <row r="13745">
      <c r="F13745" s="13"/>
      <c r="M13745" s="13"/>
    </row>
    <row r="13746">
      <c r="F13746" s="13"/>
      <c r="M13746" s="13"/>
    </row>
    <row r="13747">
      <c r="F13747" s="13"/>
      <c r="M13747" s="13"/>
    </row>
    <row r="13748">
      <c r="F13748" s="13"/>
      <c r="M13748" s="13"/>
    </row>
    <row r="13749">
      <c r="F13749" s="13"/>
      <c r="M13749" s="13"/>
    </row>
    <row r="13750">
      <c r="F13750" s="13"/>
      <c r="M13750" s="13"/>
    </row>
    <row r="13751">
      <c r="F13751" s="13"/>
      <c r="M13751" s="13"/>
    </row>
    <row r="13752">
      <c r="F13752" s="13"/>
      <c r="M13752" s="13"/>
    </row>
    <row r="13753">
      <c r="F13753" s="13"/>
      <c r="M13753" s="13"/>
    </row>
    <row r="13754">
      <c r="F13754" s="13"/>
      <c r="M13754" s="13"/>
    </row>
    <row r="13755">
      <c r="F13755" s="13"/>
      <c r="M13755" s="13"/>
    </row>
    <row r="13756">
      <c r="F13756" s="13"/>
      <c r="M13756" s="13"/>
    </row>
    <row r="13757">
      <c r="F13757" s="13"/>
      <c r="M13757" s="13"/>
    </row>
    <row r="13758">
      <c r="F13758" s="13"/>
      <c r="M13758" s="13"/>
    </row>
    <row r="13759">
      <c r="F13759" s="13"/>
      <c r="M13759" s="13"/>
    </row>
    <row r="13760">
      <c r="F13760" s="13"/>
      <c r="M13760" s="13"/>
    </row>
    <row r="13761">
      <c r="F13761" s="13"/>
      <c r="M13761" s="13"/>
    </row>
    <row r="13762">
      <c r="F13762" s="13"/>
      <c r="M13762" s="13"/>
    </row>
    <row r="13763">
      <c r="F13763" s="13"/>
      <c r="M13763" s="13"/>
    </row>
    <row r="13764">
      <c r="F13764" s="13"/>
      <c r="M13764" s="13"/>
    </row>
    <row r="13765">
      <c r="F13765" s="13"/>
      <c r="M13765" s="13"/>
    </row>
    <row r="13766">
      <c r="F13766" s="13"/>
      <c r="M13766" s="13"/>
    </row>
    <row r="13767">
      <c r="F13767" s="13"/>
      <c r="M13767" s="13"/>
    </row>
    <row r="13768">
      <c r="F13768" s="13"/>
      <c r="M13768" s="13"/>
    </row>
    <row r="13769">
      <c r="F13769" s="13"/>
      <c r="M13769" s="13"/>
    </row>
    <row r="13770">
      <c r="F13770" s="13"/>
      <c r="M13770" s="13"/>
    </row>
    <row r="13771">
      <c r="F13771" s="13"/>
      <c r="M13771" s="13"/>
    </row>
    <row r="13772">
      <c r="F13772" s="13"/>
      <c r="M13772" s="13"/>
    </row>
    <row r="13773">
      <c r="F13773" s="13"/>
      <c r="M13773" s="13"/>
    </row>
    <row r="13774">
      <c r="F13774" s="13"/>
      <c r="M13774" s="13"/>
    </row>
    <row r="13775">
      <c r="F13775" s="13"/>
      <c r="M13775" s="13"/>
    </row>
    <row r="13776">
      <c r="F13776" s="13"/>
      <c r="M13776" s="13"/>
    </row>
    <row r="13777">
      <c r="F13777" s="13"/>
      <c r="M13777" s="13"/>
    </row>
    <row r="13778">
      <c r="F13778" s="13"/>
      <c r="M13778" s="13"/>
    </row>
    <row r="13779">
      <c r="F13779" s="13"/>
      <c r="M13779" s="13"/>
    </row>
    <row r="13780">
      <c r="F13780" s="13"/>
      <c r="M13780" s="13"/>
    </row>
    <row r="13781">
      <c r="F13781" s="13"/>
      <c r="M13781" s="13"/>
    </row>
    <row r="13782">
      <c r="F13782" s="13"/>
      <c r="M13782" s="13"/>
    </row>
    <row r="13783">
      <c r="F13783" s="13"/>
      <c r="M13783" s="13"/>
    </row>
    <row r="13784">
      <c r="F13784" s="13"/>
      <c r="M13784" s="13"/>
    </row>
    <row r="13785">
      <c r="F13785" s="13"/>
      <c r="M13785" s="13"/>
    </row>
    <row r="13786">
      <c r="F13786" s="13"/>
      <c r="M13786" s="13"/>
    </row>
    <row r="13787">
      <c r="F13787" s="13"/>
      <c r="M13787" s="13"/>
    </row>
    <row r="13788">
      <c r="F13788" s="13"/>
      <c r="M13788" s="13"/>
    </row>
    <row r="13789">
      <c r="F13789" s="13"/>
      <c r="M13789" s="13"/>
    </row>
    <row r="13790">
      <c r="F13790" s="13"/>
      <c r="M13790" s="13"/>
    </row>
    <row r="13791">
      <c r="F13791" s="13"/>
      <c r="M13791" s="13"/>
    </row>
    <row r="13792">
      <c r="F13792" s="13"/>
      <c r="M13792" s="13"/>
    </row>
    <row r="13793">
      <c r="F13793" s="13"/>
      <c r="M13793" s="13"/>
    </row>
    <row r="13794">
      <c r="F13794" s="13"/>
      <c r="M13794" s="13"/>
    </row>
    <row r="13795">
      <c r="F13795" s="13"/>
      <c r="M13795" s="13"/>
    </row>
    <row r="13796">
      <c r="F13796" s="13"/>
      <c r="M13796" s="13"/>
    </row>
    <row r="13797">
      <c r="F13797" s="13"/>
      <c r="M13797" s="13"/>
    </row>
    <row r="13798">
      <c r="F13798" s="13"/>
      <c r="M13798" s="13"/>
    </row>
    <row r="13799">
      <c r="F13799" s="13"/>
      <c r="M13799" s="13"/>
    </row>
    <row r="13800">
      <c r="F13800" s="13"/>
      <c r="M13800" s="13"/>
    </row>
    <row r="13801">
      <c r="F13801" s="13"/>
      <c r="M13801" s="13"/>
    </row>
    <row r="13802">
      <c r="F13802" s="13"/>
      <c r="M13802" s="13"/>
    </row>
    <row r="13803">
      <c r="F13803" s="13"/>
      <c r="M13803" s="13"/>
    </row>
    <row r="13804">
      <c r="F13804" s="13"/>
      <c r="M13804" s="13"/>
    </row>
    <row r="13805">
      <c r="F13805" s="13"/>
      <c r="M13805" s="13"/>
    </row>
    <row r="13806">
      <c r="F13806" s="13"/>
      <c r="M13806" s="13"/>
    </row>
    <row r="13807">
      <c r="F13807" s="13"/>
      <c r="M13807" s="13"/>
    </row>
    <row r="13808">
      <c r="F13808" s="13"/>
      <c r="M13808" s="13"/>
    </row>
    <row r="13809">
      <c r="F13809" s="13"/>
      <c r="M13809" s="13"/>
    </row>
    <row r="13810">
      <c r="F13810" s="13"/>
      <c r="M13810" s="13"/>
    </row>
    <row r="13811">
      <c r="F13811" s="13"/>
      <c r="M13811" s="13"/>
    </row>
    <row r="13812">
      <c r="F13812" s="13"/>
      <c r="M13812" s="13"/>
    </row>
    <row r="13813">
      <c r="F13813" s="13"/>
      <c r="M13813" s="13"/>
    </row>
    <row r="13814">
      <c r="F13814" s="13"/>
      <c r="M13814" s="13"/>
    </row>
    <row r="13815">
      <c r="F13815" s="13"/>
      <c r="M13815" s="13"/>
    </row>
    <row r="13816">
      <c r="F13816" s="13"/>
      <c r="M13816" s="13"/>
    </row>
    <row r="13817">
      <c r="F13817" s="13"/>
      <c r="M13817" s="13"/>
    </row>
    <row r="13818">
      <c r="F13818" s="13"/>
      <c r="M13818" s="13"/>
    </row>
    <row r="13819">
      <c r="F13819" s="13"/>
      <c r="M13819" s="13"/>
    </row>
    <row r="13820">
      <c r="F13820" s="13"/>
      <c r="M13820" s="13"/>
    </row>
    <row r="13821">
      <c r="F13821" s="13"/>
      <c r="M13821" s="13"/>
    </row>
    <row r="13822">
      <c r="F13822" s="13"/>
      <c r="M13822" s="13"/>
    </row>
    <row r="13823">
      <c r="F13823" s="13"/>
      <c r="M13823" s="13"/>
    </row>
    <row r="13824">
      <c r="F13824" s="13"/>
      <c r="M13824" s="13"/>
    </row>
    <row r="13825">
      <c r="F13825" s="13"/>
      <c r="M13825" s="13"/>
    </row>
    <row r="13826">
      <c r="F13826" s="13"/>
      <c r="M13826" s="13"/>
    </row>
    <row r="13827">
      <c r="F13827" s="13"/>
      <c r="M13827" s="13"/>
    </row>
    <row r="13828">
      <c r="F13828" s="13"/>
      <c r="M13828" s="13"/>
    </row>
    <row r="13829">
      <c r="F13829" s="13"/>
      <c r="M13829" s="13"/>
    </row>
    <row r="13830">
      <c r="F13830" s="13"/>
      <c r="M13830" s="13"/>
    </row>
    <row r="13831">
      <c r="F13831" s="13"/>
      <c r="M13831" s="13"/>
    </row>
    <row r="13832">
      <c r="F13832" s="13"/>
      <c r="M13832" s="13"/>
    </row>
    <row r="13833">
      <c r="F13833" s="13"/>
      <c r="M13833" s="13"/>
    </row>
    <row r="13834">
      <c r="F13834" s="13"/>
      <c r="M13834" s="13"/>
    </row>
    <row r="13835">
      <c r="F13835" s="13"/>
      <c r="M13835" s="13"/>
    </row>
    <row r="13836">
      <c r="F13836" s="13"/>
      <c r="M13836" s="13"/>
    </row>
    <row r="13837">
      <c r="F13837" s="13"/>
      <c r="M13837" s="13"/>
    </row>
    <row r="13838">
      <c r="F13838" s="13"/>
      <c r="M13838" s="13"/>
    </row>
    <row r="13839">
      <c r="F13839" s="13"/>
      <c r="M13839" s="13"/>
    </row>
    <row r="13840">
      <c r="F13840" s="13"/>
      <c r="M13840" s="13"/>
    </row>
    <row r="13841">
      <c r="F13841" s="13"/>
      <c r="M13841" s="13"/>
    </row>
    <row r="13842">
      <c r="F13842" s="13"/>
      <c r="M13842" s="13"/>
    </row>
    <row r="13843">
      <c r="F13843" s="13"/>
      <c r="M13843" s="13"/>
    </row>
    <row r="13844">
      <c r="F13844" s="13"/>
      <c r="M13844" s="13"/>
    </row>
    <row r="13845">
      <c r="F13845" s="13"/>
      <c r="M13845" s="13"/>
    </row>
    <row r="13846">
      <c r="F13846" s="13"/>
      <c r="M13846" s="13"/>
    </row>
    <row r="13847">
      <c r="F13847" s="13"/>
      <c r="M13847" s="13"/>
    </row>
    <row r="13848">
      <c r="F13848" s="13"/>
      <c r="M13848" s="13"/>
    </row>
    <row r="13849">
      <c r="F13849" s="13"/>
      <c r="M13849" s="13"/>
    </row>
    <row r="13850">
      <c r="F13850" s="13"/>
      <c r="M13850" s="13"/>
    </row>
    <row r="13851">
      <c r="F13851" s="13"/>
      <c r="M13851" s="13"/>
    </row>
    <row r="13852">
      <c r="F13852" s="13"/>
      <c r="M13852" s="13"/>
    </row>
    <row r="13853">
      <c r="F13853" s="13"/>
      <c r="M13853" s="13"/>
    </row>
    <row r="13854">
      <c r="F13854" s="13"/>
      <c r="M13854" s="13"/>
    </row>
    <row r="13855">
      <c r="F13855" s="13"/>
      <c r="M13855" s="13"/>
    </row>
    <row r="13856">
      <c r="F13856" s="13"/>
      <c r="M13856" s="13"/>
    </row>
    <row r="13857">
      <c r="F13857" s="13"/>
      <c r="M13857" s="13"/>
    </row>
    <row r="13858">
      <c r="F13858" s="13"/>
      <c r="M13858" s="13"/>
    </row>
    <row r="13859">
      <c r="F13859" s="13"/>
      <c r="M13859" s="13"/>
    </row>
    <row r="13860">
      <c r="F13860" s="13"/>
      <c r="M13860" s="13"/>
    </row>
    <row r="13861">
      <c r="F13861" s="13"/>
      <c r="M13861" s="13"/>
    </row>
    <row r="13862">
      <c r="F13862" s="13"/>
      <c r="M13862" s="13"/>
    </row>
    <row r="13863">
      <c r="F13863" s="13"/>
      <c r="M13863" s="13"/>
    </row>
    <row r="13864">
      <c r="F13864" s="13"/>
      <c r="M13864" s="13"/>
    </row>
    <row r="13865">
      <c r="F13865" s="13"/>
      <c r="M13865" s="13"/>
    </row>
    <row r="13866">
      <c r="F13866" s="13"/>
      <c r="M13866" s="13"/>
    </row>
    <row r="13867">
      <c r="F13867" s="13"/>
      <c r="M13867" s="13"/>
    </row>
    <row r="13868">
      <c r="F13868" s="13"/>
      <c r="M13868" s="13"/>
    </row>
    <row r="13869">
      <c r="F13869" s="13"/>
      <c r="M13869" s="13"/>
    </row>
    <row r="13870">
      <c r="F13870" s="13"/>
      <c r="M13870" s="13"/>
    </row>
    <row r="13871">
      <c r="F13871" s="13"/>
      <c r="M13871" s="13"/>
    </row>
    <row r="13872">
      <c r="F13872" s="13"/>
      <c r="M13872" s="13"/>
    </row>
    <row r="13873">
      <c r="F13873" s="13"/>
      <c r="M13873" s="13"/>
    </row>
    <row r="13874">
      <c r="F13874" s="13"/>
      <c r="M13874" s="13"/>
    </row>
    <row r="13875">
      <c r="F13875" s="13"/>
      <c r="M13875" s="13"/>
    </row>
    <row r="13876">
      <c r="F13876" s="13"/>
      <c r="M13876" s="13"/>
    </row>
    <row r="13877">
      <c r="F13877" s="13"/>
      <c r="M13877" s="13"/>
    </row>
    <row r="13878">
      <c r="F13878" s="13"/>
      <c r="M13878" s="13"/>
    </row>
    <row r="13879">
      <c r="F13879" s="13"/>
      <c r="M13879" s="13"/>
    </row>
    <row r="13880">
      <c r="F13880" s="13"/>
      <c r="M13880" s="13"/>
    </row>
    <row r="13881">
      <c r="F13881" s="13"/>
      <c r="M13881" s="13"/>
    </row>
    <row r="13882">
      <c r="F13882" s="13"/>
      <c r="M13882" s="13"/>
    </row>
    <row r="13883">
      <c r="F13883" s="13"/>
      <c r="M13883" s="13"/>
    </row>
    <row r="13884">
      <c r="F13884" s="13"/>
      <c r="M13884" s="13"/>
    </row>
    <row r="13885">
      <c r="F13885" s="13"/>
      <c r="M13885" s="13"/>
    </row>
    <row r="13886">
      <c r="F13886" s="13"/>
      <c r="M13886" s="13"/>
    </row>
    <row r="13887">
      <c r="F13887" s="13"/>
      <c r="M13887" s="13"/>
    </row>
    <row r="13888">
      <c r="F13888" s="13"/>
      <c r="M13888" s="13"/>
    </row>
    <row r="13889">
      <c r="F13889" s="13"/>
      <c r="M13889" s="13"/>
    </row>
    <row r="13890">
      <c r="F13890" s="13"/>
      <c r="M13890" s="13"/>
    </row>
    <row r="13891">
      <c r="F13891" s="13"/>
      <c r="M13891" s="13"/>
    </row>
    <row r="13892">
      <c r="F13892" s="13"/>
      <c r="M13892" s="13"/>
    </row>
    <row r="13893">
      <c r="F13893" s="13"/>
      <c r="M13893" s="13"/>
    </row>
    <row r="13894">
      <c r="F13894" s="13"/>
      <c r="M13894" s="13"/>
    </row>
    <row r="13895">
      <c r="F13895" s="13"/>
      <c r="M13895" s="13"/>
    </row>
    <row r="13896">
      <c r="F13896" s="13"/>
      <c r="M13896" s="13"/>
    </row>
    <row r="13897">
      <c r="F13897" s="13"/>
      <c r="M13897" s="13"/>
    </row>
    <row r="13898">
      <c r="F13898" s="13"/>
      <c r="M13898" s="13"/>
    </row>
    <row r="13899">
      <c r="F13899" s="13"/>
      <c r="M13899" s="13"/>
    </row>
    <row r="13900">
      <c r="F13900" s="13"/>
      <c r="M13900" s="13"/>
    </row>
    <row r="13901">
      <c r="F13901" s="13"/>
      <c r="M13901" s="13"/>
    </row>
    <row r="13902">
      <c r="F13902" s="13"/>
      <c r="M13902" s="13"/>
    </row>
    <row r="13903">
      <c r="F13903" s="13"/>
      <c r="M13903" s="13"/>
    </row>
    <row r="13904">
      <c r="F13904" s="13"/>
      <c r="M13904" s="13"/>
    </row>
    <row r="13905">
      <c r="F13905" s="13"/>
      <c r="M13905" s="13"/>
    </row>
    <row r="13906">
      <c r="F13906" s="13"/>
      <c r="M13906" s="13"/>
    </row>
    <row r="13907">
      <c r="F13907" s="13"/>
      <c r="M13907" s="13"/>
    </row>
    <row r="13908">
      <c r="F13908" s="13"/>
      <c r="M13908" s="13"/>
    </row>
    <row r="13909">
      <c r="F13909" s="13"/>
      <c r="M13909" s="13"/>
    </row>
    <row r="13910">
      <c r="F13910" s="13"/>
      <c r="M13910" s="13"/>
    </row>
    <row r="13911">
      <c r="F13911" s="13"/>
      <c r="M13911" s="13"/>
    </row>
    <row r="13912">
      <c r="F13912" s="13"/>
      <c r="M13912" s="13"/>
    </row>
    <row r="13913">
      <c r="F13913" s="13"/>
      <c r="M13913" s="13"/>
    </row>
    <row r="13914">
      <c r="F13914" s="13"/>
      <c r="M13914" s="13"/>
    </row>
    <row r="13915">
      <c r="F13915" s="13"/>
      <c r="M13915" s="13"/>
    </row>
    <row r="13916">
      <c r="F13916" s="13"/>
      <c r="M13916" s="13"/>
    </row>
    <row r="13917">
      <c r="F13917" s="13"/>
      <c r="M13917" s="13"/>
    </row>
    <row r="13918">
      <c r="F13918" s="13"/>
      <c r="M13918" s="13"/>
    </row>
    <row r="13919">
      <c r="F13919" s="13"/>
      <c r="M13919" s="13"/>
    </row>
    <row r="13920">
      <c r="F13920" s="13"/>
      <c r="M13920" s="13"/>
    </row>
    <row r="13921">
      <c r="F13921" s="13"/>
      <c r="M13921" s="13"/>
    </row>
    <row r="13922">
      <c r="F13922" s="13"/>
      <c r="M13922" s="13"/>
    </row>
    <row r="13923">
      <c r="F13923" s="13"/>
      <c r="M13923" s="13"/>
    </row>
    <row r="13924">
      <c r="F13924" s="13"/>
      <c r="M13924" s="13"/>
    </row>
    <row r="13925">
      <c r="F13925" s="13"/>
      <c r="M13925" s="13"/>
    </row>
    <row r="13926">
      <c r="F13926" s="13"/>
      <c r="M13926" s="13"/>
    </row>
    <row r="13927">
      <c r="F13927" s="13"/>
      <c r="M13927" s="13"/>
    </row>
    <row r="13928">
      <c r="F13928" s="13"/>
      <c r="M13928" s="13"/>
    </row>
    <row r="13929">
      <c r="F13929" s="13"/>
      <c r="M13929" s="13"/>
    </row>
    <row r="13930">
      <c r="F13930" s="13"/>
      <c r="M13930" s="13"/>
    </row>
    <row r="13931">
      <c r="F13931" s="13"/>
      <c r="M13931" s="13"/>
    </row>
    <row r="13932">
      <c r="F13932" s="13"/>
      <c r="M13932" s="13"/>
    </row>
    <row r="13933">
      <c r="F13933" s="13"/>
      <c r="M13933" s="13"/>
    </row>
    <row r="13934">
      <c r="F13934" s="13"/>
      <c r="M13934" s="13"/>
    </row>
    <row r="13935">
      <c r="F13935" s="13"/>
      <c r="M13935" s="13"/>
    </row>
    <row r="13936">
      <c r="F13936" s="13"/>
      <c r="M13936" s="13"/>
    </row>
    <row r="13937">
      <c r="F13937" s="13"/>
      <c r="M13937" s="13"/>
    </row>
    <row r="13938">
      <c r="F13938" s="13"/>
      <c r="M13938" s="13"/>
    </row>
    <row r="13939">
      <c r="F13939" s="13"/>
      <c r="M13939" s="13"/>
    </row>
    <row r="13940">
      <c r="F13940" s="13"/>
      <c r="M13940" s="13"/>
    </row>
    <row r="13941">
      <c r="F13941" s="13"/>
      <c r="M13941" s="13"/>
    </row>
    <row r="13942">
      <c r="F13942" s="13"/>
      <c r="M13942" s="13"/>
    </row>
    <row r="13943">
      <c r="F13943" s="13"/>
      <c r="M13943" s="13"/>
    </row>
    <row r="13944">
      <c r="F13944" s="13"/>
      <c r="M13944" s="13"/>
    </row>
    <row r="13945">
      <c r="F13945" s="13"/>
      <c r="M13945" s="13"/>
    </row>
    <row r="13946">
      <c r="F13946" s="13"/>
      <c r="M13946" s="13"/>
    </row>
    <row r="13947">
      <c r="F13947" s="13"/>
      <c r="M13947" s="13"/>
    </row>
    <row r="13948">
      <c r="F13948" s="13"/>
      <c r="M13948" s="13"/>
    </row>
    <row r="13949">
      <c r="F13949" s="13"/>
      <c r="M13949" s="13"/>
    </row>
    <row r="13950">
      <c r="F13950" s="13"/>
      <c r="M13950" s="13"/>
    </row>
    <row r="13951">
      <c r="F13951" s="13"/>
      <c r="M13951" s="13"/>
    </row>
    <row r="13952">
      <c r="F13952" s="13"/>
      <c r="M13952" s="13"/>
    </row>
    <row r="13953">
      <c r="F13953" s="13"/>
      <c r="M13953" s="13"/>
    </row>
    <row r="13954">
      <c r="F13954" s="13"/>
      <c r="M13954" s="13"/>
    </row>
    <row r="13955">
      <c r="F13955" s="13"/>
      <c r="M13955" s="13"/>
    </row>
    <row r="13956">
      <c r="F13956" s="13"/>
      <c r="M13956" s="13"/>
    </row>
    <row r="13957">
      <c r="F13957" s="13"/>
      <c r="M13957" s="13"/>
    </row>
    <row r="13958">
      <c r="F13958" s="13"/>
      <c r="M13958" s="13"/>
    </row>
    <row r="13959">
      <c r="F13959" s="13"/>
      <c r="M13959" s="13"/>
    </row>
    <row r="13960">
      <c r="F13960" s="13"/>
      <c r="M13960" s="13"/>
    </row>
    <row r="13961">
      <c r="F13961" s="13"/>
      <c r="M13961" s="13"/>
    </row>
    <row r="13962">
      <c r="F13962" s="13"/>
      <c r="M13962" s="13"/>
    </row>
    <row r="13963">
      <c r="F13963" s="13"/>
      <c r="M13963" s="13"/>
    </row>
    <row r="13964">
      <c r="F13964" s="13"/>
      <c r="M13964" s="13"/>
    </row>
    <row r="13965">
      <c r="F13965" s="13"/>
      <c r="M13965" s="13"/>
    </row>
    <row r="13966">
      <c r="F13966" s="13"/>
      <c r="M13966" s="13"/>
    </row>
    <row r="13967">
      <c r="F13967" s="13"/>
      <c r="M13967" s="13"/>
    </row>
    <row r="13968">
      <c r="F13968" s="13"/>
      <c r="M13968" s="13"/>
    </row>
    <row r="13969">
      <c r="F13969" s="13"/>
      <c r="M13969" s="13"/>
    </row>
    <row r="13970">
      <c r="F13970" s="13"/>
      <c r="M13970" s="13"/>
    </row>
    <row r="13971">
      <c r="F13971" s="13"/>
      <c r="M13971" s="13"/>
    </row>
    <row r="13972">
      <c r="F13972" s="13"/>
      <c r="M13972" s="13"/>
    </row>
    <row r="13973">
      <c r="F13973" s="13"/>
      <c r="M13973" s="13"/>
    </row>
    <row r="13974">
      <c r="F13974" s="13"/>
      <c r="M13974" s="13"/>
    </row>
    <row r="13975">
      <c r="F13975" s="13"/>
      <c r="M13975" s="13"/>
    </row>
    <row r="13976">
      <c r="F13976" s="13"/>
      <c r="M13976" s="13"/>
    </row>
    <row r="13977">
      <c r="F13977" s="13"/>
      <c r="M13977" s="13"/>
    </row>
    <row r="13978">
      <c r="F13978" s="13"/>
      <c r="M13978" s="13"/>
    </row>
    <row r="13979">
      <c r="F13979" s="13"/>
      <c r="M13979" s="13"/>
    </row>
    <row r="13980">
      <c r="F13980" s="13"/>
      <c r="M13980" s="13"/>
    </row>
    <row r="13981">
      <c r="F13981" s="13"/>
      <c r="M13981" s="13"/>
    </row>
    <row r="13982">
      <c r="F13982" s="13"/>
      <c r="M13982" s="13"/>
    </row>
    <row r="13983">
      <c r="F13983" s="13"/>
      <c r="M13983" s="13"/>
    </row>
    <row r="13984">
      <c r="F13984" s="13"/>
      <c r="M13984" s="13"/>
    </row>
    <row r="13985">
      <c r="F13985" s="13"/>
      <c r="M13985" s="13"/>
    </row>
    <row r="13986">
      <c r="F13986" s="13"/>
      <c r="M13986" s="13"/>
    </row>
    <row r="13987">
      <c r="F13987" s="13"/>
      <c r="M13987" s="13"/>
    </row>
    <row r="13988">
      <c r="F13988" s="13"/>
      <c r="M13988" s="13"/>
    </row>
    <row r="13989">
      <c r="F13989" s="13"/>
      <c r="M13989" s="13"/>
    </row>
    <row r="13990">
      <c r="F13990" s="13"/>
      <c r="M13990" s="13"/>
    </row>
    <row r="13991">
      <c r="F13991" s="13"/>
      <c r="M13991" s="13"/>
    </row>
    <row r="13992">
      <c r="F13992" s="13"/>
      <c r="M13992" s="13"/>
    </row>
    <row r="13993">
      <c r="F13993" s="13"/>
      <c r="M13993" s="13"/>
    </row>
    <row r="13994">
      <c r="F13994" s="13"/>
      <c r="M13994" s="13"/>
    </row>
    <row r="13995">
      <c r="F13995" s="13"/>
      <c r="M13995" s="13"/>
    </row>
    <row r="13996">
      <c r="F13996" s="13"/>
      <c r="M13996" s="13"/>
    </row>
    <row r="13997">
      <c r="F13997" s="13"/>
      <c r="M13997" s="13"/>
    </row>
    <row r="13998">
      <c r="F13998" s="13"/>
      <c r="M13998" s="13"/>
    </row>
    <row r="13999">
      <c r="F13999" s="13"/>
      <c r="M13999" s="13"/>
    </row>
    <row r="14000">
      <c r="F14000" s="13"/>
      <c r="M14000" s="13"/>
    </row>
    <row r="14001">
      <c r="F14001" s="13"/>
      <c r="M14001" s="13"/>
    </row>
    <row r="14002">
      <c r="F14002" s="13"/>
      <c r="M14002" s="13"/>
    </row>
    <row r="14003">
      <c r="F14003" s="13"/>
      <c r="M14003" s="13"/>
    </row>
    <row r="14004">
      <c r="F14004" s="13"/>
      <c r="M14004" s="13"/>
    </row>
    <row r="14005">
      <c r="F14005" s="13"/>
      <c r="M14005" s="13"/>
    </row>
    <row r="14006">
      <c r="F14006" s="13"/>
      <c r="M14006" s="13"/>
    </row>
    <row r="14007">
      <c r="F14007" s="13"/>
      <c r="M14007" s="13"/>
    </row>
    <row r="14008">
      <c r="F14008" s="13"/>
      <c r="M14008" s="13"/>
    </row>
    <row r="14009">
      <c r="F14009" s="13"/>
      <c r="M14009" s="13"/>
    </row>
    <row r="14010">
      <c r="F14010" s="13"/>
      <c r="M14010" s="13"/>
    </row>
    <row r="14011">
      <c r="F14011" s="13"/>
      <c r="M14011" s="13"/>
    </row>
    <row r="14012">
      <c r="F14012" s="13"/>
      <c r="M14012" s="13"/>
    </row>
    <row r="14013">
      <c r="F14013" s="13"/>
      <c r="M14013" s="13"/>
    </row>
    <row r="14014">
      <c r="F14014" s="13"/>
      <c r="M14014" s="13"/>
    </row>
    <row r="14015">
      <c r="F14015" s="13"/>
      <c r="M14015" s="13"/>
    </row>
    <row r="14016">
      <c r="F14016" s="13"/>
      <c r="M14016" s="13"/>
    </row>
    <row r="14017">
      <c r="F14017" s="13"/>
      <c r="M14017" s="13"/>
    </row>
    <row r="14018">
      <c r="F14018" s="13"/>
      <c r="M14018" s="13"/>
    </row>
    <row r="14019">
      <c r="F14019" s="13"/>
      <c r="M14019" s="13"/>
    </row>
    <row r="14020">
      <c r="F14020" s="13"/>
      <c r="M14020" s="13"/>
    </row>
    <row r="14021">
      <c r="F14021" s="13"/>
      <c r="M14021" s="13"/>
    </row>
    <row r="14022">
      <c r="F14022" s="13"/>
      <c r="M14022" s="13"/>
    </row>
    <row r="14023">
      <c r="F14023" s="13"/>
      <c r="M14023" s="13"/>
    </row>
    <row r="14024">
      <c r="F14024" s="13"/>
      <c r="M14024" s="13"/>
    </row>
    <row r="14025">
      <c r="F14025" s="13"/>
      <c r="M14025" s="13"/>
    </row>
    <row r="14026">
      <c r="F14026" s="13"/>
      <c r="M14026" s="13"/>
    </row>
    <row r="14027">
      <c r="F14027" s="13"/>
      <c r="M14027" s="13"/>
    </row>
    <row r="14028">
      <c r="F14028" s="13"/>
      <c r="M14028" s="13"/>
    </row>
    <row r="14029">
      <c r="F14029" s="13"/>
      <c r="M14029" s="13"/>
    </row>
    <row r="14030">
      <c r="F14030" s="13"/>
      <c r="M14030" s="13"/>
    </row>
    <row r="14031">
      <c r="F14031" s="13"/>
      <c r="M14031" s="13"/>
    </row>
    <row r="14032">
      <c r="F14032" s="13"/>
      <c r="M14032" s="13"/>
    </row>
    <row r="14033">
      <c r="F14033" s="13"/>
      <c r="M14033" s="13"/>
    </row>
    <row r="14034">
      <c r="F14034" s="13"/>
      <c r="M14034" s="13"/>
    </row>
    <row r="14035">
      <c r="F14035" s="13"/>
      <c r="M14035" s="13"/>
    </row>
    <row r="14036">
      <c r="F14036" s="13"/>
      <c r="M14036" s="13"/>
    </row>
    <row r="14037">
      <c r="F14037" s="13"/>
      <c r="M14037" s="13"/>
    </row>
    <row r="14038">
      <c r="F14038" s="13"/>
      <c r="M14038" s="13"/>
    </row>
    <row r="14039">
      <c r="F14039" s="13"/>
      <c r="M14039" s="13"/>
    </row>
    <row r="14040">
      <c r="F14040" s="13"/>
      <c r="M14040" s="13"/>
    </row>
    <row r="14041">
      <c r="F14041" s="13"/>
      <c r="M14041" s="13"/>
    </row>
    <row r="14042">
      <c r="F14042" s="13"/>
      <c r="M14042" s="13"/>
    </row>
    <row r="14043">
      <c r="F14043" s="13"/>
      <c r="M14043" s="13"/>
    </row>
    <row r="14044">
      <c r="F14044" s="13"/>
      <c r="M14044" s="13"/>
    </row>
    <row r="14045">
      <c r="F14045" s="13"/>
      <c r="M14045" s="13"/>
    </row>
    <row r="14046">
      <c r="F14046" s="13"/>
      <c r="M14046" s="13"/>
    </row>
    <row r="14047">
      <c r="F14047" s="13"/>
      <c r="M14047" s="13"/>
    </row>
    <row r="14048">
      <c r="F14048" s="13"/>
      <c r="M14048" s="13"/>
    </row>
    <row r="14049">
      <c r="F14049" s="13"/>
      <c r="M14049" s="13"/>
    </row>
    <row r="14050">
      <c r="F14050" s="13"/>
      <c r="M14050" s="13"/>
    </row>
    <row r="14051">
      <c r="F14051" s="13"/>
      <c r="M14051" s="13"/>
    </row>
    <row r="14052">
      <c r="F14052" s="13"/>
      <c r="M14052" s="13"/>
    </row>
    <row r="14053">
      <c r="F14053" s="13"/>
      <c r="M14053" s="13"/>
    </row>
    <row r="14054">
      <c r="F14054" s="13"/>
      <c r="M14054" s="13"/>
    </row>
    <row r="14055">
      <c r="F14055" s="13"/>
      <c r="M14055" s="13"/>
    </row>
    <row r="14056">
      <c r="F14056" s="13"/>
      <c r="M14056" s="13"/>
    </row>
    <row r="14057">
      <c r="F14057" s="13"/>
      <c r="M14057" s="13"/>
    </row>
    <row r="14058">
      <c r="F14058" s="13"/>
      <c r="M14058" s="13"/>
    </row>
    <row r="14059">
      <c r="F14059" s="13"/>
      <c r="M14059" s="13"/>
    </row>
    <row r="14060">
      <c r="F14060" s="13"/>
      <c r="M14060" s="13"/>
    </row>
    <row r="14061">
      <c r="F14061" s="13"/>
      <c r="M14061" s="13"/>
    </row>
    <row r="14062">
      <c r="F14062" s="13"/>
      <c r="M14062" s="13"/>
    </row>
    <row r="14063">
      <c r="F14063" s="13"/>
      <c r="M14063" s="13"/>
    </row>
    <row r="14064">
      <c r="F14064" s="13"/>
      <c r="M14064" s="13"/>
    </row>
    <row r="14065">
      <c r="F14065" s="13"/>
      <c r="M14065" s="13"/>
    </row>
    <row r="14066">
      <c r="F14066" s="13"/>
      <c r="M14066" s="13"/>
    </row>
    <row r="14067">
      <c r="F14067" s="13"/>
      <c r="M14067" s="13"/>
    </row>
    <row r="14068">
      <c r="F14068" s="13"/>
      <c r="M14068" s="13"/>
    </row>
    <row r="14069">
      <c r="F14069" s="13"/>
      <c r="M14069" s="13"/>
    </row>
    <row r="14070">
      <c r="F14070" s="13"/>
      <c r="M14070" s="13"/>
    </row>
    <row r="14071">
      <c r="F14071" s="13"/>
      <c r="M14071" s="13"/>
    </row>
    <row r="14072">
      <c r="F14072" s="13"/>
      <c r="M14072" s="13"/>
    </row>
    <row r="14073">
      <c r="F14073" s="13"/>
      <c r="M14073" s="13"/>
    </row>
    <row r="14074">
      <c r="F14074" s="13"/>
      <c r="M14074" s="13"/>
    </row>
    <row r="14075">
      <c r="F14075" s="13"/>
      <c r="M14075" s="13"/>
    </row>
    <row r="14076">
      <c r="F14076" s="13"/>
      <c r="M14076" s="13"/>
    </row>
    <row r="14077">
      <c r="F14077" s="13"/>
      <c r="M14077" s="13"/>
    </row>
    <row r="14078">
      <c r="F14078" s="13"/>
      <c r="M14078" s="13"/>
    </row>
    <row r="14079">
      <c r="F14079" s="13"/>
      <c r="M14079" s="13"/>
    </row>
    <row r="14080">
      <c r="F14080" s="13"/>
      <c r="M14080" s="13"/>
    </row>
    <row r="14081">
      <c r="F14081" s="13"/>
      <c r="M14081" s="13"/>
    </row>
    <row r="14082">
      <c r="F14082" s="13"/>
      <c r="M14082" s="13"/>
    </row>
    <row r="14083">
      <c r="F14083" s="13"/>
      <c r="M14083" s="13"/>
    </row>
    <row r="14084">
      <c r="F14084" s="13"/>
      <c r="M14084" s="13"/>
    </row>
    <row r="14085">
      <c r="F14085" s="13"/>
      <c r="M14085" s="13"/>
    </row>
    <row r="14086">
      <c r="F14086" s="13"/>
      <c r="M14086" s="13"/>
    </row>
    <row r="14087">
      <c r="F14087" s="13"/>
      <c r="M14087" s="13"/>
    </row>
    <row r="14088">
      <c r="F14088" s="13"/>
      <c r="M14088" s="13"/>
    </row>
    <row r="14089">
      <c r="F14089" s="13"/>
      <c r="M14089" s="13"/>
    </row>
    <row r="14090">
      <c r="F14090" s="13"/>
      <c r="M14090" s="13"/>
    </row>
    <row r="14091">
      <c r="F14091" s="13"/>
      <c r="M14091" s="13"/>
    </row>
    <row r="14092">
      <c r="F14092" s="13"/>
      <c r="M14092" s="13"/>
    </row>
    <row r="14093">
      <c r="F14093" s="13"/>
      <c r="M14093" s="13"/>
    </row>
    <row r="14094">
      <c r="F14094" s="13"/>
      <c r="M14094" s="13"/>
    </row>
    <row r="14095">
      <c r="F14095" s="13"/>
      <c r="M14095" s="13"/>
    </row>
    <row r="14096">
      <c r="F14096" s="13"/>
      <c r="M14096" s="13"/>
    </row>
    <row r="14097">
      <c r="F14097" s="13"/>
      <c r="M14097" s="13"/>
    </row>
    <row r="14098">
      <c r="F14098" s="13"/>
      <c r="M14098" s="13"/>
    </row>
    <row r="14099">
      <c r="F14099" s="13"/>
      <c r="M14099" s="13"/>
    </row>
    <row r="14100">
      <c r="F14100" s="13"/>
      <c r="M14100" s="13"/>
    </row>
    <row r="14101">
      <c r="F14101" s="13"/>
      <c r="M14101" s="13"/>
    </row>
    <row r="14102">
      <c r="F14102" s="13"/>
      <c r="M14102" s="13"/>
    </row>
    <row r="14103">
      <c r="F14103" s="13"/>
      <c r="M14103" s="13"/>
    </row>
    <row r="14104">
      <c r="F14104" s="13"/>
      <c r="M14104" s="13"/>
    </row>
    <row r="14105">
      <c r="F14105" s="13"/>
      <c r="M14105" s="13"/>
    </row>
    <row r="14106">
      <c r="F14106" s="13"/>
      <c r="M14106" s="13"/>
    </row>
    <row r="14107">
      <c r="F14107" s="13"/>
      <c r="M14107" s="13"/>
    </row>
    <row r="14108">
      <c r="F14108" s="13"/>
      <c r="M14108" s="13"/>
    </row>
    <row r="14109">
      <c r="F14109" s="13"/>
      <c r="M14109" s="13"/>
    </row>
    <row r="14110">
      <c r="F14110" s="13"/>
      <c r="M14110" s="13"/>
    </row>
    <row r="14111">
      <c r="F14111" s="13"/>
      <c r="M14111" s="13"/>
    </row>
    <row r="14112">
      <c r="F14112" s="13"/>
      <c r="M14112" s="13"/>
    </row>
    <row r="14113">
      <c r="F14113" s="13"/>
      <c r="M14113" s="13"/>
    </row>
    <row r="14114">
      <c r="F14114" s="13"/>
      <c r="M14114" s="13"/>
    </row>
    <row r="14115">
      <c r="F14115" s="13"/>
      <c r="M14115" s="13"/>
    </row>
    <row r="14116">
      <c r="F14116" s="13"/>
      <c r="M14116" s="13"/>
    </row>
    <row r="14117">
      <c r="F14117" s="13"/>
      <c r="M14117" s="13"/>
    </row>
    <row r="14118">
      <c r="F14118" s="13"/>
      <c r="M14118" s="13"/>
    </row>
    <row r="14119">
      <c r="F14119" s="13"/>
      <c r="M14119" s="13"/>
    </row>
    <row r="14120">
      <c r="F14120" s="13"/>
      <c r="M14120" s="13"/>
    </row>
    <row r="14121">
      <c r="F14121" s="13"/>
      <c r="M14121" s="13"/>
    </row>
    <row r="14122">
      <c r="F14122" s="13"/>
      <c r="M14122" s="13"/>
    </row>
    <row r="14123">
      <c r="F14123" s="13"/>
      <c r="M14123" s="13"/>
    </row>
    <row r="14124">
      <c r="F14124" s="13"/>
      <c r="M14124" s="13"/>
    </row>
    <row r="14125">
      <c r="F14125" s="13"/>
      <c r="M14125" s="13"/>
    </row>
    <row r="14126">
      <c r="F14126" s="13"/>
      <c r="M14126" s="13"/>
    </row>
    <row r="14127">
      <c r="F14127" s="13"/>
      <c r="M14127" s="13"/>
    </row>
    <row r="14128">
      <c r="F14128" s="13"/>
      <c r="M14128" s="13"/>
    </row>
    <row r="14129">
      <c r="F14129" s="13"/>
      <c r="M14129" s="13"/>
    </row>
    <row r="14130">
      <c r="F14130" s="13"/>
      <c r="M14130" s="13"/>
    </row>
    <row r="14131">
      <c r="F14131" s="13"/>
      <c r="M14131" s="13"/>
    </row>
    <row r="14132">
      <c r="F14132" s="13"/>
      <c r="M14132" s="13"/>
    </row>
    <row r="14133">
      <c r="F14133" s="13"/>
      <c r="M14133" s="13"/>
    </row>
    <row r="14134">
      <c r="F14134" s="13"/>
      <c r="M14134" s="13"/>
    </row>
    <row r="14135">
      <c r="F14135" s="13"/>
      <c r="M14135" s="13"/>
    </row>
    <row r="14136">
      <c r="F14136" s="13"/>
      <c r="M14136" s="13"/>
    </row>
    <row r="14137">
      <c r="F14137" s="13"/>
      <c r="M14137" s="13"/>
    </row>
    <row r="14138">
      <c r="F14138" s="13"/>
      <c r="M14138" s="13"/>
    </row>
    <row r="14139">
      <c r="F14139" s="13"/>
      <c r="M14139" s="13"/>
    </row>
    <row r="14140">
      <c r="F14140" s="13"/>
      <c r="M14140" s="13"/>
    </row>
    <row r="14141">
      <c r="F14141" s="13"/>
      <c r="M14141" s="13"/>
    </row>
    <row r="14142">
      <c r="F14142" s="13"/>
      <c r="M14142" s="13"/>
    </row>
    <row r="14143">
      <c r="F14143" s="13"/>
      <c r="M14143" s="13"/>
    </row>
    <row r="14144">
      <c r="F14144" s="13"/>
      <c r="M14144" s="13"/>
    </row>
    <row r="14145">
      <c r="F14145" s="13"/>
      <c r="M14145" s="13"/>
    </row>
    <row r="14146">
      <c r="F14146" s="13"/>
      <c r="M14146" s="13"/>
    </row>
    <row r="14147">
      <c r="F14147" s="13"/>
      <c r="M14147" s="13"/>
    </row>
    <row r="14148">
      <c r="F14148" s="13"/>
      <c r="M14148" s="13"/>
    </row>
    <row r="14149">
      <c r="F14149" s="13"/>
      <c r="M14149" s="13"/>
    </row>
    <row r="14150">
      <c r="F14150" s="13"/>
      <c r="M14150" s="13"/>
    </row>
    <row r="14151">
      <c r="F14151" s="13"/>
      <c r="M14151" s="13"/>
    </row>
    <row r="14152">
      <c r="F14152" s="13"/>
      <c r="M14152" s="13"/>
    </row>
    <row r="14153">
      <c r="F14153" s="13"/>
      <c r="M14153" s="13"/>
    </row>
    <row r="14154">
      <c r="F14154" s="13"/>
      <c r="M14154" s="13"/>
    </row>
    <row r="14155">
      <c r="F14155" s="13"/>
      <c r="M14155" s="13"/>
    </row>
    <row r="14156">
      <c r="F14156" s="13"/>
      <c r="M14156" s="13"/>
    </row>
    <row r="14157">
      <c r="F14157" s="13"/>
      <c r="M14157" s="13"/>
    </row>
    <row r="14158">
      <c r="F14158" s="13"/>
      <c r="M14158" s="13"/>
    </row>
    <row r="14159">
      <c r="F14159" s="13"/>
      <c r="M14159" s="13"/>
    </row>
    <row r="14160">
      <c r="F14160" s="13"/>
      <c r="M14160" s="13"/>
    </row>
    <row r="14161">
      <c r="F14161" s="13"/>
      <c r="M14161" s="13"/>
    </row>
    <row r="14162">
      <c r="F14162" s="13"/>
      <c r="M14162" s="13"/>
    </row>
    <row r="14163">
      <c r="F14163" s="13"/>
      <c r="M14163" s="13"/>
    </row>
    <row r="14164">
      <c r="F14164" s="13"/>
      <c r="M14164" s="13"/>
    </row>
    <row r="14165">
      <c r="F14165" s="13"/>
      <c r="M14165" s="13"/>
    </row>
    <row r="14166">
      <c r="F14166" s="13"/>
      <c r="M14166" s="13"/>
    </row>
    <row r="14167">
      <c r="F14167" s="13"/>
      <c r="M14167" s="13"/>
    </row>
    <row r="14168">
      <c r="F14168" s="13"/>
      <c r="M14168" s="13"/>
    </row>
    <row r="14169">
      <c r="F14169" s="13"/>
      <c r="M14169" s="13"/>
    </row>
    <row r="14170">
      <c r="F14170" s="13"/>
      <c r="M14170" s="13"/>
    </row>
    <row r="14171">
      <c r="F14171" s="13"/>
      <c r="M14171" s="13"/>
    </row>
    <row r="14172">
      <c r="F14172" s="13"/>
      <c r="M14172" s="13"/>
    </row>
    <row r="14173">
      <c r="F14173" s="13"/>
      <c r="M14173" s="13"/>
    </row>
    <row r="14174">
      <c r="F14174" s="13"/>
      <c r="M14174" s="13"/>
    </row>
    <row r="14175">
      <c r="F14175" s="13"/>
      <c r="M14175" s="13"/>
    </row>
    <row r="14176">
      <c r="F14176" s="13"/>
      <c r="M14176" s="13"/>
    </row>
    <row r="14177">
      <c r="F14177" s="13"/>
      <c r="M14177" s="13"/>
    </row>
    <row r="14178">
      <c r="F14178" s="13"/>
      <c r="M14178" s="13"/>
    </row>
    <row r="14179">
      <c r="F14179" s="13"/>
      <c r="M14179" s="13"/>
    </row>
    <row r="14180">
      <c r="F14180" s="13"/>
      <c r="M14180" s="13"/>
    </row>
    <row r="14181">
      <c r="F14181" s="13"/>
      <c r="M14181" s="13"/>
    </row>
    <row r="14182">
      <c r="F14182" s="13"/>
      <c r="M14182" s="13"/>
    </row>
    <row r="14183">
      <c r="F14183" s="13"/>
      <c r="M14183" s="13"/>
    </row>
    <row r="14184">
      <c r="F14184" s="13"/>
      <c r="M14184" s="13"/>
    </row>
    <row r="14185">
      <c r="F14185" s="13"/>
      <c r="M14185" s="13"/>
    </row>
    <row r="14186">
      <c r="F14186" s="13"/>
      <c r="M14186" s="13"/>
    </row>
    <row r="14187">
      <c r="F14187" s="13"/>
      <c r="M14187" s="13"/>
    </row>
    <row r="14188">
      <c r="F14188" s="13"/>
      <c r="M14188" s="13"/>
    </row>
    <row r="14189">
      <c r="F14189" s="13"/>
      <c r="M14189" s="13"/>
    </row>
    <row r="14190">
      <c r="F14190" s="13"/>
      <c r="M14190" s="13"/>
    </row>
    <row r="14191">
      <c r="F14191" s="13"/>
      <c r="M14191" s="13"/>
    </row>
    <row r="14192">
      <c r="F14192" s="13"/>
      <c r="M14192" s="13"/>
    </row>
    <row r="14193">
      <c r="F14193" s="13"/>
      <c r="M14193" s="13"/>
    </row>
    <row r="14194">
      <c r="F14194" s="13"/>
      <c r="M14194" s="13"/>
    </row>
    <row r="14195">
      <c r="F14195" s="13"/>
      <c r="M14195" s="13"/>
    </row>
    <row r="14196">
      <c r="F14196" s="13"/>
      <c r="M14196" s="13"/>
    </row>
    <row r="14197">
      <c r="F14197" s="13"/>
      <c r="M14197" s="13"/>
    </row>
    <row r="14198">
      <c r="F14198" s="13"/>
      <c r="M14198" s="13"/>
    </row>
    <row r="14199">
      <c r="F14199" s="13"/>
      <c r="M14199" s="13"/>
    </row>
    <row r="14200">
      <c r="F14200" s="13"/>
      <c r="M14200" s="13"/>
    </row>
    <row r="14201">
      <c r="F14201" s="13"/>
      <c r="M14201" s="13"/>
    </row>
    <row r="14202">
      <c r="F14202" s="13"/>
      <c r="M14202" s="13"/>
    </row>
    <row r="14203">
      <c r="F14203" s="13"/>
      <c r="M14203" s="13"/>
    </row>
    <row r="14204">
      <c r="F14204" s="13"/>
      <c r="M14204" s="13"/>
    </row>
    <row r="14205">
      <c r="F14205" s="13"/>
      <c r="M14205" s="13"/>
    </row>
    <row r="14206">
      <c r="F14206" s="13"/>
      <c r="M14206" s="13"/>
    </row>
    <row r="14207">
      <c r="F14207" s="13"/>
      <c r="M14207" s="13"/>
    </row>
    <row r="14208">
      <c r="F14208" s="13"/>
      <c r="M14208" s="13"/>
    </row>
    <row r="14209">
      <c r="F14209" s="13"/>
      <c r="M14209" s="13"/>
    </row>
    <row r="14210">
      <c r="F14210" s="13"/>
      <c r="M14210" s="13"/>
    </row>
    <row r="14211">
      <c r="F14211" s="13"/>
      <c r="M14211" s="13"/>
    </row>
    <row r="14212">
      <c r="F14212" s="13"/>
      <c r="M14212" s="13"/>
    </row>
    <row r="14213">
      <c r="F14213" s="13"/>
      <c r="M14213" s="13"/>
    </row>
    <row r="14214">
      <c r="F14214" s="13"/>
      <c r="M14214" s="13"/>
    </row>
    <row r="14215">
      <c r="F14215" s="13"/>
      <c r="M14215" s="13"/>
    </row>
    <row r="14216">
      <c r="F14216" s="13"/>
      <c r="M14216" s="13"/>
    </row>
    <row r="14217">
      <c r="F14217" s="13"/>
      <c r="M14217" s="13"/>
    </row>
    <row r="14218">
      <c r="F14218" s="13"/>
      <c r="M14218" s="13"/>
    </row>
    <row r="14219">
      <c r="F14219" s="13"/>
      <c r="M14219" s="13"/>
    </row>
    <row r="14220">
      <c r="F14220" s="13"/>
      <c r="M14220" s="13"/>
    </row>
    <row r="14221">
      <c r="F14221" s="13"/>
      <c r="M14221" s="13"/>
    </row>
    <row r="14222">
      <c r="F14222" s="13"/>
      <c r="M14222" s="13"/>
    </row>
    <row r="14223">
      <c r="F14223" s="13"/>
      <c r="M14223" s="13"/>
    </row>
    <row r="14224">
      <c r="F14224" s="13"/>
      <c r="M14224" s="13"/>
    </row>
    <row r="14225">
      <c r="F14225" s="13"/>
      <c r="M14225" s="13"/>
    </row>
    <row r="14226">
      <c r="F14226" s="13"/>
      <c r="M14226" s="13"/>
    </row>
    <row r="14227">
      <c r="F14227" s="13"/>
      <c r="M14227" s="13"/>
    </row>
    <row r="14228">
      <c r="F14228" s="13"/>
      <c r="M14228" s="13"/>
    </row>
    <row r="14229">
      <c r="F14229" s="13"/>
      <c r="M14229" s="13"/>
    </row>
    <row r="14230">
      <c r="F14230" s="13"/>
      <c r="M14230" s="13"/>
    </row>
    <row r="14231">
      <c r="F14231" s="13"/>
      <c r="M14231" s="13"/>
    </row>
    <row r="14232">
      <c r="F14232" s="13"/>
      <c r="M14232" s="13"/>
    </row>
    <row r="14233">
      <c r="F14233" s="13"/>
      <c r="M14233" s="13"/>
    </row>
    <row r="14234">
      <c r="F14234" s="13"/>
      <c r="M14234" s="13"/>
    </row>
    <row r="14235">
      <c r="F14235" s="13"/>
      <c r="M14235" s="13"/>
    </row>
    <row r="14236">
      <c r="F14236" s="13"/>
      <c r="M14236" s="13"/>
    </row>
    <row r="14237">
      <c r="F14237" s="13"/>
      <c r="M14237" s="13"/>
    </row>
    <row r="14238">
      <c r="F14238" s="13"/>
      <c r="M14238" s="13"/>
    </row>
    <row r="14239">
      <c r="F14239" s="13"/>
      <c r="M14239" s="13"/>
    </row>
    <row r="14240">
      <c r="F14240" s="13"/>
      <c r="M14240" s="13"/>
    </row>
    <row r="14241">
      <c r="F14241" s="13"/>
      <c r="M14241" s="13"/>
    </row>
    <row r="14242">
      <c r="F14242" s="13"/>
      <c r="M14242" s="13"/>
    </row>
    <row r="14243">
      <c r="F14243" s="13"/>
      <c r="M14243" s="13"/>
    </row>
    <row r="14244">
      <c r="F14244" s="13"/>
      <c r="M14244" s="13"/>
    </row>
    <row r="14245">
      <c r="F14245" s="13"/>
      <c r="M14245" s="13"/>
    </row>
    <row r="14246">
      <c r="F14246" s="13"/>
      <c r="M14246" s="13"/>
    </row>
    <row r="14247">
      <c r="F14247" s="13"/>
      <c r="M14247" s="13"/>
    </row>
    <row r="14248">
      <c r="F14248" s="13"/>
      <c r="M14248" s="13"/>
    </row>
    <row r="14249">
      <c r="F14249" s="13"/>
      <c r="M14249" s="13"/>
    </row>
    <row r="14250">
      <c r="F14250" s="13"/>
      <c r="M14250" s="13"/>
    </row>
    <row r="14251">
      <c r="F14251" s="13"/>
      <c r="M14251" s="13"/>
    </row>
    <row r="14252">
      <c r="F14252" s="13"/>
      <c r="M14252" s="13"/>
    </row>
    <row r="14253">
      <c r="F14253" s="13"/>
      <c r="M14253" s="13"/>
    </row>
    <row r="14254">
      <c r="F14254" s="13"/>
      <c r="M14254" s="13"/>
    </row>
    <row r="14255">
      <c r="F14255" s="13"/>
      <c r="M14255" s="13"/>
    </row>
    <row r="14256">
      <c r="F14256" s="13"/>
      <c r="M14256" s="13"/>
    </row>
    <row r="14257">
      <c r="F14257" s="13"/>
      <c r="M14257" s="13"/>
    </row>
    <row r="14258">
      <c r="F14258" s="13"/>
      <c r="M14258" s="13"/>
    </row>
    <row r="14259">
      <c r="F14259" s="13"/>
      <c r="M14259" s="13"/>
    </row>
    <row r="14260">
      <c r="F14260" s="13"/>
      <c r="M14260" s="13"/>
    </row>
    <row r="14261">
      <c r="F14261" s="13"/>
      <c r="M14261" s="13"/>
    </row>
    <row r="14262">
      <c r="F14262" s="13"/>
      <c r="M14262" s="13"/>
    </row>
    <row r="14263">
      <c r="F14263" s="13"/>
      <c r="M14263" s="13"/>
    </row>
    <row r="14264">
      <c r="F14264" s="13"/>
      <c r="M14264" s="13"/>
    </row>
    <row r="14265">
      <c r="F14265" s="13"/>
      <c r="M14265" s="13"/>
    </row>
    <row r="14266">
      <c r="F14266" s="13"/>
      <c r="M14266" s="13"/>
    </row>
    <row r="14267">
      <c r="F14267" s="13"/>
      <c r="M14267" s="13"/>
    </row>
    <row r="14268">
      <c r="F14268" s="13"/>
      <c r="M14268" s="13"/>
    </row>
    <row r="14269">
      <c r="F14269" s="13"/>
      <c r="M14269" s="13"/>
    </row>
    <row r="14270">
      <c r="F14270" s="13"/>
      <c r="M14270" s="13"/>
    </row>
    <row r="14271">
      <c r="F14271" s="13"/>
      <c r="M14271" s="13"/>
    </row>
    <row r="14272">
      <c r="F14272" s="13"/>
      <c r="M14272" s="13"/>
    </row>
    <row r="14273">
      <c r="F14273" s="13"/>
      <c r="M14273" s="13"/>
    </row>
    <row r="14274">
      <c r="F14274" s="13"/>
      <c r="M14274" s="13"/>
    </row>
    <row r="14275">
      <c r="F14275" s="13"/>
      <c r="M14275" s="13"/>
    </row>
    <row r="14276">
      <c r="F14276" s="13"/>
      <c r="M14276" s="13"/>
    </row>
    <row r="14277">
      <c r="F14277" s="13"/>
      <c r="M14277" s="13"/>
    </row>
    <row r="14278">
      <c r="F14278" s="13"/>
      <c r="M14278" s="13"/>
    </row>
    <row r="14279">
      <c r="F14279" s="13"/>
      <c r="M14279" s="13"/>
    </row>
    <row r="14280">
      <c r="F14280" s="13"/>
      <c r="M14280" s="13"/>
    </row>
    <row r="14281">
      <c r="F14281" s="13"/>
      <c r="M14281" s="13"/>
    </row>
    <row r="14282">
      <c r="F14282" s="13"/>
      <c r="M14282" s="13"/>
    </row>
    <row r="14283">
      <c r="F14283" s="13"/>
      <c r="M14283" s="13"/>
    </row>
    <row r="14284">
      <c r="F14284" s="13"/>
      <c r="M14284" s="13"/>
    </row>
    <row r="14285">
      <c r="F14285" s="13"/>
      <c r="M14285" s="13"/>
    </row>
    <row r="14286">
      <c r="F14286" s="13"/>
      <c r="M14286" s="13"/>
    </row>
    <row r="14287">
      <c r="F14287" s="13"/>
      <c r="M14287" s="13"/>
    </row>
    <row r="14288">
      <c r="F14288" s="13"/>
      <c r="M14288" s="13"/>
    </row>
    <row r="14289">
      <c r="F14289" s="13"/>
      <c r="M14289" s="13"/>
    </row>
    <row r="14290">
      <c r="F14290" s="13"/>
      <c r="M14290" s="13"/>
    </row>
    <row r="14291">
      <c r="F14291" s="13"/>
      <c r="M14291" s="13"/>
    </row>
    <row r="14292">
      <c r="F14292" s="13"/>
      <c r="M14292" s="13"/>
    </row>
    <row r="14293">
      <c r="F14293" s="13"/>
      <c r="M14293" s="13"/>
    </row>
    <row r="14294">
      <c r="F14294" s="13"/>
      <c r="M14294" s="13"/>
    </row>
    <row r="14295">
      <c r="F14295" s="13"/>
      <c r="M14295" s="13"/>
    </row>
    <row r="14296">
      <c r="F14296" s="13"/>
      <c r="M14296" s="13"/>
    </row>
    <row r="14297">
      <c r="F14297" s="13"/>
      <c r="M14297" s="13"/>
    </row>
    <row r="14298">
      <c r="F14298" s="13"/>
      <c r="M14298" s="13"/>
    </row>
    <row r="14299">
      <c r="F14299" s="13"/>
      <c r="M14299" s="13"/>
    </row>
    <row r="14300">
      <c r="F14300" s="13"/>
      <c r="M14300" s="13"/>
    </row>
    <row r="14301">
      <c r="F14301" s="13"/>
      <c r="M14301" s="13"/>
    </row>
    <row r="14302">
      <c r="F14302" s="13"/>
      <c r="M14302" s="13"/>
    </row>
    <row r="14303">
      <c r="F14303" s="13"/>
      <c r="M14303" s="13"/>
    </row>
    <row r="14304">
      <c r="F14304" s="13"/>
      <c r="M14304" s="13"/>
    </row>
    <row r="14305">
      <c r="F14305" s="13"/>
      <c r="M14305" s="13"/>
    </row>
    <row r="14306">
      <c r="F14306" s="13"/>
      <c r="M14306" s="13"/>
    </row>
    <row r="14307">
      <c r="F14307" s="13"/>
      <c r="M14307" s="13"/>
    </row>
    <row r="14308">
      <c r="F14308" s="13"/>
      <c r="M14308" s="13"/>
    </row>
    <row r="14309">
      <c r="F14309" s="13"/>
      <c r="M14309" s="13"/>
    </row>
    <row r="14310">
      <c r="F14310" s="13"/>
      <c r="M14310" s="13"/>
    </row>
    <row r="14311">
      <c r="F14311" s="13"/>
      <c r="M14311" s="13"/>
    </row>
    <row r="14312">
      <c r="F14312" s="13"/>
      <c r="M14312" s="13"/>
    </row>
    <row r="14313">
      <c r="F14313" s="13"/>
      <c r="M14313" s="13"/>
    </row>
    <row r="14314">
      <c r="F14314" s="13"/>
      <c r="M14314" s="13"/>
    </row>
    <row r="14315">
      <c r="F14315" s="13"/>
      <c r="M14315" s="13"/>
    </row>
    <row r="14316">
      <c r="F14316" s="13"/>
      <c r="M14316" s="13"/>
    </row>
    <row r="14317">
      <c r="F14317" s="13"/>
      <c r="M14317" s="13"/>
    </row>
    <row r="14318">
      <c r="F14318" s="13"/>
      <c r="M14318" s="13"/>
    </row>
    <row r="14319">
      <c r="F14319" s="13"/>
      <c r="M14319" s="13"/>
    </row>
    <row r="14320">
      <c r="F14320" s="13"/>
      <c r="M14320" s="13"/>
    </row>
    <row r="14321">
      <c r="F14321" s="13"/>
      <c r="M14321" s="13"/>
    </row>
    <row r="14322">
      <c r="F14322" s="13"/>
      <c r="M14322" s="13"/>
    </row>
    <row r="14323">
      <c r="F14323" s="13"/>
      <c r="M14323" s="13"/>
    </row>
    <row r="14324">
      <c r="F14324" s="13"/>
      <c r="M14324" s="13"/>
    </row>
    <row r="14325">
      <c r="F14325" s="13"/>
      <c r="M14325" s="13"/>
    </row>
    <row r="14326">
      <c r="F14326" s="13"/>
      <c r="M14326" s="13"/>
    </row>
    <row r="14327">
      <c r="F14327" s="13"/>
      <c r="M14327" s="13"/>
    </row>
    <row r="14328">
      <c r="F14328" s="13"/>
      <c r="M14328" s="13"/>
    </row>
    <row r="14329">
      <c r="F14329" s="13"/>
      <c r="M14329" s="13"/>
    </row>
    <row r="14330">
      <c r="F14330" s="13"/>
      <c r="M14330" s="13"/>
    </row>
    <row r="14331">
      <c r="F14331" s="13"/>
      <c r="M14331" s="13"/>
    </row>
    <row r="14332">
      <c r="F14332" s="13"/>
      <c r="M14332" s="13"/>
    </row>
    <row r="14333">
      <c r="F14333" s="13"/>
      <c r="M14333" s="13"/>
    </row>
    <row r="14334">
      <c r="F14334" s="13"/>
      <c r="M14334" s="13"/>
    </row>
    <row r="14335">
      <c r="F14335" s="13"/>
      <c r="M14335" s="13"/>
    </row>
    <row r="14336">
      <c r="F14336" s="13"/>
      <c r="M14336" s="13"/>
    </row>
    <row r="14337">
      <c r="F14337" s="13"/>
      <c r="M14337" s="13"/>
    </row>
    <row r="14338">
      <c r="F14338" s="13"/>
      <c r="M14338" s="13"/>
    </row>
    <row r="14339">
      <c r="F14339" s="13"/>
      <c r="M14339" s="13"/>
    </row>
    <row r="14340">
      <c r="F14340" s="13"/>
      <c r="M14340" s="13"/>
    </row>
    <row r="14341">
      <c r="F14341" s="13"/>
      <c r="M14341" s="13"/>
    </row>
    <row r="14342">
      <c r="F14342" s="13"/>
      <c r="M14342" s="13"/>
    </row>
    <row r="14343">
      <c r="F14343" s="13"/>
      <c r="M14343" s="13"/>
    </row>
    <row r="14344">
      <c r="F14344" s="13"/>
      <c r="M14344" s="13"/>
    </row>
    <row r="14345">
      <c r="F14345" s="13"/>
      <c r="M14345" s="13"/>
    </row>
    <row r="14346">
      <c r="F14346" s="13"/>
      <c r="M14346" s="13"/>
    </row>
    <row r="14347">
      <c r="F14347" s="13"/>
      <c r="M14347" s="13"/>
    </row>
    <row r="14348">
      <c r="F14348" s="13"/>
      <c r="M14348" s="13"/>
    </row>
    <row r="14349">
      <c r="F14349" s="13"/>
      <c r="M14349" s="13"/>
    </row>
    <row r="14350">
      <c r="F14350" s="13"/>
      <c r="M14350" s="13"/>
    </row>
    <row r="14351">
      <c r="F14351" s="13"/>
      <c r="M14351" s="13"/>
    </row>
    <row r="14352">
      <c r="F14352" s="13"/>
      <c r="M14352" s="13"/>
    </row>
    <row r="14353">
      <c r="F14353" s="13"/>
      <c r="M14353" s="13"/>
    </row>
    <row r="14354">
      <c r="F14354" s="13"/>
      <c r="M14354" s="13"/>
    </row>
    <row r="14355">
      <c r="F14355" s="13"/>
      <c r="M14355" s="13"/>
    </row>
    <row r="14356">
      <c r="F14356" s="13"/>
      <c r="M14356" s="13"/>
    </row>
    <row r="14357">
      <c r="F14357" s="13"/>
      <c r="M14357" s="13"/>
    </row>
    <row r="14358">
      <c r="F14358" s="13"/>
      <c r="M14358" s="13"/>
    </row>
    <row r="14359">
      <c r="F14359" s="13"/>
      <c r="M14359" s="13"/>
    </row>
    <row r="14360">
      <c r="F14360" s="13"/>
      <c r="M14360" s="13"/>
    </row>
    <row r="14361">
      <c r="F14361" s="13"/>
      <c r="M14361" s="13"/>
    </row>
    <row r="14362">
      <c r="F14362" s="13"/>
      <c r="M14362" s="13"/>
    </row>
    <row r="14363">
      <c r="F14363" s="13"/>
      <c r="M14363" s="13"/>
    </row>
    <row r="14364">
      <c r="F14364" s="13"/>
      <c r="M14364" s="13"/>
    </row>
    <row r="14365">
      <c r="F14365" s="13"/>
      <c r="M14365" s="13"/>
    </row>
    <row r="14366">
      <c r="F14366" s="13"/>
      <c r="M14366" s="13"/>
    </row>
    <row r="14367">
      <c r="F14367" s="13"/>
      <c r="M14367" s="13"/>
    </row>
    <row r="14368">
      <c r="F14368" s="13"/>
      <c r="M14368" s="13"/>
    </row>
    <row r="14369">
      <c r="F14369" s="13"/>
      <c r="M14369" s="13"/>
    </row>
    <row r="14370">
      <c r="F14370" s="13"/>
      <c r="M14370" s="13"/>
    </row>
    <row r="14371">
      <c r="F14371" s="13"/>
      <c r="M14371" s="13"/>
    </row>
    <row r="14372">
      <c r="F14372" s="13"/>
      <c r="M14372" s="13"/>
    </row>
    <row r="14373">
      <c r="F14373" s="13"/>
      <c r="M14373" s="13"/>
    </row>
    <row r="14374">
      <c r="F14374" s="13"/>
      <c r="M14374" s="13"/>
    </row>
    <row r="14375">
      <c r="F14375" s="13"/>
      <c r="M14375" s="13"/>
    </row>
    <row r="14376">
      <c r="F14376" s="13"/>
      <c r="M14376" s="13"/>
    </row>
    <row r="14377">
      <c r="F14377" s="13"/>
      <c r="M14377" s="13"/>
    </row>
    <row r="14378">
      <c r="F14378" s="13"/>
      <c r="M14378" s="13"/>
    </row>
    <row r="14379">
      <c r="F14379" s="13"/>
      <c r="M14379" s="13"/>
    </row>
    <row r="14380">
      <c r="F14380" s="13"/>
      <c r="M14380" s="13"/>
    </row>
    <row r="14381">
      <c r="F14381" s="13"/>
      <c r="M14381" s="13"/>
    </row>
    <row r="14382">
      <c r="F14382" s="13"/>
      <c r="M14382" s="13"/>
    </row>
    <row r="14383">
      <c r="F14383" s="13"/>
      <c r="M14383" s="13"/>
    </row>
    <row r="14384">
      <c r="F14384" s="13"/>
      <c r="M14384" s="13"/>
    </row>
    <row r="14385">
      <c r="F14385" s="13"/>
      <c r="M14385" s="13"/>
    </row>
    <row r="14386">
      <c r="F14386" s="13"/>
      <c r="M14386" s="13"/>
    </row>
    <row r="14387">
      <c r="F14387" s="13"/>
      <c r="M14387" s="13"/>
    </row>
    <row r="14388">
      <c r="F14388" s="13"/>
      <c r="M14388" s="13"/>
    </row>
    <row r="14389">
      <c r="F14389" s="13"/>
      <c r="M14389" s="13"/>
    </row>
    <row r="14390">
      <c r="F14390" s="13"/>
      <c r="M14390" s="13"/>
    </row>
    <row r="14391">
      <c r="F14391" s="13"/>
      <c r="M14391" s="13"/>
    </row>
    <row r="14392">
      <c r="F14392" s="13"/>
      <c r="M14392" s="13"/>
    </row>
    <row r="14393">
      <c r="F14393" s="13"/>
      <c r="M14393" s="13"/>
    </row>
    <row r="14394">
      <c r="F14394" s="13"/>
      <c r="M14394" s="13"/>
    </row>
    <row r="14395">
      <c r="F14395" s="13"/>
      <c r="M14395" s="13"/>
    </row>
    <row r="14396">
      <c r="F14396" s="13"/>
      <c r="M14396" s="13"/>
    </row>
    <row r="14397">
      <c r="F14397" s="13"/>
      <c r="M14397" s="13"/>
    </row>
    <row r="14398">
      <c r="F14398" s="13"/>
      <c r="M14398" s="13"/>
    </row>
    <row r="14399">
      <c r="F14399" s="13"/>
      <c r="M14399" s="13"/>
    </row>
    <row r="14400">
      <c r="F14400" s="13"/>
      <c r="M14400" s="13"/>
    </row>
    <row r="14401">
      <c r="F14401" s="13"/>
      <c r="M14401" s="13"/>
    </row>
    <row r="14402">
      <c r="F14402" s="13"/>
      <c r="M14402" s="13"/>
    </row>
    <row r="14403">
      <c r="F14403" s="13"/>
      <c r="M14403" s="13"/>
    </row>
    <row r="14404">
      <c r="F14404" s="13"/>
      <c r="M14404" s="13"/>
    </row>
    <row r="14405">
      <c r="F14405" s="13"/>
      <c r="M14405" s="13"/>
    </row>
    <row r="14406">
      <c r="F14406" s="13"/>
      <c r="M14406" s="13"/>
    </row>
    <row r="14407">
      <c r="F14407" s="13"/>
      <c r="M14407" s="13"/>
    </row>
    <row r="14408">
      <c r="F14408" s="13"/>
      <c r="M14408" s="13"/>
    </row>
    <row r="14409">
      <c r="F14409" s="13"/>
      <c r="M14409" s="13"/>
    </row>
    <row r="14410">
      <c r="F14410" s="13"/>
      <c r="M14410" s="13"/>
    </row>
    <row r="14411">
      <c r="F14411" s="13"/>
      <c r="M14411" s="13"/>
    </row>
    <row r="14412">
      <c r="F14412" s="13"/>
      <c r="M14412" s="13"/>
    </row>
    <row r="14413">
      <c r="F14413" s="13"/>
      <c r="M14413" s="13"/>
    </row>
    <row r="14414">
      <c r="F14414" s="13"/>
      <c r="M14414" s="13"/>
    </row>
    <row r="14415">
      <c r="F14415" s="13"/>
      <c r="M14415" s="13"/>
    </row>
    <row r="14416">
      <c r="F14416" s="13"/>
      <c r="M14416" s="13"/>
    </row>
    <row r="14417">
      <c r="F14417" s="13"/>
      <c r="M14417" s="13"/>
    </row>
    <row r="14418">
      <c r="F14418" s="13"/>
      <c r="M14418" s="13"/>
    </row>
    <row r="14419">
      <c r="F14419" s="13"/>
      <c r="M14419" s="13"/>
    </row>
    <row r="14420">
      <c r="F14420" s="13"/>
      <c r="M14420" s="13"/>
    </row>
    <row r="14421">
      <c r="F14421" s="13"/>
      <c r="M14421" s="13"/>
    </row>
    <row r="14422">
      <c r="F14422" s="13"/>
      <c r="M14422" s="13"/>
    </row>
    <row r="14423">
      <c r="F14423" s="13"/>
      <c r="M14423" s="13"/>
    </row>
    <row r="14424">
      <c r="F14424" s="13"/>
      <c r="M14424" s="13"/>
    </row>
    <row r="14425">
      <c r="F14425" s="13"/>
      <c r="M14425" s="13"/>
    </row>
    <row r="14426">
      <c r="F14426" s="13"/>
      <c r="M14426" s="13"/>
    </row>
    <row r="14427">
      <c r="F14427" s="13"/>
      <c r="M14427" s="13"/>
    </row>
    <row r="14428">
      <c r="F14428" s="13"/>
      <c r="M14428" s="13"/>
    </row>
    <row r="14429">
      <c r="F14429" s="13"/>
      <c r="M14429" s="13"/>
    </row>
    <row r="14430">
      <c r="F14430" s="13"/>
      <c r="M14430" s="13"/>
    </row>
    <row r="14431">
      <c r="F14431" s="13"/>
      <c r="M14431" s="13"/>
    </row>
    <row r="14432">
      <c r="F14432" s="13"/>
      <c r="M14432" s="13"/>
    </row>
    <row r="14433">
      <c r="F14433" s="13"/>
      <c r="M14433" s="13"/>
    </row>
    <row r="14434">
      <c r="F14434" s="13"/>
      <c r="M14434" s="13"/>
    </row>
    <row r="14435">
      <c r="F14435" s="13"/>
      <c r="M14435" s="13"/>
    </row>
    <row r="14436">
      <c r="F14436" s="13"/>
      <c r="M14436" s="13"/>
    </row>
    <row r="14437">
      <c r="F14437" s="13"/>
      <c r="M14437" s="13"/>
    </row>
    <row r="14438">
      <c r="F14438" s="13"/>
      <c r="M14438" s="13"/>
    </row>
    <row r="14439">
      <c r="F14439" s="13"/>
      <c r="M14439" s="13"/>
    </row>
    <row r="14440">
      <c r="F14440" s="13"/>
      <c r="M14440" s="13"/>
    </row>
    <row r="14441">
      <c r="F14441" s="13"/>
      <c r="M14441" s="13"/>
    </row>
    <row r="14442">
      <c r="F14442" s="13"/>
      <c r="M14442" s="13"/>
    </row>
    <row r="14443">
      <c r="F14443" s="13"/>
      <c r="M14443" s="13"/>
    </row>
    <row r="14444">
      <c r="F14444" s="13"/>
      <c r="M14444" s="13"/>
    </row>
    <row r="14445">
      <c r="F14445" s="13"/>
      <c r="M14445" s="13"/>
    </row>
    <row r="14446">
      <c r="F14446" s="13"/>
      <c r="M14446" s="13"/>
    </row>
    <row r="14447">
      <c r="F14447" s="13"/>
      <c r="M14447" s="13"/>
    </row>
    <row r="14448">
      <c r="F14448" s="13"/>
      <c r="M14448" s="13"/>
    </row>
    <row r="14449">
      <c r="F14449" s="13"/>
      <c r="M14449" s="13"/>
    </row>
    <row r="14450">
      <c r="F14450" s="13"/>
      <c r="M14450" s="13"/>
    </row>
    <row r="14451">
      <c r="F14451" s="13"/>
      <c r="M14451" s="13"/>
    </row>
    <row r="14452">
      <c r="F14452" s="13"/>
      <c r="M14452" s="13"/>
    </row>
    <row r="14453">
      <c r="F14453" s="13"/>
      <c r="M14453" s="13"/>
    </row>
    <row r="14454">
      <c r="F14454" s="13"/>
      <c r="M14454" s="13"/>
    </row>
    <row r="14455">
      <c r="F14455" s="13"/>
      <c r="M14455" s="13"/>
    </row>
    <row r="14456">
      <c r="F14456" s="13"/>
      <c r="M14456" s="13"/>
    </row>
    <row r="14457">
      <c r="F14457" s="13"/>
      <c r="M14457" s="13"/>
    </row>
    <row r="14458">
      <c r="F14458" s="13"/>
      <c r="M14458" s="13"/>
    </row>
    <row r="14459">
      <c r="F14459" s="13"/>
      <c r="M14459" s="13"/>
    </row>
    <row r="14460">
      <c r="F14460" s="13"/>
      <c r="M14460" s="13"/>
    </row>
    <row r="14461">
      <c r="F14461" s="13"/>
      <c r="M14461" s="13"/>
    </row>
    <row r="14462">
      <c r="F14462" s="13"/>
      <c r="M14462" s="13"/>
    </row>
    <row r="14463">
      <c r="F14463" s="13"/>
      <c r="M14463" s="13"/>
    </row>
    <row r="14464">
      <c r="F14464" s="13"/>
      <c r="M14464" s="13"/>
    </row>
    <row r="14465">
      <c r="F14465" s="13"/>
      <c r="M14465" s="13"/>
    </row>
    <row r="14466">
      <c r="F14466" s="13"/>
      <c r="M14466" s="13"/>
    </row>
    <row r="14467">
      <c r="F14467" s="13"/>
      <c r="M14467" s="13"/>
    </row>
    <row r="14468">
      <c r="F14468" s="13"/>
      <c r="M14468" s="13"/>
    </row>
    <row r="14469">
      <c r="F14469" s="13"/>
      <c r="M14469" s="13"/>
    </row>
    <row r="14470">
      <c r="F14470" s="13"/>
      <c r="M14470" s="13"/>
    </row>
    <row r="14471">
      <c r="F14471" s="13"/>
      <c r="M14471" s="13"/>
    </row>
    <row r="14472">
      <c r="F14472" s="13"/>
      <c r="M14472" s="13"/>
    </row>
    <row r="14473">
      <c r="F14473" s="13"/>
      <c r="M14473" s="13"/>
    </row>
    <row r="14474">
      <c r="F14474" s="13"/>
      <c r="M14474" s="13"/>
    </row>
    <row r="14475">
      <c r="F14475" s="13"/>
      <c r="M14475" s="13"/>
    </row>
    <row r="14476">
      <c r="F14476" s="13"/>
      <c r="M14476" s="13"/>
    </row>
    <row r="14477">
      <c r="F14477" s="13"/>
      <c r="M14477" s="13"/>
    </row>
    <row r="14478">
      <c r="F14478" s="13"/>
      <c r="M14478" s="13"/>
    </row>
    <row r="14479">
      <c r="F14479" s="13"/>
      <c r="M14479" s="13"/>
    </row>
    <row r="14480">
      <c r="F14480" s="13"/>
      <c r="M14480" s="13"/>
    </row>
    <row r="14481">
      <c r="F14481" s="13"/>
      <c r="M14481" s="13"/>
    </row>
    <row r="14482">
      <c r="F14482" s="13"/>
      <c r="M14482" s="13"/>
    </row>
    <row r="14483">
      <c r="F14483" s="13"/>
      <c r="M14483" s="13"/>
    </row>
    <row r="14484">
      <c r="F14484" s="13"/>
      <c r="M14484" s="13"/>
    </row>
    <row r="14485">
      <c r="F14485" s="13"/>
      <c r="M14485" s="13"/>
    </row>
    <row r="14486">
      <c r="F14486" s="13"/>
      <c r="M14486" s="13"/>
    </row>
    <row r="14487">
      <c r="F14487" s="13"/>
      <c r="M14487" s="13"/>
    </row>
    <row r="14488">
      <c r="F14488" s="13"/>
      <c r="M14488" s="13"/>
    </row>
    <row r="14489">
      <c r="F14489" s="13"/>
      <c r="M14489" s="13"/>
    </row>
    <row r="14490">
      <c r="F14490" s="13"/>
      <c r="M14490" s="13"/>
    </row>
    <row r="14491">
      <c r="F14491" s="13"/>
      <c r="M14491" s="13"/>
    </row>
    <row r="14492">
      <c r="F14492" s="13"/>
      <c r="M14492" s="13"/>
    </row>
    <row r="14493">
      <c r="F14493" s="13"/>
      <c r="M14493" s="13"/>
    </row>
    <row r="14494">
      <c r="F14494" s="13"/>
      <c r="M14494" s="13"/>
    </row>
    <row r="14495">
      <c r="F14495" s="13"/>
      <c r="M14495" s="13"/>
    </row>
    <row r="14496">
      <c r="F14496" s="13"/>
      <c r="M14496" s="13"/>
    </row>
    <row r="14497">
      <c r="F14497" s="13"/>
      <c r="M14497" s="13"/>
    </row>
    <row r="14498">
      <c r="F14498" s="13"/>
      <c r="M14498" s="13"/>
    </row>
    <row r="14499">
      <c r="F14499" s="13"/>
      <c r="M14499" s="13"/>
    </row>
    <row r="14500">
      <c r="F14500" s="13"/>
      <c r="M14500" s="13"/>
    </row>
    <row r="14501">
      <c r="F14501" s="13"/>
      <c r="M14501" s="13"/>
    </row>
    <row r="14502">
      <c r="F14502" s="13"/>
      <c r="M14502" s="13"/>
    </row>
    <row r="14503">
      <c r="F14503" s="13"/>
      <c r="M14503" s="13"/>
    </row>
    <row r="14504">
      <c r="F14504" s="13"/>
      <c r="M14504" s="13"/>
    </row>
    <row r="14505">
      <c r="F14505" s="13"/>
      <c r="M14505" s="13"/>
    </row>
    <row r="14506">
      <c r="F14506" s="13"/>
      <c r="M14506" s="13"/>
    </row>
    <row r="14507">
      <c r="F14507" s="13"/>
      <c r="M14507" s="13"/>
    </row>
    <row r="14508">
      <c r="F14508" s="13"/>
      <c r="M14508" s="13"/>
    </row>
    <row r="14509">
      <c r="F14509" s="13"/>
      <c r="M14509" s="13"/>
    </row>
    <row r="14510">
      <c r="F14510" s="13"/>
      <c r="M14510" s="13"/>
    </row>
    <row r="14511">
      <c r="F14511" s="13"/>
      <c r="M14511" s="13"/>
    </row>
    <row r="14512">
      <c r="F14512" s="13"/>
      <c r="M14512" s="13"/>
    </row>
    <row r="14513">
      <c r="F14513" s="13"/>
      <c r="M14513" s="13"/>
    </row>
    <row r="14514">
      <c r="F14514" s="13"/>
      <c r="M14514" s="13"/>
    </row>
    <row r="14515">
      <c r="F14515" s="13"/>
      <c r="M14515" s="13"/>
    </row>
    <row r="14516">
      <c r="F14516" s="13"/>
      <c r="M14516" s="13"/>
    </row>
    <row r="14517">
      <c r="F14517" s="13"/>
      <c r="M14517" s="13"/>
    </row>
    <row r="14518">
      <c r="F14518" s="13"/>
      <c r="M14518" s="13"/>
    </row>
    <row r="14519">
      <c r="F14519" s="13"/>
      <c r="M14519" s="13"/>
    </row>
    <row r="14520">
      <c r="F14520" s="13"/>
      <c r="M14520" s="13"/>
    </row>
    <row r="14521">
      <c r="F14521" s="13"/>
      <c r="M14521" s="13"/>
    </row>
    <row r="14522">
      <c r="F14522" s="13"/>
      <c r="M14522" s="13"/>
    </row>
    <row r="14523">
      <c r="F14523" s="13"/>
      <c r="M14523" s="13"/>
    </row>
    <row r="14524">
      <c r="F14524" s="13"/>
      <c r="M14524" s="13"/>
    </row>
    <row r="14525">
      <c r="F14525" s="13"/>
      <c r="M14525" s="13"/>
    </row>
    <row r="14526">
      <c r="F14526" s="13"/>
      <c r="M14526" s="13"/>
    </row>
    <row r="14527">
      <c r="F14527" s="13"/>
      <c r="M14527" s="13"/>
    </row>
    <row r="14528">
      <c r="F14528" s="13"/>
      <c r="M14528" s="13"/>
    </row>
    <row r="14529">
      <c r="F14529" s="13"/>
      <c r="M14529" s="13"/>
    </row>
    <row r="14530">
      <c r="F14530" s="13"/>
      <c r="M14530" s="13"/>
    </row>
    <row r="14531">
      <c r="F14531" s="13"/>
      <c r="M14531" s="13"/>
    </row>
    <row r="14532">
      <c r="F14532" s="13"/>
      <c r="M14532" s="13"/>
    </row>
    <row r="14533">
      <c r="F14533" s="13"/>
      <c r="M14533" s="13"/>
    </row>
    <row r="14534">
      <c r="F14534" s="13"/>
      <c r="M14534" s="13"/>
    </row>
    <row r="14535">
      <c r="F14535" s="13"/>
      <c r="M14535" s="13"/>
    </row>
    <row r="14536">
      <c r="F14536" s="13"/>
      <c r="M14536" s="13"/>
    </row>
    <row r="14537">
      <c r="F14537" s="13"/>
      <c r="M14537" s="13"/>
    </row>
    <row r="14538">
      <c r="F14538" s="13"/>
      <c r="M14538" s="13"/>
    </row>
    <row r="14539">
      <c r="F14539" s="13"/>
      <c r="M14539" s="13"/>
    </row>
    <row r="14540">
      <c r="F14540" s="13"/>
      <c r="M14540" s="13"/>
    </row>
    <row r="14541">
      <c r="F14541" s="13"/>
      <c r="M14541" s="13"/>
    </row>
    <row r="14542">
      <c r="F14542" s="13"/>
      <c r="M14542" s="13"/>
    </row>
    <row r="14543">
      <c r="F14543" s="13"/>
      <c r="M14543" s="13"/>
    </row>
    <row r="14544">
      <c r="F14544" s="13"/>
      <c r="M14544" s="13"/>
    </row>
    <row r="14545">
      <c r="F14545" s="13"/>
      <c r="M14545" s="13"/>
    </row>
    <row r="14546">
      <c r="F14546" s="13"/>
      <c r="M14546" s="13"/>
    </row>
    <row r="14547">
      <c r="F14547" s="13"/>
      <c r="M14547" s="13"/>
    </row>
    <row r="14548">
      <c r="F14548" s="13"/>
      <c r="M14548" s="13"/>
    </row>
    <row r="14549">
      <c r="F14549" s="13"/>
      <c r="M14549" s="13"/>
    </row>
    <row r="14550">
      <c r="F14550" s="13"/>
      <c r="M14550" s="13"/>
    </row>
    <row r="14551">
      <c r="F14551" s="13"/>
      <c r="M14551" s="13"/>
    </row>
    <row r="14552">
      <c r="F14552" s="13"/>
      <c r="M14552" s="13"/>
    </row>
    <row r="14553">
      <c r="F14553" s="13"/>
      <c r="M14553" s="13"/>
    </row>
    <row r="14554">
      <c r="F14554" s="13"/>
      <c r="M14554" s="13"/>
    </row>
    <row r="14555">
      <c r="F14555" s="13"/>
      <c r="M14555" s="13"/>
    </row>
    <row r="14556">
      <c r="F14556" s="13"/>
      <c r="M14556" s="13"/>
    </row>
    <row r="14557">
      <c r="F14557" s="13"/>
      <c r="M14557" s="13"/>
    </row>
    <row r="14558">
      <c r="F14558" s="13"/>
      <c r="M14558" s="13"/>
    </row>
    <row r="14559">
      <c r="F14559" s="13"/>
      <c r="M14559" s="13"/>
    </row>
    <row r="14560">
      <c r="F14560" s="13"/>
      <c r="M14560" s="13"/>
    </row>
    <row r="14561">
      <c r="F14561" s="13"/>
      <c r="M14561" s="13"/>
    </row>
    <row r="14562">
      <c r="F14562" s="13"/>
      <c r="M14562" s="13"/>
    </row>
    <row r="14563">
      <c r="F14563" s="13"/>
      <c r="M14563" s="13"/>
    </row>
    <row r="14564">
      <c r="F14564" s="13"/>
      <c r="M14564" s="13"/>
    </row>
    <row r="14565">
      <c r="F14565" s="13"/>
      <c r="M14565" s="13"/>
    </row>
    <row r="14566">
      <c r="F14566" s="13"/>
      <c r="M14566" s="13"/>
    </row>
    <row r="14567">
      <c r="F14567" s="13"/>
      <c r="M14567" s="13"/>
    </row>
    <row r="14568">
      <c r="F14568" s="13"/>
      <c r="M14568" s="13"/>
    </row>
    <row r="14569">
      <c r="F14569" s="13"/>
      <c r="M14569" s="13"/>
    </row>
    <row r="14570">
      <c r="F14570" s="13"/>
      <c r="M14570" s="13"/>
    </row>
    <row r="14571">
      <c r="F14571" s="13"/>
      <c r="M14571" s="13"/>
    </row>
    <row r="14572">
      <c r="F14572" s="13"/>
      <c r="M14572" s="13"/>
    </row>
    <row r="14573">
      <c r="F14573" s="13"/>
      <c r="M14573" s="13"/>
    </row>
    <row r="14574">
      <c r="F14574" s="13"/>
      <c r="M14574" s="13"/>
    </row>
    <row r="14575">
      <c r="F14575" s="13"/>
      <c r="M14575" s="13"/>
    </row>
    <row r="14576">
      <c r="F14576" s="13"/>
      <c r="M14576" s="13"/>
    </row>
    <row r="14577">
      <c r="F14577" s="13"/>
      <c r="M14577" s="13"/>
    </row>
    <row r="14578">
      <c r="F14578" s="13"/>
      <c r="M14578" s="13"/>
    </row>
    <row r="14579">
      <c r="F14579" s="13"/>
      <c r="M14579" s="13"/>
    </row>
    <row r="14580">
      <c r="F14580" s="13"/>
      <c r="M14580" s="13"/>
    </row>
    <row r="14581">
      <c r="F14581" s="13"/>
      <c r="M14581" s="13"/>
    </row>
    <row r="14582">
      <c r="F14582" s="13"/>
      <c r="M14582" s="13"/>
    </row>
    <row r="14583">
      <c r="F14583" s="13"/>
      <c r="M14583" s="13"/>
    </row>
    <row r="14584">
      <c r="F14584" s="13"/>
      <c r="M14584" s="13"/>
    </row>
    <row r="14585">
      <c r="F14585" s="13"/>
      <c r="M14585" s="13"/>
    </row>
    <row r="14586">
      <c r="F14586" s="13"/>
      <c r="M14586" s="13"/>
    </row>
    <row r="14587">
      <c r="F14587" s="13"/>
      <c r="M14587" s="13"/>
    </row>
    <row r="14588">
      <c r="F14588" s="13"/>
      <c r="M14588" s="13"/>
    </row>
    <row r="14589">
      <c r="F14589" s="13"/>
      <c r="M14589" s="13"/>
    </row>
    <row r="14590">
      <c r="F14590" s="13"/>
      <c r="M14590" s="13"/>
    </row>
    <row r="14591">
      <c r="F14591" s="13"/>
      <c r="M14591" s="13"/>
    </row>
    <row r="14592">
      <c r="F14592" s="13"/>
      <c r="M14592" s="13"/>
    </row>
    <row r="14593">
      <c r="F14593" s="13"/>
      <c r="M14593" s="13"/>
    </row>
    <row r="14594">
      <c r="F14594" s="13"/>
      <c r="M14594" s="13"/>
    </row>
    <row r="14595">
      <c r="F14595" s="13"/>
      <c r="M14595" s="13"/>
    </row>
    <row r="14596">
      <c r="F14596" s="13"/>
      <c r="M14596" s="13"/>
    </row>
    <row r="14597">
      <c r="F14597" s="13"/>
      <c r="M14597" s="13"/>
    </row>
    <row r="14598">
      <c r="F14598" s="13"/>
      <c r="M14598" s="13"/>
    </row>
    <row r="14599">
      <c r="F14599" s="13"/>
      <c r="M14599" s="13"/>
    </row>
    <row r="14600">
      <c r="F14600" s="13"/>
      <c r="M14600" s="13"/>
    </row>
    <row r="14601">
      <c r="F14601" s="13"/>
      <c r="M14601" s="13"/>
    </row>
    <row r="14602">
      <c r="F14602" s="13"/>
      <c r="M14602" s="13"/>
    </row>
    <row r="14603">
      <c r="F14603" s="13"/>
      <c r="M14603" s="13"/>
    </row>
    <row r="14604">
      <c r="F14604" s="13"/>
      <c r="M14604" s="13"/>
    </row>
    <row r="14605">
      <c r="F14605" s="13"/>
      <c r="M14605" s="13"/>
    </row>
    <row r="14606">
      <c r="F14606" s="13"/>
      <c r="M14606" s="13"/>
    </row>
    <row r="14607">
      <c r="F14607" s="13"/>
      <c r="M14607" s="13"/>
    </row>
    <row r="14608">
      <c r="F14608" s="13"/>
      <c r="M14608" s="13"/>
    </row>
    <row r="14609">
      <c r="F14609" s="13"/>
      <c r="M14609" s="13"/>
    </row>
    <row r="14610">
      <c r="F14610" s="13"/>
      <c r="M14610" s="13"/>
    </row>
    <row r="14611">
      <c r="F14611" s="13"/>
      <c r="M14611" s="13"/>
    </row>
    <row r="14612">
      <c r="F14612" s="13"/>
      <c r="M14612" s="13"/>
    </row>
    <row r="14613">
      <c r="F14613" s="13"/>
      <c r="M14613" s="13"/>
    </row>
    <row r="14614">
      <c r="F14614" s="13"/>
      <c r="M14614" s="13"/>
    </row>
    <row r="14615">
      <c r="F14615" s="13"/>
      <c r="M14615" s="13"/>
    </row>
    <row r="14616">
      <c r="F14616" s="13"/>
      <c r="M14616" s="13"/>
    </row>
    <row r="14617">
      <c r="F14617" s="13"/>
      <c r="M14617" s="13"/>
    </row>
    <row r="14618">
      <c r="F14618" s="13"/>
      <c r="M14618" s="13"/>
    </row>
    <row r="14619">
      <c r="F14619" s="13"/>
      <c r="M14619" s="13"/>
    </row>
    <row r="14620">
      <c r="F14620" s="13"/>
      <c r="M14620" s="13"/>
    </row>
    <row r="14621">
      <c r="F14621" s="13"/>
      <c r="M14621" s="13"/>
    </row>
    <row r="14622">
      <c r="F14622" s="13"/>
      <c r="M14622" s="13"/>
    </row>
    <row r="14623">
      <c r="F14623" s="13"/>
      <c r="M14623" s="13"/>
    </row>
    <row r="14624">
      <c r="F14624" s="13"/>
      <c r="M14624" s="13"/>
    </row>
    <row r="14625">
      <c r="F14625" s="13"/>
      <c r="M14625" s="13"/>
    </row>
    <row r="14626">
      <c r="F14626" s="13"/>
      <c r="M14626" s="13"/>
    </row>
    <row r="14627">
      <c r="F14627" s="13"/>
      <c r="M14627" s="13"/>
    </row>
    <row r="14628">
      <c r="F14628" s="13"/>
      <c r="M14628" s="13"/>
    </row>
    <row r="14629">
      <c r="F14629" s="13"/>
      <c r="M14629" s="13"/>
    </row>
    <row r="14630">
      <c r="F14630" s="13"/>
      <c r="M14630" s="13"/>
    </row>
    <row r="14631">
      <c r="F14631" s="13"/>
      <c r="M14631" s="13"/>
    </row>
    <row r="14632">
      <c r="F14632" s="13"/>
      <c r="M14632" s="13"/>
    </row>
    <row r="14633">
      <c r="F14633" s="13"/>
      <c r="M14633" s="13"/>
    </row>
    <row r="14634">
      <c r="F14634" s="13"/>
      <c r="M14634" s="13"/>
    </row>
    <row r="14635">
      <c r="F14635" s="13"/>
      <c r="M14635" s="13"/>
    </row>
    <row r="14636">
      <c r="F14636" s="13"/>
      <c r="M14636" s="13"/>
    </row>
    <row r="14637">
      <c r="F14637" s="13"/>
      <c r="M14637" s="13"/>
    </row>
    <row r="14638">
      <c r="F14638" s="13"/>
      <c r="M14638" s="13"/>
    </row>
    <row r="14639">
      <c r="F14639" s="13"/>
      <c r="M14639" s="13"/>
    </row>
    <row r="14640">
      <c r="F14640" s="13"/>
      <c r="M14640" s="13"/>
    </row>
    <row r="14641">
      <c r="F14641" s="13"/>
      <c r="M14641" s="13"/>
    </row>
    <row r="14642">
      <c r="F14642" s="13"/>
      <c r="M14642" s="13"/>
    </row>
    <row r="14643">
      <c r="F14643" s="13"/>
      <c r="M14643" s="13"/>
    </row>
    <row r="14644">
      <c r="F14644" s="13"/>
      <c r="M14644" s="13"/>
    </row>
    <row r="14645">
      <c r="F14645" s="13"/>
      <c r="M14645" s="13"/>
    </row>
    <row r="14646">
      <c r="F14646" s="13"/>
      <c r="M14646" s="13"/>
    </row>
    <row r="14647">
      <c r="F14647" s="13"/>
      <c r="M14647" s="13"/>
    </row>
    <row r="14648">
      <c r="F14648" s="13"/>
      <c r="M14648" s="13"/>
    </row>
    <row r="14649">
      <c r="F14649" s="13"/>
      <c r="M14649" s="13"/>
    </row>
    <row r="14650">
      <c r="F14650" s="13"/>
      <c r="M14650" s="13"/>
    </row>
    <row r="14651">
      <c r="F14651" s="13"/>
      <c r="M14651" s="13"/>
    </row>
    <row r="14652">
      <c r="F14652" s="13"/>
      <c r="M14652" s="13"/>
    </row>
    <row r="14653">
      <c r="F14653" s="13"/>
      <c r="M14653" s="13"/>
    </row>
    <row r="14654">
      <c r="F14654" s="13"/>
      <c r="M14654" s="13"/>
    </row>
    <row r="14655">
      <c r="F14655" s="13"/>
      <c r="M14655" s="13"/>
    </row>
    <row r="14656">
      <c r="F14656" s="13"/>
      <c r="M14656" s="13"/>
    </row>
    <row r="14657">
      <c r="F14657" s="13"/>
      <c r="M14657" s="13"/>
    </row>
    <row r="14658">
      <c r="F14658" s="13"/>
      <c r="M14658" s="13"/>
    </row>
    <row r="14659">
      <c r="F14659" s="13"/>
      <c r="M14659" s="13"/>
    </row>
    <row r="14660">
      <c r="F14660" s="13"/>
      <c r="M14660" s="13"/>
    </row>
    <row r="14661">
      <c r="F14661" s="13"/>
      <c r="M14661" s="13"/>
    </row>
    <row r="14662">
      <c r="F14662" s="13"/>
      <c r="M14662" s="13"/>
    </row>
    <row r="14663">
      <c r="F14663" s="13"/>
      <c r="M14663" s="13"/>
    </row>
    <row r="14664">
      <c r="F14664" s="13"/>
      <c r="M14664" s="13"/>
    </row>
    <row r="14665">
      <c r="F14665" s="13"/>
      <c r="M14665" s="13"/>
    </row>
    <row r="14666">
      <c r="F14666" s="13"/>
      <c r="M14666" s="13"/>
    </row>
    <row r="14667">
      <c r="F14667" s="13"/>
      <c r="M14667" s="13"/>
    </row>
    <row r="14668">
      <c r="F14668" s="13"/>
      <c r="M14668" s="13"/>
    </row>
    <row r="14669">
      <c r="F14669" s="13"/>
      <c r="M14669" s="13"/>
    </row>
    <row r="14670">
      <c r="F14670" s="13"/>
      <c r="M14670" s="13"/>
    </row>
    <row r="14671">
      <c r="F14671" s="13"/>
      <c r="M14671" s="13"/>
    </row>
    <row r="14672">
      <c r="F14672" s="13"/>
      <c r="M14672" s="13"/>
    </row>
    <row r="14673">
      <c r="F14673" s="13"/>
      <c r="M14673" s="13"/>
    </row>
    <row r="14674">
      <c r="F14674" s="13"/>
      <c r="M14674" s="13"/>
    </row>
    <row r="14675">
      <c r="F14675" s="13"/>
      <c r="M14675" s="13"/>
    </row>
    <row r="14676">
      <c r="F14676" s="13"/>
      <c r="M14676" s="13"/>
    </row>
    <row r="14677">
      <c r="F14677" s="13"/>
      <c r="M14677" s="13"/>
    </row>
    <row r="14678">
      <c r="F14678" s="13"/>
      <c r="M14678" s="13"/>
    </row>
    <row r="14679">
      <c r="F14679" s="13"/>
      <c r="M14679" s="13"/>
    </row>
    <row r="14680">
      <c r="F14680" s="13"/>
      <c r="M14680" s="13"/>
    </row>
    <row r="14681">
      <c r="F14681" s="13"/>
      <c r="M14681" s="13"/>
    </row>
    <row r="14682">
      <c r="F14682" s="13"/>
      <c r="M14682" s="13"/>
    </row>
    <row r="14683">
      <c r="F14683" s="13"/>
      <c r="M14683" s="13"/>
    </row>
    <row r="14684">
      <c r="F14684" s="13"/>
      <c r="M14684" s="13"/>
    </row>
    <row r="14685">
      <c r="F14685" s="13"/>
      <c r="M14685" s="13"/>
    </row>
    <row r="14686">
      <c r="F14686" s="13"/>
      <c r="M14686" s="13"/>
    </row>
    <row r="14687">
      <c r="F14687" s="13"/>
      <c r="M14687" s="13"/>
    </row>
    <row r="14688">
      <c r="F14688" s="13"/>
      <c r="M14688" s="13"/>
    </row>
    <row r="14689">
      <c r="F14689" s="13"/>
      <c r="M14689" s="13"/>
    </row>
    <row r="14690">
      <c r="F14690" s="13"/>
      <c r="M14690" s="13"/>
    </row>
    <row r="14691">
      <c r="F14691" s="13"/>
      <c r="M14691" s="13"/>
    </row>
    <row r="14692">
      <c r="F14692" s="13"/>
      <c r="M14692" s="13"/>
    </row>
    <row r="14693">
      <c r="F14693" s="13"/>
      <c r="M14693" s="13"/>
    </row>
    <row r="14694">
      <c r="F14694" s="13"/>
      <c r="M14694" s="13"/>
    </row>
    <row r="14695">
      <c r="F14695" s="13"/>
      <c r="M14695" s="13"/>
    </row>
    <row r="14696">
      <c r="F14696" s="13"/>
      <c r="M14696" s="13"/>
    </row>
    <row r="14697">
      <c r="F14697" s="13"/>
      <c r="M14697" s="13"/>
    </row>
    <row r="14698">
      <c r="F14698" s="13"/>
      <c r="M14698" s="13"/>
    </row>
    <row r="14699">
      <c r="F14699" s="13"/>
      <c r="M14699" s="13"/>
    </row>
    <row r="14700">
      <c r="F14700" s="13"/>
      <c r="M14700" s="13"/>
    </row>
    <row r="14701">
      <c r="F14701" s="13"/>
      <c r="M14701" s="13"/>
    </row>
    <row r="14702">
      <c r="F14702" s="13"/>
      <c r="M14702" s="13"/>
    </row>
    <row r="14703">
      <c r="F14703" s="13"/>
      <c r="M14703" s="13"/>
    </row>
    <row r="14704">
      <c r="F14704" s="13"/>
      <c r="M14704" s="13"/>
    </row>
    <row r="14705">
      <c r="F14705" s="13"/>
      <c r="M14705" s="13"/>
    </row>
    <row r="14706">
      <c r="F14706" s="13"/>
      <c r="M14706" s="13"/>
    </row>
    <row r="14707">
      <c r="F14707" s="13"/>
      <c r="M14707" s="13"/>
    </row>
    <row r="14708">
      <c r="F14708" s="13"/>
      <c r="M14708" s="13"/>
    </row>
    <row r="14709">
      <c r="F14709" s="13"/>
      <c r="M14709" s="13"/>
    </row>
    <row r="14710">
      <c r="F14710" s="13"/>
      <c r="M14710" s="13"/>
    </row>
    <row r="14711">
      <c r="F14711" s="13"/>
      <c r="M14711" s="13"/>
    </row>
    <row r="14712">
      <c r="F14712" s="13"/>
      <c r="M14712" s="13"/>
    </row>
    <row r="14713">
      <c r="F14713" s="13"/>
      <c r="M14713" s="13"/>
    </row>
    <row r="14714">
      <c r="F14714" s="13"/>
      <c r="M14714" s="13"/>
    </row>
    <row r="14715">
      <c r="F14715" s="13"/>
      <c r="M14715" s="13"/>
    </row>
    <row r="14716">
      <c r="F14716" s="13"/>
      <c r="M14716" s="13"/>
    </row>
    <row r="14717">
      <c r="F14717" s="13"/>
      <c r="M14717" s="13"/>
    </row>
    <row r="14718">
      <c r="F14718" s="13"/>
      <c r="M14718" s="13"/>
    </row>
    <row r="14719">
      <c r="F14719" s="13"/>
      <c r="M14719" s="13"/>
    </row>
    <row r="14720">
      <c r="F14720" s="13"/>
      <c r="M14720" s="13"/>
    </row>
    <row r="14721">
      <c r="F14721" s="13"/>
      <c r="M14721" s="13"/>
    </row>
    <row r="14722">
      <c r="F14722" s="13"/>
      <c r="M14722" s="13"/>
    </row>
    <row r="14723">
      <c r="F14723" s="13"/>
      <c r="M14723" s="13"/>
    </row>
    <row r="14724">
      <c r="F14724" s="13"/>
      <c r="M14724" s="13"/>
    </row>
    <row r="14725">
      <c r="F14725" s="13"/>
      <c r="M14725" s="13"/>
    </row>
    <row r="14726">
      <c r="F14726" s="13"/>
      <c r="M14726" s="13"/>
    </row>
    <row r="14727">
      <c r="F14727" s="13"/>
      <c r="M14727" s="13"/>
    </row>
    <row r="14728">
      <c r="F14728" s="13"/>
      <c r="M14728" s="13"/>
    </row>
    <row r="14729">
      <c r="F14729" s="13"/>
      <c r="M14729" s="13"/>
    </row>
    <row r="14730">
      <c r="F14730" s="13"/>
      <c r="M14730" s="13"/>
    </row>
    <row r="14731">
      <c r="F14731" s="13"/>
      <c r="M14731" s="13"/>
    </row>
    <row r="14732">
      <c r="F14732" s="13"/>
      <c r="M14732" s="13"/>
    </row>
    <row r="14733">
      <c r="F14733" s="13"/>
      <c r="M14733" s="13"/>
    </row>
    <row r="14734">
      <c r="F14734" s="13"/>
      <c r="M14734" s="13"/>
    </row>
    <row r="14735">
      <c r="F14735" s="13"/>
      <c r="M14735" s="13"/>
    </row>
    <row r="14736">
      <c r="F14736" s="13"/>
      <c r="M14736" s="13"/>
    </row>
    <row r="14737">
      <c r="F14737" s="13"/>
      <c r="M14737" s="13"/>
    </row>
    <row r="14738">
      <c r="F14738" s="13"/>
      <c r="M14738" s="13"/>
    </row>
    <row r="14739">
      <c r="F14739" s="13"/>
      <c r="M14739" s="13"/>
    </row>
    <row r="14740">
      <c r="F14740" s="13"/>
      <c r="M14740" s="13"/>
    </row>
    <row r="14741">
      <c r="F14741" s="13"/>
      <c r="M14741" s="13"/>
    </row>
    <row r="14742">
      <c r="F14742" s="13"/>
      <c r="M14742" s="13"/>
    </row>
    <row r="14743">
      <c r="F14743" s="13"/>
      <c r="M14743" s="13"/>
    </row>
    <row r="14744">
      <c r="F14744" s="13"/>
      <c r="M14744" s="13"/>
    </row>
    <row r="14745">
      <c r="F14745" s="13"/>
      <c r="M14745" s="13"/>
    </row>
    <row r="14746">
      <c r="F14746" s="13"/>
      <c r="M14746" s="13"/>
    </row>
    <row r="14747">
      <c r="F14747" s="13"/>
      <c r="M14747" s="13"/>
    </row>
    <row r="14748">
      <c r="F14748" s="13"/>
      <c r="M14748" s="13"/>
    </row>
    <row r="14749">
      <c r="F14749" s="13"/>
      <c r="M14749" s="13"/>
    </row>
    <row r="14750">
      <c r="F14750" s="13"/>
      <c r="M14750" s="13"/>
    </row>
    <row r="14751">
      <c r="F14751" s="13"/>
      <c r="M14751" s="13"/>
    </row>
    <row r="14752">
      <c r="F14752" s="13"/>
      <c r="M14752" s="13"/>
    </row>
    <row r="14753">
      <c r="F14753" s="13"/>
      <c r="M14753" s="13"/>
    </row>
    <row r="14754">
      <c r="F14754" s="13"/>
      <c r="M14754" s="13"/>
    </row>
    <row r="14755">
      <c r="F14755" s="13"/>
      <c r="M14755" s="13"/>
    </row>
    <row r="14756">
      <c r="F14756" s="13"/>
      <c r="M14756" s="13"/>
    </row>
    <row r="14757">
      <c r="F14757" s="13"/>
      <c r="M14757" s="13"/>
    </row>
    <row r="14758">
      <c r="F14758" s="13"/>
      <c r="M14758" s="13"/>
    </row>
    <row r="14759">
      <c r="F14759" s="13"/>
      <c r="M14759" s="13"/>
    </row>
    <row r="14760">
      <c r="F14760" s="13"/>
      <c r="M14760" s="13"/>
    </row>
    <row r="14761">
      <c r="F14761" s="13"/>
      <c r="M14761" s="13"/>
    </row>
    <row r="14762">
      <c r="F14762" s="13"/>
      <c r="M14762" s="13"/>
    </row>
    <row r="14763">
      <c r="F14763" s="13"/>
      <c r="M14763" s="13"/>
    </row>
    <row r="14764">
      <c r="F14764" s="13"/>
      <c r="M14764" s="13"/>
    </row>
    <row r="14765">
      <c r="F14765" s="13"/>
      <c r="M14765" s="13"/>
    </row>
    <row r="14766">
      <c r="F14766" s="13"/>
      <c r="M14766" s="13"/>
    </row>
    <row r="14767">
      <c r="F14767" s="13"/>
      <c r="M14767" s="13"/>
    </row>
    <row r="14768">
      <c r="F14768" s="13"/>
      <c r="M14768" s="13"/>
    </row>
    <row r="14769">
      <c r="F14769" s="13"/>
      <c r="M14769" s="13"/>
    </row>
    <row r="14770">
      <c r="F14770" s="13"/>
      <c r="M14770" s="13"/>
    </row>
    <row r="14771">
      <c r="F14771" s="13"/>
      <c r="M14771" s="13"/>
    </row>
    <row r="14772">
      <c r="F14772" s="13"/>
      <c r="M14772" s="13"/>
    </row>
    <row r="14773">
      <c r="F14773" s="13"/>
      <c r="M14773" s="13"/>
    </row>
    <row r="14774">
      <c r="F14774" s="13"/>
      <c r="M14774" s="13"/>
    </row>
    <row r="14775">
      <c r="F14775" s="13"/>
      <c r="M14775" s="13"/>
    </row>
    <row r="14776">
      <c r="F14776" s="13"/>
      <c r="M14776" s="13"/>
    </row>
    <row r="14777">
      <c r="F14777" s="13"/>
      <c r="M14777" s="13"/>
    </row>
    <row r="14778">
      <c r="F14778" s="13"/>
      <c r="M14778" s="13"/>
    </row>
    <row r="14779">
      <c r="F14779" s="13"/>
      <c r="M14779" s="13"/>
    </row>
    <row r="14780">
      <c r="F14780" s="13"/>
      <c r="M14780" s="13"/>
    </row>
    <row r="14781">
      <c r="F14781" s="13"/>
      <c r="M14781" s="13"/>
    </row>
    <row r="14782">
      <c r="F14782" s="13"/>
      <c r="M14782" s="13"/>
    </row>
    <row r="14783">
      <c r="F14783" s="13"/>
      <c r="M14783" s="13"/>
    </row>
    <row r="14784">
      <c r="F14784" s="13"/>
      <c r="M14784" s="13"/>
    </row>
    <row r="14785">
      <c r="F14785" s="13"/>
      <c r="M14785" s="13"/>
    </row>
    <row r="14786">
      <c r="F14786" s="13"/>
      <c r="M14786" s="13"/>
    </row>
    <row r="14787">
      <c r="F14787" s="13"/>
      <c r="M14787" s="13"/>
    </row>
    <row r="14788">
      <c r="F14788" s="13"/>
      <c r="M14788" s="13"/>
    </row>
    <row r="14789">
      <c r="F14789" s="13"/>
      <c r="M14789" s="13"/>
    </row>
    <row r="14790">
      <c r="F14790" s="13"/>
      <c r="M14790" s="13"/>
    </row>
    <row r="14791">
      <c r="F14791" s="13"/>
      <c r="M14791" s="13"/>
    </row>
    <row r="14792">
      <c r="F14792" s="13"/>
      <c r="M14792" s="13"/>
    </row>
    <row r="14793">
      <c r="F14793" s="13"/>
      <c r="M14793" s="13"/>
    </row>
    <row r="14794">
      <c r="F14794" s="13"/>
      <c r="M14794" s="13"/>
    </row>
    <row r="14795">
      <c r="F14795" s="13"/>
      <c r="M14795" s="13"/>
    </row>
    <row r="14796">
      <c r="F14796" s="13"/>
      <c r="M14796" s="13"/>
    </row>
    <row r="14797">
      <c r="F14797" s="13"/>
      <c r="M14797" s="13"/>
    </row>
    <row r="14798">
      <c r="F14798" s="13"/>
      <c r="M14798" s="13"/>
    </row>
    <row r="14799">
      <c r="F14799" s="13"/>
      <c r="M14799" s="13"/>
    </row>
    <row r="14800">
      <c r="F14800" s="13"/>
      <c r="M14800" s="13"/>
    </row>
    <row r="14801">
      <c r="F14801" s="13"/>
      <c r="M14801" s="13"/>
    </row>
    <row r="14802">
      <c r="F14802" s="13"/>
      <c r="M14802" s="13"/>
    </row>
    <row r="14803">
      <c r="F14803" s="13"/>
      <c r="M14803" s="13"/>
    </row>
    <row r="14804">
      <c r="F14804" s="13"/>
      <c r="M14804" s="13"/>
    </row>
    <row r="14805">
      <c r="F14805" s="13"/>
      <c r="M14805" s="13"/>
    </row>
    <row r="14806">
      <c r="F14806" s="13"/>
      <c r="M14806" s="13"/>
    </row>
    <row r="14807">
      <c r="F14807" s="13"/>
      <c r="M14807" s="13"/>
    </row>
    <row r="14808">
      <c r="F14808" s="13"/>
      <c r="M14808" s="13"/>
    </row>
    <row r="14809">
      <c r="F14809" s="13"/>
      <c r="M14809" s="13"/>
    </row>
    <row r="14810">
      <c r="F14810" s="13"/>
      <c r="M14810" s="13"/>
    </row>
    <row r="14811">
      <c r="F14811" s="13"/>
      <c r="M14811" s="13"/>
    </row>
    <row r="14812">
      <c r="F14812" s="13"/>
      <c r="M14812" s="13"/>
    </row>
    <row r="14813">
      <c r="F14813" s="13"/>
      <c r="M14813" s="13"/>
    </row>
    <row r="14814">
      <c r="F14814" s="13"/>
      <c r="M14814" s="13"/>
    </row>
    <row r="14815">
      <c r="F14815" s="13"/>
      <c r="M14815" s="13"/>
    </row>
    <row r="14816">
      <c r="F14816" s="13"/>
      <c r="M14816" s="13"/>
    </row>
    <row r="14817">
      <c r="F14817" s="13"/>
      <c r="M14817" s="13"/>
    </row>
    <row r="14818">
      <c r="F14818" s="13"/>
      <c r="M14818" s="13"/>
    </row>
    <row r="14819">
      <c r="F14819" s="13"/>
      <c r="M14819" s="13"/>
    </row>
    <row r="14820">
      <c r="F14820" s="13"/>
      <c r="M14820" s="13"/>
    </row>
    <row r="14821">
      <c r="F14821" s="13"/>
      <c r="M14821" s="13"/>
    </row>
    <row r="14822">
      <c r="F14822" s="13"/>
      <c r="M14822" s="13"/>
    </row>
    <row r="14823">
      <c r="F14823" s="13"/>
      <c r="M14823" s="13"/>
    </row>
    <row r="14824">
      <c r="F14824" s="13"/>
      <c r="M14824" s="13"/>
    </row>
    <row r="14825">
      <c r="F14825" s="13"/>
      <c r="M14825" s="13"/>
    </row>
    <row r="14826">
      <c r="F14826" s="13"/>
      <c r="M14826" s="13"/>
    </row>
    <row r="14827">
      <c r="F14827" s="13"/>
      <c r="M14827" s="13"/>
    </row>
    <row r="14828">
      <c r="F14828" s="13"/>
      <c r="M14828" s="13"/>
    </row>
    <row r="14829">
      <c r="F14829" s="13"/>
      <c r="M14829" s="13"/>
    </row>
    <row r="14830">
      <c r="F14830" s="13"/>
      <c r="M14830" s="13"/>
    </row>
    <row r="14831">
      <c r="F14831" s="13"/>
      <c r="M14831" s="13"/>
    </row>
    <row r="14832">
      <c r="F14832" s="13"/>
      <c r="M14832" s="13"/>
    </row>
    <row r="14833">
      <c r="F14833" s="13"/>
      <c r="M14833" s="13"/>
    </row>
    <row r="14834">
      <c r="F14834" s="13"/>
      <c r="M14834" s="13"/>
    </row>
    <row r="14835">
      <c r="F14835" s="13"/>
      <c r="M14835" s="13"/>
    </row>
    <row r="14836">
      <c r="F14836" s="13"/>
      <c r="M14836" s="13"/>
    </row>
    <row r="14837">
      <c r="F14837" s="13"/>
      <c r="M14837" s="13"/>
    </row>
    <row r="14838">
      <c r="F14838" s="13"/>
      <c r="M14838" s="13"/>
    </row>
    <row r="14839">
      <c r="F14839" s="13"/>
      <c r="M14839" s="13"/>
    </row>
    <row r="14840">
      <c r="F14840" s="13"/>
      <c r="M14840" s="13"/>
    </row>
    <row r="14841">
      <c r="F14841" s="13"/>
      <c r="M14841" s="13"/>
    </row>
    <row r="14842">
      <c r="F14842" s="13"/>
      <c r="M14842" s="13"/>
    </row>
    <row r="14843">
      <c r="F14843" s="13"/>
      <c r="M14843" s="13"/>
    </row>
    <row r="14844">
      <c r="F14844" s="13"/>
      <c r="M14844" s="13"/>
    </row>
    <row r="14845">
      <c r="F14845" s="13"/>
      <c r="M14845" s="13"/>
    </row>
    <row r="14846">
      <c r="F14846" s="13"/>
      <c r="M14846" s="13"/>
    </row>
    <row r="14847">
      <c r="F14847" s="13"/>
      <c r="M14847" s="13"/>
    </row>
    <row r="14848">
      <c r="F14848" s="13"/>
      <c r="M14848" s="13"/>
    </row>
    <row r="14849">
      <c r="F14849" s="13"/>
      <c r="M14849" s="13"/>
    </row>
    <row r="14850">
      <c r="F14850" s="13"/>
      <c r="M14850" s="13"/>
    </row>
    <row r="14851">
      <c r="F14851" s="13"/>
      <c r="M14851" s="13"/>
    </row>
    <row r="14852">
      <c r="F14852" s="13"/>
      <c r="M14852" s="13"/>
    </row>
    <row r="14853">
      <c r="F14853" s="13"/>
      <c r="M14853" s="13"/>
    </row>
    <row r="14854">
      <c r="F14854" s="13"/>
      <c r="M14854" s="13"/>
    </row>
    <row r="14855">
      <c r="F14855" s="13"/>
      <c r="M14855" s="13"/>
    </row>
    <row r="14856">
      <c r="F14856" s="13"/>
      <c r="M14856" s="13"/>
    </row>
    <row r="14857">
      <c r="F14857" s="13"/>
      <c r="M14857" s="13"/>
    </row>
    <row r="14858">
      <c r="F14858" s="13"/>
      <c r="M14858" s="13"/>
    </row>
    <row r="14859">
      <c r="F14859" s="13"/>
      <c r="M14859" s="13"/>
    </row>
    <row r="14860">
      <c r="F14860" s="13"/>
      <c r="M14860" s="13"/>
    </row>
    <row r="14861">
      <c r="F14861" s="13"/>
      <c r="M14861" s="13"/>
    </row>
    <row r="14862">
      <c r="F14862" s="13"/>
      <c r="M14862" s="13"/>
    </row>
    <row r="14863">
      <c r="F14863" s="13"/>
      <c r="M14863" s="13"/>
    </row>
    <row r="14864">
      <c r="F14864" s="13"/>
      <c r="M14864" s="13"/>
    </row>
    <row r="14865">
      <c r="F14865" s="13"/>
      <c r="M14865" s="13"/>
    </row>
    <row r="14866">
      <c r="F14866" s="13"/>
      <c r="M14866" s="13"/>
    </row>
    <row r="14867">
      <c r="F14867" s="13"/>
      <c r="M14867" s="13"/>
    </row>
    <row r="14868">
      <c r="F14868" s="13"/>
      <c r="M14868" s="13"/>
    </row>
    <row r="14869">
      <c r="F14869" s="13"/>
      <c r="M14869" s="13"/>
    </row>
    <row r="14870">
      <c r="F14870" s="13"/>
      <c r="M14870" s="13"/>
    </row>
    <row r="14871">
      <c r="F14871" s="13"/>
      <c r="M14871" s="13"/>
    </row>
    <row r="14872">
      <c r="F14872" s="13"/>
      <c r="M14872" s="13"/>
    </row>
    <row r="14873">
      <c r="F14873" s="13"/>
      <c r="M14873" s="13"/>
    </row>
    <row r="14874">
      <c r="F14874" s="13"/>
      <c r="M14874" s="13"/>
    </row>
    <row r="14875">
      <c r="F14875" s="13"/>
      <c r="M14875" s="13"/>
    </row>
    <row r="14876">
      <c r="F14876" s="13"/>
      <c r="M14876" s="13"/>
    </row>
    <row r="14877">
      <c r="F14877" s="13"/>
      <c r="M14877" s="13"/>
    </row>
    <row r="14878">
      <c r="F14878" s="13"/>
      <c r="M14878" s="13"/>
    </row>
    <row r="14879">
      <c r="F14879" s="13"/>
      <c r="M14879" s="13"/>
    </row>
    <row r="14880">
      <c r="F14880" s="13"/>
      <c r="M14880" s="13"/>
    </row>
    <row r="14881">
      <c r="F14881" s="13"/>
      <c r="M14881" s="13"/>
    </row>
    <row r="14882">
      <c r="F14882" s="13"/>
      <c r="M14882" s="13"/>
    </row>
    <row r="14883">
      <c r="F14883" s="13"/>
      <c r="M14883" s="13"/>
    </row>
    <row r="14884">
      <c r="F14884" s="13"/>
      <c r="M14884" s="13"/>
    </row>
    <row r="14885">
      <c r="F14885" s="13"/>
      <c r="M14885" s="13"/>
    </row>
    <row r="14886">
      <c r="F14886" s="13"/>
      <c r="M14886" s="13"/>
    </row>
    <row r="14887">
      <c r="F14887" s="13"/>
      <c r="M14887" s="13"/>
    </row>
    <row r="14888">
      <c r="F14888" s="13"/>
      <c r="M14888" s="13"/>
    </row>
    <row r="14889">
      <c r="F14889" s="13"/>
      <c r="M14889" s="13"/>
    </row>
    <row r="14890">
      <c r="F14890" s="13"/>
      <c r="M14890" s="13"/>
    </row>
    <row r="14891">
      <c r="F14891" s="13"/>
      <c r="M14891" s="13"/>
    </row>
    <row r="14892">
      <c r="F14892" s="13"/>
      <c r="M14892" s="13"/>
    </row>
    <row r="14893">
      <c r="F14893" s="13"/>
      <c r="M14893" s="13"/>
    </row>
    <row r="14894">
      <c r="F14894" s="13"/>
      <c r="M14894" s="13"/>
    </row>
    <row r="14895">
      <c r="F14895" s="13"/>
      <c r="M14895" s="13"/>
    </row>
    <row r="14896">
      <c r="F14896" s="13"/>
      <c r="M14896" s="13"/>
    </row>
    <row r="14897">
      <c r="F14897" s="13"/>
      <c r="M14897" s="13"/>
    </row>
    <row r="14898">
      <c r="F14898" s="13"/>
      <c r="M14898" s="13"/>
    </row>
    <row r="14899">
      <c r="F14899" s="13"/>
      <c r="M14899" s="13"/>
    </row>
    <row r="14900">
      <c r="F14900" s="13"/>
      <c r="M14900" s="13"/>
    </row>
    <row r="14901">
      <c r="F14901" s="13"/>
      <c r="M14901" s="13"/>
    </row>
    <row r="14902">
      <c r="F14902" s="13"/>
      <c r="M14902" s="13"/>
    </row>
    <row r="14903">
      <c r="F14903" s="13"/>
      <c r="M14903" s="13"/>
    </row>
    <row r="14904">
      <c r="F14904" s="13"/>
      <c r="M14904" s="13"/>
    </row>
    <row r="14905">
      <c r="F14905" s="13"/>
      <c r="M14905" s="13"/>
    </row>
    <row r="14906">
      <c r="F14906" s="13"/>
      <c r="M14906" s="13"/>
    </row>
    <row r="14907">
      <c r="F14907" s="13"/>
      <c r="M14907" s="13"/>
    </row>
    <row r="14908">
      <c r="F14908" s="13"/>
      <c r="M14908" s="13"/>
    </row>
    <row r="14909">
      <c r="F14909" s="13"/>
      <c r="M14909" s="13"/>
    </row>
    <row r="14910">
      <c r="F14910" s="13"/>
      <c r="M14910" s="13"/>
    </row>
    <row r="14911">
      <c r="F14911" s="13"/>
      <c r="M14911" s="13"/>
    </row>
    <row r="14912">
      <c r="F14912" s="13"/>
      <c r="M14912" s="13"/>
    </row>
    <row r="14913">
      <c r="F14913" s="13"/>
      <c r="M14913" s="13"/>
    </row>
    <row r="14914">
      <c r="F14914" s="13"/>
      <c r="M14914" s="13"/>
    </row>
    <row r="14915">
      <c r="F14915" s="13"/>
      <c r="M14915" s="13"/>
    </row>
    <row r="14916">
      <c r="F14916" s="13"/>
      <c r="M14916" s="13"/>
    </row>
    <row r="14917">
      <c r="F14917" s="13"/>
      <c r="M14917" s="13"/>
    </row>
    <row r="14918">
      <c r="F14918" s="13"/>
      <c r="M14918" s="13"/>
    </row>
    <row r="14919">
      <c r="F14919" s="13"/>
      <c r="M14919" s="13"/>
    </row>
    <row r="14920">
      <c r="F14920" s="13"/>
      <c r="M14920" s="13"/>
    </row>
    <row r="14921">
      <c r="F14921" s="13"/>
      <c r="M14921" s="13"/>
    </row>
    <row r="14922">
      <c r="F14922" s="13"/>
      <c r="M14922" s="13"/>
    </row>
    <row r="14923">
      <c r="F14923" s="13"/>
      <c r="M14923" s="13"/>
    </row>
    <row r="14924">
      <c r="F14924" s="13"/>
      <c r="M14924" s="13"/>
    </row>
    <row r="14925">
      <c r="F14925" s="13"/>
      <c r="M14925" s="13"/>
    </row>
    <row r="14926">
      <c r="F14926" s="13"/>
      <c r="M14926" s="13"/>
    </row>
    <row r="14927">
      <c r="F14927" s="13"/>
      <c r="M14927" s="13"/>
    </row>
    <row r="14928">
      <c r="F14928" s="13"/>
      <c r="M14928" s="13"/>
    </row>
    <row r="14929">
      <c r="F14929" s="13"/>
      <c r="M14929" s="13"/>
    </row>
    <row r="14930">
      <c r="F14930" s="13"/>
      <c r="M14930" s="13"/>
    </row>
    <row r="14931">
      <c r="F14931" s="13"/>
      <c r="M14931" s="13"/>
    </row>
    <row r="14932">
      <c r="F14932" s="13"/>
      <c r="M14932" s="13"/>
    </row>
    <row r="14933">
      <c r="F14933" s="13"/>
      <c r="M14933" s="13"/>
    </row>
    <row r="14934">
      <c r="F14934" s="13"/>
      <c r="M14934" s="13"/>
    </row>
    <row r="14935">
      <c r="F14935" s="13"/>
      <c r="M14935" s="13"/>
    </row>
    <row r="14936">
      <c r="F14936" s="13"/>
      <c r="M14936" s="13"/>
    </row>
    <row r="14937">
      <c r="F14937" s="13"/>
      <c r="M14937" s="13"/>
    </row>
    <row r="14938">
      <c r="F14938" s="13"/>
      <c r="M14938" s="13"/>
    </row>
    <row r="14939">
      <c r="F14939" s="13"/>
      <c r="M14939" s="13"/>
    </row>
    <row r="14940">
      <c r="F14940" s="13"/>
      <c r="M14940" s="13"/>
    </row>
    <row r="14941">
      <c r="F14941" s="13"/>
      <c r="M14941" s="13"/>
    </row>
    <row r="14942">
      <c r="F14942" s="13"/>
      <c r="M14942" s="13"/>
    </row>
    <row r="14943">
      <c r="F14943" s="13"/>
      <c r="M14943" s="13"/>
    </row>
    <row r="14944">
      <c r="F14944" s="13"/>
      <c r="M14944" s="13"/>
    </row>
    <row r="14945">
      <c r="F14945" s="13"/>
      <c r="M14945" s="13"/>
    </row>
    <row r="14946">
      <c r="F14946" s="13"/>
      <c r="M14946" s="13"/>
    </row>
    <row r="14947">
      <c r="F14947" s="13"/>
      <c r="M14947" s="13"/>
    </row>
    <row r="14948">
      <c r="F14948" s="13"/>
      <c r="M14948" s="13"/>
    </row>
    <row r="14949">
      <c r="F14949" s="13"/>
      <c r="M14949" s="13"/>
    </row>
    <row r="14950">
      <c r="F14950" s="13"/>
      <c r="M14950" s="13"/>
    </row>
    <row r="14951">
      <c r="F14951" s="13"/>
      <c r="M14951" s="13"/>
    </row>
    <row r="14952">
      <c r="F14952" s="13"/>
      <c r="M14952" s="13"/>
    </row>
    <row r="14953">
      <c r="F14953" s="13"/>
      <c r="M14953" s="13"/>
    </row>
    <row r="14954">
      <c r="F14954" s="13"/>
      <c r="M14954" s="13"/>
    </row>
    <row r="14955">
      <c r="F14955" s="13"/>
      <c r="M14955" s="13"/>
    </row>
    <row r="14956">
      <c r="F14956" s="13"/>
      <c r="M14956" s="13"/>
    </row>
    <row r="14957">
      <c r="F14957" s="13"/>
      <c r="M14957" s="13"/>
    </row>
    <row r="14958">
      <c r="F14958" s="13"/>
      <c r="M14958" s="13"/>
    </row>
    <row r="14959">
      <c r="F14959" s="13"/>
      <c r="M14959" s="13"/>
    </row>
    <row r="14960">
      <c r="F14960" s="13"/>
      <c r="M14960" s="13"/>
    </row>
    <row r="14961">
      <c r="F14961" s="13"/>
      <c r="M14961" s="13"/>
    </row>
    <row r="14962">
      <c r="F14962" s="13"/>
      <c r="M14962" s="13"/>
    </row>
    <row r="14963">
      <c r="F14963" s="13"/>
      <c r="M14963" s="13"/>
    </row>
    <row r="14964">
      <c r="F14964" s="13"/>
      <c r="M14964" s="13"/>
    </row>
    <row r="14965">
      <c r="F14965" s="13"/>
      <c r="M14965" s="13"/>
    </row>
    <row r="14966">
      <c r="F14966" s="13"/>
      <c r="M14966" s="13"/>
    </row>
    <row r="14967">
      <c r="F14967" s="13"/>
      <c r="M14967" s="13"/>
    </row>
    <row r="14968">
      <c r="F14968" s="13"/>
      <c r="M14968" s="13"/>
    </row>
    <row r="14969">
      <c r="F14969" s="13"/>
      <c r="M14969" s="13"/>
    </row>
    <row r="14970">
      <c r="F14970" s="13"/>
      <c r="M14970" s="13"/>
    </row>
    <row r="14971">
      <c r="F14971" s="13"/>
      <c r="M14971" s="13"/>
    </row>
    <row r="14972">
      <c r="F14972" s="13"/>
      <c r="M14972" s="13"/>
    </row>
    <row r="14973">
      <c r="F14973" s="13"/>
      <c r="M14973" s="13"/>
    </row>
    <row r="14974">
      <c r="F14974" s="13"/>
      <c r="M14974" s="13"/>
    </row>
    <row r="14975">
      <c r="F14975" s="13"/>
      <c r="M14975" s="13"/>
    </row>
    <row r="14976">
      <c r="F14976" s="13"/>
      <c r="M14976" s="13"/>
    </row>
    <row r="14977">
      <c r="F14977" s="13"/>
      <c r="M14977" s="13"/>
    </row>
    <row r="14978">
      <c r="F14978" s="13"/>
      <c r="M14978" s="13"/>
    </row>
    <row r="14979">
      <c r="F14979" s="13"/>
      <c r="M14979" s="13"/>
    </row>
    <row r="14980">
      <c r="F14980" s="13"/>
      <c r="M14980" s="13"/>
    </row>
    <row r="14981">
      <c r="F14981" s="13"/>
      <c r="M14981" s="13"/>
    </row>
    <row r="14982">
      <c r="F14982" s="13"/>
      <c r="M14982" s="13"/>
    </row>
    <row r="14983">
      <c r="F14983" s="13"/>
      <c r="M14983" s="13"/>
    </row>
    <row r="14984">
      <c r="F14984" s="13"/>
      <c r="M14984" s="13"/>
    </row>
    <row r="14985">
      <c r="F14985" s="13"/>
      <c r="M14985" s="13"/>
    </row>
    <row r="14986">
      <c r="F14986" s="13"/>
      <c r="M14986" s="13"/>
    </row>
    <row r="14987">
      <c r="F14987" s="13"/>
      <c r="M14987" s="13"/>
    </row>
    <row r="14988">
      <c r="F14988" s="13"/>
      <c r="M14988" s="13"/>
    </row>
    <row r="14989">
      <c r="F14989" s="13"/>
      <c r="M14989" s="13"/>
    </row>
    <row r="14990">
      <c r="F14990" s="13"/>
      <c r="M14990" s="13"/>
    </row>
    <row r="14991">
      <c r="F14991" s="13"/>
      <c r="M14991" s="13"/>
    </row>
    <row r="14992">
      <c r="F14992" s="13"/>
      <c r="M14992" s="13"/>
    </row>
    <row r="14993">
      <c r="F14993" s="13"/>
      <c r="M14993" s="13"/>
    </row>
    <row r="14994">
      <c r="F14994" s="13"/>
      <c r="M14994" s="13"/>
    </row>
    <row r="14995">
      <c r="F14995" s="13"/>
      <c r="M14995" s="13"/>
    </row>
    <row r="14996">
      <c r="F14996" s="13"/>
      <c r="M14996" s="13"/>
    </row>
    <row r="14997">
      <c r="F14997" s="13"/>
      <c r="M14997" s="13"/>
    </row>
    <row r="14998">
      <c r="F14998" s="13"/>
      <c r="M14998" s="13"/>
    </row>
    <row r="14999">
      <c r="F14999" s="13"/>
      <c r="M14999" s="13"/>
    </row>
    <row r="15000">
      <c r="F15000" s="13"/>
      <c r="M15000" s="13"/>
    </row>
    <row r="15001">
      <c r="F15001" s="13"/>
      <c r="M15001" s="13"/>
    </row>
    <row r="15002">
      <c r="F15002" s="13"/>
      <c r="M15002" s="13"/>
    </row>
    <row r="15003">
      <c r="F15003" s="13"/>
      <c r="M15003" s="13"/>
    </row>
    <row r="15004">
      <c r="F15004" s="13"/>
      <c r="M15004" s="13"/>
    </row>
    <row r="15005">
      <c r="F15005" s="13"/>
      <c r="M15005" s="13"/>
    </row>
    <row r="15006">
      <c r="F15006" s="13"/>
      <c r="M15006" s="13"/>
    </row>
    <row r="15007">
      <c r="F15007" s="13"/>
      <c r="M15007" s="13"/>
    </row>
    <row r="15008">
      <c r="F15008" s="13"/>
      <c r="M15008" s="13"/>
    </row>
    <row r="15009">
      <c r="F15009" s="13"/>
      <c r="M15009" s="13"/>
    </row>
    <row r="15010">
      <c r="F15010" s="13"/>
      <c r="M15010" s="13"/>
    </row>
    <row r="15011">
      <c r="F15011" s="13"/>
      <c r="M15011" s="13"/>
    </row>
    <row r="15012">
      <c r="F15012" s="13"/>
      <c r="M15012" s="13"/>
    </row>
    <row r="15013">
      <c r="F15013" s="13"/>
      <c r="M15013" s="13"/>
    </row>
    <row r="15014">
      <c r="F15014" s="13"/>
      <c r="M15014" s="13"/>
    </row>
    <row r="15015">
      <c r="F15015" s="13"/>
      <c r="M15015" s="13"/>
    </row>
    <row r="15016">
      <c r="F15016" s="13"/>
      <c r="M15016" s="13"/>
    </row>
    <row r="15017">
      <c r="F15017" s="13"/>
      <c r="M15017" s="13"/>
    </row>
    <row r="15018">
      <c r="F15018" s="13"/>
      <c r="M15018" s="13"/>
    </row>
    <row r="15019">
      <c r="F15019" s="13"/>
      <c r="M15019" s="13"/>
    </row>
    <row r="15020">
      <c r="F15020" s="13"/>
      <c r="M15020" s="13"/>
    </row>
    <row r="15021">
      <c r="F15021" s="13"/>
      <c r="M15021" s="13"/>
    </row>
    <row r="15022">
      <c r="F15022" s="13"/>
      <c r="M15022" s="13"/>
    </row>
    <row r="15023">
      <c r="F15023" s="13"/>
      <c r="M15023" s="13"/>
    </row>
    <row r="15024">
      <c r="F15024" s="13"/>
      <c r="M15024" s="13"/>
    </row>
    <row r="15025">
      <c r="F15025" s="13"/>
      <c r="M15025" s="13"/>
    </row>
    <row r="15026">
      <c r="F15026" s="13"/>
      <c r="M15026" s="13"/>
    </row>
    <row r="15027">
      <c r="F15027" s="13"/>
      <c r="M15027" s="13"/>
    </row>
    <row r="15028">
      <c r="F15028" s="13"/>
      <c r="M15028" s="13"/>
    </row>
    <row r="15029">
      <c r="F15029" s="13"/>
      <c r="M15029" s="13"/>
    </row>
    <row r="15030">
      <c r="F15030" s="13"/>
      <c r="M15030" s="13"/>
    </row>
    <row r="15031">
      <c r="F15031" s="13"/>
      <c r="M15031" s="13"/>
    </row>
    <row r="15032">
      <c r="F15032" s="13"/>
      <c r="M15032" s="13"/>
    </row>
    <row r="15033">
      <c r="F15033" s="13"/>
      <c r="M15033" s="13"/>
    </row>
    <row r="15034">
      <c r="F15034" s="13"/>
      <c r="M15034" s="13"/>
    </row>
    <row r="15035">
      <c r="F15035" s="13"/>
      <c r="M15035" s="13"/>
    </row>
    <row r="15036">
      <c r="F15036" s="13"/>
      <c r="M15036" s="13"/>
    </row>
    <row r="15037">
      <c r="F15037" s="13"/>
      <c r="M15037" s="13"/>
    </row>
    <row r="15038">
      <c r="F15038" s="13"/>
      <c r="M15038" s="13"/>
    </row>
    <row r="15039">
      <c r="F15039" s="13"/>
      <c r="M15039" s="13"/>
    </row>
    <row r="15040">
      <c r="F15040" s="13"/>
      <c r="M15040" s="13"/>
    </row>
    <row r="15041">
      <c r="F15041" s="13"/>
      <c r="M15041" s="13"/>
    </row>
    <row r="15042">
      <c r="F15042" s="13"/>
      <c r="M15042" s="13"/>
    </row>
    <row r="15043">
      <c r="F15043" s="13"/>
      <c r="M15043" s="13"/>
    </row>
    <row r="15044">
      <c r="F15044" s="13"/>
      <c r="M15044" s="13"/>
    </row>
    <row r="15045">
      <c r="F15045" s="13"/>
      <c r="M15045" s="13"/>
    </row>
    <row r="15046">
      <c r="F15046" s="13"/>
      <c r="M15046" s="13"/>
    </row>
    <row r="15047">
      <c r="F15047" s="13"/>
      <c r="M15047" s="13"/>
    </row>
    <row r="15048">
      <c r="F15048" s="13"/>
      <c r="M15048" s="13"/>
    </row>
    <row r="15049">
      <c r="F15049" s="13"/>
      <c r="M15049" s="13"/>
    </row>
    <row r="15050">
      <c r="F15050" s="13"/>
      <c r="M15050" s="13"/>
    </row>
    <row r="15051">
      <c r="F15051" s="13"/>
      <c r="M15051" s="13"/>
    </row>
    <row r="15052">
      <c r="F15052" s="13"/>
      <c r="M15052" s="13"/>
    </row>
    <row r="15053">
      <c r="F15053" s="13"/>
      <c r="M15053" s="13"/>
    </row>
    <row r="15054">
      <c r="F15054" s="13"/>
      <c r="M15054" s="13"/>
    </row>
    <row r="15055">
      <c r="F15055" s="13"/>
      <c r="M15055" s="13"/>
    </row>
    <row r="15056">
      <c r="F15056" s="13"/>
      <c r="M15056" s="13"/>
    </row>
    <row r="15057">
      <c r="F15057" s="13"/>
      <c r="M15057" s="13"/>
    </row>
    <row r="15058">
      <c r="F15058" s="13"/>
      <c r="M15058" s="13"/>
    </row>
    <row r="15059">
      <c r="F15059" s="13"/>
      <c r="M15059" s="13"/>
    </row>
    <row r="15060">
      <c r="F15060" s="13"/>
      <c r="M15060" s="13"/>
    </row>
    <row r="15061">
      <c r="F15061" s="13"/>
      <c r="M15061" s="13"/>
    </row>
    <row r="15062">
      <c r="F15062" s="13"/>
      <c r="M15062" s="13"/>
    </row>
    <row r="15063">
      <c r="F15063" s="13"/>
      <c r="M15063" s="13"/>
    </row>
    <row r="15064">
      <c r="F15064" s="13"/>
      <c r="M15064" s="13"/>
    </row>
    <row r="15065">
      <c r="F15065" s="13"/>
      <c r="M15065" s="13"/>
    </row>
    <row r="15066">
      <c r="F15066" s="13"/>
      <c r="M15066" s="13"/>
    </row>
    <row r="15067">
      <c r="F15067" s="13"/>
      <c r="M15067" s="13"/>
    </row>
    <row r="15068">
      <c r="F15068" s="13"/>
      <c r="M15068" s="13"/>
    </row>
    <row r="15069">
      <c r="F15069" s="13"/>
      <c r="M15069" s="13"/>
    </row>
    <row r="15070">
      <c r="F15070" s="13"/>
      <c r="M15070" s="13"/>
    </row>
    <row r="15071">
      <c r="F15071" s="13"/>
      <c r="M15071" s="13"/>
    </row>
    <row r="15072">
      <c r="F15072" s="13"/>
      <c r="M15072" s="13"/>
    </row>
    <row r="15073">
      <c r="F15073" s="13"/>
      <c r="M15073" s="13"/>
    </row>
    <row r="15074">
      <c r="F15074" s="13"/>
      <c r="M15074" s="13"/>
    </row>
    <row r="15075">
      <c r="F15075" s="13"/>
      <c r="M15075" s="13"/>
    </row>
    <row r="15076">
      <c r="F15076" s="13"/>
      <c r="M15076" s="13"/>
    </row>
    <row r="15077">
      <c r="F15077" s="13"/>
      <c r="M15077" s="13"/>
    </row>
    <row r="15078">
      <c r="F15078" s="13"/>
      <c r="M15078" s="13"/>
    </row>
    <row r="15079">
      <c r="F15079" s="13"/>
      <c r="M15079" s="13"/>
    </row>
    <row r="15080">
      <c r="F15080" s="13"/>
      <c r="M15080" s="13"/>
    </row>
    <row r="15081">
      <c r="F15081" s="13"/>
      <c r="M15081" s="13"/>
    </row>
    <row r="15082">
      <c r="F15082" s="13"/>
      <c r="M15082" s="13"/>
    </row>
    <row r="15083">
      <c r="F15083" s="13"/>
      <c r="M15083" s="13"/>
    </row>
    <row r="15084">
      <c r="F15084" s="13"/>
      <c r="M15084" s="13"/>
    </row>
    <row r="15085">
      <c r="F15085" s="13"/>
      <c r="M15085" s="13"/>
    </row>
    <row r="15086">
      <c r="F15086" s="13"/>
      <c r="M15086" s="13"/>
    </row>
    <row r="15087">
      <c r="F15087" s="13"/>
      <c r="M15087" s="13"/>
    </row>
    <row r="15088">
      <c r="F15088" s="13"/>
      <c r="M15088" s="13"/>
    </row>
    <row r="15089">
      <c r="F15089" s="13"/>
      <c r="M15089" s="13"/>
    </row>
    <row r="15090">
      <c r="F15090" s="13"/>
      <c r="M15090" s="13"/>
    </row>
    <row r="15091">
      <c r="F15091" s="13"/>
      <c r="M15091" s="13"/>
    </row>
    <row r="15092">
      <c r="F15092" s="13"/>
      <c r="M15092" s="13"/>
    </row>
    <row r="15093">
      <c r="F15093" s="13"/>
      <c r="M15093" s="13"/>
    </row>
    <row r="15094">
      <c r="F15094" s="13"/>
      <c r="M15094" s="13"/>
    </row>
    <row r="15095">
      <c r="F15095" s="13"/>
      <c r="M15095" s="13"/>
    </row>
    <row r="15096">
      <c r="F15096" s="13"/>
      <c r="M15096" s="13"/>
    </row>
    <row r="15097">
      <c r="F15097" s="13"/>
      <c r="M15097" s="13"/>
    </row>
    <row r="15098">
      <c r="F15098" s="13"/>
      <c r="M15098" s="13"/>
    </row>
    <row r="15099">
      <c r="F15099" s="13"/>
      <c r="M15099" s="13"/>
    </row>
    <row r="15100">
      <c r="F15100" s="13"/>
      <c r="M15100" s="13"/>
    </row>
    <row r="15101">
      <c r="F15101" s="13"/>
      <c r="M15101" s="13"/>
    </row>
    <row r="15102">
      <c r="F15102" s="13"/>
      <c r="M15102" s="13"/>
    </row>
    <row r="15103">
      <c r="F15103" s="13"/>
      <c r="M15103" s="13"/>
    </row>
    <row r="15104">
      <c r="F15104" s="13"/>
      <c r="M15104" s="13"/>
    </row>
    <row r="15105">
      <c r="F15105" s="13"/>
      <c r="M15105" s="13"/>
    </row>
    <row r="15106">
      <c r="F15106" s="13"/>
      <c r="M15106" s="13"/>
    </row>
    <row r="15107">
      <c r="F15107" s="13"/>
      <c r="M15107" s="13"/>
    </row>
    <row r="15108">
      <c r="F15108" s="13"/>
      <c r="M15108" s="13"/>
    </row>
    <row r="15109">
      <c r="F15109" s="13"/>
      <c r="M15109" s="13"/>
    </row>
    <row r="15110">
      <c r="F15110" s="13"/>
      <c r="M15110" s="13"/>
    </row>
    <row r="15111">
      <c r="F15111" s="13"/>
      <c r="M15111" s="13"/>
    </row>
    <row r="15112">
      <c r="F15112" s="13"/>
      <c r="M15112" s="13"/>
    </row>
    <row r="15113">
      <c r="F15113" s="13"/>
      <c r="M15113" s="13"/>
    </row>
    <row r="15114">
      <c r="F15114" s="13"/>
      <c r="M15114" s="13"/>
    </row>
    <row r="15115">
      <c r="F15115" s="13"/>
      <c r="M15115" s="13"/>
    </row>
    <row r="15116">
      <c r="F15116" s="13"/>
      <c r="M15116" s="13"/>
    </row>
    <row r="15117">
      <c r="F15117" s="13"/>
      <c r="M15117" s="13"/>
    </row>
    <row r="15118">
      <c r="F15118" s="13"/>
      <c r="M15118" s="13"/>
    </row>
    <row r="15119">
      <c r="F15119" s="13"/>
      <c r="M15119" s="13"/>
    </row>
    <row r="15120">
      <c r="F15120" s="13"/>
      <c r="M15120" s="13"/>
    </row>
    <row r="15121">
      <c r="F15121" s="13"/>
      <c r="M15121" s="13"/>
    </row>
    <row r="15122">
      <c r="F15122" s="13"/>
      <c r="M15122" s="13"/>
    </row>
    <row r="15123">
      <c r="F15123" s="13"/>
      <c r="M15123" s="13"/>
    </row>
    <row r="15124">
      <c r="F15124" s="13"/>
      <c r="M15124" s="13"/>
    </row>
    <row r="15125">
      <c r="F15125" s="13"/>
      <c r="M15125" s="13"/>
    </row>
    <row r="15126">
      <c r="F15126" s="13"/>
      <c r="M15126" s="13"/>
    </row>
    <row r="15127">
      <c r="F15127" s="13"/>
      <c r="M15127" s="13"/>
    </row>
    <row r="15128">
      <c r="F15128" s="13"/>
      <c r="M15128" s="13"/>
    </row>
    <row r="15129">
      <c r="F15129" s="13"/>
      <c r="M15129" s="13"/>
    </row>
    <row r="15130">
      <c r="F15130" s="13"/>
      <c r="M15130" s="13"/>
    </row>
    <row r="15131">
      <c r="F15131" s="13"/>
      <c r="M15131" s="13"/>
    </row>
    <row r="15132">
      <c r="F15132" s="13"/>
      <c r="M15132" s="13"/>
    </row>
    <row r="15133">
      <c r="F15133" s="13"/>
      <c r="M15133" s="13"/>
    </row>
    <row r="15134">
      <c r="F15134" s="13"/>
      <c r="M15134" s="13"/>
    </row>
    <row r="15135">
      <c r="F15135" s="13"/>
      <c r="M15135" s="13"/>
    </row>
    <row r="15136">
      <c r="F15136" s="13"/>
      <c r="M15136" s="13"/>
    </row>
    <row r="15137">
      <c r="F15137" s="13"/>
      <c r="M15137" s="13"/>
    </row>
    <row r="15138">
      <c r="F15138" s="13"/>
      <c r="M15138" s="13"/>
    </row>
    <row r="15139">
      <c r="F15139" s="13"/>
      <c r="M15139" s="13"/>
    </row>
    <row r="15140">
      <c r="F15140" s="13"/>
      <c r="M15140" s="13"/>
    </row>
    <row r="15141">
      <c r="F15141" s="13"/>
      <c r="M15141" s="13"/>
    </row>
    <row r="15142">
      <c r="F15142" s="13"/>
      <c r="M15142" s="13"/>
    </row>
    <row r="15143">
      <c r="F15143" s="13"/>
      <c r="M15143" s="13"/>
    </row>
    <row r="15144">
      <c r="F15144" s="13"/>
      <c r="M15144" s="13"/>
    </row>
    <row r="15145">
      <c r="F15145" s="13"/>
      <c r="M15145" s="13"/>
    </row>
    <row r="15146">
      <c r="F15146" s="13"/>
      <c r="M15146" s="13"/>
    </row>
    <row r="15147">
      <c r="F15147" s="13"/>
      <c r="M15147" s="13"/>
    </row>
    <row r="15148">
      <c r="F15148" s="13"/>
      <c r="M15148" s="13"/>
    </row>
    <row r="15149">
      <c r="F15149" s="13"/>
      <c r="M15149" s="13"/>
    </row>
    <row r="15150">
      <c r="F15150" s="13"/>
      <c r="M15150" s="13"/>
    </row>
    <row r="15151">
      <c r="F15151" s="13"/>
      <c r="M15151" s="13"/>
    </row>
    <row r="15152">
      <c r="F15152" s="13"/>
      <c r="M15152" s="13"/>
    </row>
    <row r="15153">
      <c r="F15153" s="13"/>
      <c r="M15153" s="13"/>
    </row>
    <row r="15154">
      <c r="F15154" s="13"/>
      <c r="M15154" s="13"/>
    </row>
    <row r="15155">
      <c r="F15155" s="13"/>
      <c r="M15155" s="13"/>
    </row>
    <row r="15156">
      <c r="F15156" s="13"/>
      <c r="M15156" s="13"/>
    </row>
    <row r="15157">
      <c r="F15157" s="13"/>
      <c r="M15157" s="13"/>
    </row>
    <row r="15158">
      <c r="F15158" s="13"/>
      <c r="M15158" s="13"/>
    </row>
    <row r="15159">
      <c r="F15159" s="13"/>
      <c r="M15159" s="13"/>
    </row>
    <row r="15160">
      <c r="F15160" s="13"/>
      <c r="M15160" s="13"/>
    </row>
    <row r="15161">
      <c r="F15161" s="13"/>
      <c r="M15161" s="13"/>
    </row>
    <row r="15162">
      <c r="F15162" s="13"/>
      <c r="M15162" s="13"/>
    </row>
    <row r="15163">
      <c r="F15163" s="13"/>
      <c r="M15163" s="13"/>
    </row>
    <row r="15164">
      <c r="F15164" s="13"/>
      <c r="M15164" s="13"/>
    </row>
    <row r="15165">
      <c r="F15165" s="13"/>
      <c r="M15165" s="13"/>
    </row>
    <row r="15166">
      <c r="F15166" s="13"/>
      <c r="M15166" s="13"/>
    </row>
    <row r="15167">
      <c r="F15167" s="13"/>
      <c r="M15167" s="13"/>
    </row>
    <row r="15168">
      <c r="F15168" s="13"/>
      <c r="M15168" s="13"/>
    </row>
    <row r="15169">
      <c r="F15169" s="13"/>
      <c r="M15169" s="13"/>
    </row>
    <row r="15170">
      <c r="F15170" s="13"/>
      <c r="M15170" s="13"/>
    </row>
    <row r="15171">
      <c r="F15171" s="13"/>
      <c r="M15171" s="13"/>
    </row>
    <row r="15172">
      <c r="F15172" s="13"/>
      <c r="M15172" s="13"/>
    </row>
    <row r="15173">
      <c r="F15173" s="13"/>
      <c r="M15173" s="13"/>
    </row>
    <row r="15174">
      <c r="F15174" s="13"/>
      <c r="M15174" s="13"/>
    </row>
    <row r="15175">
      <c r="F15175" s="13"/>
      <c r="M15175" s="13"/>
    </row>
    <row r="15176">
      <c r="F15176" s="13"/>
      <c r="M15176" s="13"/>
    </row>
    <row r="15177">
      <c r="F15177" s="13"/>
      <c r="M15177" s="13"/>
    </row>
    <row r="15178">
      <c r="F15178" s="13"/>
      <c r="M15178" s="13"/>
    </row>
    <row r="15179">
      <c r="F15179" s="13"/>
      <c r="M15179" s="13"/>
    </row>
    <row r="15180">
      <c r="F15180" s="13"/>
      <c r="M15180" s="13"/>
    </row>
    <row r="15181">
      <c r="F15181" s="13"/>
      <c r="M15181" s="13"/>
    </row>
    <row r="15182">
      <c r="F15182" s="13"/>
      <c r="M15182" s="13"/>
    </row>
    <row r="15183">
      <c r="F15183" s="13"/>
      <c r="M15183" s="13"/>
    </row>
    <row r="15184">
      <c r="F15184" s="13"/>
      <c r="M15184" s="13"/>
    </row>
    <row r="15185">
      <c r="F15185" s="13"/>
      <c r="M15185" s="13"/>
    </row>
    <row r="15186">
      <c r="F15186" s="13"/>
      <c r="M15186" s="13"/>
    </row>
    <row r="15187">
      <c r="F15187" s="13"/>
      <c r="M15187" s="13"/>
    </row>
    <row r="15188">
      <c r="F15188" s="13"/>
      <c r="M15188" s="13"/>
    </row>
    <row r="15189">
      <c r="F15189" s="13"/>
      <c r="M15189" s="13"/>
    </row>
    <row r="15190">
      <c r="F15190" s="13"/>
      <c r="M15190" s="13"/>
    </row>
    <row r="15191">
      <c r="F15191" s="13"/>
      <c r="M15191" s="13"/>
    </row>
    <row r="15192">
      <c r="F15192" s="13"/>
      <c r="M15192" s="13"/>
    </row>
    <row r="15193">
      <c r="F15193" s="13"/>
      <c r="M15193" s="13"/>
    </row>
    <row r="15194">
      <c r="F15194" s="13"/>
      <c r="M15194" s="13"/>
    </row>
    <row r="15195">
      <c r="F15195" s="13"/>
      <c r="M15195" s="13"/>
    </row>
    <row r="15196">
      <c r="F15196" s="13"/>
      <c r="M15196" s="13"/>
    </row>
    <row r="15197">
      <c r="F15197" s="13"/>
      <c r="M15197" s="13"/>
    </row>
    <row r="15198">
      <c r="F15198" s="13"/>
      <c r="M15198" s="13"/>
    </row>
    <row r="15199">
      <c r="F15199" s="13"/>
      <c r="M15199" s="13"/>
    </row>
    <row r="15200">
      <c r="F15200" s="13"/>
      <c r="M15200" s="13"/>
    </row>
    <row r="15201">
      <c r="F15201" s="13"/>
      <c r="M15201" s="13"/>
    </row>
    <row r="15202">
      <c r="F15202" s="13"/>
      <c r="M15202" s="13"/>
    </row>
    <row r="15203">
      <c r="F15203" s="13"/>
      <c r="M15203" s="13"/>
    </row>
    <row r="15204">
      <c r="F15204" s="13"/>
      <c r="M15204" s="13"/>
    </row>
    <row r="15205">
      <c r="F15205" s="13"/>
      <c r="M15205" s="13"/>
    </row>
    <row r="15206">
      <c r="F15206" s="13"/>
      <c r="M15206" s="13"/>
    </row>
    <row r="15207">
      <c r="F15207" s="13"/>
      <c r="M15207" s="13"/>
    </row>
    <row r="15208">
      <c r="F15208" s="13"/>
      <c r="M15208" s="13"/>
    </row>
    <row r="15209">
      <c r="F15209" s="13"/>
      <c r="M15209" s="13"/>
    </row>
    <row r="15210">
      <c r="F15210" s="13"/>
      <c r="M15210" s="13"/>
    </row>
    <row r="15211">
      <c r="F15211" s="13"/>
      <c r="M15211" s="13"/>
    </row>
    <row r="15212">
      <c r="F15212" s="13"/>
      <c r="M15212" s="13"/>
    </row>
    <row r="15213">
      <c r="F15213" s="13"/>
      <c r="M15213" s="13"/>
    </row>
    <row r="15214">
      <c r="F15214" s="13"/>
      <c r="M15214" s="13"/>
    </row>
    <row r="15215">
      <c r="F15215" s="13"/>
      <c r="M15215" s="13"/>
    </row>
    <row r="15216">
      <c r="F15216" s="13"/>
      <c r="M15216" s="13"/>
    </row>
    <row r="15217">
      <c r="F15217" s="13"/>
      <c r="M15217" s="13"/>
    </row>
    <row r="15218">
      <c r="F15218" s="13"/>
      <c r="M15218" s="13"/>
    </row>
    <row r="15219">
      <c r="F15219" s="13"/>
      <c r="M15219" s="13"/>
    </row>
    <row r="15220">
      <c r="F15220" s="13"/>
      <c r="M15220" s="13"/>
    </row>
    <row r="15221">
      <c r="F15221" s="13"/>
      <c r="M15221" s="13"/>
    </row>
    <row r="15222">
      <c r="F15222" s="13"/>
      <c r="M15222" s="13"/>
    </row>
    <row r="15223">
      <c r="F15223" s="13"/>
      <c r="M15223" s="13"/>
    </row>
    <row r="15224">
      <c r="F15224" s="13"/>
      <c r="M15224" s="13"/>
    </row>
    <row r="15225">
      <c r="F15225" s="13"/>
      <c r="M15225" s="13"/>
    </row>
    <row r="15226">
      <c r="F15226" s="13"/>
      <c r="M15226" s="13"/>
    </row>
    <row r="15227">
      <c r="F15227" s="13"/>
      <c r="M15227" s="13"/>
    </row>
    <row r="15228">
      <c r="F15228" s="13"/>
      <c r="M15228" s="13"/>
    </row>
    <row r="15229">
      <c r="F15229" s="13"/>
      <c r="M15229" s="13"/>
    </row>
    <row r="15230">
      <c r="F15230" s="13"/>
      <c r="M15230" s="13"/>
    </row>
    <row r="15231">
      <c r="F15231" s="13"/>
      <c r="M15231" s="13"/>
    </row>
    <row r="15232">
      <c r="F15232" s="13"/>
      <c r="M15232" s="13"/>
    </row>
    <row r="15233">
      <c r="F15233" s="13"/>
      <c r="M15233" s="13"/>
    </row>
    <row r="15234">
      <c r="F15234" s="13"/>
      <c r="M15234" s="13"/>
    </row>
    <row r="15235">
      <c r="F15235" s="13"/>
      <c r="M15235" s="13"/>
    </row>
    <row r="15236">
      <c r="F15236" s="13"/>
      <c r="M15236" s="13"/>
    </row>
    <row r="15237">
      <c r="F15237" s="13"/>
      <c r="M15237" s="13"/>
    </row>
    <row r="15238">
      <c r="F15238" s="13"/>
      <c r="M15238" s="13"/>
    </row>
    <row r="15239">
      <c r="F15239" s="13"/>
      <c r="M15239" s="13"/>
    </row>
    <row r="15240">
      <c r="F15240" s="13"/>
      <c r="M15240" s="13"/>
    </row>
    <row r="15241">
      <c r="F15241" s="13"/>
      <c r="M15241" s="13"/>
    </row>
    <row r="15242">
      <c r="F15242" s="13"/>
      <c r="M15242" s="13"/>
    </row>
    <row r="15243">
      <c r="F15243" s="13"/>
      <c r="M15243" s="13"/>
    </row>
    <row r="15244">
      <c r="F15244" s="13"/>
      <c r="M15244" s="13"/>
    </row>
    <row r="15245">
      <c r="F15245" s="13"/>
      <c r="M15245" s="13"/>
    </row>
    <row r="15246">
      <c r="F15246" s="13"/>
      <c r="M15246" s="13"/>
    </row>
    <row r="15247">
      <c r="F15247" s="13"/>
      <c r="M15247" s="13"/>
    </row>
    <row r="15248">
      <c r="F15248" s="13"/>
      <c r="M15248" s="13"/>
    </row>
    <row r="15249">
      <c r="F15249" s="13"/>
      <c r="M15249" s="13"/>
    </row>
    <row r="15250">
      <c r="F15250" s="13"/>
      <c r="M15250" s="13"/>
    </row>
    <row r="15251">
      <c r="F15251" s="13"/>
      <c r="M15251" s="13"/>
    </row>
    <row r="15252">
      <c r="F15252" s="13"/>
      <c r="M15252" s="13"/>
    </row>
    <row r="15253">
      <c r="F15253" s="13"/>
      <c r="M15253" s="13"/>
    </row>
    <row r="15254">
      <c r="F15254" s="13"/>
      <c r="M15254" s="13"/>
    </row>
    <row r="15255">
      <c r="F15255" s="13"/>
      <c r="M15255" s="13"/>
    </row>
    <row r="15256">
      <c r="F15256" s="13"/>
      <c r="M15256" s="13"/>
    </row>
    <row r="15257">
      <c r="F15257" s="13"/>
      <c r="M15257" s="13"/>
    </row>
    <row r="15258">
      <c r="F15258" s="13"/>
      <c r="M15258" s="13"/>
    </row>
    <row r="15259">
      <c r="F15259" s="13"/>
      <c r="M15259" s="13"/>
    </row>
    <row r="15260">
      <c r="F15260" s="13"/>
      <c r="M15260" s="13"/>
    </row>
    <row r="15261">
      <c r="F15261" s="13"/>
      <c r="M15261" s="13"/>
    </row>
    <row r="15262">
      <c r="F15262" s="13"/>
      <c r="M15262" s="13"/>
    </row>
    <row r="15263">
      <c r="F15263" s="13"/>
      <c r="M15263" s="13"/>
    </row>
    <row r="15264">
      <c r="F15264" s="13"/>
      <c r="M15264" s="13"/>
    </row>
    <row r="15265">
      <c r="F15265" s="13"/>
      <c r="M15265" s="13"/>
    </row>
    <row r="15266">
      <c r="F15266" s="13"/>
      <c r="M15266" s="13"/>
    </row>
    <row r="15267">
      <c r="F15267" s="13"/>
      <c r="M15267" s="13"/>
    </row>
    <row r="15268">
      <c r="F15268" s="13"/>
      <c r="M15268" s="13"/>
    </row>
    <row r="15269">
      <c r="F15269" s="13"/>
      <c r="M15269" s="13"/>
    </row>
    <row r="15270">
      <c r="F15270" s="13"/>
      <c r="M15270" s="13"/>
    </row>
    <row r="15271">
      <c r="F15271" s="13"/>
      <c r="M15271" s="13"/>
    </row>
    <row r="15272">
      <c r="F15272" s="13"/>
      <c r="M15272" s="13"/>
    </row>
    <row r="15273">
      <c r="F15273" s="13"/>
      <c r="M15273" s="13"/>
    </row>
    <row r="15274">
      <c r="F15274" s="13"/>
      <c r="M15274" s="13"/>
    </row>
    <row r="15275">
      <c r="F15275" s="13"/>
      <c r="M15275" s="13"/>
    </row>
    <row r="15276">
      <c r="F15276" s="13"/>
      <c r="M15276" s="13"/>
    </row>
    <row r="15277">
      <c r="F15277" s="13"/>
      <c r="M15277" s="13"/>
    </row>
    <row r="15278">
      <c r="F15278" s="13"/>
      <c r="M15278" s="13"/>
    </row>
    <row r="15279">
      <c r="F15279" s="13"/>
      <c r="M15279" s="13"/>
    </row>
    <row r="15280">
      <c r="F15280" s="13"/>
      <c r="M15280" s="13"/>
    </row>
    <row r="15281">
      <c r="F15281" s="13"/>
      <c r="M15281" s="13"/>
    </row>
    <row r="15282">
      <c r="F15282" s="13"/>
      <c r="M15282" s="13"/>
    </row>
    <row r="15283">
      <c r="F15283" s="13"/>
      <c r="M15283" s="13"/>
    </row>
    <row r="15284">
      <c r="F15284" s="13"/>
      <c r="M15284" s="13"/>
    </row>
    <row r="15285">
      <c r="F15285" s="13"/>
      <c r="M15285" s="13"/>
    </row>
    <row r="15286">
      <c r="F15286" s="13"/>
      <c r="M15286" s="13"/>
    </row>
    <row r="15287">
      <c r="F15287" s="13"/>
      <c r="M15287" s="13"/>
    </row>
    <row r="15288">
      <c r="F15288" s="13"/>
      <c r="M15288" s="13"/>
    </row>
    <row r="15289">
      <c r="F15289" s="13"/>
      <c r="M15289" s="13"/>
    </row>
    <row r="15290">
      <c r="F15290" s="13"/>
      <c r="M15290" s="13"/>
    </row>
    <row r="15291">
      <c r="F15291" s="13"/>
      <c r="M15291" s="13"/>
    </row>
    <row r="15292">
      <c r="F15292" s="13"/>
      <c r="M15292" s="13"/>
    </row>
    <row r="15293">
      <c r="F15293" s="13"/>
      <c r="M15293" s="13"/>
    </row>
    <row r="15294">
      <c r="F15294" s="13"/>
      <c r="M15294" s="13"/>
    </row>
    <row r="15295">
      <c r="F15295" s="13"/>
      <c r="M15295" s="13"/>
    </row>
    <row r="15296">
      <c r="F15296" s="13"/>
      <c r="M15296" s="13"/>
    </row>
    <row r="15297">
      <c r="F15297" s="13"/>
      <c r="M15297" s="13"/>
    </row>
    <row r="15298">
      <c r="F15298" s="13"/>
      <c r="M15298" s="13"/>
    </row>
    <row r="15299">
      <c r="F15299" s="13"/>
      <c r="M15299" s="13"/>
    </row>
    <row r="15300">
      <c r="F15300" s="13"/>
      <c r="M15300" s="13"/>
    </row>
    <row r="15301">
      <c r="F15301" s="13"/>
      <c r="M15301" s="13"/>
    </row>
    <row r="15302">
      <c r="F15302" s="13"/>
      <c r="M15302" s="13"/>
    </row>
    <row r="15303">
      <c r="F15303" s="13"/>
      <c r="M15303" s="13"/>
    </row>
    <row r="15304">
      <c r="F15304" s="13"/>
      <c r="M15304" s="13"/>
    </row>
    <row r="15305">
      <c r="F15305" s="13"/>
      <c r="M15305" s="13"/>
    </row>
    <row r="15306">
      <c r="F15306" s="13"/>
      <c r="M15306" s="13"/>
    </row>
    <row r="15307">
      <c r="F15307" s="13"/>
      <c r="M15307" s="13"/>
    </row>
    <row r="15308">
      <c r="F15308" s="13"/>
      <c r="M15308" s="13"/>
    </row>
    <row r="15309">
      <c r="F15309" s="13"/>
      <c r="M15309" s="13"/>
    </row>
    <row r="15310">
      <c r="F15310" s="13"/>
      <c r="M15310" s="13"/>
    </row>
    <row r="15311">
      <c r="F15311" s="13"/>
      <c r="M15311" s="13"/>
    </row>
    <row r="15312">
      <c r="F15312" s="13"/>
      <c r="M15312" s="13"/>
    </row>
    <row r="15313">
      <c r="F15313" s="13"/>
      <c r="M15313" s="13"/>
    </row>
    <row r="15314">
      <c r="F15314" s="13"/>
      <c r="M15314" s="13"/>
    </row>
    <row r="15315">
      <c r="F15315" s="13"/>
      <c r="M15315" s="13"/>
    </row>
    <row r="15316">
      <c r="F15316" s="13"/>
      <c r="M15316" s="13"/>
    </row>
    <row r="15317">
      <c r="F15317" s="13"/>
      <c r="M15317" s="13"/>
    </row>
    <row r="15318">
      <c r="F15318" s="13"/>
      <c r="M15318" s="13"/>
    </row>
    <row r="15319">
      <c r="F15319" s="13"/>
      <c r="M15319" s="13"/>
    </row>
    <row r="15320">
      <c r="F15320" s="13"/>
      <c r="M15320" s="13"/>
    </row>
    <row r="15321">
      <c r="F15321" s="13"/>
      <c r="M15321" s="13"/>
    </row>
    <row r="15322">
      <c r="F15322" s="13"/>
      <c r="M15322" s="13"/>
    </row>
    <row r="15323">
      <c r="F15323" s="13"/>
      <c r="M15323" s="13"/>
    </row>
    <row r="15324">
      <c r="F15324" s="13"/>
      <c r="M15324" s="13"/>
    </row>
    <row r="15325">
      <c r="F15325" s="13"/>
      <c r="M15325" s="13"/>
    </row>
    <row r="15326">
      <c r="F15326" s="13"/>
      <c r="M15326" s="13"/>
    </row>
    <row r="15327">
      <c r="F15327" s="13"/>
      <c r="M15327" s="13"/>
    </row>
    <row r="15328">
      <c r="F15328" s="13"/>
      <c r="M15328" s="13"/>
    </row>
    <row r="15329">
      <c r="F15329" s="13"/>
      <c r="M15329" s="13"/>
    </row>
    <row r="15330">
      <c r="F15330" s="13"/>
      <c r="M15330" s="13"/>
    </row>
    <row r="15331">
      <c r="F15331" s="13"/>
      <c r="M15331" s="13"/>
    </row>
    <row r="15332">
      <c r="F15332" s="13"/>
      <c r="M15332" s="13"/>
    </row>
    <row r="15333">
      <c r="F15333" s="13"/>
      <c r="M15333" s="13"/>
    </row>
    <row r="15334">
      <c r="F15334" s="13"/>
      <c r="M15334" s="13"/>
    </row>
    <row r="15335">
      <c r="F15335" s="13"/>
      <c r="M15335" s="13"/>
    </row>
    <row r="15336">
      <c r="F15336" s="13"/>
      <c r="M15336" s="13"/>
    </row>
    <row r="15337">
      <c r="F15337" s="13"/>
      <c r="M15337" s="13"/>
    </row>
    <row r="15338">
      <c r="F15338" s="13"/>
      <c r="M15338" s="13"/>
    </row>
    <row r="15339">
      <c r="F15339" s="13"/>
      <c r="M15339" s="13"/>
    </row>
    <row r="15340">
      <c r="F15340" s="13"/>
      <c r="M15340" s="13"/>
    </row>
    <row r="15341">
      <c r="F15341" s="13"/>
      <c r="M15341" s="13"/>
    </row>
    <row r="15342">
      <c r="F15342" s="13"/>
      <c r="M15342" s="13"/>
    </row>
    <row r="15343">
      <c r="F15343" s="13"/>
      <c r="M15343" s="13"/>
    </row>
    <row r="15344">
      <c r="F15344" s="13"/>
      <c r="M15344" s="13"/>
    </row>
    <row r="15345">
      <c r="F15345" s="13"/>
      <c r="M15345" s="13"/>
    </row>
    <row r="15346">
      <c r="F15346" s="13"/>
      <c r="M15346" s="13"/>
    </row>
    <row r="15347">
      <c r="F15347" s="13"/>
      <c r="M15347" s="13"/>
    </row>
    <row r="15348">
      <c r="F15348" s="13"/>
      <c r="M15348" s="13"/>
    </row>
    <row r="15349">
      <c r="F15349" s="13"/>
      <c r="M15349" s="13"/>
    </row>
    <row r="15350">
      <c r="F15350" s="13"/>
      <c r="M15350" s="13"/>
    </row>
    <row r="15351">
      <c r="F15351" s="13"/>
      <c r="M15351" s="13"/>
    </row>
    <row r="15352">
      <c r="F15352" s="13"/>
      <c r="M15352" s="13"/>
    </row>
    <row r="15353">
      <c r="F15353" s="13"/>
      <c r="M15353" s="13"/>
    </row>
    <row r="15354">
      <c r="F15354" s="13"/>
      <c r="M15354" s="13"/>
    </row>
    <row r="15355">
      <c r="F15355" s="13"/>
      <c r="M15355" s="13"/>
    </row>
    <row r="15356">
      <c r="F15356" s="13"/>
      <c r="M15356" s="13"/>
    </row>
    <row r="15357">
      <c r="F15357" s="13"/>
      <c r="M15357" s="13"/>
    </row>
    <row r="15358">
      <c r="F15358" s="13"/>
      <c r="M15358" s="13"/>
    </row>
    <row r="15359">
      <c r="F15359" s="13"/>
      <c r="M15359" s="13"/>
    </row>
    <row r="15360">
      <c r="F15360" s="13"/>
      <c r="M15360" s="13"/>
    </row>
    <row r="15361">
      <c r="F15361" s="13"/>
      <c r="M15361" s="13"/>
    </row>
    <row r="15362">
      <c r="F15362" s="13"/>
      <c r="M15362" s="13"/>
    </row>
    <row r="15363">
      <c r="F15363" s="13"/>
      <c r="M15363" s="13"/>
    </row>
    <row r="15364">
      <c r="F15364" s="13"/>
      <c r="M15364" s="13"/>
    </row>
    <row r="15365">
      <c r="F15365" s="13"/>
      <c r="M15365" s="13"/>
    </row>
    <row r="15366">
      <c r="F15366" s="13"/>
      <c r="M15366" s="13"/>
    </row>
    <row r="15367">
      <c r="F15367" s="13"/>
      <c r="M15367" s="13"/>
    </row>
    <row r="15368">
      <c r="F15368" s="13"/>
      <c r="M15368" s="13"/>
    </row>
    <row r="15369">
      <c r="F15369" s="13"/>
      <c r="M15369" s="13"/>
    </row>
    <row r="15370">
      <c r="F15370" s="13"/>
      <c r="M15370" s="13"/>
    </row>
    <row r="15371">
      <c r="F15371" s="13"/>
      <c r="M15371" s="13"/>
    </row>
    <row r="15372">
      <c r="F15372" s="13"/>
      <c r="M15372" s="13"/>
    </row>
    <row r="15373">
      <c r="F15373" s="13"/>
      <c r="M15373" s="13"/>
    </row>
    <row r="15374">
      <c r="F15374" s="13"/>
      <c r="M15374" s="13"/>
    </row>
    <row r="15375">
      <c r="F15375" s="13"/>
      <c r="M15375" s="13"/>
    </row>
    <row r="15376">
      <c r="F15376" s="13"/>
      <c r="M15376" s="13"/>
    </row>
    <row r="15377">
      <c r="F15377" s="13"/>
      <c r="M15377" s="13"/>
    </row>
    <row r="15378">
      <c r="F15378" s="13"/>
      <c r="M15378" s="13"/>
    </row>
    <row r="15379">
      <c r="F15379" s="13"/>
      <c r="M15379" s="13"/>
    </row>
    <row r="15380">
      <c r="F15380" s="13"/>
      <c r="M15380" s="13"/>
    </row>
    <row r="15381">
      <c r="F15381" s="13"/>
      <c r="M15381" s="13"/>
    </row>
    <row r="15382">
      <c r="F15382" s="13"/>
      <c r="M15382" s="13"/>
    </row>
    <row r="15383">
      <c r="F15383" s="13"/>
      <c r="M15383" s="13"/>
    </row>
    <row r="15384">
      <c r="F15384" s="13"/>
      <c r="M15384" s="13"/>
    </row>
    <row r="15385">
      <c r="F15385" s="13"/>
      <c r="M15385" s="13"/>
    </row>
    <row r="15386">
      <c r="F15386" s="13"/>
      <c r="M15386" s="13"/>
    </row>
    <row r="15387">
      <c r="F15387" s="13"/>
      <c r="M15387" s="13"/>
    </row>
    <row r="15388">
      <c r="F15388" s="13"/>
      <c r="M15388" s="13"/>
    </row>
    <row r="15389">
      <c r="F15389" s="13"/>
      <c r="M15389" s="13"/>
    </row>
    <row r="15390">
      <c r="F15390" s="13"/>
      <c r="M15390" s="13"/>
    </row>
    <row r="15391">
      <c r="F15391" s="13"/>
      <c r="M15391" s="13"/>
    </row>
    <row r="15392">
      <c r="F15392" s="13"/>
      <c r="M15392" s="13"/>
    </row>
    <row r="15393">
      <c r="F15393" s="13"/>
      <c r="M15393" s="13"/>
    </row>
    <row r="15394">
      <c r="F15394" s="13"/>
      <c r="M15394" s="13"/>
    </row>
    <row r="15395">
      <c r="F15395" s="13"/>
      <c r="M15395" s="13"/>
    </row>
    <row r="15396">
      <c r="F15396" s="13"/>
      <c r="M15396" s="13"/>
    </row>
    <row r="15397">
      <c r="F15397" s="13"/>
      <c r="M15397" s="13"/>
    </row>
    <row r="15398">
      <c r="F15398" s="13"/>
      <c r="M15398" s="13"/>
    </row>
    <row r="15399">
      <c r="F15399" s="13"/>
      <c r="M15399" s="13"/>
    </row>
    <row r="15400">
      <c r="F15400" s="13"/>
      <c r="M15400" s="13"/>
    </row>
    <row r="15401">
      <c r="F15401" s="13"/>
      <c r="M15401" s="13"/>
    </row>
    <row r="15402">
      <c r="F15402" s="13"/>
      <c r="M15402" s="13"/>
    </row>
    <row r="15403">
      <c r="F15403" s="13"/>
      <c r="M15403" s="13"/>
    </row>
    <row r="15404">
      <c r="F15404" s="13"/>
      <c r="M15404" s="13"/>
    </row>
    <row r="15405">
      <c r="F15405" s="13"/>
      <c r="M15405" s="13"/>
    </row>
    <row r="15406">
      <c r="F15406" s="13"/>
      <c r="M15406" s="13"/>
    </row>
    <row r="15407">
      <c r="F15407" s="13"/>
      <c r="M15407" s="13"/>
    </row>
    <row r="15408">
      <c r="F15408" s="13"/>
      <c r="M15408" s="13"/>
    </row>
    <row r="15409">
      <c r="F15409" s="13"/>
      <c r="M15409" s="13"/>
    </row>
    <row r="15410">
      <c r="F15410" s="13"/>
      <c r="M15410" s="13"/>
    </row>
    <row r="15411">
      <c r="F15411" s="13"/>
      <c r="M15411" s="13"/>
    </row>
    <row r="15412">
      <c r="F15412" s="13"/>
      <c r="M15412" s="13"/>
    </row>
    <row r="15413">
      <c r="F15413" s="13"/>
      <c r="M15413" s="13"/>
    </row>
    <row r="15414">
      <c r="F15414" s="13"/>
      <c r="M15414" s="13"/>
    </row>
    <row r="15415">
      <c r="F15415" s="13"/>
      <c r="M15415" s="13"/>
    </row>
    <row r="15416">
      <c r="F15416" s="13"/>
      <c r="M15416" s="13"/>
    </row>
    <row r="15417">
      <c r="F15417" s="13"/>
      <c r="M15417" s="13"/>
    </row>
    <row r="15418">
      <c r="F15418" s="13"/>
      <c r="M15418" s="13"/>
    </row>
    <row r="15419">
      <c r="F15419" s="13"/>
      <c r="M15419" s="13"/>
    </row>
    <row r="15420">
      <c r="F15420" s="13"/>
      <c r="M15420" s="13"/>
    </row>
    <row r="15421">
      <c r="F15421" s="13"/>
      <c r="M15421" s="13"/>
    </row>
    <row r="15422">
      <c r="F15422" s="13"/>
      <c r="M15422" s="13"/>
    </row>
    <row r="15423">
      <c r="F15423" s="13"/>
      <c r="M15423" s="13"/>
    </row>
    <row r="15424">
      <c r="F15424" s="13"/>
      <c r="M15424" s="13"/>
    </row>
    <row r="15425">
      <c r="F15425" s="13"/>
      <c r="M15425" s="13"/>
    </row>
    <row r="15426">
      <c r="F15426" s="13"/>
      <c r="M15426" s="13"/>
    </row>
    <row r="15427">
      <c r="F15427" s="13"/>
      <c r="M15427" s="13"/>
    </row>
    <row r="15428">
      <c r="F15428" s="13"/>
      <c r="M15428" s="13"/>
    </row>
    <row r="15429">
      <c r="F15429" s="13"/>
      <c r="M15429" s="13"/>
    </row>
    <row r="15430">
      <c r="F15430" s="13"/>
      <c r="M15430" s="13"/>
    </row>
    <row r="15431">
      <c r="F15431" s="13"/>
      <c r="M15431" s="13"/>
    </row>
    <row r="15432">
      <c r="F15432" s="13"/>
      <c r="M15432" s="13"/>
    </row>
    <row r="15433">
      <c r="F15433" s="13"/>
      <c r="M15433" s="13"/>
    </row>
    <row r="15434">
      <c r="F15434" s="13"/>
      <c r="M15434" s="13"/>
    </row>
    <row r="15435">
      <c r="F15435" s="13"/>
      <c r="M15435" s="13"/>
    </row>
    <row r="15436">
      <c r="F15436" s="13"/>
      <c r="M15436" s="13"/>
    </row>
    <row r="15437">
      <c r="F15437" s="13"/>
      <c r="M15437" s="13"/>
    </row>
    <row r="15438">
      <c r="F15438" s="13"/>
      <c r="M15438" s="13"/>
    </row>
    <row r="15439">
      <c r="F15439" s="13"/>
      <c r="M15439" s="13"/>
    </row>
    <row r="15440">
      <c r="F15440" s="13"/>
      <c r="M15440" s="13"/>
    </row>
    <row r="15441">
      <c r="F15441" s="13"/>
      <c r="M15441" s="13"/>
    </row>
    <row r="15442">
      <c r="F15442" s="13"/>
      <c r="M15442" s="13"/>
    </row>
    <row r="15443">
      <c r="F15443" s="13"/>
      <c r="M15443" s="13"/>
    </row>
    <row r="15444">
      <c r="F15444" s="13"/>
      <c r="M15444" s="13"/>
    </row>
    <row r="15445">
      <c r="F15445" s="13"/>
      <c r="M15445" s="13"/>
    </row>
    <row r="15446">
      <c r="F15446" s="13"/>
      <c r="M15446" s="13"/>
    </row>
    <row r="15447">
      <c r="F15447" s="13"/>
      <c r="M15447" s="13"/>
    </row>
    <row r="15448">
      <c r="F15448" s="13"/>
      <c r="M15448" s="13"/>
    </row>
    <row r="15449">
      <c r="F15449" s="13"/>
      <c r="M15449" s="13"/>
    </row>
    <row r="15450">
      <c r="F15450" s="13"/>
      <c r="M15450" s="13"/>
    </row>
    <row r="15451">
      <c r="F15451" s="13"/>
      <c r="M15451" s="13"/>
    </row>
    <row r="15452">
      <c r="F15452" s="13"/>
      <c r="M15452" s="13"/>
    </row>
    <row r="15453">
      <c r="F15453" s="13"/>
      <c r="M15453" s="13"/>
    </row>
    <row r="15454">
      <c r="F15454" s="13"/>
      <c r="M15454" s="13"/>
    </row>
    <row r="15455">
      <c r="F15455" s="13"/>
      <c r="M15455" s="13"/>
    </row>
    <row r="15456">
      <c r="F15456" s="13"/>
      <c r="M15456" s="13"/>
    </row>
    <row r="15457">
      <c r="F15457" s="13"/>
      <c r="M15457" s="13"/>
    </row>
    <row r="15458">
      <c r="F15458" s="13"/>
      <c r="M15458" s="13"/>
    </row>
    <row r="15459">
      <c r="F15459" s="13"/>
      <c r="M15459" s="13"/>
    </row>
    <row r="15460">
      <c r="F15460" s="13"/>
      <c r="M15460" s="13"/>
    </row>
    <row r="15461">
      <c r="F15461" s="13"/>
      <c r="M15461" s="13"/>
    </row>
    <row r="15462">
      <c r="F15462" s="13"/>
      <c r="M15462" s="13"/>
    </row>
    <row r="15463">
      <c r="F15463" s="13"/>
      <c r="M15463" s="13"/>
    </row>
    <row r="15464">
      <c r="F15464" s="13"/>
      <c r="M15464" s="13"/>
    </row>
    <row r="15465">
      <c r="F15465" s="13"/>
      <c r="M15465" s="13"/>
    </row>
    <row r="15466">
      <c r="F15466" s="13"/>
      <c r="M15466" s="13"/>
    </row>
    <row r="15467">
      <c r="F15467" s="13"/>
      <c r="M15467" s="13"/>
    </row>
    <row r="15468">
      <c r="F15468" s="13"/>
      <c r="M15468" s="13"/>
    </row>
    <row r="15469">
      <c r="F15469" s="13"/>
      <c r="M15469" s="13"/>
    </row>
    <row r="15470">
      <c r="F15470" s="13"/>
      <c r="M15470" s="13"/>
    </row>
    <row r="15471">
      <c r="F15471" s="13"/>
      <c r="M15471" s="13"/>
    </row>
    <row r="15472">
      <c r="F15472" s="13"/>
      <c r="M15472" s="13"/>
    </row>
    <row r="15473">
      <c r="F15473" s="13"/>
      <c r="M15473" s="13"/>
    </row>
    <row r="15474">
      <c r="F15474" s="13"/>
      <c r="M15474" s="13"/>
    </row>
    <row r="15475">
      <c r="F15475" s="13"/>
      <c r="M15475" s="13"/>
    </row>
    <row r="15476">
      <c r="F15476" s="13"/>
      <c r="M15476" s="13"/>
    </row>
    <row r="15477">
      <c r="F15477" s="13"/>
      <c r="M15477" s="13"/>
    </row>
    <row r="15478">
      <c r="F15478" s="13"/>
      <c r="M15478" s="13"/>
    </row>
    <row r="15479">
      <c r="F15479" s="13"/>
      <c r="M15479" s="13"/>
    </row>
    <row r="15480">
      <c r="F15480" s="13"/>
      <c r="M15480" s="13"/>
    </row>
    <row r="15481">
      <c r="F15481" s="13"/>
      <c r="M15481" s="13"/>
    </row>
    <row r="15482">
      <c r="F15482" s="13"/>
      <c r="M15482" s="13"/>
    </row>
    <row r="15483">
      <c r="F15483" s="13"/>
      <c r="M15483" s="13"/>
    </row>
    <row r="15484">
      <c r="F15484" s="13"/>
      <c r="M15484" s="13"/>
    </row>
    <row r="15485">
      <c r="F15485" s="13"/>
      <c r="M15485" s="13"/>
    </row>
    <row r="15486">
      <c r="F15486" s="13"/>
      <c r="M15486" s="13"/>
    </row>
    <row r="15487">
      <c r="F15487" s="13"/>
      <c r="M15487" s="13"/>
    </row>
    <row r="15488">
      <c r="F15488" s="13"/>
      <c r="M15488" s="13"/>
    </row>
    <row r="15489">
      <c r="F15489" s="13"/>
      <c r="M15489" s="13"/>
    </row>
    <row r="15490">
      <c r="F15490" s="13"/>
      <c r="M15490" s="13"/>
    </row>
    <row r="15491">
      <c r="F15491" s="13"/>
      <c r="M15491" s="13"/>
    </row>
    <row r="15492">
      <c r="F15492" s="13"/>
      <c r="M15492" s="13"/>
    </row>
    <row r="15493">
      <c r="F15493" s="13"/>
      <c r="M15493" s="13"/>
    </row>
    <row r="15494">
      <c r="F15494" s="13"/>
      <c r="M15494" s="13"/>
    </row>
    <row r="15495">
      <c r="F15495" s="13"/>
      <c r="M15495" s="13"/>
    </row>
    <row r="15496">
      <c r="F15496" s="13"/>
      <c r="M15496" s="13"/>
    </row>
    <row r="15497">
      <c r="F15497" s="13"/>
      <c r="M15497" s="13"/>
    </row>
    <row r="15498">
      <c r="F15498" s="13"/>
      <c r="M15498" s="13"/>
    </row>
    <row r="15499">
      <c r="F15499" s="13"/>
      <c r="M15499" s="13"/>
    </row>
    <row r="15500">
      <c r="F15500" s="13"/>
      <c r="M15500" s="13"/>
    </row>
    <row r="15501">
      <c r="F15501" s="13"/>
      <c r="M15501" s="13"/>
    </row>
    <row r="15502">
      <c r="F15502" s="13"/>
      <c r="M15502" s="13"/>
    </row>
    <row r="15503">
      <c r="F15503" s="13"/>
      <c r="M15503" s="13"/>
    </row>
    <row r="15504">
      <c r="F15504" s="13"/>
      <c r="M15504" s="13"/>
    </row>
    <row r="15505">
      <c r="F15505" s="13"/>
      <c r="M15505" s="13"/>
    </row>
    <row r="15506">
      <c r="F15506" s="13"/>
      <c r="M15506" s="13"/>
    </row>
    <row r="15507">
      <c r="F15507" s="13"/>
      <c r="M15507" s="13"/>
    </row>
    <row r="15508">
      <c r="F15508" s="13"/>
      <c r="M15508" s="13"/>
    </row>
    <row r="15509">
      <c r="F15509" s="13"/>
      <c r="M15509" s="13"/>
    </row>
    <row r="15510">
      <c r="F15510" s="13"/>
      <c r="M15510" s="13"/>
    </row>
    <row r="15511">
      <c r="F15511" s="13"/>
      <c r="M15511" s="13"/>
    </row>
    <row r="15512">
      <c r="F15512" s="13"/>
      <c r="M15512" s="13"/>
    </row>
    <row r="15513">
      <c r="F15513" s="13"/>
      <c r="M15513" s="13"/>
    </row>
    <row r="15514">
      <c r="F15514" s="13"/>
      <c r="M15514" s="13"/>
    </row>
    <row r="15515">
      <c r="F15515" s="13"/>
      <c r="M15515" s="13"/>
    </row>
    <row r="15516">
      <c r="F15516" s="13"/>
      <c r="M15516" s="13"/>
    </row>
    <row r="15517">
      <c r="F15517" s="13"/>
      <c r="M15517" s="13"/>
    </row>
    <row r="15518">
      <c r="F15518" s="13"/>
      <c r="M15518" s="13"/>
    </row>
    <row r="15519">
      <c r="F15519" s="13"/>
      <c r="M15519" s="13"/>
    </row>
    <row r="15520">
      <c r="F15520" s="13"/>
      <c r="M15520" s="13"/>
    </row>
    <row r="15521">
      <c r="F15521" s="13"/>
      <c r="M15521" s="13"/>
    </row>
    <row r="15522">
      <c r="F15522" s="13"/>
      <c r="M15522" s="13"/>
    </row>
    <row r="15523">
      <c r="F15523" s="13"/>
      <c r="M15523" s="13"/>
    </row>
    <row r="15524">
      <c r="F15524" s="13"/>
      <c r="M15524" s="13"/>
    </row>
    <row r="15525">
      <c r="F15525" s="13"/>
      <c r="M15525" s="13"/>
    </row>
    <row r="15526">
      <c r="F15526" s="13"/>
      <c r="M15526" s="13"/>
    </row>
    <row r="15527">
      <c r="F15527" s="13"/>
      <c r="M15527" s="13"/>
    </row>
    <row r="15528">
      <c r="F15528" s="13"/>
      <c r="M15528" s="13"/>
    </row>
    <row r="15529">
      <c r="F15529" s="13"/>
      <c r="M15529" s="13"/>
    </row>
    <row r="15530">
      <c r="F15530" s="13"/>
      <c r="M15530" s="13"/>
    </row>
    <row r="15531">
      <c r="F15531" s="13"/>
      <c r="M15531" s="13"/>
    </row>
    <row r="15532">
      <c r="F15532" s="13"/>
      <c r="M15532" s="13"/>
    </row>
    <row r="15533">
      <c r="F15533" s="13"/>
      <c r="M15533" s="13"/>
    </row>
    <row r="15534">
      <c r="F15534" s="13"/>
      <c r="M15534" s="13"/>
    </row>
    <row r="15535">
      <c r="F15535" s="13"/>
      <c r="M15535" s="13"/>
    </row>
    <row r="15536">
      <c r="F15536" s="13"/>
      <c r="M15536" s="13"/>
    </row>
    <row r="15537">
      <c r="F15537" s="13"/>
      <c r="M15537" s="13"/>
    </row>
    <row r="15538">
      <c r="F15538" s="13"/>
      <c r="M15538" s="13"/>
    </row>
    <row r="15539">
      <c r="F15539" s="13"/>
      <c r="M15539" s="13"/>
    </row>
    <row r="15540">
      <c r="F15540" s="13"/>
      <c r="M15540" s="13"/>
    </row>
    <row r="15541">
      <c r="F15541" s="13"/>
      <c r="M15541" s="13"/>
    </row>
    <row r="15542">
      <c r="F15542" s="13"/>
      <c r="M15542" s="13"/>
    </row>
    <row r="15543">
      <c r="F15543" s="13"/>
      <c r="M15543" s="13"/>
    </row>
    <row r="15544">
      <c r="F15544" s="13"/>
      <c r="M15544" s="13"/>
    </row>
    <row r="15545">
      <c r="F15545" s="13"/>
      <c r="M15545" s="13"/>
    </row>
    <row r="15546">
      <c r="F15546" s="13"/>
      <c r="M15546" s="13"/>
    </row>
    <row r="15547">
      <c r="F15547" s="13"/>
      <c r="M15547" s="13"/>
    </row>
    <row r="15548">
      <c r="F15548" s="13"/>
      <c r="M15548" s="13"/>
    </row>
    <row r="15549">
      <c r="F15549" s="13"/>
      <c r="M15549" s="13"/>
    </row>
    <row r="15550">
      <c r="F15550" s="13"/>
      <c r="M15550" s="13"/>
    </row>
    <row r="15551">
      <c r="F15551" s="13"/>
      <c r="M15551" s="13"/>
    </row>
    <row r="15552">
      <c r="F15552" s="13"/>
      <c r="M15552" s="13"/>
    </row>
    <row r="15553">
      <c r="F15553" s="13"/>
      <c r="M15553" s="13"/>
    </row>
    <row r="15554">
      <c r="F15554" s="13"/>
      <c r="M15554" s="13"/>
    </row>
    <row r="15555">
      <c r="F15555" s="13"/>
      <c r="M15555" s="13"/>
    </row>
    <row r="15556">
      <c r="F15556" s="13"/>
      <c r="M15556" s="13"/>
    </row>
    <row r="15557">
      <c r="F15557" s="13"/>
      <c r="M15557" s="13"/>
    </row>
    <row r="15558">
      <c r="F15558" s="13"/>
      <c r="M15558" s="13"/>
    </row>
    <row r="15559">
      <c r="F15559" s="13"/>
      <c r="M15559" s="13"/>
    </row>
    <row r="15560">
      <c r="F15560" s="13"/>
      <c r="M15560" s="13"/>
    </row>
    <row r="15561">
      <c r="F15561" s="13"/>
      <c r="M15561" s="13"/>
    </row>
    <row r="15562">
      <c r="F15562" s="13"/>
      <c r="M15562" s="13"/>
    </row>
    <row r="15563">
      <c r="F15563" s="13"/>
      <c r="M15563" s="13"/>
    </row>
    <row r="15564">
      <c r="F15564" s="13"/>
      <c r="M15564" s="13"/>
    </row>
    <row r="15565">
      <c r="F15565" s="13"/>
      <c r="M15565" s="13"/>
    </row>
    <row r="15566">
      <c r="F15566" s="13"/>
      <c r="M15566" s="13"/>
    </row>
    <row r="15567">
      <c r="F15567" s="13"/>
      <c r="M15567" s="13"/>
    </row>
    <row r="15568">
      <c r="F15568" s="13"/>
      <c r="M15568" s="13"/>
    </row>
    <row r="15569">
      <c r="F15569" s="13"/>
      <c r="M15569" s="13"/>
    </row>
    <row r="15570">
      <c r="F15570" s="13"/>
      <c r="M15570" s="13"/>
    </row>
    <row r="15571">
      <c r="F15571" s="13"/>
      <c r="M15571" s="13"/>
    </row>
    <row r="15572">
      <c r="F15572" s="13"/>
      <c r="M15572" s="13"/>
    </row>
    <row r="15573">
      <c r="F15573" s="13"/>
      <c r="M15573" s="13"/>
    </row>
    <row r="15574">
      <c r="F15574" s="13"/>
      <c r="M15574" s="13"/>
    </row>
    <row r="15575">
      <c r="F15575" s="13"/>
      <c r="M15575" s="13"/>
    </row>
    <row r="15576">
      <c r="F15576" s="13"/>
      <c r="M15576" s="13"/>
    </row>
    <row r="15577">
      <c r="F15577" s="13"/>
      <c r="M15577" s="13"/>
    </row>
    <row r="15578">
      <c r="F15578" s="13"/>
      <c r="M15578" s="13"/>
    </row>
    <row r="15579">
      <c r="F15579" s="13"/>
      <c r="M15579" s="13"/>
    </row>
    <row r="15580">
      <c r="F15580" s="13"/>
      <c r="M15580" s="13"/>
    </row>
    <row r="15581">
      <c r="F15581" s="13"/>
      <c r="M15581" s="13"/>
    </row>
    <row r="15582">
      <c r="F15582" s="13"/>
      <c r="M15582" s="13"/>
    </row>
    <row r="15583">
      <c r="F15583" s="13"/>
      <c r="M15583" s="13"/>
    </row>
    <row r="15584">
      <c r="F15584" s="13"/>
      <c r="M15584" s="13"/>
    </row>
    <row r="15585">
      <c r="F15585" s="13"/>
      <c r="M15585" s="13"/>
    </row>
    <row r="15586">
      <c r="F15586" s="13"/>
      <c r="M15586" s="13"/>
    </row>
    <row r="15587">
      <c r="F15587" s="13"/>
      <c r="M15587" s="13"/>
    </row>
    <row r="15588">
      <c r="F15588" s="13"/>
      <c r="M15588" s="13"/>
    </row>
    <row r="15589">
      <c r="F15589" s="13"/>
      <c r="M15589" s="13"/>
    </row>
    <row r="15590">
      <c r="F15590" s="13"/>
      <c r="M15590" s="13"/>
    </row>
    <row r="15591">
      <c r="F15591" s="13"/>
      <c r="M15591" s="13"/>
    </row>
    <row r="15592">
      <c r="F15592" s="13"/>
      <c r="M15592" s="13"/>
    </row>
    <row r="15593">
      <c r="F15593" s="13"/>
      <c r="M15593" s="13"/>
    </row>
    <row r="15594">
      <c r="F15594" s="13"/>
      <c r="M15594" s="13"/>
    </row>
    <row r="15595">
      <c r="F15595" s="13"/>
      <c r="M15595" s="13"/>
    </row>
    <row r="15596">
      <c r="F15596" s="13"/>
      <c r="M15596" s="13"/>
    </row>
    <row r="15597">
      <c r="F15597" s="13"/>
      <c r="M15597" s="13"/>
    </row>
    <row r="15598">
      <c r="F15598" s="13"/>
      <c r="M15598" s="13"/>
    </row>
    <row r="15599">
      <c r="F15599" s="13"/>
      <c r="M15599" s="13"/>
    </row>
    <row r="15600">
      <c r="F15600" s="13"/>
      <c r="M15600" s="13"/>
    </row>
    <row r="15601">
      <c r="F15601" s="13"/>
      <c r="M15601" s="13"/>
    </row>
    <row r="15602">
      <c r="F15602" s="13"/>
      <c r="M15602" s="13"/>
    </row>
    <row r="15603">
      <c r="F15603" s="13"/>
      <c r="M15603" s="13"/>
    </row>
    <row r="15604">
      <c r="F15604" s="13"/>
      <c r="M15604" s="13"/>
    </row>
    <row r="15605">
      <c r="F15605" s="13"/>
      <c r="M15605" s="13"/>
    </row>
    <row r="15606">
      <c r="F15606" s="13"/>
      <c r="M15606" s="13"/>
    </row>
    <row r="15607">
      <c r="F15607" s="13"/>
      <c r="M15607" s="13"/>
    </row>
    <row r="15608">
      <c r="F15608" s="13"/>
      <c r="M15608" s="13"/>
    </row>
    <row r="15609">
      <c r="F15609" s="13"/>
      <c r="M15609" s="13"/>
    </row>
    <row r="15610">
      <c r="F15610" s="13"/>
      <c r="M15610" s="13"/>
    </row>
    <row r="15611">
      <c r="F15611" s="13"/>
      <c r="M15611" s="13"/>
    </row>
    <row r="15612">
      <c r="F15612" s="13"/>
      <c r="M15612" s="13"/>
    </row>
    <row r="15613">
      <c r="F15613" s="13"/>
      <c r="M15613" s="13"/>
    </row>
    <row r="15614">
      <c r="F15614" s="13"/>
      <c r="M15614" s="13"/>
    </row>
    <row r="15615">
      <c r="F15615" s="13"/>
      <c r="M15615" s="13"/>
    </row>
    <row r="15616">
      <c r="F15616" s="13"/>
      <c r="M15616" s="13"/>
    </row>
    <row r="15617">
      <c r="F15617" s="13"/>
      <c r="M15617" s="13"/>
    </row>
    <row r="15618">
      <c r="F15618" s="13"/>
      <c r="M15618" s="13"/>
    </row>
    <row r="15619">
      <c r="F15619" s="13"/>
      <c r="M15619" s="13"/>
    </row>
    <row r="15620">
      <c r="F15620" s="13"/>
      <c r="M15620" s="13"/>
    </row>
    <row r="15621">
      <c r="F15621" s="13"/>
      <c r="M15621" s="13"/>
    </row>
    <row r="15622">
      <c r="F15622" s="13"/>
      <c r="M15622" s="13"/>
    </row>
    <row r="15623">
      <c r="F15623" s="13"/>
      <c r="M15623" s="13"/>
    </row>
    <row r="15624">
      <c r="F15624" s="13"/>
      <c r="M15624" s="13"/>
    </row>
    <row r="15625">
      <c r="F15625" s="13"/>
      <c r="M15625" s="13"/>
    </row>
    <row r="15626">
      <c r="F15626" s="13"/>
      <c r="M15626" s="13"/>
    </row>
    <row r="15627">
      <c r="F15627" s="13"/>
      <c r="M15627" s="13"/>
    </row>
    <row r="15628">
      <c r="F15628" s="13"/>
      <c r="M15628" s="13"/>
    </row>
    <row r="15629">
      <c r="F15629" s="13"/>
      <c r="M15629" s="13"/>
    </row>
    <row r="15630">
      <c r="F15630" s="13"/>
      <c r="M15630" s="13"/>
    </row>
    <row r="15631">
      <c r="F15631" s="13"/>
      <c r="M15631" s="13"/>
    </row>
    <row r="15632">
      <c r="F15632" s="13"/>
      <c r="M15632" s="13"/>
    </row>
    <row r="15633">
      <c r="F15633" s="13"/>
      <c r="M15633" s="13"/>
    </row>
    <row r="15634">
      <c r="F15634" s="13"/>
      <c r="M15634" s="13"/>
    </row>
    <row r="15635">
      <c r="F15635" s="13"/>
      <c r="M15635" s="13"/>
    </row>
    <row r="15636">
      <c r="F15636" s="13"/>
      <c r="M15636" s="13"/>
    </row>
    <row r="15637">
      <c r="F15637" s="13"/>
      <c r="M15637" s="13"/>
    </row>
    <row r="15638">
      <c r="F15638" s="13"/>
      <c r="M15638" s="13"/>
    </row>
    <row r="15639">
      <c r="F15639" s="13"/>
      <c r="M15639" s="13"/>
    </row>
    <row r="15640">
      <c r="F15640" s="13"/>
      <c r="M15640" s="13"/>
    </row>
    <row r="15641">
      <c r="F15641" s="13"/>
      <c r="M15641" s="13"/>
    </row>
    <row r="15642">
      <c r="F15642" s="13"/>
      <c r="M15642" s="13"/>
    </row>
    <row r="15643">
      <c r="F15643" s="13"/>
      <c r="M15643" s="13"/>
    </row>
    <row r="15644">
      <c r="F15644" s="13"/>
      <c r="M15644" s="13"/>
    </row>
    <row r="15645">
      <c r="F15645" s="13"/>
      <c r="M15645" s="13"/>
    </row>
    <row r="15646">
      <c r="F15646" s="13"/>
      <c r="M15646" s="13"/>
    </row>
    <row r="15647">
      <c r="F15647" s="13"/>
      <c r="M15647" s="13"/>
    </row>
    <row r="15648">
      <c r="F15648" s="13"/>
      <c r="M15648" s="13"/>
    </row>
    <row r="15649">
      <c r="F15649" s="13"/>
      <c r="M15649" s="13"/>
    </row>
    <row r="15650">
      <c r="F15650" s="13"/>
      <c r="M15650" s="13"/>
    </row>
    <row r="15651">
      <c r="F15651" s="13"/>
      <c r="M15651" s="13"/>
    </row>
    <row r="15652">
      <c r="F15652" s="13"/>
      <c r="M15652" s="13"/>
    </row>
    <row r="15653">
      <c r="F15653" s="13"/>
      <c r="M15653" s="13"/>
    </row>
    <row r="15654">
      <c r="F15654" s="13"/>
      <c r="M15654" s="13"/>
    </row>
    <row r="15655">
      <c r="F15655" s="13"/>
      <c r="M15655" s="13"/>
    </row>
    <row r="15656">
      <c r="F15656" s="13"/>
      <c r="M15656" s="13"/>
    </row>
    <row r="15657">
      <c r="F15657" s="13"/>
      <c r="M15657" s="13"/>
    </row>
    <row r="15658">
      <c r="F15658" s="13"/>
      <c r="M15658" s="13"/>
    </row>
    <row r="15659">
      <c r="F15659" s="13"/>
      <c r="M15659" s="13"/>
    </row>
    <row r="15660">
      <c r="F15660" s="13"/>
      <c r="M15660" s="13"/>
    </row>
    <row r="15661">
      <c r="F15661" s="13"/>
      <c r="M15661" s="13"/>
    </row>
    <row r="15662">
      <c r="F15662" s="13"/>
      <c r="M15662" s="13"/>
    </row>
    <row r="15663">
      <c r="F15663" s="13"/>
      <c r="M15663" s="13"/>
    </row>
    <row r="15664">
      <c r="F15664" s="13"/>
      <c r="M15664" s="13"/>
    </row>
    <row r="15665">
      <c r="F15665" s="13"/>
      <c r="M15665" s="13"/>
    </row>
    <row r="15666">
      <c r="F15666" s="13"/>
      <c r="M15666" s="13"/>
    </row>
    <row r="15667">
      <c r="F15667" s="13"/>
      <c r="M15667" s="13"/>
    </row>
    <row r="15668">
      <c r="F15668" s="13"/>
      <c r="M15668" s="13"/>
    </row>
    <row r="15669">
      <c r="F15669" s="13"/>
      <c r="M15669" s="13"/>
    </row>
    <row r="15670">
      <c r="F15670" s="13"/>
      <c r="M15670" s="13"/>
    </row>
    <row r="15671">
      <c r="F15671" s="13"/>
      <c r="M15671" s="13"/>
    </row>
    <row r="15672">
      <c r="F15672" s="13"/>
      <c r="M15672" s="13"/>
    </row>
    <row r="15673">
      <c r="F15673" s="13"/>
      <c r="M15673" s="13"/>
    </row>
    <row r="15674">
      <c r="F15674" s="13"/>
      <c r="M15674" s="13"/>
    </row>
    <row r="15675">
      <c r="F15675" s="13"/>
      <c r="M15675" s="13"/>
    </row>
    <row r="15676">
      <c r="F15676" s="13"/>
      <c r="M15676" s="13"/>
    </row>
    <row r="15677">
      <c r="F15677" s="13"/>
      <c r="M15677" s="13"/>
    </row>
    <row r="15678">
      <c r="F15678" s="13"/>
      <c r="M15678" s="13"/>
    </row>
    <row r="15679">
      <c r="F15679" s="13"/>
      <c r="M15679" s="13"/>
    </row>
    <row r="15680">
      <c r="F15680" s="13"/>
      <c r="M15680" s="13"/>
    </row>
    <row r="15681">
      <c r="F15681" s="13"/>
      <c r="M15681" s="13"/>
    </row>
    <row r="15682">
      <c r="F15682" s="13"/>
      <c r="M15682" s="13"/>
    </row>
    <row r="15683">
      <c r="F15683" s="13"/>
      <c r="M15683" s="13"/>
    </row>
    <row r="15684">
      <c r="F15684" s="13"/>
      <c r="M15684" s="13"/>
    </row>
    <row r="15685">
      <c r="F15685" s="13"/>
      <c r="M15685" s="13"/>
    </row>
    <row r="15686">
      <c r="F15686" s="13"/>
      <c r="M15686" s="13"/>
    </row>
    <row r="15687">
      <c r="F15687" s="13"/>
      <c r="M15687" s="13"/>
    </row>
    <row r="15688">
      <c r="F15688" s="13"/>
      <c r="M15688" s="13"/>
    </row>
    <row r="15689">
      <c r="F15689" s="13"/>
      <c r="M15689" s="13"/>
    </row>
    <row r="15690">
      <c r="F15690" s="13"/>
      <c r="M15690" s="13"/>
    </row>
    <row r="15691">
      <c r="F15691" s="13"/>
      <c r="M15691" s="13"/>
    </row>
    <row r="15692">
      <c r="F15692" s="13"/>
      <c r="M15692" s="13"/>
    </row>
    <row r="15693">
      <c r="F15693" s="13"/>
      <c r="M15693" s="13"/>
    </row>
    <row r="15694">
      <c r="F15694" s="13"/>
      <c r="M15694" s="13"/>
    </row>
    <row r="15695">
      <c r="F15695" s="13"/>
      <c r="M15695" s="13"/>
    </row>
    <row r="15696">
      <c r="F15696" s="13"/>
      <c r="M15696" s="13"/>
    </row>
    <row r="15697">
      <c r="F15697" s="13"/>
      <c r="M15697" s="13"/>
    </row>
    <row r="15698">
      <c r="F15698" s="13"/>
      <c r="M15698" s="13"/>
    </row>
    <row r="15699">
      <c r="F15699" s="13"/>
      <c r="M15699" s="13"/>
    </row>
    <row r="15700">
      <c r="F15700" s="13"/>
      <c r="M15700" s="13"/>
    </row>
    <row r="15701">
      <c r="F15701" s="13"/>
      <c r="M15701" s="13"/>
    </row>
    <row r="15702">
      <c r="F15702" s="13"/>
      <c r="M15702" s="13"/>
    </row>
    <row r="15703">
      <c r="F15703" s="13"/>
      <c r="M15703" s="13"/>
    </row>
    <row r="15704">
      <c r="F15704" s="13"/>
      <c r="M15704" s="13"/>
    </row>
    <row r="15705">
      <c r="F15705" s="13"/>
      <c r="M15705" s="13"/>
    </row>
    <row r="15706">
      <c r="F15706" s="13"/>
      <c r="M15706" s="13"/>
    </row>
    <row r="15707">
      <c r="F15707" s="13"/>
      <c r="M15707" s="13"/>
    </row>
    <row r="15708">
      <c r="F15708" s="13"/>
      <c r="M15708" s="13"/>
    </row>
    <row r="15709">
      <c r="F15709" s="13"/>
      <c r="M15709" s="13"/>
    </row>
    <row r="15710">
      <c r="F15710" s="13"/>
      <c r="M15710" s="13"/>
    </row>
    <row r="15711">
      <c r="F15711" s="13"/>
      <c r="M15711" s="13"/>
    </row>
    <row r="15712">
      <c r="F15712" s="13"/>
      <c r="M15712" s="13"/>
    </row>
    <row r="15713">
      <c r="F15713" s="13"/>
      <c r="M15713" s="13"/>
    </row>
    <row r="15714">
      <c r="F15714" s="13"/>
      <c r="M15714" s="13"/>
    </row>
    <row r="15715">
      <c r="F15715" s="13"/>
      <c r="M15715" s="13"/>
    </row>
    <row r="15716">
      <c r="F15716" s="13"/>
      <c r="M15716" s="13"/>
    </row>
    <row r="15717">
      <c r="F15717" s="13"/>
      <c r="M15717" s="13"/>
    </row>
    <row r="15718">
      <c r="F15718" s="13"/>
      <c r="M15718" s="13"/>
    </row>
    <row r="15719">
      <c r="F15719" s="13"/>
      <c r="M15719" s="13"/>
    </row>
    <row r="15720">
      <c r="F15720" s="13"/>
      <c r="M15720" s="13"/>
    </row>
    <row r="15721">
      <c r="F15721" s="13"/>
      <c r="M15721" s="13"/>
    </row>
    <row r="15722">
      <c r="F15722" s="13"/>
      <c r="M15722" s="13"/>
    </row>
    <row r="15723">
      <c r="F15723" s="13"/>
      <c r="M15723" s="13"/>
    </row>
    <row r="15724">
      <c r="F15724" s="13"/>
      <c r="M15724" s="13"/>
    </row>
    <row r="15725">
      <c r="F15725" s="13"/>
      <c r="M15725" s="13"/>
    </row>
    <row r="15726">
      <c r="F15726" s="13"/>
      <c r="M15726" s="13"/>
    </row>
    <row r="15727">
      <c r="F15727" s="13"/>
      <c r="M15727" s="13"/>
    </row>
    <row r="15728">
      <c r="F15728" s="13"/>
      <c r="M15728" s="13"/>
    </row>
    <row r="15729">
      <c r="F15729" s="13"/>
      <c r="M15729" s="13"/>
    </row>
    <row r="15730">
      <c r="F15730" s="13"/>
      <c r="M15730" s="13"/>
    </row>
    <row r="15731">
      <c r="F15731" s="13"/>
      <c r="M15731" s="13"/>
    </row>
    <row r="15732">
      <c r="F15732" s="13"/>
      <c r="M15732" s="13"/>
    </row>
    <row r="15733">
      <c r="F15733" s="13"/>
      <c r="M15733" s="13"/>
    </row>
    <row r="15734">
      <c r="F15734" s="13"/>
      <c r="M15734" s="13"/>
    </row>
    <row r="15735">
      <c r="F15735" s="13"/>
      <c r="M15735" s="13"/>
    </row>
    <row r="15736">
      <c r="F15736" s="13"/>
      <c r="M15736" s="13"/>
    </row>
    <row r="15737">
      <c r="F15737" s="13"/>
      <c r="M15737" s="13"/>
    </row>
    <row r="15738">
      <c r="F15738" s="13"/>
      <c r="M15738" s="13"/>
    </row>
    <row r="15739">
      <c r="F15739" s="13"/>
      <c r="M15739" s="13"/>
    </row>
    <row r="15740">
      <c r="F15740" s="13"/>
      <c r="M15740" s="13"/>
    </row>
    <row r="15741">
      <c r="F15741" s="13"/>
      <c r="M15741" s="13"/>
    </row>
    <row r="15742">
      <c r="F15742" s="13"/>
      <c r="M15742" s="13"/>
    </row>
    <row r="15743">
      <c r="F15743" s="13"/>
      <c r="M15743" s="13"/>
    </row>
    <row r="15744">
      <c r="F15744" s="13"/>
      <c r="M15744" s="13"/>
    </row>
    <row r="15745">
      <c r="F15745" s="13"/>
      <c r="M15745" s="13"/>
    </row>
    <row r="15746">
      <c r="F15746" s="13"/>
      <c r="M15746" s="13"/>
    </row>
    <row r="15747">
      <c r="F15747" s="13"/>
      <c r="M15747" s="13"/>
    </row>
    <row r="15748">
      <c r="F15748" s="13"/>
      <c r="M15748" s="13"/>
    </row>
    <row r="15749">
      <c r="F15749" s="13"/>
      <c r="M15749" s="13"/>
    </row>
    <row r="15750">
      <c r="F15750" s="13"/>
      <c r="M15750" s="13"/>
    </row>
    <row r="15751">
      <c r="F15751" s="13"/>
      <c r="M15751" s="13"/>
    </row>
    <row r="15752">
      <c r="F15752" s="13"/>
      <c r="M15752" s="13"/>
    </row>
    <row r="15753">
      <c r="F15753" s="13"/>
      <c r="M15753" s="13"/>
    </row>
    <row r="15754">
      <c r="F15754" s="13"/>
      <c r="M15754" s="13"/>
    </row>
    <row r="15755">
      <c r="F15755" s="13"/>
      <c r="M15755" s="13"/>
    </row>
    <row r="15756">
      <c r="F15756" s="13"/>
      <c r="M15756" s="13"/>
    </row>
    <row r="15757">
      <c r="F15757" s="13"/>
      <c r="M15757" s="13"/>
    </row>
    <row r="15758">
      <c r="F15758" s="13"/>
      <c r="M15758" s="13"/>
    </row>
    <row r="15759">
      <c r="F15759" s="13"/>
      <c r="M15759" s="13"/>
    </row>
    <row r="15760">
      <c r="F15760" s="13"/>
      <c r="M15760" s="13"/>
    </row>
    <row r="15761">
      <c r="F15761" s="13"/>
      <c r="M15761" s="13"/>
    </row>
    <row r="15762">
      <c r="F15762" s="13"/>
      <c r="M15762" s="13"/>
    </row>
    <row r="15763">
      <c r="F15763" s="13"/>
      <c r="M15763" s="13"/>
    </row>
    <row r="15764">
      <c r="F15764" s="13"/>
      <c r="M15764" s="13"/>
    </row>
    <row r="15765">
      <c r="F15765" s="13"/>
      <c r="M15765" s="13"/>
    </row>
    <row r="15766">
      <c r="F15766" s="13"/>
      <c r="M15766" s="13"/>
    </row>
    <row r="15767">
      <c r="F15767" s="13"/>
      <c r="M15767" s="13"/>
    </row>
    <row r="15768">
      <c r="F15768" s="13"/>
      <c r="M15768" s="13"/>
    </row>
    <row r="15769">
      <c r="F15769" s="13"/>
      <c r="M15769" s="13"/>
    </row>
    <row r="15770">
      <c r="F15770" s="13"/>
      <c r="M15770" s="13"/>
    </row>
    <row r="15771">
      <c r="F15771" s="13"/>
      <c r="M15771" s="13"/>
    </row>
    <row r="15772">
      <c r="F15772" s="13"/>
      <c r="M15772" s="13"/>
    </row>
    <row r="15773">
      <c r="F15773" s="13"/>
      <c r="M15773" s="13"/>
    </row>
    <row r="15774">
      <c r="F15774" s="13"/>
      <c r="M15774" s="13"/>
    </row>
    <row r="15775">
      <c r="F15775" s="13"/>
      <c r="M15775" s="13"/>
    </row>
    <row r="15776">
      <c r="F15776" s="13"/>
      <c r="M15776" s="13"/>
    </row>
    <row r="15777">
      <c r="F15777" s="13"/>
      <c r="M15777" s="13"/>
    </row>
    <row r="15778">
      <c r="F15778" s="13"/>
      <c r="M15778" s="13"/>
    </row>
    <row r="15779">
      <c r="F15779" s="13"/>
      <c r="M15779" s="13"/>
    </row>
    <row r="15780">
      <c r="F15780" s="13"/>
      <c r="M15780" s="13"/>
    </row>
    <row r="15781">
      <c r="F15781" s="13"/>
      <c r="M15781" s="13"/>
    </row>
    <row r="15782">
      <c r="F15782" s="13"/>
      <c r="M15782" s="13"/>
    </row>
    <row r="15783">
      <c r="F15783" s="13"/>
      <c r="M15783" s="13"/>
    </row>
    <row r="15784">
      <c r="F15784" s="13"/>
      <c r="M15784" s="13"/>
    </row>
    <row r="15785">
      <c r="F15785" s="13"/>
      <c r="M15785" s="13"/>
    </row>
    <row r="15786">
      <c r="F15786" s="13"/>
      <c r="M15786" s="13"/>
    </row>
    <row r="15787">
      <c r="F15787" s="13"/>
      <c r="M15787" s="13"/>
    </row>
    <row r="15788">
      <c r="F15788" s="13"/>
      <c r="M15788" s="13"/>
    </row>
    <row r="15789">
      <c r="F15789" s="13"/>
      <c r="M15789" s="13"/>
    </row>
    <row r="15790">
      <c r="F15790" s="13"/>
      <c r="M15790" s="13"/>
    </row>
    <row r="15791">
      <c r="F15791" s="13"/>
      <c r="M15791" s="13"/>
    </row>
    <row r="15792">
      <c r="F15792" s="13"/>
      <c r="M15792" s="13"/>
    </row>
    <row r="15793">
      <c r="F15793" s="13"/>
      <c r="M15793" s="13"/>
    </row>
    <row r="15794">
      <c r="F15794" s="13"/>
      <c r="M15794" s="13"/>
    </row>
    <row r="15795">
      <c r="F15795" s="13"/>
      <c r="M15795" s="13"/>
    </row>
    <row r="15796">
      <c r="F15796" s="13"/>
      <c r="M15796" s="13"/>
    </row>
    <row r="15797">
      <c r="F15797" s="13"/>
      <c r="M15797" s="13"/>
    </row>
    <row r="15798">
      <c r="F15798" s="13"/>
      <c r="M15798" s="13"/>
    </row>
    <row r="15799">
      <c r="F15799" s="13"/>
      <c r="M15799" s="13"/>
    </row>
    <row r="15800">
      <c r="F15800" s="13"/>
      <c r="M15800" s="13"/>
    </row>
    <row r="15801">
      <c r="F15801" s="13"/>
      <c r="M15801" s="13"/>
    </row>
    <row r="15802">
      <c r="F15802" s="13"/>
      <c r="M15802" s="13"/>
    </row>
    <row r="15803">
      <c r="F15803" s="13"/>
      <c r="M15803" s="13"/>
    </row>
    <row r="15804">
      <c r="F15804" s="13"/>
      <c r="M15804" s="13"/>
    </row>
    <row r="15805">
      <c r="F15805" s="13"/>
      <c r="M15805" s="13"/>
    </row>
    <row r="15806">
      <c r="F15806" s="13"/>
      <c r="M15806" s="13"/>
    </row>
    <row r="15807">
      <c r="F15807" s="13"/>
      <c r="M15807" s="13"/>
    </row>
    <row r="15808">
      <c r="F15808" s="13"/>
      <c r="M15808" s="13"/>
    </row>
    <row r="15809">
      <c r="F15809" s="13"/>
      <c r="M15809" s="13"/>
    </row>
    <row r="15810">
      <c r="F15810" s="13"/>
      <c r="M15810" s="13"/>
    </row>
    <row r="15811">
      <c r="F15811" s="13"/>
      <c r="M15811" s="13"/>
    </row>
    <row r="15812">
      <c r="F15812" s="13"/>
      <c r="M15812" s="13"/>
    </row>
    <row r="15813">
      <c r="F15813" s="13"/>
      <c r="M15813" s="13"/>
    </row>
    <row r="15814">
      <c r="F15814" s="13"/>
      <c r="M15814" s="13"/>
    </row>
    <row r="15815">
      <c r="F15815" s="13"/>
      <c r="M15815" s="13"/>
    </row>
    <row r="15816">
      <c r="F15816" s="13"/>
      <c r="M15816" s="13"/>
    </row>
    <row r="15817">
      <c r="F15817" s="13"/>
      <c r="M15817" s="13"/>
    </row>
    <row r="15818">
      <c r="F15818" s="13"/>
      <c r="M15818" s="13"/>
    </row>
    <row r="15819">
      <c r="F15819" s="13"/>
      <c r="M15819" s="13"/>
    </row>
    <row r="15820">
      <c r="F15820" s="13"/>
      <c r="M15820" s="13"/>
    </row>
    <row r="15821">
      <c r="F15821" s="13"/>
      <c r="M15821" s="13"/>
    </row>
    <row r="15822">
      <c r="F15822" s="13"/>
      <c r="M15822" s="13"/>
    </row>
    <row r="15823">
      <c r="F15823" s="13"/>
      <c r="M15823" s="13"/>
    </row>
    <row r="15824">
      <c r="F15824" s="13"/>
      <c r="M15824" s="13"/>
    </row>
    <row r="15825">
      <c r="F15825" s="13"/>
      <c r="M15825" s="13"/>
    </row>
    <row r="15826">
      <c r="F15826" s="13"/>
      <c r="M15826" s="13"/>
    </row>
    <row r="15827">
      <c r="F15827" s="13"/>
      <c r="M15827" s="13"/>
    </row>
    <row r="15828">
      <c r="F15828" s="13"/>
      <c r="M15828" s="13"/>
    </row>
    <row r="15829">
      <c r="F15829" s="13"/>
      <c r="M15829" s="13"/>
    </row>
    <row r="15830">
      <c r="F15830" s="13"/>
      <c r="M15830" s="13"/>
    </row>
    <row r="15831">
      <c r="F15831" s="13"/>
      <c r="M15831" s="13"/>
    </row>
    <row r="15832">
      <c r="F15832" s="13"/>
      <c r="M15832" s="13"/>
    </row>
    <row r="15833">
      <c r="F15833" s="13"/>
      <c r="M15833" s="13"/>
    </row>
    <row r="15834">
      <c r="F15834" s="13"/>
      <c r="M15834" s="13"/>
    </row>
    <row r="15835">
      <c r="F15835" s="13"/>
      <c r="M15835" s="13"/>
    </row>
    <row r="15836">
      <c r="F15836" s="13"/>
      <c r="M15836" s="13"/>
    </row>
    <row r="15837">
      <c r="F15837" s="13"/>
      <c r="M15837" s="13"/>
    </row>
    <row r="15838">
      <c r="F15838" s="13"/>
      <c r="M15838" s="13"/>
    </row>
    <row r="15839">
      <c r="F15839" s="13"/>
      <c r="M15839" s="13"/>
    </row>
    <row r="15840">
      <c r="F15840" s="13"/>
      <c r="M15840" s="13"/>
    </row>
    <row r="15841">
      <c r="F15841" s="13"/>
      <c r="M15841" s="13"/>
    </row>
    <row r="15842">
      <c r="F15842" s="13"/>
      <c r="M15842" s="13"/>
    </row>
    <row r="15843">
      <c r="F15843" s="13"/>
      <c r="M15843" s="13"/>
    </row>
    <row r="15844">
      <c r="F15844" s="13"/>
      <c r="M15844" s="13"/>
    </row>
    <row r="15845">
      <c r="F15845" s="13"/>
      <c r="M15845" s="13"/>
    </row>
    <row r="15846">
      <c r="F15846" s="13"/>
      <c r="M15846" s="13"/>
    </row>
    <row r="15847">
      <c r="F15847" s="13"/>
      <c r="M15847" s="13"/>
    </row>
    <row r="15848">
      <c r="F15848" s="13"/>
      <c r="M15848" s="13"/>
    </row>
    <row r="15849">
      <c r="F15849" s="13"/>
      <c r="M15849" s="13"/>
    </row>
    <row r="15850">
      <c r="F15850" s="13"/>
      <c r="M15850" s="13"/>
    </row>
    <row r="15851">
      <c r="F15851" s="13"/>
      <c r="M15851" s="13"/>
    </row>
    <row r="15852">
      <c r="F15852" s="13"/>
      <c r="M15852" s="13"/>
    </row>
    <row r="15853">
      <c r="F15853" s="13"/>
      <c r="M15853" s="13"/>
    </row>
    <row r="15854">
      <c r="F15854" s="13"/>
      <c r="M15854" s="13"/>
    </row>
    <row r="15855">
      <c r="F15855" s="13"/>
      <c r="M15855" s="13"/>
    </row>
    <row r="15856">
      <c r="F15856" s="13"/>
      <c r="M15856" s="13"/>
    </row>
    <row r="15857">
      <c r="F15857" s="13"/>
      <c r="M15857" s="13"/>
    </row>
    <row r="15858">
      <c r="F15858" s="13"/>
      <c r="M15858" s="13"/>
    </row>
    <row r="15859">
      <c r="F15859" s="13"/>
      <c r="M15859" s="13"/>
    </row>
    <row r="15860">
      <c r="F15860" s="13"/>
      <c r="M15860" s="13"/>
    </row>
    <row r="15861">
      <c r="F15861" s="13"/>
      <c r="M15861" s="13"/>
    </row>
    <row r="15862">
      <c r="F15862" s="13"/>
      <c r="M15862" s="13"/>
    </row>
    <row r="15863">
      <c r="F15863" s="13"/>
      <c r="M15863" s="13"/>
    </row>
    <row r="15864">
      <c r="F15864" s="13"/>
      <c r="M15864" s="13"/>
    </row>
    <row r="15865">
      <c r="F15865" s="13"/>
      <c r="M15865" s="13"/>
    </row>
    <row r="15866">
      <c r="F15866" s="13"/>
      <c r="M15866" s="13"/>
    </row>
    <row r="15867">
      <c r="F15867" s="13"/>
      <c r="M15867" s="13"/>
    </row>
    <row r="15868">
      <c r="F15868" s="13"/>
      <c r="M15868" s="13"/>
    </row>
    <row r="15869">
      <c r="F15869" s="13"/>
      <c r="M15869" s="13"/>
    </row>
    <row r="15870">
      <c r="F15870" s="13"/>
      <c r="M15870" s="13"/>
    </row>
    <row r="15871">
      <c r="F15871" s="13"/>
      <c r="M15871" s="13"/>
    </row>
    <row r="15872">
      <c r="F15872" s="13"/>
      <c r="M15872" s="13"/>
    </row>
    <row r="15873">
      <c r="F15873" s="13"/>
      <c r="M15873" s="13"/>
    </row>
    <row r="15874">
      <c r="F15874" s="13"/>
      <c r="M15874" s="13"/>
    </row>
    <row r="15875">
      <c r="F15875" s="13"/>
      <c r="M15875" s="13"/>
    </row>
    <row r="15876">
      <c r="F15876" s="13"/>
      <c r="M15876" s="13"/>
    </row>
    <row r="15877">
      <c r="F15877" s="13"/>
      <c r="M15877" s="13"/>
    </row>
    <row r="15878">
      <c r="F15878" s="13"/>
      <c r="M15878" s="13"/>
    </row>
    <row r="15879">
      <c r="F15879" s="13"/>
      <c r="M15879" s="13"/>
    </row>
    <row r="15880">
      <c r="F15880" s="13"/>
      <c r="M15880" s="13"/>
    </row>
    <row r="15881">
      <c r="F15881" s="13"/>
      <c r="M15881" s="13"/>
    </row>
    <row r="15882">
      <c r="F15882" s="13"/>
      <c r="M15882" s="13"/>
    </row>
    <row r="15883">
      <c r="F15883" s="13"/>
      <c r="M15883" s="13"/>
    </row>
    <row r="15884">
      <c r="F15884" s="13"/>
      <c r="M15884" s="13"/>
    </row>
    <row r="15885">
      <c r="F15885" s="13"/>
      <c r="M15885" s="13"/>
    </row>
    <row r="15886">
      <c r="F15886" s="13"/>
      <c r="M15886" s="13"/>
    </row>
    <row r="15887">
      <c r="F15887" s="13"/>
      <c r="M15887" s="13"/>
    </row>
    <row r="15888">
      <c r="F15888" s="13"/>
      <c r="M15888" s="13"/>
    </row>
    <row r="15889">
      <c r="F15889" s="13"/>
      <c r="M15889" s="13"/>
    </row>
    <row r="15890">
      <c r="F15890" s="13"/>
      <c r="M15890" s="13"/>
    </row>
    <row r="15891">
      <c r="F15891" s="13"/>
      <c r="M15891" s="13"/>
    </row>
    <row r="15892">
      <c r="F15892" s="13"/>
      <c r="M15892" s="13"/>
    </row>
    <row r="15893">
      <c r="F15893" s="13"/>
      <c r="M15893" s="13"/>
    </row>
    <row r="15894">
      <c r="F15894" s="13"/>
      <c r="M15894" s="13"/>
    </row>
    <row r="15895">
      <c r="F15895" s="13"/>
      <c r="M15895" s="13"/>
    </row>
    <row r="15896">
      <c r="F15896" s="13"/>
      <c r="M15896" s="13"/>
    </row>
    <row r="15897">
      <c r="F15897" s="13"/>
      <c r="M15897" s="13"/>
    </row>
    <row r="15898">
      <c r="F15898" s="13"/>
      <c r="M15898" s="13"/>
    </row>
    <row r="15899">
      <c r="F15899" s="13"/>
      <c r="M15899" s="13"/>
    </row>
    <row r="15900">
      <c r="F15900" s="13"/>
      <c r="M15900" s="13"/>
    </row>
    <row r="15901">
      <c r="F15901" s="13"/>
      <c r="M15901" s="13"/>
    </row>
    <row r="15902">
      <c r="F15902" s="13"/>
      <c r="M15902" s="13"/>
    </row>
    <row r="15903">
      <c r="F15903" s="13"/>
      <c r="M15903" s="13"/>
    </row>
    <row r="15904">
      <c r="F15904" s="13"/>
      <c r="M15904" s="13"/>
    </row>
    <row r="15905">
      <c r="F15905" s="13"/>
      <c r="M15905" s="13"/>
    </row>
    <row r="15906">
      <c r="F15906" s="13"/>
      <c r="M15906" s="13"/>
    </row>
    <row r="15907">
      <c r="F15907" s="13"/>
      <c r="M15907" s="13"/>
    </row>
    <row r="15908">
      <c r="F15908" s="13"/>
      <c r="M15908" s="13"/>
    </row>
    <row r="15909">
      <c r="F15909" s="13"/>
      <c r="M15909" s="13"/>
    </row>
    <row r="15910">
      <c r="F15910" s="13"/>
      <c r="M15910" s="13"/>
    </row>
    <row r="15911">
      <c r="F15911" s="13"/>
      <c r="M15911" s="13"/>
    </row>
    <row r="15912">
      <c r="F15912" s="13"/>
      <c r="M15912" s="13"/>
    </row>
    <row r="15913">
      <c r="F15913" s="13"/>
      <c r="M15913" s="13"/>
    </row>
    <row r="15914">
      <c r="F15914" s="13"/>
      <c r="M15914" s="13"/>
    </row>
    <row r="15915">
      <c r="F15915" s="13"/>
      <c r="M15915" s="13"/>
    </row>
    <row r="15916">
      <c r="F15916" s="13"/>
      <c r="M15916" s="13"/>
    </row>
    <row r="15917">
      <c r="F15917" s="13"/>
      <c r="M15917" s="13"/>
    </row>
    <row r="15918">
      <c r="F15918" s="13"/>
      <c r="M15918" s="13"/>
    </row>
    <row r="15919">
      <c r="F15919" s="13"/>
      <c r="M15919" s="13"/>
    </row>
    <row r="15920">
      <c r="F15920" s="13"/>
      <c r="M15920" s="13"/>
    </row>
    <row r="15921">
      <c r="F15921" s="13"/>
      <c r="M15921" s="13"/>
    </row>
    <row r="15922">
      <c r="F15922" s="13"/>
      <c r="M15922" s="13"/>
    </row>
    <row r="15923">
      <c r="F15923" s="13"/>
      <c r="M15923" s="13"/>
    </row>
    <row r="15924">
      <c r="F15924" s="13"/>
      <c r="M15924" s="13"/>
    </row>
    <row r="15925">
      <c r="F15925" s="13"/>
      <c r="M15925" s="13"/>
    </row>
    <row r="15926">
      <c r="F15926" s="13"/>
      <c r="M15926" s="13"/>
    </row>
    <row r="15927">
      <c r="F15927" s="13"/>
      <c r="M15927" s="13"/>
    </row>
    <row r="15928">
      <c r="F15928" s="13"/>
      <c r="M15928" s="13"/>
    </row>
    <row r="15929">
      <c r="F15929" s="13"/>
      <c r="M15929" s="13"/>
    </row>
    <row r="15930">
      <c r="F15930" s="13"/>
      <c r="M15930" s="13"/>
    </row>
    <row r="15931">
      <c r="F15931" s="13"/>
      <c r="M15931" s="13"/>
    </row>
    <row r="15932">
      <c r="F15932" s="13"/>
      <c r="M15932" s="13"/>
    </row>
    <row r="15933">
      <c r="F15933" s="13"/>
      <c r="M15933" s="13"/>
    </row>
    <row r="15934">
      <c r="F15934" s="13"/>
      <c r="M15934" s="13"/>
    </row>
    <row r="15935">
      <c r="F15935" s="13"/>
      <c r="M15935" s="13"/>
    </row>
    <row r="15936">
      <c r="F15936" s="13"/>
      <c r="M15936" s="13"/>
    </row>
    <row r="15937">
      <c r="F15937" s="13"/>
      <c r="M15937" s="13"/>
    </row>
    <row r="15938">
      <c r="F15938" s="13"/>
      <c r="M15938" s="13"/>
    </row>
    <row r="15939">
      <c r="F15939" s="13"/>
      <c r="M15939" s="13"/>
    </row>
    <row r="15940">
      <c r="F15940" s="13"/>
      <c r="M15940" s="13"/>
    </row>
    <row r="15941">
      <c r="F15941" s="13"/>
      <c r="M15941" s="13"/>
    </row>
    <row r="15942">
      <c r="F15942" s="13"/>
      <c r="M15942" s="13"/>
    </row>
    <row r="15943">
      <c r="F15943" s="13"/>
      <c r="M15943" s="13"/>
    </row>
    <row r="15944">
      <c r="F15944" s="13"/>
      <c r="M15944" s="13"/>
    </row>
    <row r="15945">
      <c r="F15945" s="13"/>
      <c r="M15945" s="13"/>
    </row>
    <row r="15946">
      <c r="F15946" s="13"/>
      <c r="M15946" s="13"/>
    </row>
    <row r="15947">
      <c r="F15947" s="13"/>
      <c r="M15947" s="13"/>
    </row>
    <row r="15948">
      <c r="F15948" s="13"/>
      <c r="M15948" s="13"/>
    </row>
    <row r="15949">
      <c r="F15949" s="13"/>
      <c r="M15949" s="13"/>
    </row>
    <row r="15950">
      <c r="F15950" s="13"/>
      <c r="M15950" s="13"/>
    </row>
    <row r="15951">
      <c r="F15951" s="13"/>
      <c r="M15951" s="13"/>
    </row>
    <row r="15952">
      <c r="F15952" s="13"/>
      <c r="M15952" s="13"/>
    </row>
    <row r="15953">
      <c r="F15953" s="13"/>
      <c r="M15953" s="13"/>
    </row>
    <row r="15954">
      <c r="F15954" s="13"/>
      <c r="M15954" s="13"/>
    </row>
    <row r="15955">
      <c r="F15955" s="13"/>
      <c r="M15955" s="13"/>
    </row>
    <row r="15956">
      <c r="F15956" s="13"/>
      <c r="M15956" s="13"/>
    </row>
    <row r="15957">
      <c r="F15957" s="13"/>
      <c r="M15957" s="13"/>
    </row>
    <row r="15958">
      <c r="F15958" s="13"/>
      <c r="M15958" s="13"/>
    </row>
    <row r="15959">
      <c r="F15959" s="13"/>
      <c r="M15959" s="13"/>
    </row>
    <row r="15960">
      <c r="F15960" s="13"/>
      <c r="M15960" s="13"/>
    </row>
    <row r="15961">
      <c r="F15961" s="13"/>
      <c r="M15961" s="13"/>
    </row>
    <row r="15962">
      <c r="F15962" s="13"/>
      <c r="M15962" s="13"/>
    </row>
    <row r="15963">
      <c r="F15963" s="13"/>
      <c r="M15963" s="13"/>
    </row>
    <row r="15964">
      <c r="F15964" s="13"/>
      <c r="M15964" s="13"/>
    </row>
    <row r="15965">
      <c r="F15965" s="13"/>
      <c r="M15965" s="13"/>
    </row>
    <row r="15966">
      <c r="F15966" s="13"/>
      <c r="M15966" s="13"/>
    </row>
    <row r="15967">
      <c r="F15967" s="13"/>
      <c r="M15967" s="13"/>
    </row>
    <row r="15968">
      <c r="F15968" s="13"/>
      <c r="M15968" s="13"/>
    </row>
    <row r="15969">
      <c r="F15969" s="13"/>
      <c r="M15969" s="13"/>
    </row>
    <row r="15970">
      <c r="F15970" s="13"/>
      <c r="M15970" s="13"/>
    </row>
    <row r="15971">
      <c r="F15971" s="13"/>
      <c r="M15971" s="13"/>
    </row>
    <row r="15972">
      <c r="F15972" s="13"/>
      <c r="M15972" s="13"/>
    </row>
    <row r="15973">
      <c r="F15973" s="13"/>
      <c r="M15973" s="13"/>
    </row>
    <row r="15974">
      <c r="F15974" s="13"/>
      <c r="M15974" s="13"/>
    </row>
    <row r="15975">
      <c r="F15975" s="13"/>
      <c r="M15975" s="13"/>
    </row>
    <row r="15976">
      <c r="F15976" s="13"/>
      <c r="M15976" s="13"/>
    </row>
    <row r="15977">
      <c r="F15977" s="13"/>
      <c r="M15977" s="13"/>
    </row>
    <row r="15978">
      <c r="F15978" s="13"/>
      <c r="M15978" s="13"/>
    </row>
    <row r="15979">
      <c r="F15979" s="13"/>
      <c r="M15979" s="13"/>
    </row>
    <row r="15980">
      <c r="F15980" s="13"/>
      <c r="M15980" s="13"/>
    </row>
    <row r="15981">
      <c r="F15981" s="13"/>
      <c r="M15981" s="13"/>
    </row>
    <row r="15982">
      <c r="F15982" s="13"/>
      <c r="M15982" s="13"/>
    </row>
    <row r="15983">
      <c r="F15983" s="13"/>
      <c r="M15983" s="13"/>
    </row>
    <row r="15984">
      <c r="F15984" s="13"/>
      <c r="M15984" s="13"/>
    </row>
    <row r="15985">
      <c r="F15985" s="13"/>
      <c r="M15985" s="13"/>
    </row>
    <row r="15986">
      <c r="F15986" s="13"/>
      <c r="M15986" s="13"/>
    </row>
    <row r="15987">
      <c r="F15987" s="13"/>
      <c r="M15987" s="13"/>
    </row>
    <row r="15988">
      <c r="F15988" s="13"/>
      <c r="M15988" s="13"/>
    </row>
    <row r="15989">
      <c r="F15989" s="13"/>
      <c r="M15989" s="13"/>
    </row>
    <row r="15990">
      <c r="F15990" s="13"/>
      <c r="M15990" s="13"/>
    </row>
    <row r="15991">
      <c r="F15991" s="13"/>
      <c r="M15991" s="13"/>
    </row>
    <row r="15992">
      <c r="F15992" s="13"/>
      <c r="M15992" s="13"/>
    </row>
    <row r="15993">
      <c r="F15993" s="13"/>
      <c r="M15993" s="13"/>
    </row>
    <row r="15994">
      <c r="F15994" s="13"/>
      <c r="M15994" s="13"/>
    </row>
    <row r="15995">
      <c r="F15995" s="13"/>
      <c r="M15995" s="13"/>
    </row>
    <row r="15996">
      <c r="F15996" s="13"/>
      <c r="M15996" s="13"/>
    </row>
    <row r="15997">
      <c r="F15997" s="13"/>
      <c r="M15997" s="13"/>
    </row>
    <row r="15998">
      <c r="F15998" s="13"/>
      <c r="M15998" s="13"/>
    </row>
    <row r="15999">
      <c r="F15999" s="13"/>
      <c r="M15999" s="13"/>
    </row>
    <row r="16000">
      <c r="F16000" s="13"/>
      <c r="M16000" s="13"/>
    </row>
    <row r="16001">
      <c r="F16001" s="13"/>
      <c r="M16001" s="13"/>
    </row>
    <row r="16002">
      <c r="F16002" s="13"/>
      <c r="M16002" s="13"/>
    </row>
    <row r="16003">
      <c r="F16003" s="13"/>
      <c r="M16003" s="13"/>
    </row>
    <row r="16004">
      <c r="F16004" s="13"/>
      <c r="M16004" s="13"/>
    </row>
    <row r="16005">
      <c r="F16005" s="13"/>
      <c r="M16005" s="13"/>
    </row>
    <row r="16006">
      <c r="F16006" s="13"/>
      <c r="M16006" s="13"/>
    </row>
    <row r="16007">
      <c r="F16007" s="13"/>
      <c r="M16007" s="13"/>
    </row>
    <row r="16008">
      <c r="F16008" s="13"/>
      <c r="M16008" s="13"/>
    </row>
    <row r="16009">
      <c r="F16009" s="13"/>
      <c r="M16009" s="13"/>
    </row>
    <row r="16010">
      <c r="F16010" s="13"/>
      <c r="M16010" s="13"/>
    </row>
    <row r="16011">
      <c r="F16011" s="13"/>
      <c r="M16011" s="13"/>
    </row>
    <row r="16012">
      <c r="F16012" s="13"/>
      <c r="M16012" s="13"/>
    </row>
    <row r="16013">
      <c r="F16013" s="13"/>
      <c r="M16013" s="13"/>
    </row>
    <row r="16014">
      <c r="F16014" s="13"/>
      <c r="M16014" s="13"/>
    </row>
    <row r="16015">
      <c r="F16015" s="13"/>
      <c r="M16015" s="13"/>
    </row>
    <row r="16016">
      <c r="F16016" s="13"/>
      <c r="M16016" s="13"/>
    </row>
    <row r="16017">
      <c r="F16017" s="13"/>
      <c r="M16017" s="13"/>
    </row>
    <row r="16018">
      <c r="F16018" s="13"/>
      <c r="M16018" s="13"/>
    </row>
    <row r="16019">
      <c r="F16019" s="13"/>
      <c r="M16019" s="13"/>
    </row>
    <row r="16020">
      <c r="F16020" s="13"/>
      <c r="M16020" s="13"/>
    </row>
    <row r="16021">
      <c r="F16021" s="13"/>
      <c r="M16021" s="13"/>
    </row>
    <row r="16022">
      <c r="F16022" s="13"/>
      <c r="M16022" s="13"/>
    </row>
    <row r="16023">
      <c r="F16023" s="13"/>
      <c r="M16023" s="13"/>
    </row>
    <row r="16024">
      <c r="F16024" s="13"/>
      <c r="M16024" s="13"/>
    </row>
    <row r="16025">
      <c r="F16025" s="13"/>
      <c r="M16025" s="13"/>
    </row>
    <row r="16026">
      <c r="F16026" s="13"/>
      <c r="M16026" s="13"/>
    </row>
    <row r="16027">
      <c r="F16027" s="13"/>
      <c r="M16027" s="13"/>
    </row>
    <row r="16028">
      <c r="F16028" s="13"/>
      <c r="M16028" s="13"/>
    </row>
    <row r="16029">
      <c r="F16029" s="13"/>
      <c r="M16029" s="13"/>
    </row>
    <row r="16030">
      <c r="F16030" s="13"/>
      <c r="M16030" s="13"/>
    </row>
    <row r="16031">
      <c r="F16031" s="13"/>
      <c r="M16031" s="13"/>
    </row>
    <row r="16032">
      <c r="F16032" s="13"/>
      <c r="M16032" s="13"/>
    </row>
    <row r="16033">
      <c r="F16033" s="13"/>
      <c r="M16033" s="13"/>
    </row>
    <row r="16034">
      <c r="F16034" s="13"/>
      <c r="M16034" s="13"/>
    </row>
    <row r="16035">
      <c r="F16035" s="13"/>
      <c r="M16035" s="13"/>
    </row>
    <row r="16036">
      <c r="F16036" s="13"/>
      <c r="M16036" s="13"/>
    </row>
    <row r="16037">
      <c r="F16037" s="13"/>
      <c r="M16037" s="13"/>
    </row>
    <row r="16038">
      <c r="F16038" s="13"/>
      <c r="M16038" s="13"/>
    </row>
    <row r="16039">
      <c r="F16039" s="13"/>
      <c r="M16039" s="13"/>
    </row>
    <row r="16040">
      <c r="F16040" s="13"/>
      <c r="M16040" s="13"/>
    </row>
    <row r="16041">
      <c r="F16041" s="13"/>
      <c r="M16041" s="13"/>
    </row>
    <row r="16042">
      <c r="F16042" s="13"/>
      <c r="M16042" s="13"/>
    </row>
    <row r="16043">
      <c r="F16043" s="13"/>
      <c r="M16043" s="13"/>
    </row>
    <row r="16044">
      <c r="F16044" s="13"/>
      <c r="M16044" s="13"/>
    </row>
    <row r="16045">
      <c r="F16045" s="13"/>
      <c r="M16045" s="13"/>
    </row>
    <row r="16046">
      <c r="F16046" s="13"/>
      <c r="M16046" s="13"/>
    </row>
    <row r="16047">
      <c r="F16047" s="13"/>
      <c r="M16047" s="13"/>
    </row>
    <row r="16048">
      <c r="F16048" s="13"/>
      <c r="M16048" s="13"/>
    </row>
    <row r="16049">
      <c r="F16049" s="13"/>
      <c r="M16049" s="13"/>
    </row>
    <row r="16050">
      <c r="F16050" s="13"/>
      <c r="M16050" s="13"/>
    </row>
    <row r="16051">
      <c r="F16051" s="13"/>
      <c r="M16051" s="13"/>
    </row>
    <row r="16052">
      <c r="F16052" s="13"/>
      <c r="M16052" s="13"/>
    </row>
    <row r="16053">
      <c r="F16053" s="13"/>
      <c r="M16053" s="13"/>
    </row>
    <row r="16054">
      <c r="F16054" s="13"/>
      <c r="M16054" s="13"/>
    </row>
    <row r="16055">
      <c r="F16055" s="13"/>
      <c r="M16055" s="13"/>
    </row>
    <row r="16056">
      <c r="F16056" s="13"/>
      <c r="M16056" s="13"/>
    </row>
    <row r="16057">
      <c r="F16057" s="13"/>
      <c r="M16057" s="13"/>
    </row>
    <row r="16058">
      <c r="F16058" s="13"/>
      <c r="M16058" s="13"/>
    </row>
    <row r="16059">
      <c r="F16059" s="13"/>
      <c r="M16059" s="13"/>
    </row>
    <row r="16060">
      <c r="F16060" s="13"/>
      <c r="M16060" s="13"/>
    </row>
    <row r="16061">
      <c r="F16061" s="13"/>
      <c r="M16061" s="13"/>
    </row>
    <row r="16062">
      <c r="F16062" s="13"/>
      <c r="M16062" s="13"/>
    </row>
    <row r="16063">
      <c r="F16063" s="13"/>
      <c r="M16063" s="13"/>
    </row>
    <row r="16064">
      <c r="F16064" s="13"/>
      <c r="M16064" s="13"/>
    </row>
    <row r="16065">
      <c r="F16065" s="13"/>
      <c r="M16065" s="13"/>
    </row>
    <row r="16066">
      <c r="F16066" s="13"/>
      <c r="M16066" s="13"/>
    </row>
    <row r="16067">
      <c r="F16067" s="13"/>
      <c r="M16067" s="13"/>
    </row>
    <row r="16068">
      <c r="F16068" s="13"/>
      <c r="M16068" s="13"/>
    </row>
    <row r="16069">
      <c r="F16069" s="13"/>
      <c r="M16069" s="13"/>
    </row>
    <row r="16070">
      <c r="F16070" s="13"/>
      <c r="M16070" s="13"/>
    </row>
    <row r="16071">
      <c r="F16071" s="13"/>
      <c r="M16071" s="13"/>
    </row>
    <row r="16072">
      <c r="F16072" s="13"/>
      <c r="M16072" s="13"/>
    </row>
    <row r="16073">
      <c r="F16073" s="13"/>
      <c r="M16073" s="13"/>
    </row>
    <row r="16074">
      <c r="F16074" s="13"/>
      <c r="M16074" s="13"/>
    </row>
    <row r="16075">
      <c r="F16075" s="13"/>
      <c r="M16075" s="13"/>
    </row>
    <row r="16076">
      <c r="F16076" s="13"/>
      <c r="M16076" s="13"/>
    </row>
    <row r="16077">
      <c r="F16077" s="13"/>
      <c r="M16077" s="13"/>
    </row>
    <row r="16078">
      <c r="F16078" s="13"/>
      <c r="M16078" s="13"/>
    </row>
    <row r="16079">
      <c r="F16079" s="13"/>
      <c r="M16079" s="13"/>
    </row>
    <row r="16080">
      <c r="F16080" s="13"/>
      <c r="M16080" s="13"/>
    </row>
    <row r="16081">
      <c r="F16081" s="13"/>
      <c r="M16081" s="13"/>
    </row>
    <row r="16082">
      <c r="F16082" s="13"/>
      <c r="M16082" s="13"/>
    </row>
    <row r="16083">
      <c r="F16083" s="13"/>
      <c r="M16083" s="13"/>
    </row>
    <row r="16084">
      <c r="F16084" s="13"/>
      <c r="M16084" s="13"/>
    </row>
    <row r="16085">
      <c r="F16085" s="13"/>
      <c r="M16085" s="13"/>
    </row>
    <row r="16086">
      <c r="F16086" s="13"/>
      <c r="M16086" s="13"/>
    </row>
    <row r="16087">
      <c r="F16087" s="13"/>
      <c r="M16087" s="13"/>
    </row>
    <row r="16088">
      <c r="F16088" s="13"/>
      <c r="M16088" s="13"/>
    </row>
    <row r="16089">
      <c r="F16089" s="13"/>
      <c r="M16089" s="13"/>
    </row>
    <row r="16090">
      <c r="F16090" s="13"/>
      <c r="M16090" s="13"/>
    </row>
    <row r="16091">
      <c r="F16091" s="13"/>
      <c r="M16091" s="13"/>
    </row>
    <row r="16092">
      <c r="F16092" s="13"/>
      <c r="M16092" s="13"/>
    </row>
    <row r="16093">
      <c r="F16093" s="13"/>
      <c r="M16093" s="13"/>
    </row>
    <row r="16094">
      <c r="F16094" s="13"/>
      <c r="M16094" s="13"/>
    </row>
    <row r="16095">
      <c r="F16095" s="13"/>
      <c r="M16095" s="13"/>
    </row>
    <row r="16096">
      <c r="F16096" s="13"/>
      <c r="M16096" s="13"/>
    </row>
    <row r="16097">
      <c r="F16097" s="13"/>
      <c r="M16097" s="13"/>
    </row>
    <row r="16098">
      <c r="F16098" s="13"/>
      <c r="M16098" s="13"/>
    </row>
    <row r="16099">
      <c r="F16099" s="13"/>
      <c r="M16099" s="13"/>
    </row>
    <row r="16100">
      <c r="F16100" s="13"/>
      <c r="M16100" s="13"/>
    </row>
    <row r="16101">
      <c r="F16101" s="13"/>
      <c r="M16101" s="13"/>
    </row>
    <row r="16102">
      <c r="F16102" s="13"/>
      <c r="M16102" s="13"/>
    </row>
    <row r="16103">
      <c r="F16103" s="13"/>
      <c r="M16103" s="13"/>
    </row>
    <row r="16104">
      <c r="F16104" s="13"/>
      <c r="M16104" s="13"/>
    </row>
    <row r="16105">
      <c r="F16105" s="13"/>
      <c r="M16105" s="13"/>
    </row>
    <row r="16106">
      <c r="F16106" s="13"/>
      <c r="M16106" s="13"/>
    </row>
    <row r="16107">
      <c r="F16107" s="13"/>
      <c r="M16107" s="13"/>
    </row>
    <row r="16108">
      <c r="F16108" s="13"/>
      <c r="M16108" s="13"/>
    </row>
    <row r="16109">
      <c r="F16109" s="13"/>
      <c r="M16109" s="13"/>
    </row>
    <row r="16110">
      <c r="F16110" s="13"/>
      <c r="M16110" s="13"/>
    </row>
    <row r="16111">
      <c r="F16111" s="13"/>
      <c r="M16111" s="13"/>
    </row>
    <row r="16112">
      <c r="F16112" s="13"/>
      <c r="M16112" s="13"/>
    </row>
    <row r="16113">
      <c r="F16113" s="13"/>
      <c r="M16113" s="13"/>
    </row>
    <row r="16114">
      <c r="F16114" s="13"/>
      <c r="M16114" s="13"/>
    </row>
    <row r="16115">
      <c r="F16115" s="13"/>
      <c r="M16115" s="13"/>
    </row>
    <row r="16116">
      <c r="F16116" s="13"/>
      <c r="M16116" s="13"/>
    </row>
    <row r="16117">
      <c r="F16117" s="13"/>
      <c r="M16117" s="13"/>
    </row>
    <row r="16118">
      <c r="F16118" s="13"/>
      <c r="M16118" s="13"/>
    </row>
    <row r="16119">
      <c r="F16119" s="13"/>
      <c r="M16119" s="13"/>
    </row>
    <row r="16120">
      <c r="F16120" s="13"/>
      <c r="M16120" s="13"/>
    </row>
    <row r="16121">
      <c r="F16121" s="13"/>
      <c r="M16121" s="13"/>
    </row>
    <row r="16122">
      <c r="F16122" s="13"/>
      <c r="M16122" s="13"/>
    </row>
    <row r="16123">
      <c r="F16123" s="13"/>
      <c r="M16123" s="13"/>
    </row>
    <row r="16124">
      <c r="F16124" s="13"/>
      <c r="M16124" s="13"/>
    </row>
    <row r="16125">
      <c r="F16125" s="13"/>
      <c r="M16125" s="13"/>
    </row>
    <row r="16126">
      <c r="F16126" s="13"/>
      <c r="M16126" s="13"/>
    </row>
    <row r="16127">
      <c r="F16127" s="13"/>
      <c r="M16127" s="13"/>
    </row>
    <row r="16128">
      <c r="F16128" s="13"/>
      <c r="M16128" s="13"/>
    </row>
    <row r="16129">
      <c r="F16129" s="13"/>
      <c r="M16129" s="13"/>
    </row>
    <row r="16130">
      <c r="F16130" s="13"/>
      <c r="M16130" s="13"/>
    </row>
    <row r="16131">
      <c r="F16131" s="13"/>
      <c r="M16131" s="13"/>
    </row>
    <row r="16132">
      <c r="F16132" s="13"/>
      <c r="M16132" s="13"/>
    </row>
    <row r="16133">
      <c r="F16133" s="13"/>
      <c r="M16133" s="13"/>
    </row>
    <row r="16134">
      <c r="F16134" s="13"/>
      <c r="M16134" s="13"/>
    </row>
    <row r="16135">
      <c r="F16135" s="13"/>
      <c r="M16135" s="13"/>
    </row>
    <row r="16136">
      <c r="F16136" s="13"/>
      <c r="M16136" s="13"/>
    </row>
    <row r="16137">
      <c r="F16137" s="13"/>
      <c r="M16137" s="13"/>
    </row>
    <row r="16138">
      <c r="F16138" s="13"/>
      <c r="M16138" s="13"/>
    </row>
    <row r="16139">
      <c r="F16139" s="13"/>
      <c r="M16139" s="13"/>
    </row>
    <row r="16140">
      <c r="F16140" s="13"/>
      <c r="M16140" s="13"/>
    </row>
    <row r="16141">
      <c r="F16141" s="13"/>
      <c r="M16141" s="13"/>
    </row>
    <row r="16142">
      <c r="F16142" s="13"/>
      <c r="M16142" s="13"/>
    </row>
    <row r="16143">
      <c r="F16143" s="13"/>
      <c r="M16143" s="13"/>
    </row>
    <row r="16144">
      <c r="F16144" s="13"/>
      <c r="M16144" s="13"/>
    </row>
    <row r="16145">
      <c r="F16145" s="13"/>
      <c r="M16145" s="13"/>
    </row>
    <row r="16146">
      <c r="F16146" s="13"/>
      <c r="M16146" s="13"/>
    </row>
    <row r="16147">
      <c r="F16147" s="13"/>
      <c r="M16147" s="13"/>
    </row>
    <row r="16148">
      <c r="F16148" s="13"/>
      <c r="M16148" s="13"/>
    </row>
    <row r="16149">
      <c r="F16149" s="13"/>
      <c r="M16149" s="13"/>
    </row>
    <row r="16150">
      <c r="F16150" s="13"/>
      <c r="M16150" s="13"/>
    </row>
    <row r="16151">
      <c r="F16151" s="13"/>
      <c r="M16151" s="13"/>
    </row>
    <row r="16152">
      <c r="F16152" s="13"/>
      <c r="M16152" s="13"/>
    </row>
    <row r="16153">
      <c r="F16153" s="13"/>
      <c r="M16153" s="13"/>
    </row>
    <row r="16154">
      <c r="F16154" s="13"/>
      <c r="M16154" s="13"/>
    </row>
    <row r="16155">
      <c r="F16155" s="13"/>
      <c r="M16155" s="13"/>
    </row>
    <row r="16156">
      <c r="F16156" s="13"/>
      <c r="M16156" s="13"/>
    </row>
    <row r="16157">
      <c r="F16157" s="13"/>
      <c r="M16157" s="13"/>
    </row>
    <row r="16158">
      <c r="F16158" s="13"/>
      <c r="M16158" s="13"/>
    </row>
    <row r="16159">
      <c r="F16159" s="13"/>
      <c r="M16159" s="13"/>
    </row>
    <row r="16160">
      <c r="F16160" s="13"/>
      <c r="M16160" s="13"/>
    </row>
    <row r="16161">
      <c r="F16161" s="13"/>
      <c r="M16161" s="13"/>
    </row>
    <row r="16162">
      <c r="F16162" s="13"/>
      <c r="M16162" s="13"/>
    </row>
    <row r="16163">
      <c r="F16163" s="13"/>
      <c r="M16163" s="13"/>
    </row>
    <row r="16164">
      <c r="F16164" s="13"/>
      <c r="M16164" s="13"/>
    </row>
    <row r="16165">
      <c r="F16165" s="13"/>
      <c r="M16165" s="13"/>
    </row>
    <row r="16166">
      <c r="F16166" s="13"/>
      <c r="M16166" s="13"/>
    </row>
    <row r="16167">
      <c r="F16167" s="13"/>
      <c r="M16167" s="13"/>
    </row>
    <row r="16168">
      <c r="F16168" s="13"/>
      <c r="M16168" s="13"/>
    </row>
    <row r="16169">
      <c r="F16169" s="13"/>
      <c r="M16169" s="13"/>
    </row>
    <row r="16170">
      <c r="F16170" s="13"/>
      <c r="M16170" s="13"/>
    </row>
    <row r="16171">
      <c r="F16171" s="13"/>
      <c r="M16171" s="13"/>
    </row>
    <row r="16172">
      <c r="F16172" s="13"/>
      <c r="M16172" s="13"/>
    </row>
    <row r="16173">
      <c r="F16173" s="13"/>
      <c r="M16173" s="13"/>
    </row>
    <row r="16174">
      <c r="F16174" s="13"/>
      <c r="M16174" s="13"/>
    </row>
    <row r="16175">
      <c r="F16175" s="13"/>
      <c r="M16175" s="13"/>
    </row>
    <row r="16176">
      <c r="F16176" s="13"/>
      <c r="M16176" s="13"/>
    </row>
    <row r="16177">
      <c r="F16177" s="13"/>
      <c r="M16177" s="13"/>
    </row>
    <row r="16178">
      <c r="F16178" s="13"/>
      <c r="M16178" s="13"/>
    </row>
    <row r="16179">
      <c r="F16179" s="13"/>
      <c r="M16179" s="13"/>
    </row>
    <row r="16180">
      <c r="F16180" s="13"/>
      <c r="M16180" s="13"/>
    </row>
    <row r="16181">
      <c r="F16181" s="13"/>
      <c r="M16181" s="13"/>
    </row>
    <row r="16182">
      <c r="F16182" s="13"/>
      <c r="M16182" s="13"/>
    </row>
    <row r="16183">
      <c r="F16183" s="13"/>
      <c r="M16183" s="13"/>
    </row>
    <row r="16184">
      <c r="F16184" s="13"/>
      <c r="M16184" s="13"/>
    </row>
    <row r="16185">
      <c r="F16185" s="13"/>
      <c r="M16185" s="13"/>
    </row>
    <row r="16186">
      <c r="F16186" s="13"/>
      <c r="M16186" s="13"/>
    </row>
    <row r="16187">
      <c r="F16187" s="13"/>
      <c r="M16187" s="13"/>
    </row>
    <row r="16188">
      <c r="F16188" s="13"/>
      <c r="M16188" s="13"/>
    </row>
    <row r="16189">
      <c r="F16189" s="13"/>
      <c r="M16189" s="13"/>
    </row>
    <row r="16190">
      <c r="F16190" s="13"/>
      <c r="M16190" s="13"/>
    </row>
    <row r="16191">
      <c r="F16191" s="13"/>
      <c r="M16191" s="13"/>
    </row>
    <row r="16192">
      <c r="F16192" s="13"/>
      <c r="M16192" s="13"/>
    </row>
    <row r="16193">
      <c r="F16193" s="13"/>
      <c r="M16193" s="13"/>
    </row>
    <row r="16194">
      <c r="F16194" s="13"/>
      <c r="M16194" s="13"/>
    </row>
    <row r="16195">
      <c r="F16195" s="13"/>
      <c r="M16195" s="13"/>
    </row>
    <row r="16196">
      <c r="F16196" s="13"/>
      <c r="M16196" s="13"/>
    </row>
    <row r="16197">
      <c r="F16197" s="13"/>
      <c r="M16197" s="13"/>
    </row>
    <row r="16198">
      <c r="F16198" s="13"/>
      <c r="M16198" s="13"/>
    </row>
    <row r="16199">
      <c r="F16199" s="13"/>
      <c r="M16199" s="13"/>
    </row>
    <row r="16200">
      <c r="F16200" s="13"/>
      <c r="M16200" s="13"/>
    </row>
    <row r="16201">
      <c r="F16201" s="13"/>
      <c r="M16201" s="13"/>
    </row>
    <row r="16202">
      <c r="F16202" s="13"/>
      <c r="M16202" s="13"/>
    </row>
    <row r="16203">
      <c r="F16203" s="13"/>
      <c r="M16203" s="13"/>
    </row>
    <row r="16204">
      <c r="F16204" s="13"/>
      <c r="M16204" s="13"/>
    </row>
    <row r="16205">
      <c r="F16205" s="13"/>
      <c r="M16205" s="13"/>
    </row>
    <row r="16206">
      <c r="F16206" s="13"/>
      <c r="M16206" s="13"/>
    </row>
    <row r="16207">
      <c r="F16207" s="13"/>
      <c r="M16207" s="13"/>
    </row>
    <row r="16208">
      <c r="F16208" s="13"/>
      <c r="M16208" s="13"/>
    </row>
    <row r="16209">
      <c r="F16209" s="13"/>
      <c r="M16209" s="13"/>
    </row>
    <row r="16210">
      <c r="F16210" s="13"/>
      <c r="M16210" s="13"/>
    </row>
    <row r="16211">
      <c r="F16211" s="13"/>
      <c r="M16211" s="13"/>
    </row>
    <row r="16212">
      <c r="F16212" s="13"/>
      <c r="M16212" s="13"/>
    </row>
    <row r="16213">
      <c r="F16213" s="13"/>
      <c r="M16213" s="13"/>
    </row>
    <row r="16214">
      <c r="F16214" s="13"/>
      <c r="M16214" s="13"/>
    </row>
    <row r="16215">
      <c r="F16215" s="13"/>
      <c r="M16215" s="13"/>
    </row>
    <row r="16216">
      <c r="F16216" s="13"/>
      <c r="M16216" s="13"/>
    </row>
    <row r="16217">
      <c r="F16217" s="13"/>
      <c r="M16217" s="13"/>
    </row>
    <row r="16218">
      <c r="F16218" s="13"/>
      <c r="M16218" s="13"/>
    </row>
    <row r="16219">
      <c r="F16219" s="13"/>
      <c r="M16219" s="13"/>
    </row>
    <row r="16220">
      <c r="F16220" s="13"/>
      <c r="M16220" s="13"/>
    </row>
    <row r="16221">
      <c r="F16221" s="13"/>
      <c r="M16221" s="13"/>
    </row>
    <row r="16222">
      <c r="F16222" s="13"/>
      <c r="M16222" s="13"/>
    </row>
    <row r="16223">
      <c r="F16223" s="13"/>
      <c r="M16223" s="13"/>
    </row>
    <row r="16224">
      <c r="F16224" s="13"/>
      <c r="M16224" s="13"/>
    </row>
    <row r="16225">
      <c r="F16225" s="13"/>
      <c r="M16225" s="13"/>
    </row>
    <row r="16226">
      <c r="F16226" s="13"/>
      <c r="M16226" s="13"/>
    </row>
    <row r="16227">
      <c r="F16227" s="13"/>
      <c r="M16227" s="13"/>
    </row>
    <row r="16228">
      <c r="F16228" s="13"/>
      <c r="M16228" s="13"/>
    </row>
    <row r="16229">
      <c r="F16229" s="13"/>
      <c r="M16229" s="13"/>
    </row>
    <row r="16230">
      <c r="F16230" s="13"/>
      <c r="M16230" s="13"/>
    </row>
    <row r="16231">
      <c r="F16231" s="13"/>
      <c r="M16231" s="13"/>
    </row>
    <row r="16232">
      <c r="F16232" s="13"/>
      <c r="M16232" s="13"/>
    </row>
    <row r="16233">
      <c r="F16233" s="13"/>
      <c r="M16233" s="13"/>
    </row>
    <row r="16234">
      <c r="F16234" s="13"/>
      <c r="M16234" s="13"/>
    </row>
    <row r="16235">
      <c r="F16235" s="13"/>
      <c r="M16235" s="13"/>
    </row>
    <row r="16236">
      <c r="F16236" s="13"/>
      <c r="M16236" s="13"/>
    </row>
    <row r="16237">
      <c r="F16237" s="13"/>
      <c r="M16237" s="13"/>
    </row>
    <row r="16238">
      <c r="F16238" s="13"/>
      <c r="M16238" s="13"/>
    </row>
    <row r="16239">
      <c r="F16239" s="13"/>
      <c r="M16239" s="13"/>
    </row>
    <row r="16240">
      <c r="F16240" s="13"/>
      <c r="M16240" s="13"/>
    </row>
    <row r="16241">
      <c r="F16241" s="13"/>
      <c r="M16241" s="13"/>
    </row>
    <row r="16242">
      <c r="F16242" s="13"/>
      <c r="M16242" s="13"/>
    </row>
    <row r="16243">
      <c r="F16243" s="13"/>
      <c r="M16243" s="13"/>
    </row>
    <row r="16244">
      <c r="F16244" s="13"/>
      <c r="M16244" s="13"/>
    </row>
    <row r="16245">
      <c r="F16245" s="13"/>
      <c r="M16245" s="13"/>
    </row>
    <row r="16246">
      <c r="F16246" s="13"/>
      <c r="M16246" s="13"/>
    </row>
    <row r="16247">
      <c r="F16247" s="13"/>
      <c r="M16247" s="13"/>
    </row>
    <row r="16248">
      <c r="F16248" s="13"/>
      <c r="M16248" s="13"/>
    </row>
    <row r="16249">
      <c r="F16249" s="13"/>
      <c r="M16249" s="13"/>
    </row>
    <row r="16250">
      <c r="F16250" s="13"/>
      <c r="M16250" s="13"/>
    </row>
    <row r="16251">
      <c r="F16251" s="13"/>
      <c r="M16251" s="13"/>
    </row>
    <row r="16252">
      <c r="F16252" s="13"/>
      <c r="M16252" s="13"/>
    </row>
    <row r="16253">
      <c r="F16253" s="13"/>
      <c r="M16253" s="13"/>
    </row>
    <row r="16254">
      <c r="F16254" s="13"/>
      <c r="M16254" s="13"/>
    </row>
    <row r="16255">
      <c r="F16255" s="13"/>
      <c r="M16255" s="13"/>
    </row>
    <row r="16256">
      <c r="F16256" s="13"/>
      <c r="M16256" s="13"/>
    </row>
    <row r="16257">
      <c r="F16257" s="13"/>
      <c r="M16257" s="13"/>
    </row>
    <row r="16258">
      <c r="F16258" s="13"/>
      <c r="M16258" s="13"/>
    </row>
    <row r="16259">
      <c r="F16259" s="13"/>
      <c r="M16259" s="13"/>
    </row>
    <row r="16260">
      <c r="F16260" s="13"/>
      <c r="M16260" s="13"/>
    </row>
    <row r="16261">
      <c r="F16261" s="13"/>
      <c r="M16261" s="13"/>
    </row>
    <row r="16262">
      <c r="F16262" s="13"/>
      <c r="M16262" s="13"/>
    </row>
    <row r="16263">
      <c r="F16263" s="13"/>
      <c r="M16263" s="13"/>
    </row>
    <row r="16264">
      <c r="F16264" s="13"/>
      <c r="M16264" s="13"/>
    </row>
    <row r="16265">
      <c r="F16265" s="13"/>
      <c r="M16265" s="13"/>
    </row>
    <row r="16266">
      <c r="F16266" s="13"/>
      <c r="M16266" s="13"/>
    </row>
    <row r="16267">
      <c r="F16267" s="13"/>
      <c r="M16267" s="13"/>
    </row>
    <row r="16268">
      <c r="F16268" s="13"/>
      <c r="M16268" s="13"/>
    </row>
    <row r="16269">
      <c r="F16269" s="13"/>
      <c r="M16269" s="13"/>
    </row>
    <row r="16270">
      <c r="F16270" s="13"/>
      <c r="M16270" s="13"/>
    </row>
    <row r="16271">
      <c r="F16271" s="13"/>
      <c r="M16271" s="13"/>
    </row>
    <row r="16272">
      <c r="F16272" s="13"/>
      <c r="M16272" s="13"/>
    </row>
    <row r="16273">
      <c r="F16273" s="13"/>
      <c r="M16273" s="13"/>
    </row>
    <row r="16274">
      <c r="F16274" s="13"/>
      <c r="M16274" s="13"/>
    </row>
    <row r="16275">
      <c r="F16275" s="13"/>
      <c r="M16275" s="13"/>
    </row>
    <row r="16276">
      <c r="F16276" s="13"/>
      <c r="M16276" s="13"/>
    </row>
    <row r="16277">
      <c r="F16277" s="13"/>
      <c r="M16277" s="13"/>
    </row>
    <row r="16278">
      <c r="F16278" s="13"/>
      <c r="M16278" s="13"/>
    </row>
    <row r="16279">
      <c r="F16279" s="13"/>
      <c r="M16279" s="13"/>
    </row>
    <row r="16280">
      <c r="F16280" s="13"/>
      <c r="M16280" s="13"/>
    </row>
    <row r="16281">
      <c r="F16281" s="13"/>
      <c r="M16281" s="13"/>
    </row>
    <row r="16282">
      <c r="F16282" s="13"/>
      <c r="M16282" s="13"/>
    </row>
    <row r="16283">
      <c r="F16283" s="13"/>
      <c r="M16283" s="13"/>
    </row>
    <row r="16284">
      <c r="F16284" s="13"/>
      <c r="M16284" s="13"/>
    </row>
    <row r="16285">
      <c r="F16285" s="13"/>
      <c r="M16285" s="13"/>
    </row>
    <row r="16286">
      <c r="F16286" s="13"/>
      <c r="M16286" s="13"/>
    </row>
    <row r="16287">
      <c r="F16287" s="13"/>
      <c r="M16287" s="13"/>
    </row>
    <row r="16288">
      <c r="F16288" s="13"/>
      <c r="M16288" s="13"/>
    </row>
    <row r="16289">
      <c r="F16289" s="13"/>
      <c r="M16289" s="13"/>
    </row>
    <row r="16290">
      <c r="F16290" s="13"/>
      <c r="M16290" s="13"/>
    </row>
    <row r="16291">
      <c r="F16291" s="13"/>
      <c r="M16291" s="13"/>
    </row>
    <row r="16292">
      <c r="F16292" s="13"/>
      <c r="M16292" s="13"/>
    </row>
    <row r="16293">
      <c r="F16293" s="13"/>
      <c r="M16293" s="13"/>
    </row>
    <row r="16294">
      <c r="F16294" s="13"/>
      <c r="M16294" s="13"/>
    </row>
    <row r="16295">
      <c r="F16295" s="13"/>
      <c r="M16295" s="13"/>
    </row>
    <row r="16296">
      <c r="F16296" s="13"/>
      <c r="M16296" s="13"/>
    </row>
    <row r="16297">
      <c r="F16297" s="13"/>
      <c r="M16297" s="13"/>
    </row>
    <row r="16298">
      <c r="F16298" s="13"/>
      <c r="M16298" s="13"/>
    </row>
    <row r="16299">
      <c r="F16299" s="13"/>
      <c r="M16299" s="13"/>
    </row>
    <row r="16300">
      <c r="F16300" s="13"/>
      <c r="M16300" s="13"/>
    </row>
    <row r="16301">
      <c r="F16301" s="13"/>
      <c r="M16301" s="13"/>
    </row>
    <row r="16302">
      <c r="F16302" s="13"/>
      <c r="M16302" s="13"/>
    </row>
    <row r="16303">
      <c r="F16303" s="13"/>
      <c r="M16303" s="13"/>
    </row>
    <row r="16304">
      <c r="F16304" s="13"/>
      <c r="M16304" s="13"/>
    </row>
    <row r="16305">
      <c r="F16305" s="13"/>
      <c r="M16305" s="13"/>
    </row>
    <row r="16306">
      <c r="F16306" s="13"/>
      <c r="M16306" s="13"/>
    </row>
    <row r="16307">
      <c r="F16307" s="13"/>
      <c r="M16307" s="13"/>
    </row>
    <row r="16308">
      <c r="F16308" s="13"/>
      <c r="M16308" s="13"/>
    </row>
    <row r="16309">
      <c r="F16309" s="13"/>
      <c r="M16309" s="13"/>
    </row>
    <row r="16310">
      <c r="F16310" s="13"/>
      <c r="M16310" s="13"/>
    </row>
    <row r="16311">
      <c r="F16311" s="13"/>
      <c r="M16311" s="13"/>
    </row>
    <row r="16312">
      <c r="F16312" s="13"/>
      <c r="M16312" s="13"/>
    </row>
    <row r="16313">
      <c r="F16313" s="13"/>
      <c r="M16313" s="13"/>
    </row>
    <row r="16314">
      <c r="F16314" s="13"/>
      <c r="M16314" s="13"/>
    </row>
    <row r="16315">
      <c r="F16315" s="13"/>
      <c r="M16315" s="13"/>
    </row>
    <row r="16316">
      <c r="F16316" s="13"/>
      <c r="M16316" s="13"/>
    </row>
    <row r="16317">
      <c r="F16317" s="13"/>
      <c r="M16317" s="13"/>
    </row>
    <row r="16318">
      <c r="F16318" s="13"/>
      <c r="M16318" s="13"/>
    </row>
    <row r="16319">
      <c r="F16319" s="13"/>
      <c r="M16319" s="13"/>
    </row>
    <row r="16320">
      <c r="F16320" s="13"/>
      <c r="M16320" s="13"/>
    </row>
    <row r="16321">
      <c r="F16321" s="13"/>
      <c r="M16321" s="13"/>
    </row>
    <row r="16322">
      <c r="F16322" s="13"/>
      <c r="M16322" s="13"/>
    </row>
    <row r="16323">
      <c r="F16323" s="13"/>
      <c r="M16323" s="13"/>
    </row>
    <row r="16324">
      <c r="F16324" s="13"/>
      <c r="M16324" s="13"/>
    </row>
    <row r="16325">
      <c r="F16325" s="13"/>
      <c r="M16325" s="13"/>
    </row>
    <row r="16326">
      <c r="F16326" s="13"/>
      <c r="M16326" s="13"/>
    </row>
    <row r="16327">
      <c r="F16327" s="13"/>
      <c r="M16327" s="13"/>
    </row>
    <row r="16328">
      <c r="F16328" s="13"/>
      <c r="M16328" s="13"/>
    </row>
    <row r="16329">
      <c r="F16329" s="13"/>
      <c r="M16329" s="13"/>
    </row>
    <row r="16330">
      <c r="F16330" s="13"/>
      <c r="M16330" s="13"/>
    </row>
    <row r="16331">
      <c r="F16331" s="13"/>
      <c r="M16331" s="13"/>
    </row>
    <row r="16332">
      <c r="F16332" s="13"/>
      <c r="M16332" s="13"/>
    </row>
    <row r="16333">
      <c r="F16333" s="13"/>
      <c r="M16333" s="13"/>
    </row>
    <row r="16334">
      <c r="F16334" s="13"/>
      <c r="M16334" s="13"/>
    </row>
    <row r="16335">
      <c r="F16335" s="13"/>
      <c r="M16335" s="13"/>
    </row>
    <row r="16336">
      <c r="F16336" s="13"/>
      <c r="M16336" s="13"/>
    </row>
    <row r="16337">
      <c r="F16337" s="13"/>
      <c r="M16337" s="13"/>
    </row>
    <row r="16338">
      <c r="F16338" s="13"/>
      <c r="M16338" s="13"/>
    </row>
    <row r="16339">
      <c r="F16339" s="13"/>
      <c r="M16339" s="13"/>
    </row>
    <row r="16340">
      <c r="F16340" s="13"/>
      <c r="M16340" s="13"/>
    </row>
    <row r="16341">
      <c r="F16341" s="13"/>
      <c r="M16341" s="13"/>
    </row>
    <row r="16342">
      <c r="F16342" s="13"/>
      <c r="M16342" s="13"/>
    </row>
    <row r="16343">
      <c r="F16343" s="13"/>
      <c r="M16343" s="13"/>
    </row>
    <row r="16344">
      <c r="F16344" s="13"/>
      <c r="M16344" s="13"/>
    </row>
    <row r="16345">
      <c r="F16345" s="13"/>
      <c r="M16345" s="13"/>
    </row>
    <row r="16346">
      <c r="F16346" s="13"/>
      <c r="M16346" s="13"/>
    </row>
    <row r="16347">
      <c r="F16347" s="13"/>
      <c r="M16347" s="13"/>
    </row>
    <row r="16348">
      <c r="F16348" s="13"/>
      <c r="M16348" s="13"/>
    </row>
    <row r="16349">
      <c r="F16349" s="13"/>
      <c r="M16349" s="13"/>
    </row>
    <row r="16350">
      <c r="F16350" s="13"/>
      <c r="M16350" s="13"/>
    </row>
    <row r="16351">
      <c r="F16351" s="13"/>
      <c r="M16351" s="13"/>
    </row>
    <row r="16352">
      <c r="F16352" s="13"/>
      <c r="M16352" s="13"/>
    </row>
    <row r="16353">
      <c r="F16353" s="13"/>
      <c r="M16353" s="13"/>
    </row>
    <row r="16354">
      <c r="F16354" s="13"/>
      <c r="M16354" s="13"/>
    </row>
    <row r="16355">
      <c r="F16355" s="13"/>
      <c r="M16355" s="13"/>
    </row>
    <row r="16356">
      <c r="F16356" s="13"/>
      <c r="M16356" s="13"/>
    </row>
    <row r="16357">
      <c r="F16357" s="13"/>
      <c r="M16357" s="13"/>
    </row>
    <row r="16358">
      <c r="F16358" s="13"/>
      <c r="M16358" s="13"/>
    </row>
    <row r="16359">
      <c r="F16359" s="13"/>
      <c r="M16359" s="13"/>
    </row>
    <row r="16360">
      <c r="F16360" s="13"/>
      <c r="M16360" s="13"/>
    </row>
    <row r="16361">
      <c r="F16361" s="13"/>
      <c r="M16361" s="13"/>
    </row>
    <row r="16362">
      <c r="F16362" s="13"/>
      <c r="M16362" s="13"/>
    </row>
    <row r="16363">
      <c r="F16363" s="13"/>
      <c r="M16363" s="13"/>
    </row>
    <row r="16364">
      <c r="F16364" s="13"/>
      <c r="M16364" s="13"/>
    </row>
    <row r="16365">
      <c r="F16365" s="13"/>
      <c r="M16365" s="13"/>
    </row>
    <row r="16366">
      <c r="F16366" s="13"/>
      <c r="M16366" s="13"/>
    </row>
    <row r="16367">
      <c r="F16367" s="13"/>
      <c r="M16367" s="13"/>
    </row>
    <row r="16368">
      <c r="F16368" s="13"/>
      <c r="M16368" s="13"/>
    </row>
    <row r="16369">
      <c r="F16369" s="13"/>
      <c r="M16369" s="13"/>
    </row>
    <row r="16370">
      <c r="F16370" s="13"/>
      <c r="M16370" s="13"/>
    </row>
    <row r="16371">
      <c r="F16371" s="13"/>
      <c r="M16371" s="13"/>
    </row>
    <row r="16372">
      <c r="F16372" s="13"/>
      <c r="M16372" s="13"/>
    </row>
    <row r="16373">
      <c r="F16373" s="13"/>
      <c r="M16373" s="13"/>
    </row>
    <row r="16374">
      <c r="F16374" s="13"/>
      <c r="M16374" s="13"/>
    </row>
    <row r="16375">
      <c r="F16375" s="13"/>
      <c r="M16375" s="13"/>
    </row>
    <row r="16376">
      <c r="F16376" s="13"/>
      <c r="M16376" s="13"/>
    </row>
    <row r="16377">
      <c r="F16377" s="13"/>
      <c r="M16377" s="13"/>
    </row>
    <row r="16378">
      <c r="F16378" s="13"/>
      <c r="M16378" s="13"/>
    </row>
    <row r="16379">
      <c r="F16379" s="13"/>
      <c r="M16379" s="13"/>
    </row>
    <row r="16380">
      <c r="F16380" s="13"/>
      <c r="M16380" s="13"/>
    </row>
    <row r="16381">
      <c r="F16381" s="13"/>
      <c r="M16381" s="13"/>
    </row>
    <row r="16382">
      <c r="F16382" s="13"/>
      <c r="M16382" s="13"/>
    </row>
    <row r="16383">
      <c r="F16383" s="13"/>
      <c r="M16383" s="13"/>
    </row>
    <row r="16384">
      <c r="F16384" s="13"/>
      <c r="M16384" s="13"/>
    </row>
    <row r="16385">
      <c r="F16385" s="13"/>
      <c r="M16385" s="13"/>
    </row>
    <row r="16386">
      <c r="F16386" s="13"/>
      <c r="M16386" s="13"/>
    </row>
    <row r="16387">
      <c r="F16387" s="13"/>
      <c r="M16387" s="13"/>
    </row>
    <row r="16388">
      <c r="F16388" s="13"/>
      <c r="M16388" s="13"/>
    </row>
    <row r="16389">
      <c r="F16389" s="13"/>
      <c r="M16389" s="13"/>
    </row>
    <row r="16390">
      <c r="F16390" s="13"/>
      <c r="M16390" s="13"/>
    </row>
    <row r="16391">
      <c r="F16391" s="13"/>
      <c r="M16391" s="13"/>
    </row>
    <row r="16392">
      <c r="F16392" s="13"/>
      <c r="M16392" s="13"/>
    </row>
    <row r="16393">
      <c r="F16393" s="13"/>
      <c r="M16393" s="13"/>
    </row>
    <row r="16394">
      <c r="F16394" s="13"/>
      <c r="M16394" s="13"/>
    </row>
    <row r="16395">
      <c r="F16395" s="13"/>
      <c r="M16395" s="13"/>
    </row>
    <row r="16396">
      <c r="F16396" s="13"/>
      <c r="M16396" s="13"/>
    </row>
    <row r="16397">
      <c r="F16397" s="13"/>
      <c r="M16397" s="13"/>
    </row>
    <row r="16398">
      <c r="F16398" s="13"/>
      <c r="M16398" s="13"/>
    </row>
    <row r="16399">
      <c r="F16399" s="13"/>
      <c r="M16399" s="13"/>
    </row>
    <row r="16400">
      <c r="F16400" s="13"/>
      <c r="M16400" s="13"/>
    </row>
    <row r="16401">
      <c r="F16401" s="13"/>
      <c r="M16401" s="13"/>
    </row>
    <row r="16402">
      <c r="F16402" s="13"/>
      <c r="M16402" s="13"/>
    </row>
    <row r="16403">
      <c r="F16403" s="13"/>
      <c r="M16403" s="13"/>
    </row>
    <row r="16404">
      <c r="F16404" s="13"/>
      <c r="M16404" s="13"/>
    </row>
    <row r="16405">
      <c r="F16405" s="13"/>
      <c r="M16405" s="13"/>
    </row>
    <row r="16406">
      <c r="F16406" s="13"/>
      <c r="M16406" s="13"/>
    </row>
    <row r="16407">
      <c r="F16407" s="13"/>
      <c r="M16407" s="13"/>
    </row>
    <row r="16408">
      <c r="F16408" s="13"/>
      <c r="M16408" s="13"/>
    </row>
    <row r="16409">
      <c r="F16409" s="13"/>
      <c r="M16409" s="13"/>
    </row>
    <row r="16410">
      <c r="F16410" s="13"/>
      <c r="M16410" s="13"/>
    </row>
    <row r="16411">
      <c r="F16411" s="13"/>
      <c r="M16411" s="13"/>
    </row>
    <row r="16412">
      <c r="F16412" s="13"/>
      <c r="M16412" s="13"/>
    </row>
    <row r="16413">
      <c r="F16413" s="13"/>
      <c r="M16413" s="13"/>
    </row>
    <row r="16414">
      <c r="F16414" s="13"/>
      <c r="M16414" s="13"/>
    </row>
    <row r="16415">
      <c r="F16415" s="13"/>
      <c r="M16415" s="13"/>
    </row>
    <row r="16416">
      <c r="F16416" s="13"/>
      <c r="M16416" s="13"/>
    </row>
    <row r="16417">
      <c r="F16417" s="13"/>
      <c r="M16417" s="13"/>
    </row>
    <row r="16418">
      <c r="F16418" s="13"/>
      <c r="M16418" s="13"/>
    </row>
    <row r="16419">
      <c r="F16419" s="13"/>
      <c r="M16419" s="13"/>
    </row>
    <row r="16420">
      <c r="F16420" s="13"/>
      <c r="M16420" s="13"/>
    </row>
    <row r="16421">
      <c r="F16421" s="13"/>
      <c r="M16421" s="13"/>
    </row>
    <row r="16422">
      <c r="F16422" s="13"/>
      <c r="M16422" s="13"/>
    </row>
    <row r="16423">
      <c r="F16423" s="13"/>
      <c r="M16423" s="13"/>
    </row>
    <row r="16424">
      <c r="F16424" s="13"/>
      <c r="M16424" s="13"/>
    </row>
    <row r="16425">
      <c r="F16425" s="13"/>
      <c r="M16425" s="13"/>
    </row>
    <row r="16426">
      <c r="F16426" s="13"/>
      <c r="M16426" s="13"/>
    </row>
    <row r="16427">
      <c r="F16427" s="13"/>
      <c r="M16427" s="13"/>
    </row>
    <row r="16428">
      <c r="F16428" s="13"/>
      <c r="M16428" s="13"/>
    </row>
    <row r="16429">
      <c r="F16429" s="13"/>
      <c r="M16429" s="13"/>
    </row>
    <row r="16430">
      <c r="F16430" s="13"/>
      <c r="M16430" s="13"/>
    </row>
    <row r="16431">
      <c r="F16431" s="13"/>
      <c r="M16431" s="13"/>
    </row>
    <row r="16432">
      <c r="F16432" s="13"/>
      <c r="M16432" s="13"/>
    </row>
    <row r="16433">
      <c r="F16433" s="13"/>
      <c r="M16433" s="13"/>
    </row>
    <row r="16434">
      <c r="F16434" s="13"/>
      <c r="M16434" s="13"/>
    </row>
    <row r="16435">
      <c r="F16435" s="13"/>
      <c r="M16435" s="13"/>
    </row>
    <row r="16436">
      <c r="F16436" s="13"/>
      <c r="M16436" s="13"/>
    </row>
    <row r="16437">
      <c r="F16437" s="13"/>
      <c r="M16437" s="13"/>
    </row>
    <row r="16438">
      <c r="F16438" s="13"/>
      <c r="M16438" s="13"/>
    </row>
    <row r="16439">
      <c r="F16439" s="13"/>
      <c r="M16439" s="13"/>
    </row>
    <row r="16440">
      <c r="F16440" s="13"/>
      <c r="M16440" s="13"/>
    </row>
    <row r="16441">
      <c r="F16441" s="13"/>
      <c r="M16441" s="13"/>
    </row>
    <row r="16442">
      <c r="F16442" s="13"/>
      <c r="M16442" s="13"/>
    </row>
    <row r="16443">
      <c r="F16443" s="13"/>
      <c r="M16443" s="13"/>
    </row>
    <row r="16444">
      <c r="F16444" s="13"/>
      <c r="M16444" s="13"/>
    </row>
    <row r="16445">
      <c r="F16445" s="13"/>
      <c r="M16445" s="13"/>
    </row>
    <row r="16446">
      <c r="F16446" s="13"/>
      <c r="M16446" s="13"/>
    </row>
    <row r="16447">
      <c r="F16447" s="13"/>
      <c r="M16447" s="13"/>
    </row>
    <row r="16448">
      <c r="F16448" s="13"/>
      <c r="M16448" s="13"/>
    </row>
    <row r="16449">
      <c r="F16449" s="13"/>
      <c r="M16449" s="13"/>
    </row>
    <row r="16450">
      <c r="F16450" s="13"/>
      <c r="M16450" s="13"/>
    </row>
    <row r="16451">
      <c r="F16451" s="13"/>
      <c r="M16451" s="13"/>
    </row>
    <row r="16452">
      <c r="F16452" s="13"/>
      <c r="M16452" s="13"/>
    </row>
    <row r="16453">
      <c r="F16453" s="13"/>
      <c r="M16453" s="13"/>
    </row>
    <row r="16454">
      <c r="F16454" s="13"/>
      <c r="M16454" s="13"/>
    </row>
    <row r="16455">
      <c r="F16455" s="13"/>
      <c r="M16455" s="13"/>
    </row>
    <row r="16456">
      <c r="F16456" s="13"/>
      <c r="M16456" s="13"/>
    </row>
    <row r="16457">
      <c r="F16457" s="13"/>
      <c r="M16457" s="13"/>
    </row>
    <row r="16458">
      <c r="F16458" s="13"/>
      <c r="M16458" s="13"/>
    </row>
    <row r="16459">
      <c r="F16459" s="13"/>
      <c r="M16459" s="13"/>
    </row>
    <row r="16460">
      <c r="F16460" s="13"/>
      <c r="M16460" s="13"/>
    </row>
    <row r="16461">
      <c r="F16461" s="13"/>
      <c r="M16461" s="13"/>
    </row>
    <row r="16462">
      <c r="F16462" s="13"/>
      <c r="M16462" s="13"/>
    </row>
    <row r="16463">
      <c r="F16463" s="13"/>
      <c r="M16463" s="13"/>
    </row>
    <row r="16464">
      <c r="F16464" s="13"/>
      <c r="M16464" s="13"/>
    </row>
    <row r="16465">
      <c r="F16465" s="13"/>
      <c r="M16465" s="13"/>
    </row>
    <row r="16466">
      <c r="F16466" s="13"/>
      <c r="M16466" s="13"/>
    </row>
    <row r="16467">
      <c r="F16467" s="13"/>
      <c r="M16467" s="13"/>
    </row>
    <row r="16468">
      <c r="F16468" s="13"/>
      <c r="M16468" s="13"/>
    </row>
    <row r="16469">
      <c r="F16469" s="13"/>
      <c r="M16469" s="13"/>
    </row>
    <row r="16470">
      <c r="F16470" s="13"/>
      <c r="M16470" s="13"/>
    </row>
    <row r="16471">
      <c r="F16471" s="13"/>
      <c r="M16471" s="13"/>
    </row>
    <row r="16472">
      <c r="F16472" s="13"/>
      <c r="M16472" s="13"/>
    </row>
    <row r="16473">
      <c r="F16473" s="13"/>
      <c r="M16473" s="13"/>
    </row>
    <row r="16474">
      <c r="F16474" s="13"/>
      <c r="M16474" s="13"/>
    </row>
    <row r="16475">
      <c r="F16475" s="13"/>
      <c r="M16475" s="13"/>
    </row>
    <row r="16476">
      <c r="F16476" s="13"/>
      <c r="M16476" s="13"/>
    </row>
    <row r="16477">
      <c r="F16477" s="13"/>
      <c r="M16477" s="13"/>
    </row>
    <row r="16478">
      <c r="F16478" s="13"/>
      <c r="M16478" s="13"/>
    </row>
    <row r="16479">
      <c r="F16479" s="13"/>
      <c r="M16479" s="13"/>
    </row>
    <row r="16480">
      <c r="F16480" s="13"/>
      <c r="M16480" s="13"/>
    </row>
    <row r="16481">
      <c r="F16481" s="13"/>
      <c r="M16481" s="13"/>
    </row>
    <row r="16482">
      <c r="F16482" s="13"/>
      <c r="M16482" s="13"/>
    </row>
    <row r="16483">
      <c r="F16483" s="13"/>
      <c r="M16483" s="13"/>
    </row>
    <row r="16484">
      <c r="F16484" s="13"/>
      <c r="M16484" s="13"/>
    </row>
    <row r="16485">
      <c r="F16485" s="13"/>
      <c r="M16485" s="13"/>
    </row>
    <row r="16486">
      <c r="F16486" s="13"/>
      <c r="M16486" s="13"/>
    </row>
    <row r="16487">
      <c r="F16487" s="13"/>
      <c r="M16487" s="13"/>
    </row>
    <row r="16488">
      <c r="F16488" s="13"/>
      <c r="M16488" s="13"/>
    </row>
    <row r="16489">
      <c r="F16489" s="13"/>
      <c r="M16489" s="13"/>
    </row>
    <row r="16490">
      <c r="F16490" s="13"/>
      <c r="M16490" s="13"/>
    </row>
    <row r="16491">
      <c r="F16491" s="13"/>
      <c r="M16491" s="13"/>
    </row>
    <row r="16492">
      <c r="F16492" s="13"/>
      <c r="M16492" s="13"/>
    </row>
    <row r="16493">
      <c r="F16493" s="13"/>
      <c r="M16493" s="13"/>
    </row>
    <row r="16494">
      <c r="F16494" s="13"/>
      <c r="M16494" s="13"/>
    </row>
    <row r="16495">
      <c r="F16495" s="13"/>
      <c r="M16495" s="13"/>
    </row>
    <row r="16496">
      <c r="F16496" s="13"/>
      <c r="M16496" s="13"/>
    </row>
    <row r="16497">
      <c r="F16497" s="13"/>
      <c r="M16497" s="13"/>
    </row>
    <row r="16498">
      <c r="F16498" s="13"/>
      <c r="M16498" s="13"/>
    </row>
    <row r="16499">
      <c r="F16499" s="13"/>
      <c r="M16499" s="13"/>
    </row>
    <row r="16500">
      <c r="F16500" s="13"/>
      <c r="M16500" s="13"/>
    </row>
    <row r="16501">
      <c r="F16501" s="13"/>
      <c r="M16501" s="13"/>
    </row>
    <row r="16502">
      <c r="F16502" s="13"/>
      <c r="M16502" s="13"/>
    </row>
    <row r="16503">
      <c r="F16503" s="13"/>
      <c r="M16503" s="13"/>
    </row>
    <row r="16504">
      <c r="F16504" s="13"/>
      <c r="M16504" s="13"/>
    </row>
    <row r="16505">
      <c r="F16505" s="13"/>
      <c r="M16505" s="13"/>
    </row>
    <row r="16506">
      <c r="F16506" s="13"/>
      <c r="M16506" s="13"/>
    </row>
    <row r="16507">
      <c r="F16507" s="13"/>
      <c r="M16507" s="13"/>
    </row>
    <row r="16508">
      <c r="F16508" s="13"/>
      <c r="M16508" s="13"/>
    </row>
    <row r="16509">
      <c r="F16509" s="13"/>
      <c r="M16509" s="13"/>
    </row>
    <row r="16510">
      <c r="F16510" s="13"/>
      <c r="M16510" s="13"/>
    </row>
    <row r="16511">
      <c r="F16511" s="13"/>
      <c r="M16511" s="13"/>
    </row>
    <row r="16512">
      <c r="F16512" s="13"/>
      <c r="M16512" s="13"/>
    </row>
    <row r="16513">
      <c r="F16513" s="13"/>
      <c r="M16513" s="13"/>
    </row>
    <row r="16514">
      <c r="F16514" s="13"/>
      <c r="M16514" s="13"/>
    </row>
    <row r="16515">
      <c r="F16515" s="13"/>
      <c r="M16515" s="13"/>
    </row>
    <row r="16516">
      <c r="F16516" s="13"/>
      <c r="M16516" s="13"/>
    </row>
    <row r="16517">
      <c r="F16517" s="13"/>
      <c r="M16517" s="13"/>
    </row>
    <row r="16518">
      <c r="F16518" s="13"/>
      <c r="M16518" s="13"/>
    </row>
    <row r="16519">
      <c r="F16519" s="13"/>
      <c r="M16519" s="13"/>
    </row>
    <row r="16520">
      <c r="F16520" s="13"/>
      <c r="M16520" s="13"/>
    </row>
    <row r="16521">
      <c r="F16521" s="13"/>
      <c r="M16521" s="13"/>
    </row>
    <row r="16522">
      <c r="F16522" s="13"/>
      <c r="M16522" s="13"/>
    </row>
    <row r="16523">
      <c r="F16523" s="13"/>
      <c r="M16523" s="13"/>
    </row>
    <row r="16524">
      <c r="F16524" s="13"/>
      <c r="M16524" s="13"/>
    </row>
    <row r="16525">
      <c r="F16525" s="13"/>
      <c r="M16525" s="13"/>
    </row>
    <row r="16526">
      <c r="F16526" s="13"/>
      <c r="M16526" s="13"/>
    </row>
    <row r="16527">
      <c r="F16527" s="13"/>
      <c r="M16527" s="13"/>
    </row>
    <row r="16528">
      <c r="F16528" s="13"/>
      <c r="M16528" s="13"/>
    </row>
    <row r="16529">
      <c r="F16529" s="13"/>
      <c r="M16529" s="13"/>
    </row>
    <row r="16530">
      <c r="F16530" s="13"/>
      <c r="M16530" s="13"/>
    </row>
    <row r="16531">
      <c r="F16531" s="13"/>
      <c r="M16531" s="13"/>
    </row>
    <row r="16532">
      <c r="F16532" s="13"/>
      <c r="M16532" s="13"/>
    </row>
    <row r="16533">
      <c r="F16533" s="13"/>
      <c r="M16533" s="13"/>
    </row>
    <row r="16534">
      <c r="F16534" s="13"/>
      <c r="M16534" s="13"/>
    </row>
    <row r="16535">
      <c r="F16535" s="13"/>
      <c r="M16535" s="13"/>
    </row>
    <row r="16536">
      <c r="F16536" s="13"/>
      <c r="M16536" s="13"/>
    </row>
    <row r="16537">
      <c r="F16537" s="13"/>
      <c r="M16537" s="13"/>
    </row>
    <row r="16538">
      <c r="F16538" s="13"/>
      <c r="M16538" s="13"/>
    </row>
    <row r="16539">
      <c r="F16539" s="13"/>
      <c r="M16539" s="13"/>
    </row>
    <row r="16540">
      <c r="F16540" s="13"/>
      <c r="M16540" s="13"/>
    </row>
    <row r="16541">
      <c r="F16541" s="13"/>
      <c r="M16541" s="13"/>
    </row>
    <row r="16542">
      <c r="F16542" s="13"/>
      <c r="M16542" s="13"/>
    </row>
    <row r="16543">
      <c r="F16543" s="13"/>
      <c r="M16543" s="13"/>
    </row>
    <row r="16544">
      <c r="F16544" s="13"/>
      <c r="M16544" s="13"/>
    </row>
    <row r="16545">
      <c r="F16545" s="13"/>
      <c r="M16545" s="13"/>
    </row>
    <row r="16546">
      <c r="F16546" s="13"/>
      <c r="M16546" s="13"/>
    </row>
    <row r="16547">
      <c r="F16547" s="13"/>
      <c r="M16547" s="13"/>
    </row>
    <row r="16548">
      <c r="F16548" s="13"/>
      <c r="M16548" s="13"/>
    </row>
    <row r="16549">
      <c r="F16549" s="13"/>
      <c r="M16549" s="13"/>
    </row>
    <row r="16550">
      <c r="F16550" s="13"/>
      <c r="M16550" s="13"/>
    </row>
    <row r="16551">
      <c r="F16551" s="13"/>
      <c r="M16551" s="13"/>
    </row>
    <row r="16552">
      <c r="F16552" s="13"/>
      <c r="M16552" s="13"/>
    </row>
    <row r="16553">
      <c r="F16553" s="13"/>
      <c r="M16553" s="13"/>
    </row>
    <row r="16554">
      <c r="F16554" s="13"/>
      <c r="M16554" s="13"/>
    </row>
    <row r="16555">
      <c r="F16555" s="13"/>
      <c r="M16555" s="13"/>
    </row>
    <row r="16556">
      <c r="F16556" s="13"/>
      <c r="M16556" s="13"/>
    </row>
    <row r="16557">
      <c r="F16557" s="13"/>
      <c r="M16557" s="13"/>
    </row>
    <row r="16558">
      <c r="F16558" s="13"/>
      <c r="M16558" s="13"/>
    </row>
    <row r="16559">
      <c r="F16559" s="13"/>
      <c r="M16559" s="13"/>
    </row>
    <row r="16560">
      <c r="F16560" s="13"/>
      <c r="M16560" s="13"/>
    </row>
    <row r="16561">
      <c r="F16561" s="13"/>
      <c r="M16561" s="13"/>
    </row>
    <row r="16562">
      <c r="F16562" s="13"/>
      <c r="M16562" s="13"/>
    </row>
    <row r="16563">
      <c r="F16563" s="13"/>
      <c r="M16563" s="13"/>
    </row>
    <row r="16564">
      <c r="F16564" s="13"/>
      <c r="M16564" s="13"/>
    </row>
    <row r="16565">
      <c r="F16565" s="13"/>
      <c r="M16565" s="13"/>
    </row>
    <row r="16566">
      <c r="F16566" s="13"/>
      <c r="M16566" s="13"/>
    </row>
    <row r="16567">
      <c r="F16567" s="13"/>
      <c r="M16567" s="13"/>
    </row>
    <row r="16568">
      <c r="F16568" s="13"/>
      <c r="M16568" s="13"/>
    </row>
    <row r="16569">
      <c r="F16569" s="13"/>
      <c r="M16569" s="13"/>
    </row>
    <row r="16570">
      <c r="F16570" s="13"/>
      <c r="M16570" s="13"/>
    </row>
    <row r="16571">
      <c r="F16571" s="13"/>
      <c r="M16571" s="13"/>
    </row>
    <row r="16572">
      <c r="F16572" s="13"/>
      <c r="M16572" s="13"/>
    </row>
    <row r="16573">
      <c r="F16573" s="13"/>
      <c r="M16573" s="13"/>
    </row>
    <row r="16574">
      <c r="F16574" s="13"/>
      <c r="M16574" s="13"/>
    </row>
    <row r="16575">
      <c r="F16575" s="13"/>
      <c r="M16575" s="13"/>
    </row>
    <row r="16576">
      <c r="F16576" s="13"/>
      <c r="M16576" s="13"/>
    </row>
    <row r="16577">
      <c r="F16577" s="13"/>
      <c r="M16577" s="13"/>
    </row>
    <row r="16578">
      <c r="F16578" s="13"/>
      <c r="M16578" s="13"/>
    </row>
    <row r="16579">
      <c r="F16579" s="13"/>
      <c r="M16579" s="13"/>
    </row>
    <row r="16580">
      <c r="F16580" s="13"/>
      <c r="M16580" s="13"/>
    </row>
    <row r="16581">
      <c r="F16581" s="13"/>
      <c r="M16581" s="13"/>
    </row>
    <row r="16582">
      <c r="F16582" s="13"/>
      <c r="M16582" s="13"/>
    </row>
    <row r="16583">
      <c r="F16583" s="13"/>
      <c r="M16583" s="13"/>
    </row>
    <row r="16584">
      <c r="F16584" s="13"/>
      <c r="M16584" s="13"/>
    </row>
    <row r="16585">
      <c r="F16585" s="13"/>
      <c r="M16585" s="13"/>
    </row>
    <row r="16586">
      <c r="F16586" s="13"/>
      <c r="M16586" s="13"/>
    </row>
    <row r="16587">
      <c r="F16587" s="13"/>
      <c r="M16587" s="13"/>
    </row>
    <row r="16588">
      <c r="F16588" s="13"/>
      <c r="M16588" s="13"/>
    </row>
    <row r="16589">
      <c r="F16589" s="13"/>
      <c r="M16589" s="13"/>
    </row>
    <row r="16590">
      <c r="F16590" s="13"/>
      <c r="M16590" s="13"/>
    </row>
    <row r="16591">
      <c r="F16591" s="13"/>
      <c r="M16591" s="13"/>
    </row>
    <row r="16592">
      <c r="F16592" s="13"/>
      <c r="M16592" s="13"/>
    </row>
    <row r="16593">
      <c r="F16593" s="13"/>
      <c r="M16593" s="13"/>
    </row>
    <row r="16594">
      <c r="F16594" s="13"/>
      <c r="M16594" s="13"/>
    </row>
    <row r="16595">
      <c r="F16595" s="13"/>
      <c r="M16595" s="13"/>
    </row>
    <row r="16596">
      <c r="F16596" s="13"/>
      <c r="M16596" s="13"/>
    </row>
    <row r="16597">
      <c r="F16597" s="13"/>
      <c r="M16597" s="13"/>
    </row>
    <row r="16598">
      <c r="F16598" s="13"/>
      <c r="M16598" s="13"/>
    </row>
    <row r="16599">
      <c r="F16599" s="13"/>
      <c r="M16599" s="13"/>
    </row>
    <row r="16600">
      <c r="F16600" s="13"/>
      <c r="M16600" s="13"/>
    </row>
    <row r="16601">
      <c r="F16601" s="13"/>
      <c r="M16601" s="13"/>
    </row>
    <row r="16602">
      <c r="F16602" s="13"/>
      <c r="M16602" s="13"/>
    </row>
    <row r="16603">
      <c r="F16603" s="13"/>
      <c r="M16603" s="13"/>
    </row>
    <row r="16604">
      <c r="F16604" s="13"/>
      <c r="M16604" s="13"/>
    </row>
    <row r="16605">
      <c r="F16605" s="13"/>
      <c r="M16605" s="13"/>
    </row>
    <row r="16606">
      <c r="F16606" s="13"/>
      <c r="M16606" s="13"/>
    </row>
    <row r="16607">
      <c r="F16607" s="13"/>
      <c r="M16607" s="13"/>
    </row>
    <row r="16608">
      <c r="F16608" s="13"/>
      <c r="M16608" s="13"/>
    </row>
    <row r="16609">
      <c r="F16609" s="13"/>
      <c r="M16609" s="13"/>
    </row>
    <row r="16610">
      <c r="F16610" s="13"/>
      <c r="M16610" s="13"/>
    </row>
    <row r="16611">
      <c r="F16611" s="13"/>
      <c r="M16611" s="13"/>
    </row>
    <row r="16612">
      <c r="F16612" s="13"/>
      <c r="M16612" s="13"/>
    </row>
    <row r="16613">
      <c r="F16613" s="13"/>
      <c r="M16613" s="13"/>
    </row>
    <row r="16614">
      <c r="F16614" s="13"/>
      <c r="M16614" s="13"/>
    </row>
    <row r="16615">
      <c r="F16615" s="13"/>
      <c r="M16615" s="13"/>
    </row>
    <row r="16616">
      <c r="F16616" s="13"/>
      <c r="M16616" s="13"/>
    </row>
    <row r="16617">
      <c r="F16617" s="13"/>
      <c r="M16617" s="13"/>
    </row>
    <row r="16618">
      <c r="F16618" s="13"/>
      <c r="M16618" s="13"/>
    </row>
    <row r="16619">
      <c r="F16619" s="13"/>
      <c r="M16619" s="13"/>
    </row>
    <row r="16620">
      <c r="F16620" s="13"/>
      <c r="M16620" s="13"/>
    </row>
    <row r="16621">
      <c r="F16621" s="13"/>
      <c r="M16621" s="13"/>
    </row>
    <row r="16622">
      <c r="F16622" s="13"/>
      <c r="M16622" s="13"/>
    </row>
    <row r="16623">
      <c r="F16623" s="13"/>
      <c r="M16623" s="13"/>
    </row>
    <row r="16624">
      <c r="F16624" s="13"/>
      <c r="M16624" s="13"/>
    </row>
    <row r="16625">
      <c r="F16625" s="13"/>
      <c r="M16625" s="13"/>
    </row>
    <row r="16626">
      <c r="F16626" s="13"/>
      <c r="M16626" s="13"/>
    </row>
    <row r="16627">
      <c r="F16627" s="13"/>
      <c r="M16627" s="13"/>
    </row>
    <row r="16628">
      <c r="F16628" s="13"/>
      <c r="M16628" s="13"/>
    </row>
    <row r="16629">
      <c r="F16629" s="13"/>
      <c r="M16629" s="13"/>
    </row>
    <row r="16630">
      <c r="F16630" s="13"/>
      <c r="M16630" s="13"/>
    </row>
    <row r="16631">
      <c r="F16631" s="13"/>
      <c r="M16631" s="13"/>
    </row>
    <row r="16632">
      <c r="F16632" s="13"/>
      <c r="M16632" s="13"/>
    </row>
    <row r="16633">
      <c r="F16633" s="13"/>
      <c r="M16633" s="13"/>
    </row>
    <row r="16634">
      <c r="F16634" s="13"/>
      <c r="M16634" s="13"/>
    </row>
    <row r="16635">
      <c r="F16635" s="13"/>
      <c r="M16635" s="13"/>
    </row>
    <row r="16636">
      <c r="F16636" s="13"/>
      <c r="M16636" s="13"/>
    </row>
    <row r="16637">
      <c r="F16637" s="13"/>
      <c r="M16637" s="13"/>
    </row>
    <row r="16638">
      <c r="F16638" s="13"/>
      <c r="M16638" s="13"/>
    </row>
    <row r="16639">
      <c r="F16639" s="13"/>
      <c r="M16639" s="13"/>
    </row>
    <row r="16640">
      <c r="F16640" s="13"/>
      <c r="M16640" s="13"/>
    </row>
    <row r="16641">
      <c r="F16641" s="13"/>
      <c r="M16641" s="13"/>
    </row>
    <row r="16642">
      <c r="F16642" s="13"/>
      <c r="M16642" s="13"/>
    </row>
    <row r="16643">
      <c r="F16643" s="13"/>
      <c r="M16643" s="13"/>
    </row>
    <row r="16644">
      <c r="F16644" s="13"/>
      <c r="M16644" s="13"/>
    </row>
    <row r="16645">
      <c r="F16645" s="13"/>
      <c r="M16645" s="13"/>
    </row>
    <row r="16646">
      <c r="F16646" s="13"/>
      <c r="M16646" s="13"/>
    </row>
    <row r="16647">
      <c r="F16647" s="13"/>
      <c r="M16647" s="13"/>
    </row>
    <row r="16648">
      <c r="F16648" s="13"/>
      <c r="M16648" s="13"/>
    </row>
    <row r="16649">
      <c r="F16649" s="13"/>
      <c r="M16649" s="13"/>
    </row>
    <row r="16650">
      <c r="F16650" s="13"/>
      <c r="M16650" s="13"/>
    </row>
    <row r="16651">
      <c r="F16651" s="13"/>
      <c r="M16651" s="13"/>
    </row>
    <row r="16652">
      <c r="F16652" s="13"/>
      <c r="M16652" s="13"/>
    </row>
    <row r="16653">
      <c r="F16653" s="13"/>
      <c r="M16653" s="13"/>
    </row>
    <row r="16654">
      <c r="F16654" s="13"/>
      <c r="M16654" s="13"/>
    </row>
    <row r="16655">
      <c r="F16655" s="13"/>
      <c r="M16655" s="13"/>
    </row>
    <row r="16656">
      <c r="F16656" s="13"/>
      <c r="M16656" s="13"/>
    </row>
    <row r="16657">
      <c r="F16657" s="13"/>
      <c r="M16657" s="13"/>
    </row>
    <row r="16658">
      <c r="F16658" s="13"/>
      <c r="M16658" s="13"/>
    </row>
    <row r="16659">
      <c r="F16659" s="13"/>
      <c r="M16659" s="13"/>
    </row>
    <row r="16660">
      <c r="F16660" s="13"/>
      <c r="M16660" s="13"/>
    </row>
    <row r="16661">
      <c r="F16661" s="13"/>
      <c r="M16661" s="13"/>
    </row>
    <row r="16662">
      <c r="F16662" s="13"/>
      <c r="M16662" s="13"/>
    </row>
    <row r="16663">
      <c r="F16663" s="13"/>
      <c r="M16663" s="13"/>
    </row>
    <row r="16664">
      <c r="F16664" s="13"/>
      <c r="M16664" s="13"/>
    </row>
    <row r="16665">
      <c r="F16665" s="13"/>
      <c r="M16665" s="13"/>
    </row>
    <row r="16666">
      <c r="F16666" s="13"/>
      <c r="M16666" s="13"/>
    </row>
    <row r="16667">
      <c r="F16667" s="13"/>
      <c r="M16667" s="13"/>
    </row>
    <row r="16668">
      <c r="F16668" s="13"/>
      <c r="M16668" s="13"/>
    </row>
    <row r="16669">
      <c r="F16669" s="13"/>
      <c r="M16669" s="13"/>
    </row>
    <row r="16670">
      <c r="F16670" s="13"/>
      <c r="M16670" s="13"/>
    </row>
    <row r="16671">
      <c r="F16671" s="13"/>
      <c r="M16671" s="13"/>
    </row>
    <row r="16672">
      <c r="F16672" s="13"/>
      <c r="M16672" s="13"/>
    </row>
    <row r="16673">
      <c r="F16673" s="13"/>
      <c r="M16673" s="13"/>
    </row>
    <row r="16674">
      <c r="F16674" s="13"/>
      <c r="M16674" s="13"/>
    </row>
    <row r="16675">
      <c r="F16675" s="13"/>
      <c r="M16675" s="13"/>
    </row>
    <row r="16676">
      <c r="F16676" s="13"/>
      <c r="M16676" s="13"/>
    </row>
    <row r="16677">
      <c r="F16677" s="13"/>
      <c r="M16677" s="13"/>
    </row>
    <row r="16678">
      <c r="F16678" s="13"/>
      <c r="M16678" s="13"/>
    </row>
    <row r="16679">
      <c r="F16679" s="13"/>
      <c r="M16679" s="13"/>
    </row>
    <row r="16680">
      <c r="F16680" s="13"/>
      <c r="M16680" s="13"/>
    </row>
    <row r="16681">
      <c r="F16681" s="13"/>
      <c r="M16681" s="13"/>
    </row>
    <row r="16682">
      <c r="F16682" s="13"/>
      <c r="M16682" s="13"/>
    </row>
    <row r="16683">
      <c r="F16683" s="13"/>
      <c r="M16683" s="13"/>
    </row>
    <row r="16684">
      <c r="F16684" s="13"/>
      <c r="M16684" s="13"/>
    </row>
    <row r="16685">
      <c r="F16685" s="13"/>
      <c r="M16685" s="13"/>
    </row>
    <row r="16686">
      <c r="F16686" s="13"/>
      <c r="M16686" s="13"/>
    </row>
    <row r="16687">
      <c r="F16687" s="13"/>
      <c r="M16687" s="13"/>
    </row>
    <row r="16688">
      <c r="F16688" s="13"/>
      <c r="M16688" s="13"/>
    </row>
    <row r="16689">
      <c r="F16689" s="13"/>
      <c r="M16689" s="13"/>
    </row>
    <row r="16690">
      <c r="F16690" s="13"/>
      <c r="M16690" s="13"/>
    </row>
    <row r="16691">
      <c r="F16691" s="13"/>
      <c r="M16691" s="13"/>
    </row>
    <row r="16692">
      <c r="F16692" s="13"/>
      <c r="M16692" s="13"/>
    </row>
    <row r="16693">
      <c r="F16693" s="13"/>
      <c r="M16693" s="13"/>
    </row>
    <row r="16694">
      <c r="F16694" s="13"/>
      <c r="M16694" s="13"/>
    </row>
    <row r="16695">
      <c r="F16695" s="13"/>
      <c r="M16695" s="13"/>
    </row>
    <row r="16696">
      <c r="F16696" s="13"/>
      <c r="M16696" s="13"/>
    </row>
    <row r="16697">
      <c r="F16697" s="13"/>
      <c r="M16697" s="13"/>
    </row>
    <row r="16698">
      <c r="F16698" s="13"/>
      <c r="M16698" s="13"/>
    </row>
    <row r="16699">
      <c r="F16699" s="13"/>
      <c r="M16699" s="13"/>
    </row>
    <row r="16700">
      <c r="F16700" s="13"/>
      <c r="M16700" s="13"/>
    </row>
    <row r="16701">
      <c r="F16701" s="13"/>
      <c r="M16701" s="13"/>
    </row>
    <row r="16702">
      <c r="F16702" s="13"/>
      <c r="M16702" s="13"/>
    </row>
    <row r="16703">
      <c r="F16703" s="13"/>
      <c r="M16703" s="13"/>
    </row>
    <row r="16704">
      <c r="F16704" s="13"/>
      <c r="M16704" s="13"/>
    </row>
    <row r="16705">
      <c r="F16705" s="13"/>
      <c r="M16705" s="13"/>
    </row>
    <row r="16706">
      <c r="F16706" s="13"/>
      <c r="M16706" s="13"/>
    </row>
    <row r="16707">
      <c r="F16707" s="13"/>
      <c r="M16707" s="13"/>
    </row>
    <row r="16708">
      <c r="F16708" s="13"/>
      <c r="M16708" s="13"/>
    </row>
    <row r="16709">
      <c r="F16709" s="13"/>
      <c r="M16709" s="13"/>
    </row>
    <row r="16710">
      <c r="F16710" s="13"/>
      <c r="M16710" s="13"/>
    </row>
    <row r="16711">
      <c r="F16711" s="13"/>
      <c r="M16711" s="13"/>
    </row>
    <row r="16712">
      <c r="F16712" s="13"/>
      <c r="M16712" s="13"/>
    </row>
    <row r="16713">
      <c r="F16713" s="13"/>
      <c r="M16713" s="13"/>
    </row>
    <row r="16714">
      <c r="F16714" s="13"/>
      <c r="M16714" s="13"/>
    </row>
    <row r="16715">
      <c r="F16715" s="13"/>
      <c r="M16715" s="13"/>
    </row>
    <row r="16716">
      <c r="F16716" s="13"/>
      <c r="M16716" s="13"/>
    </row>
    <row r="16717">
      <c r="F16717" s="13"/>
      <c r="M16717" s="13"/>
    </row>
    <row r="16718">
      <c r="F16718" s="13"/>
      <c r="M16718" s="13"/>
    </row>
    <row r="16719">
      <c r="F16719" s="13"/>
      <c r="M16719" s="13"/>
    </row>
    <row r="16720">
      <c r="F16720" s="13"/>
      <c r="M16720" s="13"/>
    </row>
    <row r="16721">
      <c r="F16721" s="13"/>
      <c r="M16721" s="13"/>
    </row>
    <row r="16722">
      <c r="F16722" s="13"/>
      <c r="M16722" s="13"/>
    </row>
    <row r="16723">
      <c r="F16723" s="13"/>
      <c r="M16723" s="13"/>
    </row>
    <row r="16724">
      <c r="F16724" s="13"/>
      <c r="M16724" s="13"/>
    </row>
    <row r="16725">
      <c r="F16725" s="13"/>
      <c r="M16725" s="13"/>
    </row>
    <row r="16726">
      <c r="F16726" s="13"/>
      <c r="M16726" s="13"/>
    </row>
    <row r="16727">
      <c r="F16727" s="13"/>
      <c r="M16727" s="13"/>
    </row>
    <row r="16728">
      <c r="F16728" s="13"/>
      <c r="M16728" s="13"/>
    </row>
    <row r="16729">
      <c r="F16729" s="13"/>
      <c r="M16729" s="13"/>
    </row>
    <row r="16730">
      <c r="F16730" s="13"/>
      <c r="M16730" s="13"/>
    </row>
    <row r="16731">
      <c r="F16731" s="13"/>
      <c r="M16731" s="13"/>
    </row>
    <row r="16732">
      <c r="F16732" s="13"/>
      <c r="M16732" s="13"/>
    </row>
    <row r="16733">
      <c r="F16733" s="13"/>
      <c r="M16733" s="13"/>
    </row>
    <row r="16734">
      <c r="F16734" s="13"/>
      <c r="M16734" s="13"/>
    </row>
    <row r="16735">
      <c r="F16735" s="13"/>
      <c r="M16735" s="13"/>
    </row>
    <row r="16736">
      <c r="F16736" s="13"/>
      <c r="M16736" s="13"/>
    </row>
    <row r="16737">
      <c r="F16737" s="13"/>
      <c r="M16737" s="13"/>
    </row>
    <row r="16738">
      <c r="F16738" s="13"/>
      <c r="M16738" s="13"/>
    </row>
    <row r="16739">
      <c r="F16739" s="13"/>
      <c r="M16739" s="13"/>
    </row>
    <row r="16740">
      <c r="F16740" s="13"/>
      <c r="M16740" s="13"/>
    </row>
    <row r="16741">
      <c r="F16741" s="13"/>
      <c r="M16741" s="13"/>
    </row>
    <row r="16742">
      <c r="F16742" s="13"/>
      <c r="M16742" s="13"/>
    </row>
    <row r="16743">
      <c r="F16743" s="13"/>
      <c r="M16743" s="13"/>
    </row>
    <row r="16744">
      <c r="F16744" s="13"/>
      <c r="M16744" s="13"/>
    </row>
    <row r="16745">
      <c r="F16745" s="13"/>
      <c r="M16745" s="13"/>
    </row>
    <row r="16746">
      <c r="F16746" s="13"/>
      <c r="M16746" s="13"/>
    </row>
    <row r="16747">
      <c r="F16747" s="13"/>
      <c r="M16747" s="13"/>
    </row>
    <row r="16748">
      <c r="F16748" s="13"/>
      <c r="M16748" s="13"/>
    </row>
    <row r="16749">
      <c r="F16749" s="13"/>
      <c r="M16749" s="13"/>
    </row>
    <row r="16750">
      <c r="F16750" s="13"/>
      <c r="M16750" s="13"/>
    </row>
    <row r="16751">
      <c r="F16751" s="13"/>
      <c r="M16751" s="13"/>
    </row>
    <row r="16752">
      <c r="F16752" s="13"/>
      <c r="M16752" s="13"/>
    </row>
    <row r="16753">
      <c r="F16753" s="13"/>
      <c r="M16753" s="13"/>
    </row>
    <row r="16754">
      <c r="F16754" s="13"/>
      <c r="M16754" s="13"/>
    </row>
    <row r="16755">
      <c r="F16755" s="13"/>
      <c r="M16755" s="13"/>
    </row>
    <row r="16756">
      <c r="F16756" s="13"/>
      <c r="M16756" s="13"/>
    </row>
    <row r="16757">
      <c r="F16757" s="13"/>
      <c r="M16757" s="13"/>
    </row>
    <row r="16758">
      <c r="F16758" s="13"/>
      <c r="M16758" s="13"/>
    </row>
    <row r="16759">
      <c r="F16759" s="13"/>
      <c r="M16759" s="13"/>
    </row>
    <row r="16760">
      <c r="F16760" s="13"/>
      <c r="M16760" s="13"/>
    </row>
    <row r="16761">
      <c r="F16761" s="13"/>
      <c r="M16761" s="13"/>
    </row>
    <row r="16762">
      <c r="F16762" s="13"/>
      <c r="M16762" s="13"/>
    </row>
    <row r="16763">
      <c r="F16763" s="13"/>
      <c r="M16763" s="13"/>
    </row>
    <row r="16764">
      <c r="F16764" s="13"/>
      <c r="M16764" s="13"/>
    </row>
    <row r="16765">
      <c r="F16765" s="13"/>
      <c r="M16765" s="13"/>
    </row>
    <row r="16766">
      <c r="F16766" s="13"/>
      <c r="M16766" s="13"/>
    </row>
    <row r="16767">
      <c r="F16767" s="13"/>
      <c r="M16767" s="13"/>
    </row>
    <row r="16768">
      <c r="F16768" s="13"/>
      <c r="M16768" s="13"/>
    </row>
    <row r="16769">
      <c r="F16769" s="13"/>
      <c r="M16769" s="13"/>
    </row>
    <row r="16770">
      <c r="F16770" s="13"/>
      <c r="M16770" s="13"/>
    </row>
    <row r="16771">
      <c r="F16771" s="13"/>
      <c r="M16771" s="13"/>
    </row>
    <row r="16772">
      <c r="F16772" s="13"/>
      <c r="M16772" s="13"/>
    </row>
    <row r="16773">
      <c r="F16773" s="13"/>
      <c r="M16773" s="13"/>
    </row>
    <row r="16774">
      <c r="F16774" s="13"/>
      <c r="M16774" s="13"/>
    </row>
    <row r="16775">
      <c r="F16775" s="13"/>
      <c r="M16775" s="13"/>
    </row>
    <row r="16776">
      <c r="F16776" s="13"/>
      <c r="M16776" s="13"/>
    </row>
    <row r="16777">
      <c r="F16777" s="13"/>
      <c r="M16777" s="13"/>
    </row>
    <row r="16778">
      <c r="F16778" s="13"/>
      <c r="M16778" s="13"/>
    </row>
    <row r="16779">
      <c r="F16779" s="13"/>
      <c r="M16779" s="13"/>
    </row>
    <row r="16780">
      <c r="F16780" s="13"/>
      <c r="M16780" s="13"/>
    </row>
    <row r="16781">
      <c r="F16781" s="13"/>
      <c r="M16781" s="13"/>
    </row>
    <row r="16782">
      <c r="F16782" s="13"/>
      <c r="M16782" s="13"/>
    </row>
    <row r="16783">
      <c r="F16783" s="13"/>
      <c r="M16783" s="13"/>
    </row>
    <row r="16784">
      <c r="F16784" s="13"/>
      <c r="M16784" s="13"/>
    </row>
    <row r="16785">
      <c r="F16785" s="13"/>
      <c r="M16785" s="13"/>
    </row>
    <row r="16786">
      <c r="F16786" s="13"/>
      <c r="M16786" s="13"/>
    </row>
    <row r="16787">
      <c r="F16787" s="13"/>
      <c r="M16787" s="13"/>
    </row>
    <row r="16788">
      <c r="F16788" s="13"/>
      <c r="M16788" s="13"/>
    </row>
    <row r="16789">
      <c r="F16789" s="13"/>
      <c r="M16789" s="13"/>
    </row>
    <row r="16790">
      <c r="F16790" s="13"/>
      <c r="M16790" s="13"/>
    </row>
    <row r="16791">
      <c r="F16791" s="13"/>
      <c r="M16791" s="13"/>
    </row>
    <row r="16792">
      <c r="F16792" s="13"/>
      <c r="M16792" s="13"/>
    </row>
    <row r="16793">
      <c r="F16793" s="13"/>
      <c r="M16793" s="13"/>
    </row>
    <row r="16794">
      <c r="F16794" s="13"/>
      <c r="M16794" s="13"/>
    </row>
    <row r="16795">
      <c r="F16795" s="13"/>
      <c r="M16795" s="13"/>
    </row>
    <row r="16796">
      <c r="F16796" s="13"/>
      <c r="M16796" s="13"/>
    </row>
    <row r="16797">
      <c r="F16797" s="13"/>
      <c r="M16797" s="13"/>
    </row>
    <row r="16798">
      <c r="F16798" s="13"/>
      <c r="M16798" s="13"/>
    </row>
    <row r="16799">
      <c r="F16799" s="13"/>
      <c r="M16799" s="13"/>
    </row>
    <row r="16800">
      <c r="F16800" s="13"/>
      <c r="M16800" s="13"/>
    </row>
    <row r="16801">
      <c r="F16801" s="13"/>
      <c r="M16801" s="13"/>
    </row>
    <row r="16802">
      <c r="F16802" s="13"/>
      <c r="M16802" s="13"/>
    </row>
    <row r="16803">
      <c r="F16803" s="13"/>
      <c r="M16803" s="13"/>
    </row>
    <row r="16804">
      <c r="F16804" s="13"/>
      <c r="M16804" s="13"/>
    </row>
    <row r="16805">
      <c r="F16805" s="13"/>
      <c r="M16805" s="13"/>
    </row>
    <row r="16806">
      <c r="F16806" s="13"/>
      <c r="M16806" s="13"/>
    </row>
    <row r="16807">
      <c r="F16807" s="13"/>
      <c r="M16807" s="13"/>
    </row>
    <row r="16808">
      <c r="F16808" s="13"/>
      <c r="M16808" s="13"/>
    </row>
    <row r="16809">
      <c r="F16809" s="13"/>
      <c r="M16809" s="13"/>
    </row>
    <row r="16810">
      <c r="F16810" s="13"/>
      <c r="M16810" s="13"/>
    </row>
    <row r="16811">
      <c r="F16811" s="13"/>
      <c r="M16811" s="13"/>
    </row>
    <row r="16812">
      <c r="F16812" s="13"/>
      <c r="M16812" s="13"/>
    </row>
    <row r="16813">
      <c r="F16813" s="13"/>
      <c r="M16813" s="13"/>
    </row>
    <row r="16814">
      <c r="F16814" s="13"/>
      <c r="M16814" s="13"/>
    </row>
    <row r="16815">
      <c r="F16815" s="13"/>
      <c r="M16815" s="13"/>
    </row>
    <row r="16816">
      <c r="F16816" s="13"/>
      <c r="M16816" s="13"/>
    </row>
    <row r="16817">
      <c r="F16817" s="13"/>
      <c r="M16817" s="13"/>
    </row>
    <row r="16818">
      <c r="F16818" s="13"/>
      <c r="M16818" s="13"/>
    </row>
    <row r="16819">
      <c r="F16819" s="13"/>
      <c r="M16819" s="13"/>
    </row>
    <row r="16820">
      <c r="F16820" s="13"/>
      <c r="M16820" s="13"/>
    </row>
    <row r="16821">
      <c r="F16821" s="13"/>
      <c r="M16821" s="13"/>
    </row>
    <row r="16822">
      <c r="F16822" s="13"/>
      <c r="M16822" s="13"/>
    </row>
    <row r="16823">
      <c r="F16823" s="13"/>
      <c r="M16823" s="13"/>
    </row>
    <row r="16824">
      <c r="F16824" s="13"/>
      <c r="M16824" s="13"/>
    </row>
    <row r="16825">
      <c r="F16825" s="13"/>
      <c r="M16825" s="13"/>
    </row>
    <row r="16826">
      <c r="F16826" s="13"/>
      <c r="M16826" s="13"/>
    </row>
    <row r="16827">
      <c r="F16827" s="13"/>
      <c r="M16827" s="13"/>
    </row>
    <row r="16828">
      <c r="F16828" s="13"/>
      <c r="M16828" s="13"/>
    </row>
    <row r="16829">
      <c r="F16829" s="13"/>
      <c r="M16829" s="13"/>
    </row>
    <row r="16830">
      <c r="F16830" s="13"/>
      <c r="M16830" s="13"/>
    </row>
    <row r="16831">
      <c r="F16831" s="13"/>
      <c r="M16831" s="13"/>
    </row>
    <row r="16832">
      <c r="F16832" s="13"/>
      <c r="M16832" s="13"/>
    </row>
    <row r="16833">
      <c r="F16833" s="13"/>
      <c r="M16833" s="13"/>
    </row>
    <row r="16834">
      <c r="F16834" s="13"/>
      <c r="M16834" s="13"/>
    </row>
    <row r="16835">
      <c r="F16835" s="13"/>
      <c r="M16835" s="13"/>
    </row>
    <row r="16836">
      <c r="F16836" s="13"/>
      <c r="M16836" s="13"/>
    </row>
    <row r="16837">
      <c r="F16837" s="13"/>
      <c r="M16837" s="13"/>
    </row>
    <row r="16838">
      <c r="F16838" s="13"/>
      <c r="M16838" s="13"/>
    </row>
    <row r="16839">
      <c r="F16839" s="13"/>
      <c r="M16839" s="13"/>
    </row>
    <row r="16840">
      <c r="F16840" s="13"/>
      <c r="M16840" s="13"/>
    </row>
    <row r="16841">
      <c r="F16841" s="13"/>
      <c r="M16841" s="13"/>
    </row>
    <row r="16842">
      <c r="F16842" s="13"/>
      <c r="M16842" s="13"/>
    </row>
    <row r="16843">
      <c r="F16843" s="13"/>
      <c r="M16843" s="13"/>
    </row>
    <row r="16844">
      <c r="F16844" s="13"/>
      <c r="M16844" s="13"/>
    </row>
    <row r="16845">
      <c r="F16845" s="13"/>
      <c r="M16845" s="13"/>
    </row>
    <row r="16846">
      <c r="F16846" s="13"/>
      <c r="M16846" s="13"/>
    </row>
    <row r="16847">
      <c r="F16847" s="13"/>
      <c r="M16847" s="13"/>
    </row>
    <row r="16848">
      <c r="F16848" s="13"/>
      <c r="M16848" s="13"/>
    </row>
    <row r="16849">
      <c r="F16849" s="13"/>
      <c r="M16849" s="13"/>
    </row>
    <row r="16850">
      <c r="F16850" s="13"/>
      <c r="M16850" s="13"/>
    </row>
    <row r="16851">
      <c r="F16851" s="13"/>
      <c r="M16851" s="13"/>
    </row>
    <row r="16852">
      <c r="F16852" s="13"/>
      <c r="M16852" s="13"/>
    </row>
    <row r="16853">
      <c r="F16853" s="13"/>
      <c r="M16853" s="13"/>
    </row>
    <row r="16854">
      <c r="F16854" s="13"/>
      <c r="M16854" s="13"/>
    </row>
    <row r="16855">
      <c r="F16855" s="13"/>
      <c r="M16855" s="13"/>
    </row>
    <row r="16856">
      <c r="F16856" s="13"/>
      <c r="M16856" s="13"/>
    </row>
    <row r="16857">
      <c r="F16857" s="13"/>
      <c r="M16857" s="13"/>
    </row>
    <row r="16858">
      <c r="F16858" s="13"/>
      <c r="M16858" s="13"/>
    </row>
    <row r="16859">
      <c r="F16859" s="13"/>
      <c r="M16859" s="13"/>
    </row>
    <row r="16860">
      <c r="F16860" s="13"/>
      <c r="M16860" s="13"/>
    </row>
    <row r="16861">
      <c r="F16861" s="13"/>
      <c r="M16861" s="13"/>
    </row>
    <row r="16862">
      <c r="F16862" s="13"/>
      <c r="M16862" s="13"/>
    </row>
    <row r="16863">
      <c r="F16863" s="13"/>
      <c r="M16863" s="13"/>
    </row>
    <row r="16864">
      <c r="F16864" s="13"/>
      <c r="M16864" s="13"/>
    </row>
    <row r="16865">
      <c r="F16865" s="13"/>
      <c r="M16865" s="13"/>
    </row>
    <row r="16866">
      <c r="F16866" s="13"/>
      <c r="M16866" s="13"/>
    </row>
    <row r="16867">
      <c r="F16867" s="13"/>
      <c r="M16867" s="13"/>
    </row>
    <row r="16868">
      <c r="F16868" s="13"/>
      <c r="M16868" s="13"/>
    </row>
    <row r="16869">
      <c r="F16869" s="13"/>
      <c r="M16869" s="13"/>
    </row>
    <row r="16870">
      <c r="F16870" s="13"/>
      <c r="M16870" s="13"/>
    </row>
    <row r="16871">
      <c r="F16871" s="13"/>
      <c r="M16871" s="13"/>
    </row>
    <row r="16872">
      <c r="F16872" s="13"/>
      <c r="M16872" s="13"/>
    </row>
    <row r="16873">
      <c r="F16873" s="13"/>
      <c r="M16873" s="13"/>
    </row>
    <row r="16874">
      <c r="F16874" s="13"/>
      <c r="M16874" s="13"/>
    </row>
    <row r="16875">
      <c r="F16875" s="13"/>
      <c r="M16875" s="13"/>
    </row>
    <row r="16876">
      <c r="F16876" s="13"/>
      <c r="M16876" s="13"/>
    </row>
    <row r="16877">
      <c r="F16877" s="13"/>
      <c r="M16877" s="13"/>
    </row>
    <row r="16878">
      <c r="F16878" s="13"/>
      <c r="M16878" s="13"/>
    </row>
    <row r="16879">
      <c r="F16879" s="13"/>
      <c r="M16879" s="13"/>
    </row>
    <row r="16880">
      <c r="F16880" s="13"/>
      <c r="M16880" s="13"/>
    </row>
    <row r="16881">
      <c r="F16881" s="13"/>
      <c r="M16881" s="13"/>
    </row>
    <row r="16882">
      <c r="F16882" s="13"/>
      <c r="M16882" s="13"/>
    </row>
    <row r="16883">
      <c r="F16883" s="13"/>
      <c r="M16883" s="13"/>
    </row>
    <row r="16884">
      <c r="F16884" s="13"/>
      <c r="M16884" s="13"/>
    </row>
    <row r="16885">
      <c r="F16885" s="13"/>
      <c r="M16885" s="13"/>
    </row>
    <row r="16886">
      <c r="F16886" s="13"/>
      <c r="M16886" s="13"/>
    </row>
    <row r="16887">
      <c r="F16887" s="13"/>
      <c r="M16887" s="13"/>
    </row>
    <row r="16888">
      <c r="F16888" s="13"/>
      <c r="M16888" s="13"/>
    </row>
    <row r="16889">
      <c r="F16889" s="13"/>
      <c r="M16889" s="13"/>
    </row>
    <row r="16890">
      <c r="F16890" s="13"/>
      <c r="M16890" s="13"/>
    </row>
    <row r="16891">
      <c r="F16891" s="13"/>
      <c r="M16891" s="13"/>
    </row>
    <row r="16892">
      <c r="F16892" s="13"/>
      <c r="M16892" s="13"/>
    </row>
    <row r="16893">
      <c r="F16893" s="13"/>
      <c r="M16893" s="13"/>
    </row>
    <row r="16894">
      <c r="F16894" s="13"/>
      <c r="M16894" s="13"/>
    </row>
    <row r="16895">
      <c r="F16895" s="13"/>
      <c r="M16895" s="13"/>
    </row>
    <row r="16896">
      <c r="F16896" s="13"/>
      <c r="M16896" s="13"/>
    </row>
    <row r="16897">
      <c r="F16897" s="13"/>
      <c r="M16897" s="13"/>
    </row>
    <row r="16898">
      <c r="F16898" s="13"/>
      <c r="M16898" s="13"/>
    </row>
    <row r="16899">
      <c r="F16899" s="13"/>
      <c r="M16899" s="13"/>
    </row>
    <row r="16900">
      <c r="F16900" s="13"/>
      <c r="M16900" s="13"/>
    </row>
    <row r="16901">
      <c r="F16901" s="13"/>
      <c r="M16901" s="13"/>
    </row>
    <row r="16902">
      <c r="F16902" s="13"/>
      <c r="M16902" s="13"/>
    </row>
    <row r="16903">
      <c r="F16903" s="13"/>
      <c r="M16903" s="13"/>
    </row>
    <row r="16904">
      <c r="F16904" s="13"/>
      <c r="M16904" s="13"/>
    </row>
    <row r="16905">
      <c r="F16905" s="13"/>
      <c r="M16905" s="13"/>
    </row>
    <row r="16906">
      <c r="F16906" s="13"/>
      <c r="M16906" s="13"/>
    </row>
    <row r="16907">
      <c r="F16907" s="13"/>
      <c r="M16907" s="13"/>
    </row>
    <row r="16908">
      <c r="F16908" s="13"/>
      <c r="M16908" s="13"/>
    </row>
    <row r="16909">
      <c r="F16909" s="13"/>
      <c r="M16909" s="13"/>
    </row>
    <row r="16910">
      <c r="F16910" s="13"/>
      <c r="M16910" s="13"/>
    </row>
    <row r="16911">
      <c r="F16911" s="13"/>
      <c r="M16911" s="13"/>
    </row>
    <row r="16912">
      <c r="F16912" s="13"/>
      <c r="M16912" s="13"/>
    </row>
    <row r="16913">
      <c r="F16913" s="13"/>
      <c r="M16913" s="13"/>
    </row>
    <row r="16914">
      <c r="F16914" s="13"/>
      <c r="M16914" s="13"/>
    </row>
    <row r="16915">
      <c r="F16915" s="13"/>
      <c r="M16915" s="13"/>
    </row>
    <row r="16916">
      <c r="F16916" s="13"/>
      <c r="M16916" s="13"/>
    </row>
    <row r="16917">
      <c r="F16917" s="13"/>
      <c r="M16917" s="13"/>
    </row>
    <row r="16918">
      <c r="F16918" s="13"/>
      <c r="M16918" s="13"/>
    </row>
    <row r="16919">
      <c r="F16919" s="13"/>
      <c r="M16919" s="13"/>
    </row>
    <row r="16920">
      <c r="F16920" s="13"/>
      <c r="M16920" s="13"/>
    </row>
    <row r="16921">
      <c r="F16921" s="13"/>
      <c r="M16921" s="13"/>
    </row>
    <row r="16922">
      <c r="F16922" s="13"/>
      <c r="M16922" s="13"/>
    </row>
    <row r="16923">
      <c r="F16923" s="13"/>
      <c r="M16923" s="13"/>
    </row>
    <row r="16924">
      <c r="F16924" s="13"/>
      <c r="M16924" s="13"/>
    </row>
    <row r="16925">
      <c r="F16925" s="13"/>
      <c r="M16925" s="13"/>
    </row>
    <row r="16926">
      <c r="F16926" s="13"/>
      <c r="M16926" s="13"/>
    </row>
    <row r="16927">
      <c r="F16927" s="13"/>
      <c r="M16927" s="13"/>
    </row>
    <row r="16928">
      <c r="F16928" s="13"/>
      <c r="M16928" s="13"/>
    </row>
    <row r="16929">
      <c r="F16929" s="13"/>
      <c r="M16929" s="13"/>
    </row>
    <row r="16930">
      <c r="F16930" s="13"/>
      <c r="M16930" s="13"/>
    </row>
    <row r="16931">
      <c r="F16931" s="13"/>
      <c r="M16931" s="13"/>
    </row>
    <row r="16932">
      <c r="F16932" s="13"/>
      <c r="M16932" s="13"/>
    </row>
    <row r="16933">
      <c r="F16933" s="13"/>
      <c r="M16933" s="13"/>
    </row>
    <row r="16934">
      <c r="F16934" s="13"/>
      <c r="M16934" s="13"/>
    </row>
    <row r="16935">
      <c r="F16935" s="13"/>
      <c r="M16935" s="13"/>
    </row>
    <row r="16936">
      <c r="F16936" s="13"/>
      <c r="M16936" s="13"/>
    </row>
    <row r="16937">
      <c r="F16937" s="13"/>
      <c r="M16937" s="13"/>
    </row>
    <row r="16938">
      <c r="F16938" s="13"/>
      <c r="M16938" s="13"/>
    </row>
    <row r="16939">
      <c r="F16939" s="13"/>
      <c r="M16939" s="13"/>
    </row>
    <row r="16940">
      <c r="F16940" s="13"/>
      <c r="M16940" s="13"/>
    </row>
    <row r="16941">
      <c r="F16941" s="13"/>
      <c r="M16941" s="13"/>
    </row>
    <row r="16942">
      <c r="F16942" s="13"/>
      <c r="M16942" s="13"/>
    </row>
    <row r="16943">
      <c r="F16943" s="13"/>
      <c r="M16943" s="13"/>
    </row>
    <row r="16944">
      <c r="F16944" s="13"/>
      <c r="M16944" s="13"/>
    </row>
    <row r="16945">
      <c r="F16945" s="13"/>
      <c r="M16945" s="13"/>
    </row>
    <row r="16946">
      <c r="F16946" s="13"/>
      <c r="M16946" s="13"/>
    </row>
    <row r="16947">
      <c r="F16947" s="13"/>
      <c r="M16947" s="13"/>
    </row>
    <row r="16948">
      <c r="F16948" s="13"/>
      <c r="M16948" s="13"/>
    </row>
    <row r="16949">
      <c r="F16949" s="13"/>
      <c r="M16949" s="13"/>
    </row>
    <row r="16950">
      <c r="F16950" s="13"/>
      <c r="M16950" s="13"/>
    </row>
    <row r="16951">
      <c r="F16951" s="13"/>
      <c r="M16951" s="13"/>
    </row>
    <row r="16952">
      <c r="F16952" s="13"/>
      <c r="M16952" s="13"/>
    </row>
    <row r="16953">
      <c r="F16953" s="13"/>
      <c r="M16953" s="13"/>
    </row>
    <row r="16954">
      <c r="F16954" s="13"/>
      <c r="M16954" s="13"/>
    </row>
    <row r="16955">
      <c r="F16955" s="13"/>
      <c r="M16955" s="13"/>
    </row>
    <row r="16956">
      <c r="F16956" s="13"/>
      <c r="M16956" s="13"/>
    </row>
    <row r="16957">
      <c r="F16957" s="13"/>
      <c r="M16957" s="13"/>
    </row>
    <row r="16958">
      <c r="F16958" s="13"/>
      <c r="M16958" s="13"/>
    </row>
    <row r="16959">
      <c r="F16959" s="13"/>
      <c r="M16959" s="13"/>
    </row>
    <row r="16960">
      <c r="F16960" s="13"/>
      <c r="M16960" s="13"/>
    </row>
    <row r="16961">
      <c r="F16961" s="13"/>
      <c r="M16961" s="13"/>
    </row>
    <row r="16962">
      <c r="F16962" s="13"/>
      <c r="M16962" s="13"/>
    </row>
    <row r="16963">
      <c r="F16963" s="13"/>
      <c r="M16963" s="13"/>
    </row>
    <row r="16964">
      <c r="F16964" s="13"/>
      <c r="M16964" s="13"/>
    </row>
    <row r="16965">
      <c r="F16965" s="13"/>
      <c r="M16965" s="13"/>
    </row>
    <row r="16966">
      <c r="F16966" s="13"/>
      <c r="M16966" s="13"/>
    </row>
    <row r="16967">
      <c r="F16967" s="13"/>
      <c r="M16967" s="13"/>
    </row>
    <row r="16968">
      <c r="F16968" s="13"/>
      <c r="M16968" s="13"/>
    </row>
    <row r="16969">
      <c r="F16969" s="13"/>
      <c r="M16969" s="13"/>
    </row>
    <row r="16970">
      <c r="F16970" s="13"/>
      <c r="M16970" s="13"/>
    </row>
    <row r="16971">
      <c r="F16971" s="13"/>
      <c r="M16971" s="13"/>
    </row>
    <row r="16972">
      <c r="F16972" s="13"/>
      <c r="M16972" s="13"/>
    </row>
    <row r="16973">
      <c r="F16973" s="13"/>
      <c r="M16973" s="13"/>
    </row>
    <row r="16974">
      <c r="F16974" s="13"/>
      <c r="M16974" s="13"/>
    </row>
    <row r="16975">
      <c r="F16975" s="13"/>
      <c r="M16975" s="13"/>
    </row>
    <row r="16976">
      <c r="F16976" s="13"/>
      <c r="M16976" s="13"/>
    </row>
    <row r="16977">
      <c r="F16977" s="13"/>
      <c r="M16977" s="13"/>
    </row>
    <row r="16978">
      <c r="F16978" s="13"/>
      <c r="M16978" s="13"/>
    </row>
    <row r="16979">
      <c r="F16979" s="13"/>
      <c r="M16979" s="13"/>
    </row>
    <row r="16980">
      <c r="F16980" s="13"/>
      <c r="M16980" s="13"/>
    </row>
    <row r="16981">
      <c r="F16981" s="13"/>
      <c r="M16981" s="13"/>
    </row>
    <row r="16982">
      <c r="F16982" s="13"/>
      <c r="M16982" s="13"/>
    </row>
    <row r="16983">
      <c r="F16983" s="13"/>
      <c r="M16983" s="13"/>
    </row>
    <row r="16984">
      <c r="F16984" s="13"/>
      <c r="M16984" s="13"/>
    </row>
    <row r="16985">
      <c r="F16985" s="13"/>
      <c r="M16985" s="13"/>
    </row>
    <row r="16986">
      <c r="F16986" s="13"/>
      <c r="M16986" s="13"/>
    </row>
    <row r="16987">
      <c r="F16987" s="13"/>
      <c r="M16987" s="13"/>
    </row>
    <row r="16988">
      <c r="F16988" s="13"/>
      <c r="M16988" s="13"/>
    </row>
    <row r="16989">
      <c r="F16989" s="13"/>
      <c r="M16989" s="13"/>
    </row>
    <row r="16990">
      <c r="F16990" s="13"/>
      <c r="M16990" s="13"/>
    </row>
    <row r="16991">
      <c r="F16991" s="13"/>
      <c r="M16991" s="13"/>
    </row>
    <row r="16992">
      <c r="F16992" s="13"/>
      <c r="M16992" s="13"/>
    </row>
    <row r="16993">
      <c r="F16993" s="13"/>
      <c r="M16993" s="13"/>
    </row>
    <row r="16994">
      <c r="F16994" s="13"/>
      <c r="M16994" s="13"/>
    </row>
    <row r="16995">
      <c r="F16995" s="13"/>
      <c r="M16995" s="13"/>
    </row>
    <row r="16996">
      <c r="F16996" s="13"/>
      <c r="M16996" s="13"/>
    </row>
    <row r="16997">
      <c r="F16997" s="13"/>
      <c r="M16997" s="13"/>
    </row>
    <row r="16998">
      <c r="F16998" s="13"/>
      <c r="M16998" s="13"/>
    </row>
    <row r="16999">
      <c r="F16999" s="13"/>
      <c r="M16999" s="13"/>
    </row>
    <row r="17000">
      <c r="F17000" s="13"/>
      <c r="M17000" s="13"/>
    </row>
    <row r="17001">
      <c r="F17001" s="13"/>
      <c r="M17001" s="13"/>
    </row>
    <row r="17002">
      <c r="F17002" s="13"/>
      <c r="M17002" s="13"/>
    </row>
    <row r="17003">
      <c r="F17003" s="13"/>
      <c r="M17003" s="13"/>
    </row>
    <row r="17004">
      <c r="F17004" s="13"/>
      <c r="M17004" s="13"/>
    </row>
    <row r="17005">
      <c r="F17005" s="13"/>
      <c r="M17005" s="13"/>
    </row>
    <row r="17006">
      <c r="F17006" s="13"/>
      <c r="M17006" s="13"/>
    </row>
    <row r="17007">
      <c r="F17007" s="13"/>
      <c r="M17007" s="13"/>
    </row>
    <row r="17008">
      <c r="F17008" s="13"/>
      <c r="M17008" s="13"/>
    </row>
    <row r="17009">
      <c r="F17009" s="13"/>
      <c r="M17009" s="13"/>
    </row>
    <row r="17010">
      <c r="F17010" s="13"/>
      <c r="M17010" s="13"/>
    </row>
    <row r="17011">
      <c r="F17011" s="13"/>
      <c r="M17011" s="13"/>
    </row>
    <row r="17012">
      <c r="F17012" s="13"/>
      <c r="M17012" s="13"/>
    </row>
    <row r="17013">
      <c r="F17013" s="13"/>
      <c r="M17013" s="13"/>
    </row>
    <row r="17014">
      <c r="F17014" s="13"/>
      <c r="M17014" s="13"/>
    </row>
    <row r="17015">
      <c r="F17015" s="13"/>
      <c r="M17015" s="13"/>
    </row>
    <row r="17016">
      <c r="F17016" s="13"/>
      <c r="M17016" s="13"/>
    </row>
    <row r="17017">
      <c r="F17017" s="13"/>
      <c r="M17017" s="13"/>
    </row>
    <row r="17018">
      <c r="F17018" s="13"/>
      <c r="M17018" s="13"/>
    </row>
    <row r="17019">
      <c r="F17019" s="13"/>
      <c r="M17019" s="13"/>
    </row>
    <row r="17020">
      <c r="F17020" s="13"/>
      <c r="M17020" s="13"/>
    </row>
    <row r="17021">
      <c r="F17021" s="13"/>
      <c r="M17021" s="13"/>
    </row>
    <row r="17022">
      <c r="F17022" s="13"/>
      <c r="M17022" s="13"/>
    </row>
    <row r="17023">
      <c r="F17023" s="13"/>
      <c r="M17023" s="13"/>
    </row>
    <row r="17024">
      <c r="F17024" s="13"/>
      <c r="M17024" s="13"/>
    </row>
    <row r="17025">
      <c r="F17025" s="13"/>
      <c r="M17025" s="13"/>
    </row>
    <row r="17026">
      <c r="F17026" s="13"/>
      <c r="M17026" s="13"/>
    </row>
    <row r="17027">
      <c r="F17027" s="13"/>
      <c r="M17027" s="13"/>
    </row>
    <row r="17028">
      <c r="F17028" s="13"/>
      <c r="M17028" s="13"/>
    </row>
    <row r="17029">
      <c r="F17029" s="13"/>
      <c r="M17029" s="13"/>
    </row>
    <row r="17030">
      <c r="F17030" s="13"/>
      <c r="M17030" s="13"/>
    </row>
    <row r="17031">
      <c r="F17031" s="13"/>
      <c r="M17031" s="13"/>
    </row>
    <row r="17032">
      <c r="F17032" s="13"/>
      <c r="M17032" s="13"/>
    </row>
    <row r="17033">
      <c r="F17033" s="13"/>
      <c r="M17033" s="13"/>
    </row>
    <row r="17034">
      <c r="F17034" s="13"/>
      <c r="M17034" s="13"/>
    </row>
    <row r="17035">
      <c r="F17035" s="13"/>
      <c r="M17035" s="13"/>
    </row>
    <row r="17036">
      <c r="F17036" s="13"/>
      <c r="M17036" s="13"/>
    </row>
    <row r="17037">
      <c r="F17037" s="13"/>
      <c r="M17037" s="13"/>
    </row>
    <row r="17038">
      <c r="F17038" s="13"/>
      <c r="M17038" s="13"/>
    </row>
    <row r="17039">
      <c r="F17039" s="13"/>
      <c r="M17039" s="13"/>
    </row>
    <row r="17040">
      <c r="F17040" s="13"/>
      <c r="M17040" s="13"/>
    </row>
    <row r="17041">
      <c r="F17041" s="13"/>
      <c r="M17041" s="13"/>
    </row>
    <row r="17042">
      <c r="F17042" s="13"/>
      <c r="M17042" s="13"/>
    </row>
    <row r="17043">
      <c r="F17043" s="13"/>
      <c r="M17043" s="13"/>
    </row>
    <row r="17044">
      <c r="F17044" s="13"/>
      <c r="M17044" s="13"/>
    </row>
    <row r="17045">
      <c r="F17045" s="13"/>
      <c r="M17045" s="13"/>
    </row>
    <row r="17046">
      <c r="F17046" s="13"/>
      <c r="M17046" s="13"/>
    </row>
    <row r="17047">
      <c r="F17047" s="13"/>
      <c r="M17047" s="13"/>
    </row>
    <row r="17048">
      <c r="F17048" s="13"/>
      <c r="M17048" s="13"/>
    </row>
    <row r="17049">
      <c r="F17049" s="13"/>
      <c r="M17049" s="13"/>
    </row>
    <row r="17050">
      <c r="F17050" s="13"/>
      <c r="M17050" s="13"/>
    </row>
    <row r="17051">
      <c r="F17051" s="13"/>
      <c r="M17051" s="13"/>
    </row>
    <row r="17052">
      <c r="F17052" s="13"/>
      <c r="M17052" s="13"/>
    </row>
    <row r="17053">
      <c r="F17053" s="13"/>
      <c r="M17053" s="13"/>
    </row>
    <row r="17054">
      <c r="F17054" s="13"/>
      <c r="M17054" s="13"/>
    </row>
    <row r="17055">
      <c r="F17055" s="13"/>
      <c r="M17055" s="13"/>
    </row>
    <row r="17056">
      <c r="F17056" s="13"/>
      <c r="M17056" s="13"/>
    </row>
    <row r="17057">
      <c r="F17057" s="13"/>
      <c r="M17057" s="13"/>
    </row>
    <row r="17058">
      <c r="F17058" s="13"/>
      <c r="M17058" s="13"/>
    </row>
    <row r="17059">
      <c r="F17059" s="13"/>
      <c r="M17059" s="13"/>
    </row>
    <row r="17060">
      <c r="F17060" s="13"/>
      <c r="M17060" s="13"/>
    </row>
    <row r="17061">
      <c r="F17061" s="13"/>
      <c r="M17061" s="13"/>
    </row>
    <row r="17062">
      <c r="F17062" s="13"/>
      <c r="M17062" s="13"/>
    </row>
    <row r="17063">
      <c r="F17063" s="13"/>
      <c r="M17063" s="13"/>
    </row>
    <row r="17064">
      <c r="F17064" s="13"/>
      <c r="M17064" s="13"/>
    </row>
    <row r="17065">
      <c r="F17065" s="13"/>
      <c r="M17065" s="13"/>
    </row>
    <row r="17066">
      <c r="F17066" s="13"/>
      <c r="M17066" s="13"/>
    </row>
    <row r="17067">
      <c r="F17067" s="13"/>
      <c r="M17067" s="13"/>
    </row>
    <row r="17068">
      <c r="F17068" s="13"/>
      <c r="M17068" s="13"/>
    </row>
    <row r="17069">
      <c r="F17069" s="13"/>
      <c r="M17069" s="13"/>
    </row>
    <row r="17070">
      <c r="F17070" s="13"/>
      <c r="M17070" s="13"/>
    </row>
    <row r="17071">
      <c r="F17071" s="13"/>
      <c r="M17071" s="13"/>
    </row>
    <row r="17072">
      <c r="F17072" s="13"/>
      <c r="M17072" s="13"/>
    </row>
    <row r="17073">
      <c r="F17073" s="13"/>
      <c r="M17073" s="13"/>
    </row>
    <row r="17074">
      <c r="F17074" s="13"/>
      <c r="M17074" s="13"/>
    </row>
    <row r="17075">
      <c r="F17075" s="13"/>
      <c r="M17075" s="13"/>
    </row>
    <row r="17076">
      <c r="F17076" s="13"/>
      <c r="M17076" s="13"/>
    </row>
    <row r="17077">
      <c r="F17077" s="13"/>
      <c r="M17077" s="13"/>
    </row>
    <row r="17078">
      <c r="F17078" s="13"/>
      <c r="M17078" s="13"/>
    </row>
    <row r="17079">
      <c r="F17079" s="13"/>
      <c r="M17079" s="13"/>
    </row>
    <row r="17080">
      <c r="F17080" s="13"/>
      <c r="M17080" s="13"/>
    </row>
    <row r="17081">
      <c r="F17081" s="13"/>
      <c r="M17081" s="13"/>
    </row>
    <row r="17082">
      <c r="F17082" s="13"/>
      <c r="M17082" s="13"/>
    </row>
    <row r="17083">
      <c r="F17083" s="13"/>
      <c r="M17083" s="13"/>
    </row>
    <row r="17084">
      <c r="F17084" s="13"/>
      <c r="M17084" s="13"/>
    </row>
    <row r="17085">
      <c r="F17085" s="13"/>
      <c r="M17085" s="13"/>
    </row>
    <row r="17086">
      <c r="F17086" s="13"/>
      <c r="M17086" s="13"/>
    </row>
    <row r="17087">
      <c r="F17087" s="13"/>
      <c r="M17087" s="13"/>
    </row>
    <row r="17088">
      <c r="F17088" s="13"/>
      <c r="M17088" s="13"/>
    </row>
    <row r="17089">
      <c r="F17089" s="13"/>
      <c r="M17089" s="13"/>
    </row>
    <row r="17090">
      <c r="F17090" s="13"/>
      <c r="M17090" s="13"/>
    </row>
    <row r="17091">
      <c r="F17091" s="13"/>
      <c r="M17091" s="13"/>
    </row>
    <row r="17092">
      <c r="F17092" s="13"/>
      <c r="M17092" s="13"/>
    </row>
    <row r="17093">
      <c r="F17093" s="13"/>
      <c r="M17093" s="13"/>
    </row>
    <row r="17094">
      <c r="F17094" s="13"/>
      <c r="M17094" s="13"/>
    </row>
    <row r="17095">
      <c r="F17095" s="13"/>
      <c r="M17095" s="13"/>
    </row>
    <row r="17096">
      <c r="F17096" s="13"/>
      <c r="M17096" s="13"/>
    </row>
    <row r="17097">
      <c r="F17097" s="13"/>
      <c r="M17097" s="13"/>
    </row>
    <row r="17098">
      <c r="F17098" s="13"/>
      <c r="M17098" s="13"/>
    </row>
    <row r="17099">
      <c r="F17099" s="13"/>
      <c r="M17099" s="13"/>
    </row>
    <row r="17100">
      <c r="F17100" s="13"/>
      <c r="M17100" s="13"/>
    </row>
    <row r="17101">
      <c r="F17101" s="13"/>
      <c r="M17101" s="13"/>
    </row>
    <row r="17102">
      <c r="F17102" s="13"/>
      <c r="M17102" s="13"/>
    </row>
    <row r="17103">
      <c r="F17103" s="13"/>
      <c r="M17103" s="13"/>
    </row>
    <row r="17104">
      <c r="F17104" s="13"/>
      <c r="M17104" s="13"/>
    </row>
    <row r="17105">
      <c r="F17105" s="13"/>
      <c r="M17105" s="13"/>
    </row>
    <row r="17106">
      <c r="F17106" s="13"/>
      <c r="M17106" s="13"/>
    </row>
    <row r="17107">
      <c r="F17107" s="13"/>
      <c r="M17107" s="13"/>
    </row>
    <row r="17108">
      <c r="F17108" s="13"/>
      <c r="M17108" s="13"/>
    </row>
    <row r="17109">
      <c r="F17109" s="13"/>
      <c r="M17109" s="13"/>
    </row>
    <row r="17110">
      <c r="F17110" s="13"/>
      <c r="M17110" s="13"/>
    </row>
    <row r="17111">
      <c r="F17111" s="13"/>
      <c r="M17111" s="13"/>
    </row>
    <row r="17112">
      <c r="F17112" s="13"/>
      <c r="M17112" s="13"/>
    </row>
    <row r="17113">
      <c r="F17113" s="13"/>
      <c r="M17113" s="13"/>
    </row>
    <row r="17114">
      <c r="F17114" s="13"/>
      <c r="M17114" s="13"/>
    </row>
    <row r="17115">
      <c r="F17115" s="13"/>
      <c r="M17115" s="13"/>
    </row>
    <row r="17116">
      <c r="F17116" s="13"/>
      <c r="M17116" s="13"/>
    </row>
    <row r="17117">
      <c r="F17117" s="13"/>
      <c r="M17117" s="13"/>
    </row>
    <row r="17118">
      <c r="F17118" s="13"/>
      <c r="M17118" s="13"/>
    </row>
    <row r="17119">
      <c r="F17119" s="13"/>
      <c r="M17119" s="13"/>
    </row>
    <row r="17120">
      <c r="F17120" s="13"/>
      <c r="M17120" s="13"/>
    </row>
    <row r="17121">
      <c r="F17121" s="13"/>
      <c r="M17121" s="13"/>
    </row>
    <row r="17122">
      <c r="F17122" s="13"/>
      <c r="M17122" s="13"/>
    </row>
    <row r="17123">
      <c r="F17123" s="13"/>
      <c r="M17123" s="13"/>
    </row>
    <row r="17124">
      <c r="F17124" s="13"/>
      <c r="M17124" s="13"/>
    </row>
    <row r="17125">
      <c r="F17125" s="13"/>
      <c r="M17125" s="13"/>
    </row>
    <row r="17126">
      <c r="F17126" s="13"/>
      <c r="M17126" s="13"/>
    </row>
    <row r="17127">
      <c r="F17127" s="13"/>
      <c r="M17127" s="13"/>
    </row>
    <row r="17128">
      <c r="F17128" s="13"/>
      <c r="M17128" s="13"/>
    </row>
    <row r="17129">
      <c r="F17129" s="13"/>
      <c r="M17129" s="13"/>
    </row>
    <row r="17130">
      <c r="F17130" s="13"/>
      <c r="M17130" s="13"/>
    </row>
    <row r="17131">
      <c r="F17131" s="13"/>
      <c r="M17131" s="13"/>
    </row>
    <row r="17132">
      <c r="F17132" s="13"/>
      <c r="M17132" s="13"/>
    </row>
    <row r="17133">
      <c r="F17133" s="13"/>
      <c r="M17133" s="13"/>
    </row>
    <row r="17134">
      <c r="F17134" s="13"/>
      <c r="M17134" s="13"/>
    </row>
    <row r="17135">
      <c r="F17135" s="13"/>
      <c r="M17135" s="13"/>
    </row>
    <row r="17136">
      <c r="F17136" s="13"/>
      <c r="M17136" s="13"/>
    </row>
    <row r="17137">
      <c r="F17137" s="13"/>
      <c r="M17137" s="13"/>
    </row>
    <row r="17138">
      <c r="F17138" s="13"/>
      <c r="M17138" s="13"/>
    </row>
    <row r="17139">
      <c r="F17139" s="13"/>
      <c r="M17139" s="13"/>
    </row>
    <row r="17140">
      <c r="F17140" s="13"/>
      <c r="M17140" s="13"/>
    </row>
    <row r="17141">
      <c r="F17141" s="13"/>
      <c r="M17141" s="13"/>
    </row>
    <row r="17142">
      <c r="F17142" s="13"/>
      <c r="M17142" s="13"/>
    </row>
    <row r="17143">
      <c r="F17143" s="13"/>
      <c r="M17143" s="13"/>
    </row>
    <row r="17144">
      <c r="F17144" s="13"/>
      <c r="M17144" s="13"/>
    </row>
    <row r="17145">
      <c r="F17145" s="13"/>
      <c r="M17145" s="13"/>
    </row>
    <row r="17146">
      <c r="F17146" s="13"/>
      <c r="M17146" s="13"/>
    </row>
    <row r="17147">
      <c r="F17147" s="13"/>
      <c r="M17147" s="13"/>
    </row>
    <row r="17148">
      <c r="F17148" s="13"/>
      <c r="M17148" s="13"/>
    </row>
    <row r="17149">
      <c r="F17149" s="13"/>
      <c r="M17149" s="13"/>
    </row>
    <row r="17150">
      <c r="F17150" s="13"/>
      <c r="M17150" s="13"/>
    </row>
    <row r="17151">
      <c r="F17151" s="13"/>
      <c r="M17151" s="13"/>
    </row>
    <row r="17152">
      <c r="F17152" s="13"/>
      <c r="M17152" s="13"/>
    </row>
    <row r="17153">
      <c r="F17153" s="13"/>
      <c r="M17153" s="13"/>
    </row>
    <row r="17154">
      <c r="F17154" s="13"/>
      <c r="M17154" s="13"/>
    </row>
    <row r="17155">
      <c r="F17155" s="13"/>
      <c r="M17155" s="13"/>
    </row>
    <row r="17156">
      <c r="F17156" s="13"/>
      <c r="M17156" s="13"/>
    </row>
    <row r="17157">
      <c r="F17157" s="13"/>
      <c r="M17157" s="13"/>
    </row>
    <row r="17158">
      <c r="F17158" s="13"/>
      <c r="M17158" s="13"/>
    </row>
    <row r="17159">
      <c r="F17159" s="13"/>
      <c r="M17159" s="13"/>
    </row>
    <row r="17160">
      <c r="F17160" s="13"/>
      <c r="M17160" s="13"/>
    </row>
    <row r="17161">
      <c r="F17161" s="13"/>
      <c r="M17161" s="13"/>
    </row>
    <row r="17162">
      <c r="F17162" s="13"/>
      <c r="M17162" s="13"/>
    </row>
    <row r="17163">
      <c r="F17163" s="13"/>
      <c r="M17163" s="13"/>
    </row>
    <row r="17164">
      <c r="F17164" s="13"/>
      <c r="M17164" s="13"/>
    </row>
    <row r="17165">
      <c r="F17165" s="13"/>
      <c r="M17165" s="13"/>
    </row>
    <row r="17166">
      <c r="F17166" s="13"/>
      <c r="M17166" s="13"/>
    </row>
    <row r="17167">
      <c r="F17167" s="13"/>
      <c r="M17167" s="13"/>
    </row>
    <row r="17168">
      <c r="F17168" s="13"/>
      <c r="M17168" s="13"/>
    </row>
    <row r="17169">
      <c r="F17169" s="13"/>
      <c r="M17169" s="13"/>
    </row>
    <row r="17170">
      <c r="F17170" s="13"/>
      <c r="M17170" s="13"/>
    </row>
    <row r="17171">
      <c r="F17171" s="13"/>
      <c r="M17171" s="13"/>
    </row>
    <row r="17172">
      <c r="F17172" s="13"/>
      <c r="M17172" s="13"/>
    </row>
    <row r="17173">
      <c r="F17173" s="13"/>
      <c r="M17173" s="13"/>
    </row>
    <row r="17174">
      <c r="F17174" s="13"/>
      <c r="M17174" s="13"/>
    </row>
    <row r="17175">
      <c r="F17175" s="13"/>
      <c r="M17175" s="13"/>
    </row>
    <row r="17176">
      <c r="F17176" s="13"/>
      <c r="M17176" s="13"/>
    </row>
    <row r="17177">
      <c r="F17177" s="13"/>
      <c r="M17177" s="13"/>
    </row>
    <row r="17178">
      <c r="F17178" s="13"/>
      <c r="M17178" s="13"/>
    </row>
    <row r="17179">
      <c r="F17179" s="13"/>
      <c r="M17179" s="13"/>
    </row>
    <row r="17180">
      <c r="F17180" s="13"/>
      <c r="M17180" s="13"/>
    </row>
    <row r="17181">
      <c r="F17181" s="13"/>
      <c r="M17181" s="13"/>
    </row>
    <row r="17182">
      <c r="F17182" s="13"/>
      <c r="M17182" s="13"/>
    </row>
    <row r="17183">
      <c r="F17183" s="13"/>
      <c r="M17183" s="13"/>
    </row>
    <row r="17184">
      <c r="F17184" s="13"/>
      <c r="M17184" s="13"/>
    </row>
    <row r="17185">
      <c r="F17185" s="13"/>
      <c r="M17185" s="13"/>
    </row>
    <row r="17186">
      <c r="F17186" s="13"/>
      <c r="M17186" s="13"/>
    </row>
    <row r="17187">
      <c r="F17187" s="13"/>
      <c r="M17187" s="13"/>
    </row>
    <row r="17188">
      <c r="F17188" s="13"/>
      <c r="M17188" s="13"/>
    </row>
    <row r="17189">
      <c r="F17189" s="13"/>
      <c r="M17189" s="13"/>
    </row>
    <row r="17190">
      <c r="F17190" s="13"/>
      <c r="M17190" s="13"/>
    </row>
    <row r="17191">
      <c r="F17191" s="13"/>
      <c r="M17191" s="13"/>
    </row>
    <row r="17192">
      <c r="F17192" s="13"/>
      <c r="M17192" s="13"/>
    </row>
    <row r="17193">
      <c r="F17193" s="13"/>
      <c r="M17193" s="13"/>
    </row>
    <row r="17194">
      <c r="F17194" s="13"/>
      <c r="M17194" s="13"/>
    </row>
    <row r="17195">
      <c r="F17195" s="13"/>
      <c r="M17195" s="13"/>
    </row>
    <row r="17196">
      <c r="F17196" s="13"/>
      <c r="M17196" s="13"/>
    </row>
    <row r="17197">
      <c r="F17197" s="13"/>
      <c r="M17197" s="13"/>
    </row>
    <row r="17198">
      <c r="F17198" s="13"/>
      <c r="M17198" s="13"/>
    </row>
    <row r="17199">
      <c r="F17199" s="13"/>
      <c r="M17199" s="13"/>
    </row>
    <row r="17200">
      <c r="F17200" s="13"/>
      <c r="M17200" s="13"/>
    </row>
    <row r="17201">
      <c r="F17201" s="13"/>
      <c r="M17201" s="13"/>
    </row>
    <row r="17202">
      <c r="F17202" s="13"/>
      <c r="M17202" s="13"/>
    </row>
    <row r="17203">
      <c r="F17203" s="13"/>
      <c r="M17203" s="13"/>
    </row>
    <row r="17204">
      <c r="F17204" s="13"/>
      <c r="M17204" s="13"/>
    </row>
    <row r="17205">
      <c r="F17205" s="13"/>
      <c r="M17205" s="13"/>
    </row>
    <row r="17206">
      <c r="F17206" s="13"/>
      <c r="M17206" s="13"/>
    </row>
    <row r="17207">
      <c r="F17207" s="13"/>
      <c r="M17207" s="13"/>
    </row>
    <row r="17208">
      <c r="F17208" s="13"/>
      <c r="M17208" s="13"/>
    </row>
    <row r="17209">
      <c r="F17209" s="13"/>
      <c r="M17209" s="13"/>
    </row>
    <row r="17210">
      <c r="F17210" s="13"/>
      <c r="M17210" s="13"/>
    </row>
    <row r="17211">
      <c r="F17211" s="13"/>
      <c r="M17211" s="13"/>
    </row>
    <row r="17212">
      <c r="F17212" s="13"/>
      <c r="M17212" s="13"/>
    </row>
    <row r="17213">
      <c r="F17213" s="13"/>
      <c r="M17213" s="13"/>
    </row>
    <row r="17214">
      <c r="F17214" s="13"/>
      <c r="M17214" s="13"/>
    </row>
    <row r="17215">
      <c r="F17215" s="13"/>
      <c r="M17215" s="13"/>
    </row>
    <row r="17216">
      <c r="F17216" s="13"/>
      <c r="M17216" s="13"/>
    </row>
    <row r="17217">
      <c r="F17217" s="13"/>
      <c r="M17217" s="13"/>
    </row>
    <row r="17218">
      <c r="F17218" s="13"/>
      <c r="M17218" s="13"/>
    </row>
    <row r="17219">
      <c r="F17219" s="13"/>
      <c r="M17219" s="13"/>
    </row>
    <row r="17220">
      <c r="F17220" s="13"/>
      <c r="M17220" s="13"/>
    </row>
    <row r="17221">
      <c r="F17221" s="13"/>
      <c r="M17221" s="13"/>
    </row>
    <row r="17222">
      <c r="F17222" s="13"/>
      <c r="M17222" s="13"/>
    </row>
    <row r="17223">
      <c r="F17223" s="13"/>
      <c r="M17223" s="13"/>
    </row>
    <row r="17224">
      <c r="F17224" s="13"/>
      <c r="M17224" s="13"/>
    </row>
    <row r="17225">
      <c r="F17225" s="13"/>
      <c r="M17225" s="13"/>
    </row>
    <row r="17226">
      <c r="F17226" s="13"/>
      <c r="M17226" s="13"/>
    </row>
    <row r="17227">
      <c r="F17227" s="13"/>
      <c r="M17227" s="13"/>
    </row>
    <row r="17228">
      <c r="F17228" s="13"/>
      <c r="M17228" s="13"/>
    </row>
    <row r="17229">
      <c r="F17229" s="13"/>
      <c r="M17229" s="13"/>
    </row>
    <row r="17230">
      <c r="F17230" s="13"/>
      <c r="M17230" s="13"/>
    </row>
    <row r="17231">
      <c r="F17231" s="13"/>
      <c r="M17231" s="13"/>
    </row>
    <row r="17232">
      <c r="F17232" s="13"/>
      <c r="M17232" s="13"/>
    </row>
    <row r="17233">
      <c r="F17233" s="13"/>
      <c r="M17233" s="13"/>
    </row>
    <row r="17234">
      <c r="F17234" s="13"/>
      <c r="M17234" s="13"/>
    </row>
    <row r="17235">
      <c r="F17235" s="13"/>
      <c r="M17235" s="13"/>
    </row>
    <row r="17236">
      <c r="F17236" s="13"/>
      <c r="M17236" s="13"/>
    </row>
    <row r="17237">
      <c r="F17237" s="13"/>
      <c r="M17237" s="13"/>
    </row>
    <row r="17238">
      <c r="F17238" s="13"/>
      <c r="M17238" s="13"/>
    </row>
    <row r="17239">
      <c r="F17239" s="13"/>
      <c r="M17239" s="13"/>
    </row>
    <row r="17240">
      <c r="F17240" s="13"/>
      <c r="M17240" s="13"/>
    </row>
    <row r="17241">
      <c r="F17241" s="13"/>
      <c r="M17241" s="13"/>
    </row>
    <row r="17242">
      <c r="F17242" s="13"/>
      <c r="M17242" s="13"/>
    </row>
    <row r="17243">
      <c r="F17243" s="13"/>
      <c r="M17243" s="13"/>
    </row>
    <row r="17244">
      <c r="F17244" s="13"/>
      <c r="M17244" s="13"/>
    </row>
    <row r="17245">
      <c r="F17245" s="13"/>
      <c r="M17245" s="13"/>
    </row>
    <row r="17246">
      <c r="F17246" s="13"/>
      <c r="M17246" s="13"/>
    </row>
    <row r="17247">
      <c r="F17247" s="13"/>
      <c r="M17247" s="13"/>
    </row>
    <row r="17248">
      <c r="F17248" s="13"/>
      <c r="M17248" s="13"/>
    </row>
    <row r="17249">
      <c r="F17249" s="13"/>
      <c r="M17249" s="13"/>
    </row>
    <row r="17250">
      <c r="F17250" s="13"/>
      <c r="M17250" s="13"/>
    </row>
    <row r="17251">
      <c r="F17251" s="13"/>
      <c r="M17251" s="13"/>
    </row>
    <row r="17252">
      <c r="F17252" s="13"/>
      <c r="M17252" s="13"/>
    </row>
    <row r="17253">
      <c r="F17253" s="13"/>
      <c r="M17253" s="13"/>
    </row>
    <row r="17254">
      <c r="F17254" s="13"/>
      <c r="M17254" s="13"/>
    </row>
    <row r="17255">
      <c r="F17255" s="13"/>
      <c r="M17255" s="13"/>
    </row>
    <row r="17256">
      <c r="F17256" s="13"/>
      <c r="M17256" s="13"/>
    </row>
    <row r="17257">
      <c r="F17257" s="13"/>
      <c r="M17257" s="13"/>
    </row>
    <row r="17258">
      <c r="F17258" s="13"/>
      <c r="M17258" s="13"/>
    </row>
    <row r="17259">
      <c r="F17259" s="13"/>
      <c r="M17259" s="13"/>
    </row>
    <row r="17260">
      <c r="F17260" s="13"/>
      <c r="M17260" s="13"/>
    </row>
    <row r="17261">
      <c r="F17261" s="13"/>
      <c r="M17261" s="13"/>
    </row>
    <row r="17262">
      <c r="F17262" s="13"/>
      <c r="M17262" s="13"/>
    </row>
    <row r="17263">
      <c r="F17263" s="13"/>
      <c r="M17263" s="13"/>
    </row>
    <row r="17264">
      <c r="F17264" s="13"/>
      <c r="M17264" s="13"/>
    </row>
    <row r="17265">
      <c r="F17265" s="13"/>
      <c r="M17265" s="13"/>
    </row>
    <row r="17266">
      <c r="F17266" s="13"/>
      <c r="M17266" s="13"/>
    </row>
    <row r="17267">
      <c r="F17267" s="13"/>
      <c r="M17267" s="13"/>
    </row>
    <row r="17268">
      <c r="F17268" s="13"/>
      <c r="M17268" s="13"/>
    </row>
    <row r="17269">
      <c r="F17269" s="13"/>
      <c r="M17269" s="13"/>
    </row>
    <row r="17270">
      <c r="F17270" s="13"/>
      <c r="M17270" s="13"/>
    </row>
    <row r="17271">
      <c r="F17271" s="13"/>
      <c r="M17271" s="13"/>
    </row>
    <row r="17272">
      <c r="F17272" s="13"/>
      <c r="M17272" s="13"/>
    </row>
    <row r="17273">
      <c r="F17273" s="13"/>
      <c r="M17273" s="13"/>
    </row>
    <row r="17274">
      <c r="F17274" s="13"/>
      <c r="M17274" s="13"/>
    </row>
    <row r="17275">
      <c r="F17275" s="13"/>
      <c r="M17275" s="13"/>
    </row>
    <row r="17276">
      <c r="F17276" s="13"/>
      <c r="M17276" s="13"/>
    </row>
    <row r="17277">
      <c r="F17277" s="13"/>
      <c r="M17277" s="13"/>
    </row>
    <row r="17278">
      <c r="F17278" s="13"/>
      <c r="M17278" s="13"/>
    </row>
    <row r="17279">
      <c r="F17279" s="13"/>
      <c r="M17279" s="13"/>
    </row>
    <row r="17280">
      <c r="F17280" s="13"/>
      <c r="M17280" s="13"/>
    </row>
    <row r="17281">
      <c r="F17281" s="13"/>
      <c r="M17281" s="13"/>
    </row>
    <row r="17282">
      <c r="F17282" s="13"/>
      <c r="M17282" s="13"/>
    </row>
    <row r="17283">
      <c r="F17283" s="13"/>
      <c r="M17283" s="13"/>
    </row>
    <row r="17284">
      <c r="F17284" s="13"/>
      <c r="M17284" s="13"/>
    </row>
    <row r="17285">
      <c r="F17285" s="13"/>
      <c r="M17285" s="13"/>
    </row>
    <row r="17286">
      <c r="F17286" s="13"/>
      <c r="M17286" s="13"/>
    </row>
    <row r="17287">
      <c r="F17287" s="13"/>
      <c r="M17287" s="13"/>
    </row>
    <row r="17288">
      <c r="F17288" s="13"/>
      <c r="M17288" s="13"/>
    </row>
    <row r="17289">
      <c r="F17289" s="13"/>
      <c r="M17289" s="13"/>
    </row>
    <row r="17290">
      <c r="F17290" s="13"/>
      <c r="M17290" s="13"/>
    </row>
    <row r="17291">
      <c r="F17291" s="13"/>
      <c r="M17291" s="13"/>
    </row>
    <row r="17292">
      <c r="F17292" s="13"/>
      <c r="M17292" s="13"/>
    </row>
    <row r="17293">
      <c r="F17293" s="13"/>
      <c r="M17293" s="13"/>
    </row>
    <row r="17294">
      <c r="F17294" s="13"/>
      <c r="M17294" s="13"/>
    </row>
    <row r="17295">
      <c r="F17295" s="13"/>
      <c r="M17295" s="13"/>
    </row>
    <row r="17296">
      <c r="F17296" s="13"/>
      <c r="M17296" s="13"/>
    </row>
    <row r="17297">
      <c r="F17297" s="13"/>
      <c r="M17297" s="13"/>
    </row>
    <row r="17298">
      <c r="F17298" s="13"/>
      <c r="M17298" s="13"/>
    </row>
    <row r="17299">
      <c r="F17299" s="13"/>
      <c r="M17299" s="13"/>
    </row>
    <row r="17300">
      <c r="F17300" s="13"/>
      <c r="M17300" s="13"/>
    </row>
    <row r="17301">
      <c r="F17301" s="13"/>
      <c r="M17301" s="13"/>
    </row>
    <row r="17302">
      <c r="F17302" s="13"/>
      <c r="M17302" s="13"/>
    </row>
    <row r="17303">
      <c r="F17303" s="13"/>
      <c r="M17303" s="13"/>
    </row>
    <row r="17304">
      <c r="F17304" s="13"/>
      <c r="M17304" s="13"/>
    </row>
    <row r="17305">
      <c r="F17305" s="13"/>
      <c r="M17305" s="13"/>
    </row>
    <row r="17306">
      <c r="F17306" s="13"/>
      <c r="M17306" s="13"/>
    </row>
    <row r="17307">
      <c r="F17307" s="13"/>
      <c r="M17307" s="13"/>
    </row>
    <row r="17308">
      <c r="F17308" s="13"/>
      <c r="M17308" s="13"/>
    </row>
    <row r="17309">
      <c r="F17309" s="13"/>
      <c r="M17309" s="13"/>
    </row>
    <row r="17310">
      <c r="F17310" s="13"/>
      <c r="M17310" s="13"/>
    </row>
    <row r="17311">
      <c r="F17311" s="13"/>
      <c r="M17311" s="13"/>
    </row>
    <row r="17312">
      <c r="F17312" s="13"/>
      <c r="M17312" s="13"/>
    </row>
    <row r="17313">
      <c r="F17313" s="13"/>
      <c r="M17313" s="13"/>
    </row>
    <row r="17314">
      <c r="F17314" s="13"/>
      <c r="M17314" s="13"/>
    </row>
    <row r="17315">
      <c r="F17315" s="13"/>
      <c r="M17315" s="13"/>
    </row>
    <row r="17316">
      <c r="F17316" s="13"/>
      <c r="M17316" s="13"/>
    </row>
    <row r="17317">
      <c r="F17317" s="13"/>
      <c r="M17317" s="13"/>
    </row>
    <row r="17318">
      <c r="F17318" s="13"/>
      <c r="M17318" s="13"/>
    </row>
    <row r="17319">
      <c r="F17319" s="13"/>
      <c r="M17319" s="13"/>
    </row>
    <row r="17320">
      <c r="F17320" s="13"/>
      <c r="M17320" s="13"/>
    </row>
    <row r="17321">
      <c r="F17321" s="13"/>
      <c r="M17321" s="13"/>
    </row>
    <row r="17322">
      <c r="F17322" s="13"/>
      <c r="M17322" s="13"/>
    </row>
    <row r="17323">
      <c r="F17323" s="13"/>
      <c r="M17323" s="13"/>
    </row>
    <row r="17324">
      <c r="F17324" s="13"/>
      <c r="M17324" s="13"/>
    </row>
    <row r="17325">
      <c r="F17325" s="13"/>
      <c r="M17325" s="13"/>
    </row>
    <row r="17326">
      <c r="F17326" s="13"/>
      <c r="M17326" s="13"/>
    </row>
    <row r="17327">
      <c r="F17327" s="13"/>
      <c r="M17327" s="13"/>
    </row>
    <row r="17328">
      <c r="F17328" s="13"/>
      <c r="M17328" s="13"/>
    </row>
    <row r="17329">
      <c r="F17329" s="13"/>
      <c r="M17329" s="13"/>
    </row>
    <row r="17330">
      <c r="F17330" s="13"/>
      <c r="M17330" s="13"/>
    </row>
    <row r="17331">
      <c r="F17331" s="13"/>
      <c r="M17331" s="13"/>
    </row>
    <row r="17332">
      <c r="F17332" s="13"/>
      <c r="M17332" s="13"/>
    </row>
    <row r="17333">
      <c r="F17333" s="13"/>
      <c r="M17333" s="13"/>
    </row>
    <row r="17334">
      <c r="F17334" s="13"/>
      <c r="M17334" s="13"/>
    </row>
    <row r="17335">
      <c r="F17335" s="13"/>
      <c r="M17335" s="13"/>
    </row>
    <row r="17336">
      <c r="F17336" s="13"/>
      <c r="M17336" s="13"/>
    </row>
    <row r="17337">
      <c r="F17337" s="13"/>
      <c r="M17337" s="13"/>
    </row>
    <row r="17338">
      <c r="F17338" s="13"/>
      <c r="M17338" s="13"/>
    </row>
    <row r="17339">
      <c r="F17339" s="13"/>
      <c r="M17339" s="13"/>
    </row>
    <row r="17340">
      <c r="F17340" s="13"/>
      <c r="M17340" s="13"/>
    </row>
    <row r="17341">
      <c r="F17341" s="13"/>
      <c r="M17341" s="13"/>
    </row>
    <row r="17342">
      <c r="F17342" s="13"/>
      <c r="M17342" s="13"/>
    </row>
    <row r="17343">
      <c r="F17343" s="13"/>
      <c r="M17343" s="13"/>
    </row>
    <row r="17344">
      <c r="F17344" s="13"/>
      <c r="M17344" s="13"/>
    </row>
    <row r="17345">
      <c r="F17345" s="13"/>
      <c r="M17345" s="13"/>
    </row>
    <row r="17346">
      <c r="F17346" s="13"/>
      <c r="M17346" s="13"/>
    </row>
    <row r="17347">
      <c r="F17347" s="13"/>
      <c r="M17347" s="13"/>
    </row>
    <row r="17348">
      <c r="F17348" s="13"/>
      <c r="M17348" s="13"/>
    </row>
    <row r="17349">
      <c r="F17349" s="13"/>
      <c r="M17349" s="13"/>
    </row>
    <row r="17350">
      <c r="F17350" s="13"/>
      <c r="M17350" s="13"/>
    </row>
    <row r="17351">
      <c r="F17351" s="13"/>
      <c r="M17351" s="13"/>
    </row>
    <row r="17352">
      <c r="F17352" s="13"/>
      <c r="M17352" s="13"/>
    </row>
    <row r="17353">
      <c r="F17353" s="13"/>
      <c r="M17353" s="13"/>
    </row>
    <row r="17354">
      <c r="F17354" s="13"/>
      <c r="M17354" s="13"/>
    </row>
    <row r="17355">
      <c r="F17355" s="13"/>
      <c r="M17355" s="13"/>
    </row>
    <row r="17356">
      <c r="F17356" s="13"/>
      <c r="M17356" s="13"/>
    </row>
    <row r="17357">
      <c r="F17357" s="13"/>
      <c r="M17357" s="13"/>
    </row>
    <row r="17358">
      <c r="F17358" s="13"/>
      <c r="M17358" s="13"/>
    </row>
    <row r="17359">
      <c r="F17359" s="13"/>
      <c r="M17359" s="13"/>
    </row>
    <row r="17360">
      <c r="F17360" s="13"/>
      <c r="M17360" s="13"/>
    </row>
    <row r="17361">
      <c r="F17361" s="13"/>
      <c r="M17361" s="13"/>
    </row>
    <row r="17362">
      <c r="F17362" s="13"/>
      <c r="M17362" s="13"/>
    </row>
    <row r="17363">
      <c r="F17363" s="13"/>
      <c r="M17363" s="13"/>
    </row>
    <row r="17364">
      <c r="F17364" s="13"/>
      <c r="M17364" s="13"/>
    </row>
    <row r="17365">
      <c r="F17365" s="13"/>
      <c r="M17365" s="13"/>
    </row>
    <row r="17366">
      <c r="F17366" s="13"/>
      <c r="M17366" s="13"/>
    </row>
    <row r="17367">
      <c r="F17367" s="13"/>
      <c r="M17367" s="13"/>
    </row>
    <row r="17368">
      <c r="F17368" s="13"/>
      <c r="M17368" s="13"/>
    </row>
    <row r="17369">
      <c r="F17369" s="13"/>
      <c r="M17369" s="13"/>
    </row>
    <row r="17370">
      <c r="F17370" s="13"/>
      <c r="M17370" s="13"/>
    </row>
    <row r="17371">
      <c r="F17371" s="13"/>
      <c r="M17371" s="13"/>
    </row>
    <row r="17372">
      <c r="F17372" s="13"/>
      <c r="M17372" s="13"/>
    </row>
    <row r="17373">
      <c r="F17373" s="13"/>
      <c r="M17373" s="13"/>
    </row>
    <row r="17374">
      <c r="F17374" s="13"/>
      <c r="M17374" s="13"/>
    </row>
    <row r="17375">
      <c r="F17375" s="13"/>
      <c r="M17375" s="13"/>
    </row>
    <row r="17376">
      <c r="F17376" s="13"/>
      <c r="M17376" s="13"/>
    </row>
    <row r="17377">
      <c r="F17377" s="13"/>
      <c r="M17377" s="13"/>
    </row>
    <row r="17378">
      <c r="F17378" s="13"/>
      <c r="M17378" s="13"/>
    </row>
    <row r="17379">
      <c r="F17379" s="13"/>
      <c r="M17379" s="13"/>
    </row>
    <row r="17380">
      <c r="F17380" s="13"/>
      <c r="M17380" s="13"/>
    </row>
    <row r="17381">
      <c r="F17381" s="13"/>
      <c r="M17381" s="13"/>
    </row>
    <row r="17382">
      <c r="F17382" s="13"/>
      <c r="M17382" s="13"/>
    </row>
    <row r="17383">
      <c r="F17383" s="13"/>
      <c r="M17383" s="13"/>
    </row>
    <row r="17384">
      <c r="F17384" s="13"/>
      <c r="M17384" s="13"/>
    </row>
    <row r="17385">
      <c r="F17385" s="13"/>
      <c r="M17385" s="13"/>
    </row>
    <row r="17386">
      <c r="F17386" s="13"/>
      <c r="M17386" s="13"/>
    </row>
    <row r="17387">
      <c r="F17387" s="13"/>
      <c r="M17387" s="13"/>
    </row>
    <row r="17388">
      <c r="F17388" s="13"/>
      <c r="M17388" s="13"/>
    </row>
    <row r="17389">
      <c r="F17389" s="13"/>
      <c r="M17389" s="13"/>
    </row>
    <row r="17390">
      <c r="F17390" s="13"/>
      <c r="M17390" s="13"/>
    </row>
    <row r="17391">
      <c r="F17391" s="13"/>
      <c r="M17391" s="13"/>
    </row>
    <row r="17392">
      <c r="F17392" s="13"/>
      <c r="M17392" s="13"/>
    </row>
    <row r="17393">
      <c r="F17393" s="13"/>
      <c r="M17393" s="13"/>
    </row>
    <row r="17394">
      <c r="F17394" s="13"/>
      <c r="M17394" s="13"/>
    </row>
    <row r="17395">
      <c r="F17395" s="13"/>
      <c r="M17395" s="13"/>
    </row>
    <row r="17396">
      <c r="F17396" s="13"/>
      <c r="M17396" s="13"/>
    </row>
    <row r="17397">
      <c r="F17397" s="13"/>
      <c r="M17397" s="13"/>
    </row>
    <row r="17398">
      <c r="F17398" s="13"/>
      <c r="M17398" s="13"/>
    </row>
    <row r="17399">
      <c r="F17399" s="13"/>
      <c r="M17399" s="13"/>
    </row>
    <row r="17400">
      <c r="F17400" s="13"/>
      <c r="M17400" s="13"/>
    </row>
    <row r="17401">
      <c r="F17401" s="13"/>
      <c r="M17401" s="13"/>
    </row>
    <row r="17402">
      <c r="F17402" s="13"/>
      <c r="M17402" s="13"/>
    </row>
    <row r="17403">
      <c r="F17403" s="13"/>
      <c r="M17403" s="13"/>
    </row>
    <row r="17404">
      <c r="F17404" s="13"/>
      <c r="M17404" s="13"/>
    </row>
    <row r="17405">
      <c r="F17405" s="13"/>
      <c r="M17405" s="13"/>
    </row>
    <row r="17406">
      <c r="F17406" s="13"/>
      <c r="M17406" s="13"/>
    </row>
    <row r="17407">
      <c r="F17407" s="13"/>
      <c r="M17407" s="13"/>
    </row>
    <row r="17408">
      <c r="F17408" s="13"/>
      <c r="M17408" s="13"/>
    </row>
    <row r="17409">
      <c r="F17409" s="13"/>
      <c r="M17409" s="13"/>
    </row>
    <row r="17410">
      <c r="F17410" s="13"/>
      <c r="M17410" s="13"/>
    </row>
    <row r="17411">
      <c r="F17411" s="13"/>
      <c r="M17411" s="13"/>
    </row>
    <row r="17412">
      <c r="F17412" s="13"/>
      <c r="M17412" s="13"/>
    </row>
    <row r="17413">
      <c r="F17413" s="13"/>
      <c r="M17413" s="13"/>
    </row>
    <row r="17414">
      <c r="F17414" s="13"/>
      <c r="M17414" s="13"/>
    </row>
    <row r="17415">
      <c r="F17415" s="13"/>
      <c r="M17415" s="13"/>
    </row>
    <row r="17416">
      <c r="F17416" s="13"/>
      <c r="M17416" s="13"/>
    </row>
    <row r="17417">
      <c r="F17417" s="13"/>
      <c r="M17417" s="13"/>
    </row>
    <row r="17418">
      <c r="F17418" s="13"/>
      <c r="M17418" s="13"/>
    </row>
    <row r="17419">
      <c r="F17419" s="13"/>
      <c r="M17419" s="13"/>
    </row>
    <row r="17420">
      <c r="F17420" s="13"/>
      <c r="M17420" s="13"/>
    </row>
    <row r="17421">
      <c r="F17421" s="13"/>
      <c r="M17421" s="13"/>
    </row>
    <row r="17422">
      <c r="F17422" s="13"/>
      <c r="M17422" s="13"/>
    </row>
    <row r="17423">
      <c r="F17423" s="13"/>
      <c r="M17423" s="13"/>
    </row>
    <row r="17424">
      <c r="F17424" s="13"/>
      <c r="M17424" s="13"/>
    </row>
    <row r="17425">
      <c r="F17425" s="13"/>
      <c r="M17425" s="13"/>
    </row>
    <row r="17426">
      <c r="F17426" s="13"/>
      <c r="M17426" s="13"/>
    </row>
    <row r="17427">
      <c r="F17427" s="13"/>
      <c r="M17427" s="13"/>
    </row>
    <row r="17428">
      <c r="F17428" s="13"/>
      <c r="M17428" s="13"/>
    </row>
    <row r="17429">
      <c r="F17429" s="13"/>
      <c r="M17429" s="13"/>
    </row>
    <row r="17430">
      <c r="F17430" s="13"/>
      <c r="M17430" s="13"/>
    </row>
    <row r="17431">
      <c r="F17431" s="13"/>
      <c r="M17431" s="13"/>
    </row>
    <row r="17432">
      <c r="F17432" s="13"/>
      <c r="M17432" s="13"/>
    </row>
    <row r="17433">
      <c r="F17433" s="13"/>
      <c r="M17433" s="13"/>
    </row>
    <row r="17434">
      <c r="F17434" s="13"/>
      <c r="M17434" s="13"/>
    </row>
    <row r="17435">
      <c r="F17435" s="13"/>
      <c r="M17435" s="13"/>
    </row>
    <row r="17436">
      <c r="F17436" s="13"/>
      <c r="M17436" s="13"/>
    </row>
    <row r="17437">
      <c r="F17437" s="13"/>
      <c r="M17437" s="13"/>
    </row>
    <row r="17438">
      <c r="F17438" s="13"/>
      <c r="M17438" s="13"/>
    </row>
    <row r="17439">
      <c r="F17439" s="13"/>
      <c r="M17439" s="13"/>
    </row>
    <row r="17440">
      <c r="F17440" s="13"/>
      <c r="M17440" s="13"/>
    </row>
    <row r="17441">
      <c r="F17441" s="13"/>
      <c r="M17441" s="13"/>
    </row>
    <row r="17442">
      <c r="F17442" s="13"/>
      <c r="M17442" s="13"/>
    </row>
    <row r="17443">
      <c r="F17443" s="13"/>
      <c r="M17443" s="13"/>
    </row>
    <row r="17444">
      <c r="F17444" s="13"/>
      <c r="M17444" s="13"/>
    </row>
    <row r="17445">
      <c r="F17445" s="13"/>
      <c r="M17445" s="13"/>
    </row>
    <row r="17446">
      <c r="F17446" s="13"/>
      <c r="M17446" s="13"/>
    </row>
    <row r="17447">
      <c r="F17447" s="13"/>
      <c r="M17447" s="13"/>
    </row>
    <row r="17448">
      <c r="F17448" s="13"/>
      <c r="M17448" s="13"/>
    </row>
    <row r="17449">
      <c r="F17449" s="13"/>
      <c r="M17449" s="13"/>
    </row>
    <row r="17450">
      <c r="F17450" s="13"/>
      <c r="M17450" s="13"/>
    </row>
    <row r="17451">
      <c r="F17451" s="13"/>
      <c r="M17451" s="13"/>
    </row>
    <row r="17452">
      <c r="F17452" s="13"/>
      <c r="M17452" s="13"/>
    </row>
    <row r="17453">
      <c r="F17453" s="13"/>
      <c r="M17453" s="13"/>
    </row>
    <row r="17454">
      <c r="F17454" s="13"/>
      <c r="M17454" s="13"/>
    </row>
    <row r="17455">
      <c r="F17455" s="13"/>
      <c r="M17455" s="13"/>
    </row>
    <row r="17456">
      <c r="F17456" s="13"/>
      <c r="M17456" s="13"/>
    </row>
    <row r="17457">
      <c r="F17457" s="13"/>
      <c r="M17457" s="13"/>
    </row>
    <row r="17458">
      <c r="F17458" s="13"/>
      <c r="M17458" s="13"/>
    </row>
    <row r="17459">
      <c r="F17459" s="13"/>
      <c r="M17459" s="13"/>
    </row>
    <row r="17460">
      <c r="F17460" s="13"/>
      <c r="M17460" s="13"/>
    </row>
    <row r="17461">
      <c r="F17461" s="13"/>
      <c r="M17461" s="13"/>
    </row>
    <row r="17462">
      <c r="F17462" s="13"/>
      <c r="M17462" s="13"/>
    </row>
    <row r="17463">
      <c r="F17463" s="13"/>
      <c r="M17463" s="13"/>
    </row>
    <row r="17464">
      <c r="F17464" s="13"/>
      <c r="M17464" s="13"/>
    </row>
    <row r="17465">
      <c r="F17465" s="13"/>
      <c r="M17465" s="13"/>
    </row>
    <row r="17466">
      <c r="F17466" s="13"/>
      <c r="M17466" s="13"/>
    </row>
    <row r="17467">
      <c r="F17467" s="13"/>
      <c r="M17467" s="13"/>
    </row>
    <row r="17468">
      <c r="F17468" s="13"/>
      <c r="M17468" s="13"/>
    </row>
    <row r="17469">
      <c r="F17469" s="13"/>
      <c r="M17469" s="13"/>
    </row>
    <row r="17470">
      <c r="F17470" s="13"/>
      <c r="M17470" s="13"/>
    </row>
    <row r="17471">
      <c r="F17471" s="13"/>
      <c r="M17471" s="13"/>
    </row>
    <row r="17472">
      <c r="F17472" s="13"/>
      <c r="M17472" s="13"/>
    </row>
    <row r="17473">
      <c r="F17473" s="13"/>
      <c r="M17473" s="13"/>
    </row>
    <row r="17474">
      <c r="F17474" s="13"/>
      <c r="M17474" s="13"/>
    </row>
    <row r="17475">
      <c r="F17475" s="13"/>
      <c r="M17475" s="13"/>
    </row>
    <row r="17476">
      <c r="F17476" s="13"/>
      <c r="M17476" s="13"/>
    </row>
    <row r="17477">
      <c r="F17477" s="13"/>
      <c r="M17477" s="13"/>
    </row>
    <row r="17478">
      <c r="F17478" s="13"/>
      <c r="M17478" s="13"/>
    </row>
    <row r="17479">
      <c r="F17479" s="13"/>
      <c r="M17479" s="13"/>
    </row>
    <row r="17480">
      <c r="F17480" s="13"/>
      <c r="M17480" s="13"/>
    </row>
    <row r="17481">
      <c r="F17481" s="13"/>
      <c r="M17481" s="13"/>
    </row>
    <row r="17482">
      <c r="F17482" s="13"/>
      <c r="M17482" s="13"/>
    </row>
    <row r="17483">
      <c r="F17483" s="13"/>
      <c r="M17483" s="13"/>
    </row>
    <row r="17484">
      <c r="F17484" s="13"/>
      <c r="M17484" s="13"/>
    </row>
    <row r="17485">
      <c r="F17485" s="13"/>
      <c r="M17485" s="13"/>
    </row>
    <row r="17486">
      <c r="F17486" s="13"/>
      <c r="M17486" s="13"/>
    </row>
    <row r="17487">
      <c r="F17487" s="13"/>
      <c r="M17487" s="13"/>
    </row>
    <row r="17488">
      <c r="F17488" s="13"/>
      <c r="M17488" s="13"/>
    </row>
    <row r="17489">
      <c r="F17489" s="13"/>
      <c r="M17489" s="13"/>
    </row>
    <row r="17490">
      <c r="F17490" s="13"/>
      <c r="M17490" s="13"/>
    </row>
    <row r="17491">
      <c r="F17491" s="13"/>
      <c r="M17491" s="13"/>
    </row>
    <row r="17492">
      <c r="F17492" s="13"/>
      <c r="M17492" s="13"/>
    </row>
    <row r="17493">
      <c r="F17493" s="13"/>
      <c r="M17493" s="13"/>
    </row>
    <row r="17494">
      <c r="F17494" s="13"/>
      <c r="M17494" s="13"/>
    </row>
    <row r="17495">
      <c r="F17495" s="13"/>
      <c r="M17495" s="13"/>
    </row>
    <row r="17496">
      <c r="F17496" s="13"/>
      <c r="M17496" s="13"/>
    </row>
    <row r="17497">
      <c r="F17497" s="13"/>
      <c r="M17497" s="13"/>
    </row>
    <row r="17498">
      <c r="F17498" s="13"/>
      <c r="M17498" s="13"/>
    </row>
    <row r="17499">
      <c r="F17499" s="13"/>
      <c r="M17499" s="13"/>
    </row>
    <row r="17500">
      <c r="F17500" s="13"/>
      <c r="M17500" s="13"/>
    </row>
    <row r="17501">
      <c r="F17501" s="13"/>
      <c r="M17501" s="13"/>
    </row>
    <row r="17502">
      <c r="F17502" s="13"/>
      <c r="M17502" s="13"/>
    </row>
    <row r="17503">
      <c r="F17503" s="13"/>
      <c r="M17503" s="13"/>
    </row>
    <row r="17504">
      <c r="F17504" s="13"/>
      <c r="M17504" s="13"/>
    </row>
    <row r="17505">
      <c r="F17505" s="13"/>
      <c r="M17505" s="13"/>
    </row>
    <row r="17506">
      <c r="F17506" s="13"/>
      <c r="M17506" s="13"/>
    </row>
    <row r="17507">
      <c r="F17507" s="13"/>
      <c r="M17507" s="13"/>
    </row>
    <row r="17508">
      <c r="F17508" s="13"/>
      <c r="M17508" s="13"/>
    </row>
    <row r="17509">
      <c r="F17509" s="13"/>
      <c r="M17509" s="13"/>
    </row>
    <row r="17510">
      <c r="F17510" s="13"/>
      <c r="M17510" s="13"/>
    </row>
    <row r="17511">
      <c r="F17511" s="13"/>
      <c r="M17511" s="13"/>
    </row>
    <row r="17512">
      <c r="F17512" s="13"/>
      <c r="M17512" s="13"/>
    </row>
    <row r="17513">
      <c r="F17513" s="13"/>
      <c r="M17513" s="13"/>
    </row>
    <row r="17514">
      <c r="F17514" s="13"/>
      <c r="M17514" s="13"/>
    </row>
    <row r="17515">
      <c r="F17515" s="13"/>
      <c r="M17515" s="13"/>
    </row>
    <row r="17516">
      <c r="F17516" s="13"/>
      <c r="M17516" s="13"/>
    </row>
    <row r="17517">
      <c r="F17517" s="13"/>
      <c r="M17517" s="13"/>
    </row>
    <row r="17518">
      <c r="F17518" s="13"/>
      <c r="M17518" s="13"/>
    </row>
    <row r="17519">
      <c r="F17519" s="13"/>
      <c r="M17519" s="13"/>
    </row>
    <row r="17520">
      <c r="F17520" s="13"/>
      <c r="M17520" s="13"/>
    </row>
    <row r="17521">
      <c r="F17521" s="13"/>
      <c r="M17521" s="13"/>
    </row>
    <row r="17522">
      <c r="F17522" s="13"/>
      <c r="M17522" s="13"/>
    </row>
    <row r="17523">
      <c r="F17523" s="13"/>
      <c r="M17523" s="13"/>
    </row>
    <row r="17524">
      <c r="F17524" s="13"/>
      <c r="M17524" s="13"/>
    </row>
    <row r="17525">
      <c r="F17525" s="13"/>
      <c r="M17525" s="13"/>
    </row>
    <row r="17526">
      <c r="F17526" s="13"/>
      <c r="M17526" s="13"/>
    </row>
    <row r="17527">
      <c r="F17527" s="13"/>
      <c r="M17527" s="13"/>
    </row>
    <row r="17528">
      <c r="F17528" s="13"/>
      <c r="M17528" s="13"/>
    </row>
    <row r="17529">
      <c r="F17529" s="13"/>
      <c r="M17529" s="13"/>
    </row>
    <row r="17530">
      <c r="F17530" s="13"/>
      <c r="M17530" s="13"/>
    </row>
    <row r="17531">
      <c r="F17531" s="13"/>
      <c r="M17531" s="13"/>
    </row>
    <row r="17532">
      <c r="F17532" s="13"/>
      <c r="M17532" s="13"/>
    </row>
    <row r="17533">
      <c r="F17533" s="13"/>
      <c r="M17533" s="13"/>
    </row>
    <row r="17534">
      <c r="F17534" s="13"/>
      <c r="M17534" s="13"/>
    </row>
    <row r="17535">
      <c r="F17535" s="13"/>
      <c r="M17535" s="13"/>
    </row>
    <row r="17536">
      <c r="F17536" s="13"/>
      <c r="M17536" s="13"/>
    </row>
    <row r="17537">
      <c r="F17537" s="13"/>
      <c r="M17537" s="13"/>
    </row>
    <row r="17538">
      <c r="F17538" s="13"/>
      <c r="M17538" s="13"/>
    </row>
    <row r="17539">
      <c r="F17539" s="13"/>
      <c r="M17539" s="13"/>
    </row>
    <row r="17540">
      <c r="F17540" s="13"/>
      <c r="M17540" s="13"/>
    </row>
    <row r="17541">
      <c r="F17541" s="13"/>
      <c r="M17541" s="13"/>
    </row>
    <row r="17542">
      <c r="F17542" s="13"/>
      <c r="M17542" s="13"/>
    </row>
    <row r="17543">
      <c r="F17543" s="13"/>
      <c r="M17543" s="13"/>
    </row>
    <row r="17544">
      <c r="F17544" s="13"/>
      <c r="M17544" s="13"/>
    </row>
    <row r="17545">
      <c r="F17545" s="13"/>
      <c r="M17545" s="13"/>
    </row>
    <row r="17546">
      <c r="F17546" s="13"/>
      <c r="M17546" s="13"/>
    </row>
    <row r="17547">
      <c r="F17547" s="13"/>
      <c r="M17547" s="13"/>
    </row>
    <row r="17548">
      <c r="F17548" s="13"/>
      <c r="M17548" s="13"/>
    </row>
    <row r="17549">
      <c r="F17549" s="13"/>
      <c r="M17549" s="13"/>
    </row>
    <row r="17550">
      <c r="F17550" s="13"/>
      <c r="M17550" s="13"/>
    </row>
    <row r="17551">
      <c r="F17551" s="13"/>
      <c r="M17551" s="13"/>
    </row>
    <row r="17552">
      <c r="F17552" s="13"/>
      <c r="M17552" s="13"/>
    </row>
    <row r="17553">
      <c r="F17553" s="13"/>
      <c r="M17553" s="13"/>
    </row>
    <row r="17554">
      <c r="F17554" s="13"/>
      <c r="M17554" s="13"/>
    </row>
    <row r="17555">
      <c r="F17555" s="13"/>
      <c r="M17555" s="13"/>
    </row>
    <row r="17556">
      <c r="F17556" s="13"/>
      <c r="M17556" s="13"/>
    </row>
    <row r="17557">
      <c r="F17557" s="13"/>
      <c r="M17557" s="13"/>
    </row>
    <row r="17558">
      <c r="F17558" s="13"/>
      <c r="M17558" s="13"/>
    </row>
    <row r="17559">
      <c r="F17559" s="13"/>
      <c r="M17559" s="13"/>
    </row>
    <row r="17560">
      <c r="F17560" s="13"/>
      <c r="M17560" s="13"/>
    </row>
    <row r="17561">
      <c r="F17561" s="13"/>
      <c r="M17561" s="13"/>
    </row>
    <row r="17562">
      <c r="F17562" s="13"/>
      <c r="M17562" s="13"/>
    </row>
    <row r="17563">
      <c r="F17563" s="13"/>
      <c r="M17563" s="13"/>
    </row>
    <row r="17564">
      <c r="F17564" s="13"/>
      <c r="M17564" s="13"/>
    </row>
    <row r="17565">
      <c r="F17565" s="13"/>
      <c r="M17565" s="13"/>
    </row>
    <row r="17566">
      <c r="F17566" s="13"/>
      <c r="M17566" s="13"/>
    </row>
    <row r="17567">
      <c r="F17567" s="13"/>
      <c r="M17567" s="13"/>
    </row>
    <row r="17568">
      <c r="F17568" s="13"/>
      <c r="M17568" s="13"/>
    </row>
    <row r="17569">
      <c r="F17569" s="13"/>
      <c r="M17569" s="13"/>
    </row>
    <row r="17570">
      <c r="F17570" s="13"/>
      <c r="M17570" s="13"/>
    </row>
    <row r="17571">
      <c r="F17571" s="13"/>
      <c r="M17571" s="13"/>
    </row>
    <row r="17572">
      <c r="F17572" s="13"/>
      <c r="M17572" s="13"/>
    </row>
    <row r="17573">
      <c r="F17573" s="13"/>
      <c r="M17573" s="13"/>
    </row>
    <row r="17574">
      <c r="F17574" s="13"/>
      <c r="M17574" s="13"/>
    </row>
    <row r="17575">
      <c r="F17575" s="13"/>
      <c r="M17575" s="13"/>
    </row>
    <row r="17576">
      <c r="F17576" s="13"/>
      <c r="M17576" s="13"/>
    </row>
    <row r="17577">
      <c r="F17577" s="13"/>
      <c r="M17577" s="13"/>
    </row>
    <row r="17578">
      <c r="F17578" s="13"/>
      <c r="M17578" s="13"/>
    </row>
    <row r="17579">
      <c r="F17579" s="13"/>
      <c r="M17579" s="13"/>
    </row>
    <row r="17580">
      <c r="F17580" s="13"/>
      <c r="M17580" s="13"/>
    </row>
    <row r="17581">
      <c r="F17581" s="13"/>
      <c r="M17581" s="13"/>
    </row>
    <row r="17582">
      <c r="F17582" s="13"/>
      <c r="M17582" s="13"/>
    </row>
    <row r="17583">
      <c r="F17583" s="13"/>
      <c r="M17583" s="13"/>
    </row>
    <row r="17584">
      <c r="F17584" s="13"/>
      <c r="M17584" s="13"/>
    </row>
    <row r="17585">
      <c r="F17585" s="13"/>
      <c r="M17585" s="13"/>
    </row>
    <row r="17586">
      <c r="F17586" s="13"/>
      <c r="M17586" s="13"/>
    </row>
    <row r="17587">
      <c r="F17587" s="13"/>
      <c r="M17587" s="13"/>
    </row>
    <row r="17588">
      <c r="F17588" s="13"/>
      <c r="M17588" s="13"/>
    </row>
    <row r="17589">
      <c r="F17589" s="13"/>
      <c r="M17589" s="13"/>
    </row>
    <row r="17590">
      <c r="F17590" s="13"/>
      <c r="M17590" s="13"/>
    </row>
    <row r="17591">
      <c r="F17591" s="13"/>
      <c r="M17591" s="13"/>
    </row>
    <row r="17592">
      <c r="F17592" s="13"/>
      <c r="M17592" s="13"/>
    </row>
    <row r="17593">
      <c r="F17593" s="13"/>
      <c r="M17593" s="13"/>
    </row>
    <row r="17594">
      <c r="F17594" s="13"/>
      <c r="M17594" s="13"/>
    </row>
    <row r="17595">
      <c r="F17595" s="13"/>
      <c r="M17595" s="13"/>
    </row>
    <row r="17596">
      <c r="F17596" s="13"/>
      <c r="M17596" s="13"/>
    </row>
    <row r="17597">
      <c r="F17597" s="13"/>
      <c r="M17597" s="13"/>
    </row>
    <row r="17598">
      <c r="F17598" s="13"/>
      <c r="M17598" s="13"/>
    </row>
    <row r="17599">
      <c r="F17599" s="13"/>
      <c r="M17599" s="13"/>
    </row>
    <row r="17600">
      <c r="F17600" s="13"/>
      <c r="M17600" s="13"/>
    </row>
    <row r="17601">
      <c r="F17601" s="13"/>
      <c r="M17601" s="13"/>
    </row>
    <row r="17602">
      <c r="F17602" s="13"/>
      <c r="M17602" s="13"/>
    </row>
    <row r="17603">
      <c r="F17603" s="13"/>
      <c r="M17603" s="13"/>
    </row>
    <row r="17604">
      <c r="F17604" s="13"/>
      <c r="M17604" s="13"/>
    </row>
    <row r="17605">
      <c r="F17605" s="13"/>
      <c r="M17605" s="13"/>
    </row>
    <row r="17606">
      <c r="F17606" s="13"/>
      <c r="M17606" s="13"/>
    </row>
    <row r="17607">
      <c r="F17607" s="13"/>
      <c r="M17607" s="13"/>
    </row>
    <row r="17608">
      <c r="F17608" s="13"/>
      <c r="M17608" s="13"/>
    </row>
    <row r="17609">
      <c r="F17609" s="13"/>
      <c r="M17609" s="13"/>
    </row>
    <row r="17610">
      <c r="F17610" s="13"/>
      <c r="M17610" s="13"/>
    </row>
    <row r="17611">
      <c r="F17611" s="13"/>
      <c r="M17611" s="13"/>
    </row>
    <row r="17612">
      <c r="F17612" s="13"/>
      <c r="M17612" s="13"/>
    </row>
    <row r="17613">
      <c r="F17613" s="13"/>
      <c r="M17613" s="13"/>
    </row>
    <row r="17614">
      <c r="F17614" s="13"/>
      <c r="M17614" s="13"/>
    </row>
    <row r="17615">
      <c r="F17615" s="13"/>
      <c r="M17615" s="13"/>
    </row>
    <row r="17616">
      <c r="F17616" s="13"/>
      <c r="M17616" s="13"/>
    </row>
    <row r="17617">
      <c r="F17617" s="13"/>
      <c r="M17617" s="13"/>
    </row>
    <row r="17618">
      <c r="F17618" s="13"/>
      <c r="M17618" s="13"/>
    </row>
    <row r="17619">
      <c r="F17619" s="13"/>
      <c r="M17619" s="13"/>
    </row>
    <row r="17620">
      <c r="F17620" s="13"/>
      <c r="M17620" s="13"/>
    </row>
    <row r="17621">
      <c r="F17621" s="13"/>
      <c r="M17621" s="13"/>
    </row>
    <row r="17622">
      <c r="F17622" s="13"/>
      <c r="M17622" s="13"/>
    </row>
    <row r="17623">
      <c r="F17623" s="13"/>
      <c r="M17623" s="13"/>
    </row>
    <row r="17624">
      <c r="F17624" s="13"/>
      <c r="M17624" s="13"/>
    </row>
    <row r="17625">
      <c r="F17625" s="13"/>
      <c r="M17625" s="13"/>
    </row>
    <row r="17626">
      <c r="F17626" s="13"/>
      <c r="M17626" s="13"/>
    </row>
    <row r="17627">
      <c r="F17627" s="13"/>
      <c r="M17627" s="13"/>
    </row>
    <row r="17628">
      <c r="F17628" s="13"/>
      <c r="M17628" s="13"/>
    </row>
    <row r="17629">
      <c r="F17629" s="13"/>
      <c r="M17629" s="13"/>
    </row>
    <row r="17630">
      <c r="F17630" s="13"/>
      <c r="M17630" s="13"/>
    </row>
    <row r="17631">
      <c r="F17631" s="13"/>
      <c r="M17631" s="13"/>
    </row>
    <row r="17632">
      <c r="F17632" s="13"/>
      <c r="M17632" s="13"/>
    </row>
    <row r="17633">
      <c r="F17633" s="13"/>
      <c r="M17633" s="13"/>
    </row>
    <row r="17634">
      <c r="F17634" s="13"/>
      <c r="M17634" s="13"/>
    </row>
    <row r="17635">
      <c r="F17635" s="13"/>
      <c r="M17635" s="13"/>
    </row>
    <row r="17636">
      <c r="F17636" s="13"/>
      <c r="M17636" s="13"/>
    </row>
    <row r="17637">
      <c r="F17637" s="13"/>
      <c r="M17637" s="13"/>
    </row>
    <row r="17638">
      <c r="F17638" s="13"/>
      <c r="M17638" s="13"/>
    </row>
    <row r="17639">
      <c r="F17639" s="13"/>
      <c r="M17639" s="13"/>
    </row>
    <row r="17640">
      <c r="F17640" s="13"/>
      <c r="M17640" s="13"/>
    </row>
    <row r="17641">
      <c r="F17641" s="13"/>
      <c r="M17641" s="13"/>
    </row>
    <row r="17642">
      <c r="F17642" s="13"/>
      <c r="M17642" s="13"/>
    </row>
    <row r="17643">
      <c r="F17643" s="13"/>
      <c r="M17643" s="13"/>
    </row>
    <row r="17644">
      <c r="F17644" s="13"/>
      <c r="M17644" s="13"/>
    </row>
    <row r="17645">
      <c r="F17645" s="13"/>
      <c r="M17645" s="13"/>
    </row>
    <row r="17646">
      <c r="F17646" s="13"/>
      <c r="M17646" s="13"/>
    </row>
    <row r="17647">
      <c r="F17647" s="13"/>
      <c r="M17647" s="13"/>
    </row>
    <row r="17648">
      <c r="F17648" s="13"/>
      <c r="M17648" s="13"/>
    </row>
    <row r="17649">
      <c r="F17649" s="13"/>
      <c r="M17649" s="13"/>
    </row>
    <row r="17650">
      <c r="F17650" s="13"/>
      <c r="M17650" s="13"/>
    </row>
    <row r="17651">
      <c r="F17651" s="13"/>
      <c r="M17651" s="13"/>
    </row>
    <row r="17652">
      <c r="F17652" s="13"/>
      <c r="M17652" s="13"/>
    </row>
    <row r="17653">
      <c r="F17653" s="13"/>
      <c r="M17653" s="13"/>
    </row>
    <row r="17654">
      <c r="F17654" s="13"/>
      <c r="M17654" s="13"/>
    </row>
    <row r="17655">
      <c r="F17655" s="13"/>
      <c r="M17655" s="13"/>
    </row>
    <row r="17656">
      <c r="F17656" s="13"/>
      <c r="M17656" s="13"/>
    </row>
    <row r="17657">
      <c r="F17657" s="13"/>
      <c r="M17657" s="13"/>
    </row>
    <row r="17658">
      <c r="F17658" s="13"/>
      <c r="M17658" s="13"/>
    </row>
    <row r="17659">
      <c r="F17659" s="13"/>
      <c r="M17659" s="13"/>
    </row>
    <row r="17660">
      <c r="F17660" s="13"/>
      <c r="M17660" s="13"/>
    </row>
    <row r="17661">
      <c r="F17661" s="13"/>
      <c r="M17661" s="13"/>
    </row>
    <row r="17662">
      <c r="F17662" s="13"/>
      <c r="M17662" s="13"/>
    </row>
    <row r="17663">
      <c r="F17663" s="13"/>
      <c r="M17663" s="13"/>
    </row>
    <row r="17664">
      <c r="F17664" s="13"/>
      <c r="M17664" s="13"/>
    </row>
    <row r="17665">
      <c r="F17665" s="13"/>
      <c r="M17665" s="13"/>
    </row>
    <row r="17666">
      <c r="F17666" s="13"/>
      <c r="M17666" s="13"/>
    </row>
    <row r="17667">
      <c r="F17667" s="13"/>
      <c r="M17667" s="13"/>
    </row>
    <row r="17668">
      <c r="F17668" s="13"/>
      <c r="M17668" s="13"/>
    </row>
    <row r="17669">
      <c r="F17669" s="13"/>
      <c r="M17669" s="13"/>
    </row>
    <row r="17670">
      <c r="F17670" s="13"/>
      <c r="M17670" s="13"/>
    </row>
    <row r="17671">
      <c r="F17671" s="13"/>
      <c r="M17671" s="13"/>
    </row>
    <row r="17672">
      <c r="F17672" s="13"/>
      <c r="M17672" s="13"/>
    </row>
    <row r="17673">
      <c r="F17673" s="13"/>
      <c r="M17673" s="13"/>
    </row>
    <row r="17674">
      <c r="F17674" s="13"/>
      <c r="M17674" s="13"/>
    </row>
    <row r="17675">
      <c r="F17675" s="13"/>
      <c r="M17675" s="13"/>
    </row>
    <row r="17676">
      <c r="F17676" s="13"/>
      <c r="M17676" s="13"/>
    </row>
    <row r="17677">
      <c r="F17677" s="13"/>
      <c r="M17677" s="13"/>
    </row>
    <row r="17678">
      <c r="F17678" s="13"/>
      <c r="M17678" s="13"/>
    </row>
    <row r="17679">
      <c r="F17679" s="13"/>
      <c r="M17679" s="13"/>
    </row>
    <row r="17680">
      <c r="F17680" s="13"/>
      <c r="M17680" s="13"/>
    </row>
    <row r="17681">
      <c r="F17681" s="13"/>
      <c r="M17681" s="13"/>
    </row>
    <row r="17682">
      <c r="F17682" s="13"/>
      <c r="M17682" s="13"/>
    </row>
    <row r="17683">
      <c r="F17683" s="13"/>
      <c r="M17683" s="13"/>
    </row>
    <row r="17684">
      <c r="F17684" s="13"/>
      <c r="M17684" s="13"/>
    </row>
    <row r="17685">
      <c r="F17685" s="13"/>
      <c r="M17685" s="13"/>
    </row>
    <row r="17686">
      <c r="F17686" s="13"/>
      <c r="M17686" s="13"/>
    </row>
    <row r="17687">
      <c r="F17687" s="13"/>
      <c r="M17687" s="13"/>
    </row>
    <row r="17688">
      <c r="F17688" s="13"/>
      <c r="M17688" s="13"/>
    </row>
    <row r="17689">
      <c r="F17689" s="13"/>
      <c r="M17689" s="13"/>
    </row>
    <row r="17690">
      <c r="F17690" s="13"/>
      <c r="M17690" s="13"/>
    </row>
    <row r="17691">
      <c r="F17691" s="13"/>
      <c r="M17691" s="13"/>
    </row>
    <row r="17692">
      <c r="F17692" s="13"/>
      <c r="M17692" s="13"/>
    </row>
    <row r="17693">
      <c r="F17693" s="13"/>
      <c r="M17693" s="13"/>
    </row>
    <row r="17694">
      <c r="F17694" s="13"/>
      <c r="M17694" s="13"/>
    </row>
    <row r="17695">
      <c r="F17695" s="13"/>
      <c r="M17695" s="13"/>
    </row>
    <row r="17696">
      <c r="F17696" s="13"/>
      <c r="M17696" s="13"/>
    </row>
    <row r="17697">
      <c r="F17697" s="13"/>
      <c r="M17697" s="13"/>
    </row>
    <row r="17698">
      <c r="F17698" s="13"/>
      <c r="M17698" s="13"/>
    </row>
    <row r="17699">
      <c r="F17699" s="13"/>
      <c r="M17699" s="13"/>
    </row>
    <row r="17700">
      <c r="F17700" s="13"/>
      <c r="M17700" s="13"/>
    </row>
    <row r="17701">
      <c r="F17701" s="13"/>
      <c r="M17701" s="13"/>
    </row>
    <row r="17702">
      <c r="F17702" s="13"/>
      <c r="M17702" s="13"/>
    </row>
    <row r="17703">
      <c r="F17703" s="13"/>
      <c r="M17703" s="13"/>
    </row>
    <row r="17704">
      <c r="F17704" s="13"/>
      <c r="M17704" s="13"/>
    </row>
    <row r="17705">
      <c r="F17705" s="13"/>
      <c r="M17705" s="13"/>
    </row>
    <row r="17706">
      <c r="F17706" s="13"/>
      <c r="M17706" s="13"/>
    </row>
    <row r="17707">
      <c r="F17707" s="13"/>
      <c r="M17707" s="13"/>
    </row>
    <row r="17708">
      <c r="F17708" s="13"/>
      <c r="M17708" s="13"/>
    </row>
    <row r="17709">
      <c r="F17709" s="13"/>
      <c r="M17709" s="13"/>
    </row>
    <row r="17710">
      <c r="F17710" s="13"/>
      <c r="M17710" s="13"/>
    </row>
    <row r="17711">
      <c r="F17711" s="13"/>
      <c r="M17711" s="13"/>
    </row>
    <row r="17712">
      <c r="F17712" s="13"/>
      <c r="M17712" s="13"/>
    </row>
    <row r="17713">
      <c r="F17713" s="13"/>
      <c r="M17713" s="13"/>
    </row>
    <row r="17714">
      <c r="F17714" s="13"/>
      <c r="M17714" s="13"/>
    </row>
    <row r="17715">
      <c r="F17715" s="13"/>
      <c r="M17715" s="13"/>
    </row>
    <row r="17716">
      <c r="F17716" s="13"/>
      <c r="M17716" s="13"/>
    </row>
    <row r="17717">
      <c r="F17717" s="13"/>
      <c r="M17717" s="13"/>
    </row>
    <row r="17718">
      <c r="F17718" s="13"/>
      <c r="M17718" s="13"/>
    </row>
    <row r="17719">
      <c r="F17719" s="13"/>
      <c r="M17719" s="13"/>
    </row>
    <row r="17720">
      <c r="F17720" s="13"/>
      <c r="M17720" s="13"/>
    </row>
    <row r="17721">
      <c r="F17721" s="13"/>
      <c r="M17721" s="13"/>
    </row>
    <row r="17722">
      <c r="F17722" s="13"/>
      <c r="M17722" s="13"/>
    </row>
    <row r="17723">
      <c r="F17723" s="13"/>
      <c r="M17723" s="13"/>
    </row>
    <row r="17724">
      <c r="F17724" s="13"/>
      <c r="M17724" s="13"/>
    </row>
    <row r="17725">
      <c r="F17725" s="13"/>
      <c r="M17725" s="13"/>
    </row>
    <row r="17726">
      <c r="F17726" s="13"/>
      <c r="M17726" s="13"/>
    </row>
    <row r="17727">
      <c r="F17727" s="13"/>
      <c r="M17727" s="13"/>
    </row>
    <row r="17728">
      <c r="F17728" s="13"/>
      <c r="M17728" s="13"/>
    </row>
    <row r="17729">
      <c r="F17729" s="13"/>
      <c r="M17729" s="13"/>
    </row>
    <row r="17730">
      <c r="F17730" s="13"/>
      <c r="M17730" s="13"/>
    </row>
    <row r="17731">
      <c r="F17731" s="13"/>
      <c r="M17731" s="13"/>
    </row>
    <row r="17732">
      <c r="F17732" s="13"/>
      <c r="M17732" s="13"/>
    </row>
    <row r="17733">
      <c r="F17733" s="13"/>
      <c r="M17733" s="13"/>
    </row>
    <row r="17734">
      <c r="F17734" s="13"/>
      <c r="M17734" s="13"/>
    </row>
    <row r="17735">
      <c r="F17735" s="13"/>
      <c r="M17735" s="13"/>
    </row>
    <row r="17736">
      <c r="F17736" s="13"/>
      <c r="M17736" s="13"/>
    </row>
    <row r="17737">
      <c r="F17737" s="13"/>
      <c r="M17737" s="13"/>
    </row>
    <row r="17738">
      <c r="F17738" s="13"/>
      <c r="M17738" s="13"/>
    </row>
    <row r="17739">
      <c r="F17739" s="13"/>
      <c r="M17739" s="13"/>
    </row>
    <row r="17740">
      <c r="F17740" s="13"/>
      <c r="M17740" s="13"/>
    </row>
    <row r="17741">
      <c r="F17741" s="13"/>
      <c r="M17741" s="13"/>
    </row>
    <row r="17742">
      <c r="F17742" s="13"/>
      <c r="M17742" s="13"/>
    </row>
    <row r="17743">
      <c r="F17743" s="13"/>
      <c r="M17743" s="13"/>
    </row>
    <row r="17744">
      <c r="F17744" s="13"/>
      <c r="M17744" s="13"/>
    </row>
    <row r="17745">
      <c r="F17745" s="13"/>
      <c r="M17745" s="13"/>
    </row>
    <row r="17746">
      <c r="F17746" s="13"/>
      <c r="M17746" s="13"/>
    </row>
    <row r="17747">
      <c r="F17747" s="13"/>
      <c r="M17747" s="13"/>
    </row>
    <row r="17748">
      <c r="F17748" s="13"/>
      <c r="M17748" s="13"/>
    </row>
    <row r="17749">
      <c r="F17749" s="13"/>
      <c r="M17749" s="13"/>
    </row>
    <row r="17750">
      <c r="F17750" s="13"/>
      <c r="M17750" s="13"/>
    </row>
    <row r="17751">
      <c r="F17751" s="13"/>
      <c r="M17751" s="13"/>
    </row>
    <row r="17752">
      <c r="F17752" s="13"/>
      <c r="M17752" s="13"/>
    </row>
    <row r="17753">
      <c r="F17753" s="13"/>
      <c r="M17753" s="13"/>
    </row>
    <row r="17754">
      <c r="F17754" s="13"/>
      <c r="M17754" s="13"/>
    </row>
    <row r="17755">
      <c r="F17755" s="13"/>
      <c r="M17755" s="13"/>
    </row>
    <row r="17756">
      <c r="F17756" s="13"/>
      <c r="M17756" s="13"/>
    </row>
    <row r="17757">
      <c r="F17757" s="13"/>
      <c r="M17757" s="13"/>
    </row>
    <row r="17758">
      <c r="F17758" s="13"/>
      <c r="M17758" s="13"/>
    </row>
    <row r="17759">
      <c r="F17759" s="13"/>
      <c r="M17759" s="13"/>
    </row>
    <row r="17760">
      <c r="F17760" s="13"/>
      <c r="M17760" s="13"/>
    </row>
    <row r="17761">
      <c r="F17761" s="13"/>
      <c r="M17761" s="13"/>
    </row>
    <row r="17762">
      <c r="F17762" s="13"/>
      <c r="M17762" s="13"/>
    </row>
    <row r="17763">
      <c r="F17763" s="13"/>
      <c r="M17763" s="13"/>
    </row>
    <row r="17764">
      <c r="F17764" s="13"/>
      <c r="M17764" s="13"/>
    </row>
    <row r="17765">
      <c r="F17765" s="13"/>
      <c r="M17765" s="13"/>
    </row>
    <row r="17766">
      <c r="F17766" s="13"/>
      <c r="M17766" s="13"/>
    </row>
    <row r="17767">
      <c r="F17767" s="13"/>
      <c r="M17767" s="13"/>
    </row>
    <row r="17768">
      <c r="F17768" s="13"/>
      <c r="M17768" s="13"/>
    </row>
    <row r="17769">
      <c r="F17769" s="13"/>
      <c r="M17769" s="13"/>
    </row>
    <row r="17770">
      <c r="F17770" s="13"/>
      <c r="M17770" s="13"/>
    </row>
    <row r="17771">
      <c r="F17771" s="13"/>
      <c r="M17771" s="13"/>
    </row>
    <row r="17772">
      <c r="F17772" s="13"/>
      <c r="M17772" s="13"/>
    </row>
    <row r="17773">
      <c r="F17773" s="13"/>
      <c r="M17773" s="13"/>
    </row>
    <row r="17774">
      <c r="F17774" s="13"/>
      <c r="M17774" s="13"/>
    </row>
    <row r="17775">
      <c r="F17775" s="13"/>
      <c r="M17775" s="13"/>
    </row>
    <row r="17776">
      <c r="F17776" s="13"/>
      <c r="M17776" s="13"/>
    </row>
    <row r="17777">
      <c r="F17777" s="13"/>
      <c r="M17777" s="13"/>
    </row>
    <row r="17778">
      <c r="F17778" s="13"/>
      <c r="M17778" s="13"/>
    </row>
    <row r="17779">
      <c r="F17779" s="13"/>
      <c r="M17779" s="13"/>
    </row>
    <row r="17780">
      <c r="F17780" s="13"/>
      <c r="M17780" s="13"/>
    </row>
    <row r="17781">
      <c r="F17781" s="13"/>
      <c r="M17781" s="13"/>
    </row>
    <row r="17782">
      <c r="F17782" s="13"/>
      <c r="M17782" s="13"/>
    </row>
    <row r="17783">
      <c r="F17783" s="13"/>
      <c r="M17783" s="13"/>
    </row>
    <row r="17784">
      <c r="F17784" s="13"/>
      <c r="M17784" s="13"/>
    </row>
    <row r="17785">
      <c r="F17785" s="13"/>
      <c r="M17785" s="13"/>
    </row>
    <row r="17786">
      <c r="F17786" s="13"/>
      <c r="M17786" s="13"/>
    </row>
    <row r="17787">
      <c r="F17787" s="13"/>
      <c r="M17787" s="13"/>
    </row>
    <row r="17788">
      <c r="F17788" s="13"/>
      <c r="M17788" s="13"/>
    </row>
    <row r="17789">
      <c r="F17789" s="13"/>
      <c r="M17789" s="13"/>
    </row>
    <row r="17790">
      <c r="F17790" s="13"/>
      <c r="M17790" s="13"/>
    </row>
    <row r="17791">
      <c r="F17791" s="13"/>
      <c r="M17791" s="13"/>
    </row>
    <row r="17792">
      <c r="F17792" s="13"/>
      <c r="M17792" s="13"/>
    </row>
    <row r="17793">
      <c r="F17793" s="13"/>
      <c r="M17793" s="13"/>
    </row>
    <row r="17794">
      <c r="F17794" s="13"/>
      <c r="M17794" s="13"/>
    </row>
    <row r="17795">
      <c r="F17795" s="13"/>
      <c r="M17795" s="13"/>
    </row>
    <row r="17796">
      <c r="F17796" s="13"/>
      <c r="M17796" s="13"/>
    </row>
    <row r="17797">
      <c r="F17797" s="13"/>
      <c r="M17797" s="13"/>
    </row>
    <row r="17798">
      <c r="F17798" s="13"/>
      <c r="M17798" s="13"/>
    </row>
    <row r="17799">
      <c r="F17799" s="13"/>
      <c r="M17799" s="13"/>
    </row>
    <row r="17800">
      <c r="F17800" s="13"/>
      <c r="M17800" s="13"/>
    </row>
    <row r="17801">
      <c r="F17801" s="13"/>
      <c r="M17801" s="13"/>
    </row>
    <row r="17802">
      <c r="F17802" s="13"/>
      <c r="M17802" s="13"/>
    </row>
    <row r="17803">
      <c r="F17803" s="13"/>
      <c r="M17803" s="13"/>
    </row>
    <row r="17804">
      <c r="F17804" s="13"/>
      <c r="M17804" s="13"/>
    </row>
    <row r="17805">
      <c r="F17805" s="13"/>
      <c r="M17805" s="13"/>
    </row>
    <row r="17806">
      <c r="F17806" s="13"/>
      <c r="M17806" s="13"/>
    </row>
    <row r="17807">
      <c r="F17807" s="13"/>
      <c r="M17807" s="13"/>
    </row>
    <row r="17808">
      <c r="F17808" s="13"/>
      <c r="M17808" s="13"/>
    </row>
    <row r="17809">
      <c r="F17809" s="13"/>
      <c r="M17809" s="13"/>
    </row>
    <row r="17810">
      <c r="F17810" s="13"/>
      <c r="M17810" s="13"/>
    </row>
    <row r="17811">
      <c r="F17811" s="13"/>
      <c r="M17811" s="13"/>
    </row>
    <row r="17812">
      <c r="F17812" s="13"/>
      <c r="M17812" s="13"/>
    </row>
    <row r="17813">
      <c r="F17813" s="13"/>
      <c r="M17813" s="13"/>
    </row>
    <row r="17814">
      <c r="F17814" s="13"/>
      <c r="M17814" s="13"/>
    </row>
    <row r="17815">
      <c r="F17815" s="13"/>
      <c r="M17815" s="13"/>
    </row>
    <row r="17816">
      <c r="F17816" s="13"/>
      <c r="M17816" s="13"/>
    </row>
    <row r="17817">
      <c r="F17817" s="13"/>
      <c r="M17817" s="13"/>
    </row>
    <row r="17818">
      <c r="F17818" s="13"/>
      <c r="M17818" s="13"/>
    </row>
    <row r="17819">
      <c r="F17819" s="13"/>
      <c r="M17819" s="13"/>
    </row>
    <row r="17820">
      <c r="F17820" s="13"/>
      <c r="M17820" s="13"/>
    </row>
    <row r="17821">
      <c r="F17821" s="13"/>
      <c r="M17821" s="13"/>
    </row>
    <row r="17822">
      <c r="F17822" s="13"/>
      <c r="M17822" s="13"/>
    </row>
    <row r="17823">
      <c r="F17823" s="13"/>
      <c r="M17823" s="13"/>
    </row>
    <row r="17824">
      <c r="F17824" s="13"/>
      <c r="M17824" s="13"/>
    </row>
    <row r="17825">
      <c r="F17825" s="13"/>
      <c r="M17825" s="13"/>
    </row>
    <row r="17826">
      <c r="F17826" s="13"/>
      <c r="M17826" s="13"/>
    </row>
    <row r="17827">
      <c r="F17827" s="13"/>
      <c r="M17827" s="13"/>
    </row>
    <row r="17828">
      <c r="F17828" s="13"/>
      <c r="M17828" s="13"/>
    </row>
    <row r="17829">
      <c r="F17829" s="13"/>
      <c r="M17829" s="13"/>
    </row>
    <row r="17830">
      <c r="F17830" s="13"/>
      <c r="M17830" s="13"/>
    </row>
    <row r="17831">
      <c r="F17831" s="13"/>
      <c r="M17831" s="13"/>
    </row>
    <row r="17832">
      <c r="F17832" s="13"/>
      <c r="M17832" s="13"/>
    </row>
    <row r="17833">
      <c r="F17833" s="13"/>
      <c r="M17833" s="13"/>
    </row>
    <row r="17834">
      <c r="F17834" s="13"/>
      <c r="M17834" s="13"/>
    </row>
    <row r="17835">
      <c r="F17835" s="13"/>
      <c r="M17835" s="13"/>
    </row>
    <row r="17836">
      <c r="F17836" s="13"/>
      <c r="M17836" s="13"/>
    </row>
    <row r="17837">
      <c r="F17837" s="13"/>
      <c r="M17837" s="13"/>
    </row>
    <row r="17838">
      <c r="F17838" s="13"/>
      <c r="M17838" s="13"/>
    </row>
    <row r="17839">
      <c r="F17839" s="13"/>
      <c r="M17839" s="13"/>
    </row>
    <row r="17840">
      <c r="F17840" s="13"/>
      <c r="M17840" s="13"/>
    </row>
    <row r="17841">
      <c r="F17841" s="13"/>
      <c r="M17841" s="13"/>
    </row>
    <row r="17842">
      <c r="F17842" s="13"/>
      <c r="M17842" s="13"/>
    </row>
    <row r="17843">
      <c r="F17843" s="13"/>
      <c r="M17843" s="13"/>
    </row>
    <row r="17844">
      <c r="F17844" s="13"/>
      <c r="M17844" s="13"/>
    </row>
    <row r="17845">
      <c r="F17845" s="13"/>
      <c r="M17845" s="13"/>
    </row>
    <row r="17846">
      <c r="F17846" s="13"/>
      <c r="M17846" s="13"/>
    </row>
    <row r="17847">
      <c r="F17847" s="13"/>
      <c r="M17847" s="13"/>
    </row>
    <row r="17848">
      <c r="F17848" s="13"/>
      <c r="M17848" s="13"/>
    </row>
    <row r="17849">
      <c r="F17849" s="13"/>
      <c r="M17849" s="13"/>
    </row>
    <row r="17850">
      <c r="F17850" s="13"/>
      <c r="M17850" s="13"/>
    </row>
    <row r="17851">
      <c r="F17851" s="13"/>
      <c r="M17851" s="13"/>
    </row>
    <row r="17852">
      <c r="F17852" s="13"/>
      <c r="M17852" s="13"/>
    </row>
    <row r="17853">
      <c r="F17853" s="13"/>
      <c r="M17853" s="13"/>
    </row>
    <row r="17854">
      <c r="F17854" s="13"/>
      <c r="M17854" s="13"/>
    </row>
    <row r="17855">
      <c r="F17855" s="13"/>
      <c r="M17855" s="13"/>
    </row>
    <row r="17856">
      <c r="F17856" s="13"/>
      <c r="M17856" s="13"/>
    </row>
    <row r="17857">
      <c r="F17857" s="13"/>
      <c r="M17857" s="13"/>
    </row>
    <row r="17858">
      <c r="F17858" s="13"/>
      <c r="M17858" s="13"/>
    </row>
    <row r="17859">
      <c r="F17859" s="13"/>
      <c r="M17859" s="13"/>
    </row>
    <row r="17860">
      <c r="F17860" s="13"/>
      <c r="M17860" s="13"/>
    </row>
    <row r="17861">
      <c r="F17861" s="13"/>
      <c r="M17861" s="13"/>
    </row>
    <row r="17862">
      <c r="F17862" s="13"/>
      <c r="M17862" s="13"/>
    </row>
    <row r="17863">
      <c r="F17863" s="13"/>
      <c r="M17863" s="13"/>
    </row>
    <row r="17864">
      <c r="F17864" s="13"/>
      <c r="M17864" s="13"/>
    </row>
    <row r="17865">
      <c r="F17865" s="13"/>
      <c r="M17865" s="13"/>
    </row>
    <row r="17866">
      <c r="F17866" s="13"/>
      <c r="M17866" s="13"/>
    </row>
    <row r="17867">
      <c r="F17867" s="13"/>
      <c r="M17867" s="13"/>
    </row>
    <row r="17868">
      <c r="F17868" s="13"/>
      <c r="M17868" s="13"/>
    </row>
    <row r="17869">
      <c r="F17869" s="13"/>
      <c r="M17869" s="13"/>
    </row>
    <row r="17870">
      <c r="F17870" s="13"/>
      <c r="M17870" s="13"/>
    </row>
    <row r="17871">
      <c r="F17871" s="13"/>
      <c r="M17871" s="13"/>
    </row>
    <row r="17872">
      <c r="F17872" s="13"/>
      <c r="M17872" s="13"/>
    </row>
    <row r="17873">
      <c r="F17873" s="13"/>
      <c r="M17873" s="13"/>
    </row>
    <row r="17874">
      <c r="F17874" s="13"/>
      <c r="M17874" s="13"/>
    </row>
    <row r="17875">
      <c r="F17875" s="13"/>
      <c r="M17875" s="13"/>
    </row>
    <row r="17876">
      <c r="F17876" s="13"/>
      <c r="M17876" s="13"/>
    </row>
    <row r="17877">
      <c r="F17877" s="13"/>
      <c r="M17877" s="13"/>
    </row>
    <row r="17878">
      <c r="F17878" s="13"/>
      <c r="M17878" s="13"/>
    </row>
    <row r="17879">
      <c r="F17879" s="13"/>
      <c r="M17879" s="13"/>
    </row>
    <row r="17880">
      <c r="F17880" s="13"/>
      <c r="M17880" s="13"/>
    </row>
    <row r="17881">
      <c r="F17881" s="13"/>
      <c r="M17881" s="13"/>
    </row>
    <row r="17882">
      <c r="F17882" s="13"/>
      <c r="M17882" s="13"/>
    </row>
    <row r="17883">
      <c r="F17883" s="13"/>
      <c r="M17883" s="13"/>
    </row>
    <row r="17884">
      <c r="F17884" s="13"/>
      <c r="M17884" s="13"/>
    </row>
    <row r="17885">
      <c r="F17885" s="13"/>
      <c r="M17885" s="13"/>
    </row>
    <row r="17886">
      <c r="F17886" s="13"/>
      <c r="M17886" s="13"/>
    </row>
    <row r="17887">
      <c r="F17887" s="13"/>
      <c r="M17887" s="13"/>
    </row>
    <row r="17888">
      <c r="F17888" s="13"/>
      <c r="M17888" s="13"/>
    </row>
    <row r="17889">
      <c r="F17889" s="13"/>
      <c r="M17889" s="13"/>
    </row>
    <row r="17890">
      <c r="F17890" s="13"/>
      <c r="M17890" s="13"/>
    </row>
    <row r="17891">
      <c r="F17891" s="13"/>
      <c r="M17891" s="13"/>
    </row>
    <row r="17892">
      <c r="F17892" s="13"/>
      <c r="M17892" s="13"/>
    </row>
    <row r="17893">
      <c r="F17893" s="13"/>
      <c r="M17893" s="13"/>
    </row>
    <row r="17894">
      <c r="F17894" s="13"/>
      <c r="M17894" s="13"/>
    </row>
    <row r="17895">
      <c r="F17895" s="13"/>
      <c r="M17895" s="13"/>
    </row>
    <row r="17896">
      <c r="F17896" s="13"/>
      <c r="M17896" s="13"/>
    </row>
    <row r="17897">
      <c r="F17897" s="13"/>
      <c r="M17897" s="13"/>
    </row>
    <row r="17898">
      <c r="F17898" s="13"/>
      <c r="M17898" s="13"/>
    </row>
    <row r="17899">
      <c r="F17899" s="13"/>
      <c r="M17899" s="13"/>
    </row>
    <row r="17900">
      <c r="F17900" s="13"/>
      <c r="M17900" s="13"/>
    </row>
    <row r="17901">
      <c r="F17901" s="13"/>
      <c r="M17901" s="13"/>
    </row>
    <row r="17902">
      <c r="F17902" s="13"/>
      <c r="M17902" s="13"/>
    </row>
    <row r="17903">
      <c r="F17903" s="13"/>
      <c r="M17903" s="13"/>
    </row>
    <row r="17904">
      <c r="F17904" s="13"/>
      <c r="M17904" s="13"/>
    </row>
    <row r="17905">
      <c r="F17905" s="13"/>
      <c r="M17905" s="13"/>
    </row>
    <row r="17906">
      <c r="F17906" s="13"/>
      <c r="M17906" s="13"/>
    </row>
    <row r="17907">
      <c r="F17907" s="13"/>
      <c r="M17907" s="13"/>
    </row>
    <row r="17908">
      <c r="F17908" s="13"/>
      <c r="M17908" s="13"/>
    </row>
    <row r="17909">
      <c r="F17909" s="13"/>
      <c r="M17909" s="13"/>
    </row>
    <row r="17910">
      <c r="F17910" s="13"/>
      <c r="M17910" s="13"/>
    </row>
    <row r="17911">
      <c r="F17911" s="13"/>
      <c r="M17911" s="13"/>
    </row>
    <row r="17912">
      <c r="F17912" s="13"/>
      <c r="M17912" s="13"/>
    </row>
    <row r="17913">
      <c r="F17913" s="13"/>
      <c r="M17913" s="13"/>
    </row>
    <row r="17914">
      <c r="F17914" s="13"/>
      <c r="M17914" s="13"/>
    </row>
    <row r="17915">
      <c r="F17915" s="13"/>
      <c r="M17915" s="13"/>
    </row>
    <row r="17916">
      <c r="F17916" s="13"/>
      <c r="M17916" s="13"/>
    </row>
    <row r="17917">
      <c r="F17917" s="13"/>
      <c r="M17917" s="13"/>
    </row>
    <row r="17918">
      <c r="F17918" s="13"/>
      <c r="M17918" s="13"/>
    </row>
    <row r="17919">
      <c r="F17919" s="13"/>
      <c r="M17919" s="13"/>
    </row>
    <row r="17920">
      <c r="F17920" s="13"/>
      <c r="M17920" s="13"/>
    </row>
    <row r="17921">
      <c r="F17921" s="13"/>
      <c r="M17921" s="13"/>
    </row>
    <row r="17922">
      <c r="F17922" s="13"/>
      <c r="M17922" s="13"/>
    </row>
    <row r="17923">
      <c r="F17923" s="13"/>
      <c r="M17923" s="13"/>
    </row>
    <row r="17924">
      <c r="F17924" s="13"/>
      <c r="M17924" s="13"/>
    </row>
    <row r="17925">
      <c r="F17925" s="13"/>
      <c r="M17925" s="13"/>
    </row>
    <row r="17926">
      <c r="F17926" s="13"/>
      <c r="M17926" s="13"/>
    </row>
    <row r="17927">
      <c r="F17927" s="13"/>
      <c r="M17927" s="13"/>
    </row>
    <row r="17928">
      <c r="F17928" s="13"/>
      <c r="M17928" s="13"/>
    </row>
    <row r="17929">
      <c r="F17929" s="13"/>
      <c r="M17929" s="13"/>
    </row>
    <row r="17930">
      <c r="F17930" s="13"/>
      <c r="M17930" s="13"/>
    </row>
    <row r="17931">
      <c r="F17931" s="13"/>
      <c r="M17931" s="13"/>
    </row>
    <row r="17932">
      <c r="F17932" s="13"/>
      <c r="M17932" s="13"/>
    </row>
    <row r="17933">
      <c r="F17933" s="13"/>
      <c r="M17933" s="13"/>
    </row>
    <row r="17934">
      <c r="F17934" s="13"/>
      <c r="M17934" s="13"/>
    </row>
    <row r="17935">
      <c r="F17935" s="13"/>
      <c r="M17935" s="13"/>
    </row>
    <row r="17936">
      <c r="F17936" s="13"/>
      <c r="M17936" s="13"/>
    </row>
    <row r="17937">
      <c r="F17937" s="13"/>
      <c r="M17937" s="13"/>
    </row>
    <row r="17938">
      <c r="F17938" s="13"/>
      <c r="M17938" s="13"/>
    </row>
    <row r="17939">
      <c r="F17939" s="13"/>
      <c r="M17939" s="13"/>
    </row>
    <row r="17940">
      <c r="F17940" s="13"/>
      <c r="M17940" s="13"/>
    </row>
    <row r="17941">
      <c r="F17941" s="13"/>
      <c r="M17941" s="13"/>
    </row>
    <row r="17942">
      <c r="F17942" s="13"/>
      <c r="M17942" s="13"/>
    </row>
    <row r="17943">
      <c r="F17943" s="13"/>
      <c r="M17943" s="13"/>
    </row>
    <row r="17944">
      <c r="F17944" s="13"/>
      <c r="M17944" s="13"/>
    </row>
    <row r="17945">
      <c r="F17945" s="13"/>
      <c r="M17945" s="13"/>
    </row>
    <row r="17946">
      <c r="F17946" s="13"/>
      <c r="M17946" s="13"/>
    </row>
    <row r="17947">
      <c r="F17947" s="13"/>
      <c r="M17947" s="13"/>
    </row>
    <row r="17948">
      <c r="F17948" s="13"/>
      <c r="M17948" s="13"/>
    </row>
    <row r="17949">
      <c r="F17949" s="13"/>
      <c r="M17949" s="13"/>
    </row>
    <row r="17950">
      <c r="F17950" s="13"/>
      <c r="M17950" s="13"/>
    </row>
    <row r="17951">
      <c r="F17951" s="13"/>
      <c r="M17951" s="13"/>
    </row>
    <row r="17952">
      <c r="F17952" s="13"/>
      <c r="M17952" s="13"/>
    </row>
    <row r="17953">
      <c r="F17953" s="13"/>
      <c r="M17953" s="13"/>
    </row>
    <row r="17954">
      <c r="F17954" s="13"/>
      <c r="M17954" s="13"/>
    </row>
    <row r="17955">
      <c r="F17955" s="13"/>
      <c r="M17955" s="13"/>
    </row>
    <row r="17956">
      <c r="F17956" s="13"/>
      <c r="M17956" s="13"/>
    </row>
    <row r="17957">
      <c r="F17957" s="13"/>
      <c r="M17957" s="13"/>
    </row>
    <row r="17958">
      <c r="F17958" s="13"/>
      <c r="M17958" s="13"/>
    </row>
    <row r="17959">
      <c r="F17959" s="13"/>
      <c r="M17959" s="13"/>
    </row>
    <row r="17960">
      <c r="F17960" s="13"/>
      <c r="M17960" s="13"/>
    </row>
    <row r="17961">
      <c r="F17961" s="13"/>
      <c r="M17961" s="13"/>
    </row>
    <row r="17962">
      <c r="F17962" s="13"/>
      <c r="M17962" s="13"/>
    </row>
    <row r="17963">
      <c r="F17963" s="13"/>
      <c r="M17963" s="13"/>
    </row>
    <row r="17964">
      <c r="F17964" s="13"/>
      <c r="M17964" s="13"/>
    </row>
    <row r="17965">
      <c r="F17965" s="13"/>
      <c r="M17965" s="13"/>
    </row>
    <row r="17966">
      <c r="F17966" s="13"/>
      <c r="M17966" s="13"/>
    </row>
    <row r="17967">
      <c r="F17967" s="13"/>
      <c r="M17967" s="13"/>
    </row>
    <row r="17968">
      <c r="F17968" s="13"/>
      <c r="M17968" s="13"/>
    </row>
    <row r="17969">
      <c r="F17969" s="13"/>
      <c r="M17969" s="13"/>
    </row>
    <row r="17970">
      <c r="F17970" s="13"/>
      <c r="M17970" s="13"/>
    </row>
    <row r="17971">
      <c r="F17971" s="13"/>
      <c r="M17971" s="13"/>
    </row>
    <row r="17972">
      <c r="F17972" s="13"/>
      <c r="M17972" s="13"/>
    </row>
    <row r="17973">
      <c r="F17973" s="13"/>
      <c r="M17973" s="13"/>
    </row>
    <row r="17974">
      <c r="F17974" s="13"/>
      <c r="M17974" s="13"/>
    </row>
    <row r="17975">
      <c r="F17975" s="13"/>
      <c r="M17975" s="13"/>
    </row>
    <row r="17976">
      <c r="F17976" s="13"/>
      <c r="M17976" s="13"/>
    </row>
    <row r="17977">
      <c r="F17977" s="13"/>
      <c r="M17977" s="13"/>
    </row>
    <row r="17978">
      <c r="F17978" s="13"/>
      <c r="M17978" s="13"/>
    </row>
    <row r="17979">
      <c r="F17979" s="13"/>
      <c r="M17979" s="13"/>
    </row>
    <row r="17980">
      <c r="F17980" s="13"/>
      <c r="M17980" s="13"/>
    </row>
    <row r="17981">
      <c r="F17981" s="13"/>
      <c r="M17981" s="13"/>
    </row>
    <row r="17982">
      <c r="F17982" s="13"/>
      <c r="M17982" s="13"/>
    </row>
    <row r="17983">
      <c r="F17983" s="13"/>
      <c r="M17983" s="13"/>
    </row>
    <row r="17984">
      <c r="F17984" s="13"/>
      <c r="M17984" s="13"/>
    </row>
    <row r="17985">
      <c r="F17985" s="13"/>
      <c r="M17985" s="13"/>
    </row>
    <row r="17986">
      <c r="F17986" s="13"/>
      <c r="M17986" s="13"/>
    </row>
    <row r="17987">
      <c r="F17987" s="13"/>
      <c r="M17987" s="13"/>
    </row>
    <row r="17988">
      <c r="F17988" s="13"/>
      <c r="M17988" s="13"/>
    </row>
    <row r="17989">
      <c r="F17989" s="13"/>
      <c r="M17989" s="13"/>
    </row>
    <row r="17990">
      <c r="F17990" s="13"/>
      <c r="M17990" s="13"/>
    </row>
    <row r="17991">
      <c r="F17991" s="13"/>
      <c r="M17991" s="13"/>
    </row>
    <row r="17992">
      <c r="F17992" s="13"/>
      <c r="M17992" s="13"/>
    </row>
    <row r="17993">
      <c r="F17993" s="13"/>
      <c r="M17993" s="13"/>
    </row>
    <row r="17994">
      <c r="F17994" s="13"/>
      <c r="M17994" s="13"/>
    </row>
    <row r="17995">
      <c r="F17995" s="13"/>
      <c r="M17995" s="13"/>
    </row>
    <row r="17996">
      <c r="F17996" s="13"/>
      <c r="M17996" s="13"/>
    </row>
    <row r="17997">
      <c r="F17997" s="13"/>
      <c r="M17997" s="13"/>
    </row>
    <row r="17998">
      <c r="F17998" s="13"/>
      <c r="M17998" s="13"/>
    </row>
    <row r="17999">
      <c r="F17999" s="13"/>
      <c r="M17999" s="13"/>
    </row>
    <row r="18000">
      <c r="F18000" s="13"/>
      <c r="M18000" s="13"/>
    </row>
    <row r="18001">
      <c r="F18001" s="13"/>
      <c r="M18001" s="13"/>
    </row>
    <row r="18002">
      <c r="F18002" s="13"/>
      <c r="M18002" s="13"/>
    </row>
    <row r="18003">
      <c r="F18003" s="13"/>
      <c r="M18003" s="13"/>
    </row>
    <row r="18004">
      <c r="F18004" s="13"/>
      <c r="M18004" s="13"/>
    </row>
    <row r="18005">
      <c r="F18005" s="13"/>
      <c r="M18005" s="13"/>
    </row>
    <row r="18006">
      <c r="F18006" s="13"/>
      <c r="M18006" s="13"/>
    </row>
    <row r="18007">
      <c r="F18007" s="13"/>
      <c r="M18007" s="13"/>
    </row>
    <row r="18008">
      <c r="F18008" s="13"/>
      <c r="M18008" s="13"/>
    </row>
    <row r="18009">
      <c r="F18009" s="13"/>
      <c r="M18009" s="13"/>
    </row>
    <row r="18010">
      <c r="F18010" s="13"/>
      <c r="M18010" s="13"/>
    </row>
    <row r="18011">
      <c r="F18011" s="13"/>
      <c r="M18011" s="13"/>
    </row>
    <row r="18012">
      <c r="F18012" s="13"/>
      <c r="M18012" s="13"/>
    </row>
    <row r="18013">
      <c r="F18013" s="13"/>
      <c r="M18013" s="13"/>
    </row>
    <row r="18014">
      <c r="F18014" s="13"/>
      <c r="M18014" s="13"/>
    </row>
    <row r="18015">
      <c r="F18015" s="13"/>
      <c r="M18015" s="13"/>
    </row>
    <row r="18016">
      <c r="F18016" s="13"/>
      <c r="M18016" s="13"/>
    </row>
    <row r="18017">
      <c r="F18017" s="13"/>
      <c r="M18017" s="13"/>
    </row>
    <row r="18018">
      <c r="F18018" s="13"/>
      <c r="M18018" s="13"/>
    </row>
    <row r="18019">
      <c r="F18019" s="13"/>
      <c r="M18019" s="13"/>
    </row>
    <row r="18020">
      <c r="F18020" s="13"/>
      <c r="M18020" s="13"/>
    </row>
    <row r="18021">
      <c r="F18021" s="13"/>
      <c r="M18021" s="13"/>
    </row>
    <row r="18022">
      <c r="F18022" s="13"/>
      <c r="M18022" s="13"/>
    </row>
    <row r="18023">
      <c r="F18023" s="13"/>
      <c r="M18023" s="13"/>
    </row>
    <row r="18024">
      <c r="F18024" s="13"/>
      <c r="M18024" s="13"/>
    </row>
    <row r="18025">
      <c r="F18025" s="13"/>
      <c r="M18025" s="13"/>
    </row>
    <row r="18026">
      <c r="F18026" s="13"/>
      <c r="M18026" s="13"/>
    </row>
    <row r="18027">
      <c r="F18027" s="13"/>
      <c r="M18027" s="13"/>
    </row>
    <row r="18028">
      <c r="F18028" s="13"/>
      <c r="M18028" s="13"/>
    </row>
    <row r="18029">
      <c r="F18029" s="13"/>
      <c r="M18029" s="13"/>
    </row>
    <row r="18030">
      <c r="F18030" s="13"/>
      <c r="M18030" s="13"/>
    </row>
    <row r="18031">
      <c r="F18031" s="13"/>
      <c r="M18031" s="13"/>
    </row>
    <row r="18032">
      <c r="F18032" s="13"/>
      <c r="M18032" s="13"/>
    </row>
    <row r="18033">
      <c r="F18033" s="13"/>
      <c r="M18033" s="13"/>
    </row>
    <row r="18034">
      <c r="F18034" s="13"/>
      <c r="M18034" s="13"/>
    </row>
    <row r="18035">
      <c r="F18035" s="13"/>
      <c r="M18035" s="13"/>
    </row>
    <row r="18036">
      <c r="F18036" s="13"/>
      <c r="M18036" s="13"/>
    </row>
    <row r="18037">
      <c r="F18037" s="13"/>
      <c r="M18037" s="13"/>
    </row>
    <row r="18038">
      <c r="F18038" s="13"/>
      <c r="M18038" s="13"/>
    </row>
    <row r="18039">
      <c r="F18039" s="13"/>
      <c r="M18039" s="13"/>
    </row>
    <row r="18040">
      <c r="F18040" s="13"/>
      <c r="M18040" s="13"/>
    </row>
    <row r="18041">
      <c r="F18041" s="13"/>
      <c r="M18041" s="13"/>
    </row>
    <row r="18042">
      <c r="F18042" s="13"/>
      <c r="M18042" s="13"/>
    </row>
    <row r="18043">
      <c r="F18043" s="13"/>
      <c r="M18043" s="13"/>
    </row>
    <row r="18044">
      <c r="F18044" s="13"/>
      <c r="M18044" s="13"/>
    </row>
    <row r="18045">
      <c r="F18045" s="13"/>
      <c r="M18045" s="13"/>
    </row>
    <row r="18046">
      <c r="F18046" s="13"/>
      <c r="M18046" s="13"/>
    </row>
    <row r="18047">
      <c r="F18047" s="13"/>
      <c r="M18047" s="13"/>
    </row>
    <row r="18048">
      <c r="F18048" s="13"/>
      <c r="M18048" s="13"/>
    </row>
    <row r="18049">
      <c r="F18049" s="13"/>
      <c r="M18049" s="13"/>
    </row>
    <row r="18050">
      <c r="F18050" s="13"/>
      <c r="M18050" s="13"/>
    </row>
    <row r="18051">
      <c r="F18051" s="13"/>
      <c r="M18051" s="13"/>
    </row>
    <row r="18052">
      <c r="F18052" s="13"/>
      <c r="M18052" s="13"/>
    </row>
    <row r="18053">
      <c r="F18053" s="13"/>
      <c r="M18053" s="13"/>
    </row>
    <row r="18054">
      <c r="F18054" s="13"/>
      <c r="M18054" s="13"/>
    </row>
    <row r="18055">
      <c r="F18055" s="13"/>
      <c r="M18055" s="13"/>
    </row>
    <row r="18056">
      <c r="F18056" s="13"/>
      <c r="M18056" s="13"/>
    </row>
    <row r="18057">
      <c r="F18057" s="13"/>
      <c r="M18057" s="13"/>
    </row>
    <row r="18058">
      <c r="F18058" s="13"/>
      <c r="M18058" s="13"/>
    </row>
    <row r="18059">
      <c r="F18059" s="13"/>
      <c r="M18059" s="13"/>
    </row>
    <row r="18060">
      <c r="F18060" s="13"/>
      <c r="M18060" s="13"/>
    </row>
    <row r="18061">
      <c r="F18061" s="13"/>
      <c r="M18061" s="13"/>
    </row>
    <row r="18062">
      <c r="F18062" s="13"/>
      <c r="M18062" s="13"/>
    </row>
    <row r="18063">
      <c r="F18063" s="13"/>
      <c r="M18063" s="13"/>
    </row>
    <row r="18064">
      <c r="F18064" s="13"/>
      <c r="M18064" s="13"/>
    </row>
    <row r="18065">
      <c r="F18065" s="13"/>
      <c r="M18065" s="13"/>
    </row>
    <row r="18066">
      <c r="F18066" s="13"/>
      <c r="M18066" s="13"/>
    </row>
    <row r="18067">
      <c r="F18067" s="13"/>
      <c r="M18067" s="13"/>
    </row>
    <row r="18068">
      <c r="F18068" s="13"/>
      <c r="M18068" s="13"/>
    </row>
    <row r="18069">
      <c r="F18069" s="13"/>
      <c r="M18069" s="13"/>
    </row>
    <row r="18070">
      <c r="F18070" s="13"/>
      <c r="M18070" s="13"/>
    </row>
    <row r="18071">
      <c r="F18071" s="13"/>
      <c r="M18071" s="13"/>
    </row>
    <row r="18072">
      <c r="F18072" s="13"/>
      <c r="M18072" s="13"/>
    </row>
    <row r="18073">
      <c r="F18073" s="13"/>
      <c r="M18073" s="13"/>
    </row>
    <row r="18074">
      <c r="F18074" s="13"/>
      <c r="M18074" s="13"/>
    </row>
    <row r="18075">
      <c r="F18075" s="13"/>
      <c r="M18075" s="13"/>
    </row>
    <row r="18076">
      <c r="F18076" s="13"/>
      <c r="M18076" s="13"/>
    </row>
    <row r="18077">
      <c r="F18077" s="13"/>
      <c r="M18077" s="13"/>
    </row>
    <row r="18078">
      <c r="F18078" s="13"/>
      <c r="M18078" s="13"/>
    </row>
    <row r="18079">
      <c r="F18079" s="13"/>
      <c r="M18079" s="13"/>
    </row>
    <row r="18080">
      <c r="F18080" s="13"/>
      <c r="M18080" s="13"/>
    </row>
    <row r="18081">
      <c r="F18081" s="13"/>
      <c r="M18081" s="13"/>
    </row>
    <row r="18082">
      <c r="F18082" s="13"/>
      <c r="M18082" s="13"/>
    </row>
    <row r="18083">
      <c r="F18083" s="13"/>
      <c r="M18083" s="13"/>
    </row>
    <row r="18084">
      <c r="F18084" s="13"/>
      <c r="M18084" s="13"/>
    </row>
    <row r="18085">
      <c r="F18085" s="13"/>
      <c r="M18085" s="13"/>
    </row>
    <row r="18086">
      <c r="F18086" s="13"/>
      <c r="M18086" s="13"/>
    </row>
    <row r="18087">
      <c r="F18087" s="13"/>
      <c r="M18087" s="13"/>
    </row>
    <row r="18088">
      <c r="F18088" s="13"/>
      <c r="M18088" s="13"/>
    </row>
    <row r="18089">
      <c r="F18089" s="13"/>
      <c r="M18089" s="13"/>
    </row>
    <row r="18090">
      <c r="F18090" s="13"/>
      <c r="M18090" s="13"/>
    </row>
    <row r="18091">
      <c r="F18091" s="13"/>
      <c r="M18091" s="13"/>
    </row>
    <row r="18092">
      <c r="F18092" s="13"/>
      <c r="M18092" s="13"/>
    </row>
    <row r="18093">
      <c r="F18093" s="13"/>
      <c r="M18093" s="13"/>
    </row>
    <row r="18094">
      <c r="F18094" s="13"/>
      <c r="M18094" s="13"/>
    </row>
    <row r="18095">
      <c r="F18095" s="13"/>
      <c r="M18095" s="13"/>
    </row>
    <row r="18096">
      <c r="F18096" s="13"/>
      <c r="M18096" s="13"/>
    </row>
    <row r="18097">
      <c r="F18097" s="13"/>
      <c r="M18097" s="13"/>
    </row>
    <row r="18098">
      <c r="F18098" s="13"/>
      <c r="M18098" s="13"/>
    </row>
    <row r="18099">
      <c r="F18099" s="13"/>
      <c r="M18099" s="13"/>
    </row>
    <row r="18100">
      <c r="F18100" s="13"/>
      <c r="M18100" s="13"/>
    </row>
    <row r="18101">
      <c r="F18101" s="13"/>
      <c r="M18101" s="13"/>
    </row>
    <row r="18102">
      <c r="F18102" s="13"/>
      <c r="M18102" s="13"/>
    </row>
    <row r="18103">
      <c r="F18103" s="13"/>
      <c r="M18103" s="13"/>
    </row>
    <row r="18104">
      <c r="F18104" s="13"/>
      <c r="M18104" s="13"/>
    </row>
    <row r="18105">
      <c r="F18105" s="13"/>
      <c r="M18105" s="13"/>
    </row>
    <row r="18106">
      <c r="F18106" s="13"/>
      <c r="M18106" s="13"/>
    </row>
    <row r="18107">
      <c r="F18107" s="13"/>
      <c r="M18107" s="13"/>
    </row>
    <row r="18108">
      <c r="F18108" s="13"/>
      <c r="M18108" s="13"/>
    </row>
    <row r="18109">
      <c r="F18109" s="13"/>
      <c r="M18109" s="13"/>
    </row>
    <row r="18110">
      <c r="F18110" s="13"/>
      <c r="M18110" s="13"/>
    </row>
    <row r="18111">
      <c r="F18111" s="13"/>
      <c r="M18111" s="13"/>
    </row>
    <row r="18112">
      <c r="F18112" s="13"/>
      <c r="M18112" s="13"/>
    </row>
    <row r="18113">
      <c r="F18113" s="13"/>
      <c r="M18113" s="13"/>
    </row>
    <row r="18114">
      <c r="F18114" s="13"/>
      <c r="M18114" s="13"/>
    </row>
    <row r="18115">
      <c r="F18115" s="13"/>
      <c r="M18115" s="13"/>
    </row>
    <row r="18116">
      <c r="F18116" s="13"/>
      <c r="M18116" s="13"/>
    </row>
    <row r="18117">
      <c r="F18117" s="13"/>
      <c r="M18117" s="13"/>
    </row>
    <row r="18118">
      <c r="F18118" s="13"/>
      <c r="M18118" s="13"/>
    </row>
    <row r="18119">
      <c r="F18119" s="13"/>
      <c r="M18119" s="13"/>
    </row>
    <row r="18120">
      <c r="F18120" s="13"/>
      <c r="M18120" s="13"/>
    </row>
    <row r="18121">
      <c r="F18121" s="13"/>
      <c r="M18121" s="13"/>
    </row>
    <row r="18122">
      <c r="F18122" s="13"/>
      <c r="M18122" s="13"/>
    </row>
    <row r="18123">
      <c r="F18123" s="13"/>
      <c r="M18123" s="13"/>
    </row>
    <row r="18124">
      <c r="F18124" s="13"/>
      <c r="M18124" s="13"/>
    </row>
    <row r="18125">
      <c r="F18125" s="13"/>
      <c r="M18125" s="13"/>
    </row>
    <row r="18126">
      <c r="F18126" s="13"/>
      <c r="M18126" s="13"/>
    </row>
    <row r="18127">
      <c r="F18127" s="13"/>
      <c r="M18127" s="13"/>
    </row>
    <row r="18128">
      <c r="F18128" s="13"/>
      <c r="M18128" s="13"/>
    </row>
    <row r="18129">
      <c r="F18129" s="13"/>
      <c r="M18129" s="13"/>
    </row>
    <row r="18130">
      <c r="F18130" s="13"/>
      <c r="M18130" s="13"/>
    </row>
    <row r="18131">
      <c r="F18131" s="13"/>
      <c r="M18131" s="13"/>
    </row>
    <row r="18132">
      <c r="F18132" s="13"/>
      <c r="M18132" s="13"/>
    </row>
    <row r="18133">
      <c r="F18133" s="13"/>
      <c r="M18133" s="13"/>
    </row>
    <row r="18134">
      <c r="F18134" s="13"/>
      <c r="M18134" s="13"/>
    </row>
    <row r="18135">
      <c r="F18135" s="13"/>
      <c r="M18135" s="13"/>
    </row>
    <row r="18136">
      <c r="F18136" s="13"/>
      <c r="M18136" s="13"/>
    </row>
    <row r="18137">
      <c r="F18137" s="13"/>
      <c r="M18137" s="13"/>
    </row>
    <row r="18138">
      <c r="F18138" s="13"/>
      <c r="M18138" s="13"/>
    </row>
    <row r="18139">
      <c r="F18139" s="13"/>
      <c r="M18139" s="13"/>
    </row>
    <row r="18140">
      <c r="F18140" s="13"/>
      <c r="M18140" s="13"/>
    </row>
    <row r="18141">
      <c r="F18141" s="13"/>
      <c r="M18141" s="13"/>
    </row>
    <row r="18142">
      <c r="F18142" s="13"/>
      <c r="M18142" s="13"/>
    </row>
    <row r="18143">
      <c r="F18143" s="13"/>
      <c r="M18143" s="13"/>
    </row>
    <row r="18144">
      <c r="F18144" s="13"/>
      <c r="M18144" s="13"/>
    </row>
    <row r="18145">
      <c r="F18145" s="13"/>
      <c r="M18145" s="13"/>
    </row>
    <row r="18146">
      <c r="F18146" s="13"/>
      <c r="M18146" s="13"/>
    </row>
    <row r="18147">
      <c r="F18147" s="13"/>
      <c r="M18147" s="13"/>
    </row>
    <row r="18148">
      <c r="F18148" s="13"/>
      <c r="M18148" s="13"/>
    </row>
    <row r="18149">
      <c r="F18149" s="13"/>
      <c r="M18149" s="13"/>
    </row>
    <row r="18150">
      <c r="F18150" s="13"/>
      <c r="M18150" s="13"/>
    </row>
    <row r="18151">
      <c r="F18151" s="13"/>
      <c r="M18151" s="13"/>
    </row>
    <row r="18152">
      <c r="F18152" s="13"/>
      <c r="M18152" s="13"/>
    </row>
    <row r="18153">
      <c r="F18153" s="13"/>
      <c r="M18153" s="13"/>
    </row>
    <row r="18154">
      <c r="F18154" s="13"/>
      <c r="M18154" s="13"/>
    </row>
    <row r="18155">
      <c r="F18155" s="13"/>
      <c r="M18155" s="13"/>
    </row>
    <row r="18156">
      <c r="F18156" s="13"/>
      <c r="M18156" s="13"/>
    </row>
    <row r="18157">
      <c r="F18157" s="13"/>
      <c r="M18157" s="13"/>
    </row>
    <row r="18158">
      <c r="F18158" s="13"/>
      <c r="M18158" s="13"/>
    </row>
    <row r="18159">
      <c r="F18159" s="13"/>
      <c r="M18159" s="13"/>
    </row>
    <row r="18160">
      <c r="F18160" s="13"/>
      <c r="M18160" s="13"/>
    </row>
    <row r="18161">
      <c r="F18161" s="13"/>
      <c r="M18161" s="13"/>
    </row>
    <row r="18162">
      <c r="F18162" s="13"/>
      <c r="M18162" s="13"/>
    </row>
    <row r="18163">
      <c r="F18163" s="13"/>
      <c r="M18163" s="13"/>
    </row>
    <row r="18164">
      <c r="F18164" s="13"/>
      <c r="M18164" s="13"/>
    </row>
    <row r="18165">
      <c r="F18165" s="13"/>
      <c r="M18165" s="13"/>
    </row>
    <row r="18166">
      <c r="F18166" s="13"/>
      <c r="M18166" s="13"/>
    </row>
    <row r="18167">
      <c r="F18167" s="13"/>
      <c r="M18167" s="13"/>
    </row>
    <row r="18168">
      <c r="F18168" s="13"/>
      <c r="M18168" s="13"/>
    </row>
    <row r="18169">
      <c r="F18169" s="13"/>
      <c r="M18169" s="13"/>
    </row>
    <row r="18170">
      <c r="F18170" s="13"/>
      <c r="M18170" s="13"/>
    </row>
    <row r="18171">
      <c r="F18171" s="13"/>
      <c r="M18171" s="13"/>
    </row>
    <row r="18172">
      <c r="F18172" s="13"/>
      <c r="M18172" s="13"/>
    </row>
    <row r="18173">
      <c r="F18173" s="13"/>
      <c r="M18173" s="13"/>
    </row>
    <row r="18174">
      <c r="F18174" s="13"/>
      <c r="M18174" s="13"/>
    </row>
    <row r="18175">
      <c r="F18175" s="13"/>
      <c r="M18175" s="13"/>
    </row>
    <row r="18176">
      <c r="F18176" s="13"/>
      <c r="M18176" s="13"/>
    </row>
    <row r="18177">
      <c r="F18177" s="13"/>
      <c r="M18177" s="13"/>
    </row>
    <row r="18178">
      <c r="F18178" s="13"/>
      <c r="M18178" s="13"/>
    </row>
    <row r="18179">
      <c r="F18179" s="13"/>
      <c r="M18179" s="13"/>
    </row>
    <row r="18180">
      <c r="F18180" s="13"/>
      <c r="M18180" s="13"/>
    </row>
    <row r="18181">
      <c r="F18181" s="13"/>
      <c r="M18181" s="13"/>
    </row>
    <row r="18182">
      <c r="F18182" s="13"/>
      <c r="M18182" s="13"/>
    </row>
    <row r="18183">
      <c r="F18183" s="13"/>
      <c r="M18183" s="13"/>
    </row>
    <row r="18184">
      <c r="F18184" s="13"/>
      <c r="M18184" s="13"/>
    </row>
    <row r="18185">
      <c r="F18185" s="13"/>
      <c r="M18185" s="13"/>
    </row>
    <row r="18186">
      <c r="F18186" s="13"/>
      <c r="M18186" s="13"/>
    </row>
    <row r="18187">
      <c r="F18187" s="13"/>
      <c r="M18187" s="13"/>
    </row>
    <row r="18188">
      <c r="F18188" s="13"/>
      <c r="M18188" s="13"/>
    </row>
    <row r="18189">
      <c r="F18189" s="13"/>
      <c r="M18189" s="13"/>
    </row>
    <row r="18190">
      <c r="F18190" s="13"/>
      <c r="M18190" s="13"/>
    </row>
    <row r="18191">
      <c r="F18191" s="13"/>
      <c r="M18191" s="13"/>
    </row>
    <row r="18192">
      <c r="F18192" s="13"/>
      <c r="M18192" s="13"/>
    </row>
    <row r="18193">
      <c r="F18193" s="13"/>
      <c r="M18193" s="13"/>
    </row>
    <row r="18194">
      <c r="F18194" s="13"/>
      <c r="M18194" s="13"/>
    </row>
    <row r="18195">
      <c r="F18195" s="13"/>
      <c r="M18195" s="13"/>
    </row>
    <row r="18196">
      <c r="F18196" s="13"/>
      <c r="M18196" s="13"/>
    </row>
    <row r="18197">
      <c r="F18197" s="13"/>
      <c r="M18197" s="13"/>
    </row>
    <row r="18198">
      <c r="F18198" s="13"/>
      <c r="M18198" s="13"/>
    </row>
    <row r="18199">
      <c r="F18199" s="13"/>
      <c r="M18199" s="13"/>
    </row>
    <row r="18200">
      <c r="F18200" s="13"/>
      <c r="M18200" s="13"/>
    </row>
    <row r="18201">
      <c r="F18201" s="13"/>
      <c r="M18201" s="13"/>
    </row>
    <row r="18202">
      <c r="F18202" s="13"/>
      <c r="M18202" s="13"/>
    </row>
    <row r="18203">
      <c r="F18203" s="13"/>
      <c r="M18203" s="13"/>
    </row>
    <row r="18204">
      <c r="F18204" s="13"/>
      <c r="M18204" s="13"/>
    </row>
    <row r="18205">
      <c r="F18205" s="13"/>
      <c r="M18205" s="13"/>
    </row>
    <row r="18206">
      <c r="F18206" s="13"/>
      <c r="M18206" s="13"/>
    </row>
    <row r="18207">
      <c r="F18207" s="13"/>
      <c r="M18207" s="13"/>
    </row>
    <row r="18208">
      <c r="F18208" s="13"/>
      <c r="M18208" s="13"/>
    </row>
    <row r="18209">
      <c r="F18209" s="13"/>
      <c r="M18209" s="13"/>
    </row>
    <row r="18210">
      <c r="F18210" s="13"/>
      <c r="M18210" s="13"/>
    </row>
    <row r="18211">
      <c r="F18211" s="13"/>
      <c r="M18211" s="13"/>
    </row>
    <row r="18212">
      <c r="F18212" s="13"/>
      <c r="M18212" s="13"/>
    </row>
    <row r="18213">
      <c r="F18213" s="13"/>
      <c r="M18213" s="13"/>
    </row>
    <row r="18214">
      <c r="F18214" s="13"/>
      <c r="M18214" s="13"/>
    </row>
    <row r="18215">
      <c r="F18215" s="13"/>
      <c r="M18215" s="13"/>
    </row>
    <row r="18216">
      <c r="F18216" s="13"/>
      <c r="M18216" s="13"/>
    </row>
    <row r="18217">
      <c r="F18217" s="13"/>
      <c r="M18217" s="13"/>
    </row>
    <row r="18218">
      <c r="F18218" s="13"/>
      <c r="M18218" s="13"/>
    </row>
    <row r="18219">
      <c r="F18219" s="13"/>
      <c r="M18219" s="13"/>
    </row>
    <row r="18220">
      <c r="F18220" s="13"/>
      <c r="M18220" s="13"/>
    </row>
    <row r="18221">
      <c r="F18221" s="13"/>
      <c r="M18221" s="13"/>
    </row>
    <row r="18222">
      <c r="F18222" s="13"/>
      <c r="M18222" s="13"/>
    </row>
    <row r="18223">
      <c r="F18223" s="13"/>
      <c r="M18223" s="13"/>
    </row>
    <row r="18224">
      <c r="F18224" s="13"/>
      <c r="M18224" s="13"/>
    </row>
    <row r="18225">
      <c r="F18225" s="13"/>
      <c r="M18225" s="13"/>
    </row>
    <row r="18226">
      <c r="F18226" s="13"/>
      <c r="M18226" s="13"/>
    </row>
    <row r="18227">
      <c r="F18227" s="13"/>
      <c r="M18227" s="13"/>
    </row>
    <row r="18228">
      <c r="F18228" s="13"/>
      <c r="M18228" s="13"/>
    </row>
    <row r="18229">
      <c r="F18229" s="13"/>
      <c r="M18229" s="13"/>
    </row>
    <row r="18230">
      <c r="F18230" s="13"/>
      <c r="M18230" s="13"/>
    </row>
    <row r="18231">
      <c r="F18231" s="13"/>
      <c r="M18231" s="13"/>
    </row>
    <row r="18232">
      <c r="F18232" s="13"/>
      <c r="M18232" s="13"/>
    </row>
    <row r="18233">
      <c r="F18233" s="13"/>
      <c r="M18233" s="13"/>
    </row>
    <row r="18234">
      <c r="F18234" s="13"/>
      <c r="M18234" s="13"/>
    </row>
    <row r="18235">
      <c r="F18235" s="13"/>
      <c r="M18235" s="13"/>
    </row>
    <row r="18236">
      <c r="F18236" s="13"/>
      <c r="M18236" s="13"/>
    </row>
    <row r="18237">
      <c r="F18237" s="13"/>
      <c r="M18237" s="13"/>
    </row>
    <row r="18238">
      <c r="F18238" s="13"/>
      <c r="M18238" s="13"/>
    </row>
    <row r="18239">
      <c r="F18239" s="13"/>
      <c r="M18239" s="13"/>
    </row>
    <row r="18240">
      <c r="F18240" s="13"/>
      <c r="M18240" s="13"/>
    </row>
    <row r="18241">
      <c r="F18241" s="13"/>
      <c r="M18241" s="13"/>
    </row>
    <row r="18242">
      <c r="F18242" s="13"/>
      <c r="M18242" s="13"/>
    </row>
    <row r="18243">
      <c r="F18243" s="13"/>
      <c r="M18243" s="13"/>
    </row>
    <row r="18244">
      <c r="F18244" s="13"/>
      <c r="M18244" s="13"/>
    </row>
    <row r="18245">
      <c r="F18245" s="13"/>
      <c r="M18245" s="13"/>
    </row>
    <row r="18246">
      <c r="F18246" s="13"/>
      <c r="M18246" s="13"/>
    </row>
    <row r="18247">
      <c r="F18247" s="13"/>
      <c r="M18247" s="13"/>
    </row>
    <row r="18248">
      <c r="F18248" s="13"/>
      <c r="M18248" s="13"/>
    </row>
    <row r="18249">
      <c r="F18249" s="13"/>
      <c r="M18249" s="13"/>
    </row>
    <row r="18250">
      <c r="F18250" s="13"/>
      <c r="M18250" s="13"/>
    </row>
    <row r="18251">
      <c r="F18251" s="13"/>
      <c r="M18251" s="13"/>
    </row>
    <row r="18252">
      <c r="F18252" s="13"/>
      <c r="M18252" s="13"/>
    </row>
    <row r="18253">
      <c r="F18253" s="13"/>
      <c r="M18253" s="13"/>
    </row>
    <row r="18254">
      <c r="F18254" s="13"/>
      <c r="M18254" s="13"/>
    </row>
    <row r="18255">
      <c r="F18255" s="13"/>
      <c r="M18255" s="13"/>
    </row>
    <row r="18256">
      <c r="F18256" s="13"/>
      <c r="M18256" s="13"/>
    </row>
    <row r="18257">
      <c r="F18257" s="13"/>
      <c r="M18257" s="13"/>
    </row>
    <row r="18258">
      <c r="F18258" s="13"/>
      <c r="M18258" s="13"/>
    </row>
    <row r="18259">
      <c r="F18259" s="13"/>
      <c r="M18259" s="13"/>
    </row>
    <row r="18260">
      <c r="F18260" s="13"/>
      <c r="M18260" s="13"/>
    </row>
    <row r="18261">
      <c r="F18261" s="13"/>
      <c r="M18261" s="13"/>
    </row>
    <row r="18262">
      <c r="F18262" s="13"/>
      <c r="M18262" s="13"/>
    </row>
    <row r="18263">
      <c r="F18263" s="13"/>
      <c r="M18263" s="13"/>
    </row>
    <row r="18264">
      <c r="F18264" s="13"/>
      <c r="M18264" s="13"/>
    </row>
    <row r="18265">
      <c r="F18265" s="13"/>
      <c r="M18265" s="13"/>
    </row>
    <row r="18266">
      <c r="F18266" s="13"/>
      <c r="M18266" s="13"/>
    </row>
    <row r="18267">
      <c r="F18267" s="13"/>
      <c r="M18267" s="13"/>
    </row>
    <row r="18268">
      <c r="F18268" s="13"/>
      <c r="M18268" s="13"/>
    </row>
    <row r="18269">
      <c r="F18269" s="13"/>
      <c r="M18269" s="13"/>
    </row>
    <row r="18270">
      <c r="F18270" s="13"/>
      <c r="M18270" s="13"/>
    </row>
    <row r="18271">
      <c r="F18271" s="13"/>
      <c r="M18271" s="13"/>
    </row>
    <row r="18272">
      <c r="F18272" s="13"/>
      <c r="M18272" s="13"/>
    </row>
    <row r="18273">
      <c r="F18273" s="13"/>
      <c r="M18273" s="13"/>
    </row>
    <row r="18274">
      <c r="F18274" s="13"/>
      <c r="M18274" s="13"/>
    </row>
    <row r="18275">
      <c r="F18275" s="13"/>
      <c r="M18275" s="13"/>
    </row>
    <row r="18276">
      <c r="F18276" s="13"/>
      <c r="M18276" s="13"/>
    </row>
    <row r="18277">
      <c r="F18277" s="13"/>
      <c r="M18277" s="13"/>
    </row>
    <row r="18278">
      <c r="F18278" s="13"/>
      <c r="M18278" s="13"/>
    </row>
    <row r="18279">
      <c r="F18279" s="13"/>
      <c r="M18279" s="13"/>
    </row>
    <row r="18280">
      <c r="F18280" s="13"/>
      <c r="M18280" s="13"/>
    </row>
    <row r="18281">
      <c r="F18281" s="13"/>
      <c r="M18281" s="13"/>
    </row>
    <row r="18282">
      <c r="F18282" s="13"/>
      <c r="M18282" s="13"/>
    </row>
    <row r="18283">
      <c r="F18283" s="13"/>
      <c r="M18283" s="13"/>
    </row>
    <row r="18284">
      <c r="F18284" s="13"/>
      <c r="M18284" s="13"/>
    </row>
    <row r="18285">
      <c r="F18285" s="13"/>
      <c r="M18285" s="13"/>
    </row>
    <row r="18286">
      <c r="F18286" s="13"/>
      <c r="M18286" s="13"/>
    </row>
    <row r="18287">
      <c r="F18287" s="13"/>
      <c r="M18287" s="13"/>
    </row>
    <row r="18288">
      <c r="F18288" s="13"/>
      <c r="M18288" s="13"/>
    </row>
    <row r="18289">
      <c r="F18289" s="13"/>
      <c r="M18289" s="13"/>
    </row>
    <row r="18290">
      <c r="F18290" s="13"/>
      <c r="M18290" s="13"/>
    </row>
    <row r="18291">
      <c r="F18291" s="13"/>
      <c r="M18291" s="13"/>
    </row>
    <row r="18292">
      <c r="F18292" s="13"/>
      <c r="M18292" s="13"/>
    </row>
    <row r="18293">
      <c r="F18293" s="13"/>
      <c r="M18293" s="13"/>
    </row>
    <row r="18294">
      <c r="F18294" s="13"/>
      <c r="M18294" s="13"/>
    </row>
    <row r="18295">
      <c r="F18295" s="13"/>
      <c r="M18295" s="13"/>
    </row>
    <row r="18296">
      <c r="F18296" s="13"/>
      <c r="M18296" s="13"/>
    </row>
    <row r="18297">
      <c r="F18297" s="13"/>
      <c r="M18297" s="13"/>
    </row>
    <row r="18298">
      <c r="F18298" s="13"/>
      <c r="M18298" s="13"/>
    </row>
    <row r="18299">
      <c r="F18299" s="13"/>
      <c r="M18299" s="13"/>
    </row>
    <row r="18300">
      <c r="F18300" s="13"/>
      <c r="M18300" s="13"/>
    </row>
    <row r="18301">
      <c r="F18301" s="13"/>
      <c r="M18301" s="13"/>
    </row>
    <row r="18302">
      <c r="F18302" s="13"/>
      <c r="M18302" s="13"/>
    </row>
    <row r="18303">
      <c r="F18303" s="13"/>
      <c r="M18303" s="13"/>
    </row>
    <row r="18304">
      <c r="F18304" s="13"/>
      <c r="M18304" s="13"/>
    </row>
    <row r="18305">
      <c r="F18305" s="13"/>
      <c r="M18305" s="13"/>
    </row>
    <row r="18306">
      <c r="F18306" s="13"/>
      <c r="M18306" s="13"/>
    </row>
    <row r="18307">
      <c r="F18307" s="13"/>
      <c r="M18307" s="13"/>
    </row>
    <row r="18308">
      <c r="F18308" s="13"/>
      <c r="M18308" s="13"/>
    </row>
    <row r="18309">
      <c r="F18309" s="13"/>
      <c r="M18309" s="13"/>
    </row>
    <row r="18310">
      <c r="F18310" s="13"/>
      <c r="M18310" s="13"/>
    </row>
    <row r="18311">
      <c r="F18311" s="13"/>
      <c r="M18311" s="13"/>
    </row>
    <row r="18312">
      <c r="F18312" s="13"/>
      <c r="M18312" s="13"/>
    </row>
    <row r="18313">
      <c r="F18313" s="13"/>
      <c r="M18313" s="13"/>
    </row>
    <row r="18314">
      <c r="F18314" s="13"/>
      <c r="M18314" s="13"/>
    </row>
    <row r="18315">
      <c r="F18315" s="13"/>
      <c r="M18315" s="13"/>
    </row>
    <row r="18316">
      <c r="F18316" s="13"/>
      <c r="M18316" s="13"/>
    </row>
    <row r="18317">
      <c r="F18317" s="13"/>
      <c r="M18317" s="13"/>
    </row>
    <row r="18318">
      <c r="F18318" s="13"/>
      <c r="M18318" s="13"/>
    </row>
    <row r="18319">
      <c r="F18319" s="13"/>
      <c r="M18319" s="13"/>
    </row>
    <row r="18320">
      <c r="F18320" s="13"/>
      <c r="M18320" s="13"/>
    </row>
    <row r="18321">
      <c r="F18321" s="13"/>
      <c r="M18321" s="13"/>
    </row>
    <row r="18322">
      <c r="F18322" s="13"/>
      <c r="M18322" s="13"/>
    </row>
    <row r="18323">
      <c r="F18323" s="13"/>
      <c r="M18323" s="13"/>
    </row>
    <row r="18324">
      <c r="F18324" s="13"/>
      <c r="M18324" s="13"/>
    </row>
    <row r="18325">
      <c r="F18325" s="13"/>
      <c r="M18325" s="13"/>
    </row>
    <row r="18326">
      <c r="F18326" s="13"/>
      <c r="M18326" s="13"/>
    </row>
    <row r="18327">
      <c r="F18327" s="13"/>
      <c r="M18327" s="13"/>
    </row>
    <row r="18328">
      <c r="F18328" s="13"/>
      <c r="M18328" s="13"/>
    </row>
    <row r="18329">
      <c r="F18329" s="13"/>
      <c r="M18329" s="13"/>
    </row>
    <row r="18330">
      <c r="F18330" s="13"/>
      <c r="M18330" s="13"/>
    </row>
    <row r="18331">
      <c r="F18331" s="13"/>
      <c r="M18331" s="13"/>
    </row>
    <row r="18332">
      <c r="F18332" s="13"/>
      <c r="M18332" s="13"/>
    </row>
    <row r="18333">
      <c r="F18333" s="13"/>
      <c r="M18333" s="13"/>
    </row>
    <row r="18334">
      <c r="F18334" s="13"/>
      <c r="M18334" s="13"/>
    </row>
    <row r="18335">
      <c r="F18335" s="13"/>
      <c r="M18335" s="13"/>
    </row>
    <row r="18336">
      <c r="F18336" s="13"/>
      <c r="M18336" s="13"/>
    </row>
    <row r="18337">
      <c r="F18337" s="13"/>
      <c r="M18337" s="13"/>
    </row>
    <row r="18338">
      <c r="F18338" s="13"/>
      <c r="M18338" s="13"/>
    </row>
    <row r="18339">
      <c r="F18339" s="13"/>
      <c r="M18339" s="13"/>
    </row>
    <row r="18340">
      <c r="F18340" s="13"/>
      <c r="M18340" s="13"/>
    </row>
    <row r="18341">
      <c r="F18341" s="13"/>
      <c r="M18341" s="13"/>
    </row>
    <row r="18342">
      <c r="F18342" s="13"/>
      <c r="M18342" s="13"/>
    </row>
    <row r="18343">
      <c r="F18343" s="13"/>
      <c r="M18343" s="13"/>
    </row>
    <row r="18344">
      <c r="F18344" s="13"/>
      <c r="M18344" s="13"/>
    </row>
    <row r="18345">
      <c r="F18345" s="13"/>
      <c r="M18345" s="13"/>
    </row>
    <row r="18346">
      <c r="F18346" s="13"/>
      <c r="M18346" s="13"/>
    </row>
    <row r="18347">
      <c r="F18347" s="13"/>
      <c r="M18347" s="13"/>
    </row>
    <row r="18348">
      <c r="F18348" s="13"/>
      <c r="M18348" s="13"/>
    </row>
    <row r="18349">
      <c r="F18349" s="13"/>
      <c r="M18349" s="13"/>
    </row>
    <row r="18350">
      <c r="F18350" s="13"/>
      <c r="M18350" s="13"/>
    </row>
    <row r="18351">
      <c r="F18351" s="13"/>
      <c r="M18351" s="13"/>
    </row>
    <row r="18352">
      <c r="F18352" s="13"/>
      <c r="M18352" s="13"/>
    </row>
    <row r="18353">
      <c r="F18353" s="13"/>
      <c r="M18353" s="13"/>
    </row>
    <row r="18354">
      <c r="F18354" s="13"/>
      <c r="M18354" s="13"/>
    </row>
    <row r="18355">
      <c r="F18355" s="13"/>
      <c r="M18355" s="13"/>
    </row>
    <row r="18356">
      <c r="F18356" s="13"/>
      <c r="M18356" s="13"/>
    </row>
    <row r="18357">
      <c r="F18357" s="13"/>
      <c r="M18357" s="13"/>
    </row>
    <row r="18358">
      <c r="F18358" s="13"/>
      <c r="M18358" s="13"/>
    </row>
    <row r="18359">
      <c r="F18359" s="13"/>
      <c r="M18359" s="13"/>
    </row>
    <row r="18360">
      <c r="F18360" s="13"/>
      <c r="M18360" s="13"/>
    </row>
    <row r="18361">
      <c r="F18361" s="13"/>
      <c r="M18361" s="13"/>
    </row>
    <row r="18362">
      <c r="F18362" s="13"/>
      <c r="M18362" s="13"/>
    </row>
    <row r="18363">
      <c r="F18363" s="13"/>
      <c r="M18363" s="13"/>
    </row>
    <row r="18364">
      <c r="F18364" s="13"/>
      <c r="M18364" s="13"/>
    </row>
    <row r="18365">
      <c r="F18365" s="13"/>
      <c r="M18365" s="13"/>
    </row>
    <row r="18366">
      <c r="F18366" s="13"/>
      <c r="M18366" s="13"/>
    </row>
    <row r="18367">
      <c r="F18367" s="13"/>
      <c r="M18367" s="13"/>
    </row>
    <row r="18368">
      <c r="F18368" s="13"/>
      <c r="M18368" s="13"/>
    </row>
    <row r="18369">
      <c r="F18369" s="13"/>
      <c r="M18369" s="13"/>
    </row>
    <row r="18370">
      <c r="F18370" s="13"/>
      <c r="M18370" s="13"/>
    </row>
    <row r="18371">
      <c r="F18371" s="13"/>
      <c r="M18371" s="13"/>
    </row>
    <row r="18372">
      <c r="F18372" s="13"/>
      <c r="M18372" s="13"/>
    </row>
    <row r="18373">
      <c r="F18373" s="13"/>
      <c r="M18373" s="13"/>
    </row>
    <row r="18374">
      <c r="F18374" s="13"/>
      <c r="M18374" s="13"/>
    </row>
    <row r="18375">
      <c r="F18375" s="13"/>
      <c r="M18375" s="13"/>
    </row>
    <row r="18376">
      <c r="F18376" s="13"/>
      <c r="M18376" s="13"/>
    </row>
    <row r="18377">
      <c r="F18377" s="13"/>
      <c r="M18377" s="13"/>
    </row>
    <row r="18378">
      <c r="F18378" s="13"/>
      <c r="M18378" s="13"/>
    </row>
    <row r="18379">
      <c r="F18379" s="13"/>
      <c r="M18379" s="13"/>
    </row>
    <row r="18380">
      <c r="F18380" s="13"/>
      <c r="M18380" s="13"/>
    </row>
    <row r="18381">
      <c r="F18381" s="13"/>
      <c r="M18381" s="13"/>
    </row>
    <row r="18382">
      <c r="F18382" s="13"/>
      <c r="M18382" s="13"/>
    </row>
    <row r="18383">
      <c r="F18383" s="13"/>
      <c r="M18383" s="13"/>
    </row>
    <row r="18384">
      <c r="F18384" s="13"/>
      <c r="M18384" s="13"/>
    </row>
    <row r="18385">
      <c r="F18385" s="13"/>
      <c r="M18385" s="13"/>
    </row>
    <row r="18386">
      <c r="F18386" s="13"/>
      <c r="M18386" s="13"/>
    </row>
    <row r="18387">
      <c r="F18387" s="13"/>
      <c r="M18387" s="13"/>
    </row>
    <row r="18388">
      <c r="F18388" s="13"/>
      <c r="M18388" s="13"/>
    </row>
    <row r="18389">
      <c r="F18389" s="13"/>
      <c r="M18389" s="13"/>
    </row>
    <row r="18390">
      <c r="F18390" s="13"/>
      <c r="M18390" s="13"/>
    </row>
    <row r="18391">
      <c r="F18391" s="13"/>
      <c r="M18391" s="13"/>
    </row>
    <row r="18392">
      <c r="F18392" s="13"/>
      <c r="M18392" s="13"/>
    </row>
    <row r="18393">
      <c r="F18393" s="13"/>
      <c r="M18393" s="13"/>
    </row>
    <row r="18394">
      <c r="F18394" s="13"/>
      <c r="M18394" s="13"/>
    </row>
    <row r="18395">
      <c r="F18395" s="13"/>
      <c r="M18395" s="13"/>
    </row>
    <row r="18396">
      <c r="F18396" s="13"/>
      <c r="M18396" s="13"/>
    </row>
    <row r="18397">
      <c r="F18397" s="13"/>
      <c r="M18397" s="13"/>
    </row>
    <row r="18398">
      <c r="F18398" s="13"/>
      <c r="M18398" s="13"/>
    </row>
    <row r="18399">
      <c r="F18399" s="13"/>
      <c r="M18399" s="13"/>
    </row>
    <row r="18400">
      <c r="F18400" s="13"/>
      <c r="M18400" s="13"/>
    </row>
    <row r="18401">
      <c r="F18401" s="13"/>
      <c r="M18401" s="13"/>
    </row>
    <row r="18402">
      <c r="F18402" s="13"/>
      <c r="M18402" s="13"/>
    </row>
    <row r="18403">
      <c r="F18403" s="13"/>
      <c r="M18403" s="13"/>
    </row>
    <row r="18404">
      <c r="F18404" s="13"/>
      <c r="M18404" s="13"/>
    </row>
    <row r="18405">
      <c r="F18405" s="13"/>
      <c r="M18405" s="13"/>
    </row>
    <row r="18406">
      <c r="F18406" s="13"/>
      <c r="M18406" s="13"/>
    </row>
    <row r="18407">
      <c r="F18407" s="13"/>
      <c r="M18407" s="13"/>
    </row>
    <row r="18408">
      <c r="F18408" s="13"/>
      <c r="M18408" s="13"/>
    </row>
    <row r="18409">
      <c r="F18409" s="13"/>
      <c r="M18409" s="13"/>
    </row>
    <row r="18410">
      <c r="F18410" s="13"/>
      <c r="M18410" s="13"/>
    </row>
    <row r="18411">
      <c r="F18411" s="13"/>
      <c r="M18411" s="13"/>
    </row>
    <row r="18412">
      <c r="F18412" s="13"/>
      <c r="M18412" s="13"/>
    </row>
    <row r="18413">
      <c r="F18413" s="13"/>
      <c r="M18413" s="13"/>
    </row>
    <row r="18414">
      <c r="F18414" s="13"/>
      <c r="M18414" s="13"/>
    </row>
    <row r="18415">
      <c r="F18415" s="13"/>
      <c r="M18415" s="13"/>
    </row>
    <row r="18416">
      <c r="F18416" s="13"/>
      <c r="M18416" s="13"/>
    </row>
    <row r="18417">
      <c r="F18417" s="13"/>
      <c r="M18417" s="13"/>
    </row>
    <row r="18418">
      <c r="F18418" s="13"/>
      <c r="M18418" s="13"/>
    </row>
    <row r="18419">
      <c r="F18419" s="13"/>
      <c r="M18419" s="13"/>
    </row>
    <row r="18420">
      <c r="F18420" s="13"/>
      <c r="M18420" s="13"/>
    </row>
    <row r="18421">
      <c r="F18421" s="13"/>
      <c r="M18421" s="13"/>
    </row>
    <row r="18422">
      <c r="F18422" s="13"/>
      <c r="M18422" s="13"/>
    </row>
    <row r="18423">
      <c r="F18423" s="13"/>
      <c r="M18423" s="13"/>
    </row>
    <row r="18424">
      <c r="F18424" s="13"/>
      <c r="M18424" s="13"/>
    </row>
    <row r="18425">
      <c r="F18425" s="13"/>
      <c r="M18425" s="13"/>
    </row>
    <row r="18426">
      <c r="F18426" s="13"/>
      <c r="M18426" s="13"/>
    </row>
    <row r="18427">
      <c r="F18427" s="13"/>
      <c r="M18427" s="13"/>
    </row>
    <row r="18428">
      <c r="F18428" s="13"/>
      <c r="M18428" s="13"/>
    </row>
    <row r="18429">
      <c r="F18429" s="13"/>
      <c r="M18429" s="13"/>
    </row>
    <row r="18430">
      <c r="F18430" s="13"/>
      <c r="M18430" s="13"/>
    </row>
    <row r="18431">
      <c r="F18431" s="13"/>
      <c r="M18431" s="13"/>
    </row>
    <row r="18432">
      <c r="F18432" s="13"/>
      <c r="M18432" s="13"/>
    </row>
    <row r="18433">
      <c r="F18433" s="13"/>
      <c r="M18433" s="13"/>
    </row>
    <row r="18434">
      <c r="F18434" s="13"/>
      <c r="M18434" s="13"/>
    </row>
    <row r="18435">
      <c r="F18435" s="13"/>
      <c r="M18435" s="13"/>
    </row>
    <row r="18436">
      <c r="F18436" s="13"/>
      <c r="M18436" s="13"/>
    </row>
    <row r="18437">
      <c r="F18437" s="13"/>
      <c r="M18437" s="13"/>
    </row>
    <row r="18438">
      <c r="F18438" s="13"/>
      <c r="M18438" s="13"/>
    </row>
    <row r="18439">
      <c r="F18439" s="13"/>
      <c r="M18439" s="13"/>
    </row>
    <row r="18440">
      <c r="F18440" s="13"/>
      <c r="M18440" s="13"/>
    </row>
    <row r="18441">
      <c r="F18441" s="13"/>
      <c r="M18441" s="13"/>
    </row>
    <row r="18442">
      <c r="F18442" s="13"/>
      <c r="M18442" s="13"/>
    </row>
    <row r="18443">
      <c r="F18443" s="13"/>
      <c r="M18443" s="13"/>
    </row>
    <row r="18444">
      <c r="F18444" s="13"/>
      <c r="M18444" s="13"/>
    </row>
    <row r="18445">
      <c r="F18445" s="13"/>
      <c r="M18445" s="13"/>
    </row>
    <row r="18446">
      <c r="F18446" s="13"/>
      <c r="M18446" s="13"/>
    </row>
    <row r="18447">
      <c r="F18447" s="13"/>
      <c r="M18447" s="13"/>
    </row>
    <row r="18448">
      <c r="F18448" s="13"/>
      <c r="M18448" s="13"/>
    </row>
    <row r="18449">
      <c r="F18449" s="13"/>
      <c r="M18449" s="13"/>
    </row>
    <row r="18450">
      <c r="F18450" s="13"/>
      <c r="M18450" s="13"/>
    </row>
    <row r="18451">
      <c r="F18451" s="13"/>
      <c r="M18451" s="13"/>
    </row>
    <row r="18452">
      <c r="F18452" s="13"/>
      <c r="M18452" s="13"/>
    </row>
    <row r="18453">
      <c r="F18453" s="13"/>
      <c r="M18453" s="13"/>
    </row>
    <row r="18454">
      <c r="F18454" s="13"/>
      <c r="M18454" s="13"/>
    </row>
    <row r="18455">
      <c r="F18455" s="13"/>
      <c r="M18455" s="13"/>
    </row>
    <row r="18456">
      <c r="F18456" s="13"/>
      <c r="M18456" s="13"/>
    </row>
    <row r="18457">
      <c r="F18457" s="13"/>
      <c r="M18457" s="13"/>
    </row>
    <row r="18458">
      <c r="F18458" s="13"/>
      <c r="M18458" s="13"/>
    </row>
    <row r="18459">
      <c r="F18459" s="13"/>
      <c r="M18459" s="13"/>
    </row>
    <row r="18460">
      <c r="F18460" s="13"/>
      <c r="M18460" s="13"/>
    </row>
    <row r="18461">
      <c r="F18461" s="13"/>
      <c r="M18461" s="13"/>
    </row>
    <row r="18462">
      <c r="F18462" s="13"/>
      <c r="M18462" s="13"/>
    </row>
    <row r="18463">
      <c r="F18463" s="13"/>
      <c r="M18463" s="13"/>
    </row>
    <row r="18464">
      <c r="F18464" s="13"/>
      <c r="M18464" s="13"/>
    </row>
    <row r="18465">
      <c r="F18465" s="13"/>
      <c r="M18465" s="13"/>
    </row>
    <row r="18466">
      <c r="F18466" s="13"/>
      <c r="M18466" s="13"/>
    </row>
    <row r="18467">
      <c r="F18467" s="13"/>
      <c r="M18467" s="13"/>
    </row>
    <row r="18468">
      <c r="F18468" s="13"/>
      <c r="M18468" s="13"/>
    </row>
    <row r="18469">
      <c r="F18469" s="13"/>
      <c r="M18469" s="13"/>
    </row>
    <row r="18470">
      <c r="F18470" s="13"/>
      <c r="M18470" s="13"/>
    </row>
    <row r="18471">
      <c r="F18471" s="13"/>
      <c r="M18471" s="13"/>
    </row>
    <row r="18472">
      <c r="F18472" s="13"/>
      <c r="M18472" s="13"/>
    </row>
    <row r="18473">
      <c r="F18473" s="13"/>
      <c r="M18473" s="13"/>
    </row>
    <row r="18474">
      <c r="F18474" s="13"/>
      <c r="M18474" s="13"/>
    </row>
    <row r="18475">
      <c r="F18475" s="13"/>
      <c r="M18475" s="13"/>
    </row>
    <row r="18476">
      <c r="F18476" s="13"/>
      <c r="M18476" s="13"/>
    </row>
    <row r="18477">
      <c r="F18477" s="13"/>
      <c r="M18477" s="13"/>
    </row>
    <row r="18478">
      <c r="F18478" s="13"/>
      <c r="M18478" s="13"/>
    </row>
    <row r="18479">
      <c r="F18479" s="13"/>
      <c r="M18479" s="13"/>
    </row>
    <row r="18480">
      <c r="F18480" s="13"/>
      <c r="M18480" s="13"/>
    </row>
    <row r="18481">
      <c r="F18481" s="13"/>
      <c r="M18481" s="13"/>
    </row>
    <row r="18482">
      <c r="F18482" s="13"/>
      <c r="M18482" s="13"/>
    </row>
    <row r="18483">
      <c r="F18483" s="13"/>
      <c r="M18483" s="13"/>
    </row>
    <row r="18484">
      <c r="F18484" s="13"/>
      <c r="M18484" s="13"/>
    </row>
    <row r="18485">
      <c r="F18485" s="13"/>
      <c r="M18485" s="13"/>
    </row>
    <row r="18486">
      <c r="F18486" s="13"/>
      <c r="M18486" s="13"/>
    </row>
    <row r="18487">
      <c r="F18487" s="13"/>
      <c r="M18487" s="13"/>
    </row>
    <row r="18488">
      <c r="F18488" s="13"/>
      <c r="M18488" s="13"/>
    </row>
    <row r="18489">
      <c r="F18489" s="13"/>
      <c r="M18489" s="13"/>
    </row>
    <row r="18490">
      <c r="F18490" s="13"/>
      <c r="M18490" s="13"/>
    </row>
    <row r="18491">
      <c r="F18491" s="13"/>
      <c r="M18491" s="13"/>
    </row>
    <row r="18492">
      <c r="F18492" s="13"/>
      <c r="M18492" s="13"/>
    </row>
    <row r="18493">
      <c r="F18493" s="13"/>
      <c r="M18493" s="13"/>
    </row>
    <row r="18494">
      <c r="F18494" s="13"/>
      <c r="M18494" s="13"/>
    </row>
    <row r="18495">
      <c r="F18495" s="13"/>
      <c r="M18495" s="13"/>
    </row>
    <row r="18496">
      <c r="F18496" s="13"/>
      <c r="M18496" s="13"/>
    </row>
    <row r="18497">
      <c r="F18497" s="13"/>
      <c r="M18497" s="13"/>
    </row>
    <row r="18498">
      <c r="F18498" s="13"/>
      <c r="M18498" s="13"/>
    </row>
    <row r="18499">
      <c r="F18499" s="13"/>
      <c r="M18499" s="13"/>
    </row>
    <row r="18500">
      <c r="F18500" s="13"/>
      <c r="M18500" s="13"/>
    </row>
    <row r="18501">
      <c r="F18501" s="13"/>
      <c r="M18501" s="13"/>
    </row>
    <row r="18502">
      <c r="F18502" s="13"/>
      <c r="M18502" s="13"/>
    </row>
    <row r="18503">
      <c r="F18503" s="13"/>
      <c r="M18503" s="13"/>
    </row>
    <row r="18504">
      <c r="F18504" s="13"/>
      <c r="M18504" s="13"/>
    </row>
    <row r="18505">
      <c r="F18505" s="13"/>
      <c r="M18505" s="13"/>
    </row>
    <row r="18506">
      <c r="F18506" s="13"/>
      <c r="M18506" s="13"/>
    </row>
    <row r="18507">
      <c r="F18507" s="13"/>
      <c r="M18507" s="13"/>
    </row>
    <row r="18508">
      <c r="F18508" s="13"/>
      <c r="M18508" s="13"/>
    </row>
    <row r="18509">
      <c r="F18509" s="13"/>
      <c r="M18509" s="13"/>
    </row>
    <row r="18510">
      <c r="F18510" s="13"/>
      <c r="M18510" s="13"/>
    </row>
    <row r="18511">
      <c r="F18511" s="13"/>
      <c r="M18511" s="13"/>
    </row>
    <row r="18512">
      <c r="F18512" s="13"/>
      <c r="M18512" s="13"/>
    </row>
    <row r="18513">
      <c r="F18513" s="13"/>
      <c r="M18513" s="13"/>
    </row>
    <row r="18514">
      <c r="F18514" s="13"/>
      <c r="M18514" s="13"/>
    </row>
    <row r="18515">
      <c r="F18515" s="13"/>
      <c r="M18515" s="13"/>
    </row>
    <row r="18516">
      <c r="F18516" s="13"/>
      <c r="M18516" s="13"/>
    </row>
    <row r="18517">
      <c r="F18517" s="13"/>
      <c r="M18517" s="13"/>
    </row>
    <row r="18518">
      <c r="F18518" s="13"/>
      <c r="M18518" s="13"/>
    </row>
    <row r="18519">
      <c r="F18519" s="13"/>
      <c r="M18519" s="13"/>
    </row>
    <row r="18520">
      <c r="F18520" s="13"/>
      <c r="M18520" s="13"/>
    </row>
    <row r="18521">
      <c r="F18521" s="13"/>
      <c r="M18521" s="13"/>
    </row>
    <row r="18522">
      <c r="F18522" s="13"/>
      <c r="M18522" s="13"/>
    </row>
    <row r="18523">
      <c r="F18523" s="13"/>
      <c r="M18523" s="13"/>
    </row>
    <row r="18524">
      <c r="F18524" s="13"/>
      <c r="M18524" s="13"/>
    </row>
    <row r="18525">
      <c r="F18525" s="13"/>
      <c r="M18525" s="13"/>
    </row>
    <row r="18526">
      <c r="F18526" s="13"/>
      <c r="M18526" s="13"/>
    </row>
    <row r="18527">
      <c r="F18527" s="13"/>
      <c r="M18527" s="13"/>
    </row>
    <row r="18528">
      <c r="F18528" s="13"/>
      <c r="M18528" s="13"/>
    </row>
    <row r="18529">
      <c r="F18529" s="13"/>
      <c r="M18529" s="13"/>
    </row>
    <row r="18530">
      <c r="F18530" s="13"/>
      <c r="M18530" s="13"/>
    </row>
    <row r="18531">
      <c r="F18531" s="13"/>
      <c r="M18531" s="13"/>
    </row>
    <row r="18532">
      <c r="F18532" s="13"/>
      <c r="M18532" s="13"/>
    </row>
    <row r="18533">
      <c r="F18533" s="13"/>
      <c r="M18533" s="13"/>
    </row>
    <row r="18534">
      <c r="F18534" s="13"/>
      <c r="M18534" s="13"/>
    </row>
    <row r="18535">
      <c r="F18535" s="13"/>
      <c r="M18535" s="13"/>
    </row>
    <row r="18536">
      <c r="F18536" s="13"/>
      <c r="M18536" s="13"/>
    </row>
    <row r="18537">
      <c r="F18537" s="13"/>
      <c r="M18537" s="13"/>
    </row>
    <row r="18538">
      <c r="F18538" s="13"/>
      <c r="M18538" s="13"/>
    </row>
    <row r="18539">
      <c r="F18539" s="13"/>
      <c r="M18539" s="13"/>
    </row>
    <row r="18540">
      <c r="F18540" s="13"/>
      <c r="M18540" s="13"/>
    </row>
    <row r="18541">
      <c r="F18541" s="13"/>
      <c r="M18541" s="13"/>
    </row>
    <row r="18542">
      <c r="F18542" s="13"/>
      <c r="M18542" s="13"/>
    </row>
    <row r="18543">
      <c r="F18543" s="13"/>
      <c r="M18543" s="13"/>
    </row>
    <row r="18544">
      <c r="F18544" s="13"/>
      <c r="M18544" s="13"/>
    </row>
    <row r="18545">
      <c r="F18545" s="13"/>
      <c r="M18545" s="13"/>
    </row>
    <row r="18546">
      <c r="F18546" s="13"/>
      <c r="M18546" s="13"/>
    </row>
    <row r="18547">
      <c r="F18547" s="13"/>
      <c r="M18547" s="13"/>
    </row>
    <row r="18548">
      <c r="F18548" s="13"/>
      <c r="M18548" s="13"/>
    </row>
    <row r="18549">
      <c r="F18549" s="13"/>
      <c r="M18549" s="13"/>
    </row>
    <row r="18550">
      <c r="F18550" s="13"/>
      <c r="M18550" s="13"/>
    </row>
    <row r="18551">
      <c r="F18551" s="13"/>
      <c r="M18551" s="13"/>
    </row>
    <row r="18552">
      <c r="F18552" s="13"/>
      <c r="M18552" s="13"/>
    </row>
    <row r="18553">
      <c r="F18553" s="13"/>
      <c r="M18553" s="13"/>
    </row>
    <row r="18554">
      <c r="F18554" s="13"/>
      <c r="M18554" s="13"/>
    </row>
    <row r="18555">
      <c r="F18555" s="13"/>
      <c r="M18555" s="13"/>
    </row>
    <row r="18556">
      <c r="F18556" s="13"/>
      <c r="M18556" s="13"/>
    </row>
    <row r="18557">
      <c r="F18557" s="13"/>
      <c r="M18557" s="13"/>
    </row>
    <row r="18558">
      <c r="F18558" s="13"/>
      <c r="M18558" s="13"/>
    </row>
    <row r="18559">
      <c r="F18559" s="13"/>
      <c r="M18559" s="13"/>
    </row>
    <row r="18560">
      <c r="F18560" s="13"/>
      <c r="M18560" s="13"/>
    </row>
    <row r="18561">
      <c r="F18561" s="13"/>
      <c r="M18561" s="13"/>
    </row>
    <row r="18562">
      <c r="F18562" s="13"/>
      <c r="M18562" s="13"/>
    </row>
    <row r="18563">
      <c r="F18563" s="13"/>
      <c r="M18563" s="13"/>
    </row>
    <row r="18564">
      <c r="F18564" s="13"/>
      <c r="M18564" s="13"/>
    </row>
    <row r="18565">
      <c r="F18565" s="13"/>
      <c r="M18565" s="13"/>
    </row>
    <row r="18566">
      <c r="F18566" s="13"/>
      <c r="M18566" s="13"/>
    </row>
    <row r="18567">
      <c r="F18567" s="13"/>
      <c r="M18567" s="13"/>
    </row>
    <row r="18568">
      <c r="F18568" s="13"/>
      <c r="M18568" s="13"/>
    </row>
    <row r="18569">
      <c r="F18569" s="13"/>
      <c r="M18569" s="13"/>
    </row>
    <row r="18570">
      <c r="F18570" s="13"/>
      <c r="M18570" s="13"/>
    </row>
    <row r="18571">
      <c r="F18571" s="13"/>
      <c r="M18571" s="13"/>
    </row>
    <row r="18572">
      <c r="F18572" s="13"/>
      <c r="M18572" s="13"/>
    </row>
    <row r="18573">
      <c r="F18573" s="13"/>
      <c r="M18573" s="13"/>
    </row>
    <row r="18574">
      <c r="F18574" s="13"/>
      <c r="M18574" s="13"/>
    </row>
    <row r="18575">
      <c r="F18575" s="13"/>
      <c r="M18575" s="13"/>
    </row>
    <row r="18576">
      <c r="F18576" s="13"/>
      <c r="M18576" s="13"/>
    </row>
    <row r="18577">
      <c r="F18577" s="13"/>
      <c r="M18577" s="13"/>
    </row>
    <row r="18578">
      <c r="F18578" s="13"/>
      <c r="M18578" s="13"/>
    </row>
    <row r="18579">
      <c r="F18579" s="13"/>
      <c r="M18579" s="13"/>
    </row>
    <row r="18580">
      <c r="F18580" s="13"/>
      <c r="M18580" s="13"/>
    </row>
    <row r="18581">
      <c r="F18581" s="13"/>
      <c r="M18581" s="13"/>
    </row>
    <row r="18582">
      <c r="F18582" s="13"/>
      <c r="M18582" s="13"/>
    </row>
    <row r="18583">
      <c r="F18583" s="13"/>
      <c r="M18583" s="13"/>
    </row>
    <row r="18584">
      <c r="F18584" s="13"/>
      <c r="M18584" s="13"/>
    </row>
    <row r="18585">
      <c r="F18585" s="13"/>
      <c r="M18585" s="13"/>
    </row>
    <row r="18586">
      <c r="F18586" s="13"/>
      <c r="M18586" s="13"/>
    </row>
    <row r="18587">
      <c r="F18587" s="13"/>
      <c r="M18587" s="13"/>
    </row>
    <row r="18588">
      <c r="F18588" s="13"/>
      <c r="M18588" s="13"/>
    </row>
    <row r="18589">
      <c r="F18589" s="13"/>
      <c r="M18589" s="13"/>
    </row>
    <row r="18590">
      <c r="F18590" s="13"/>
      <c r="M18590" s="13"/>
    </row>
    <row r="18591">
      <c r="F18591" s="13"/>
      <c r="M18591" s="13"/>
    </row>
    <row r="18592">
      <c r="F18592" s="13"/>
      <c r="M18592" s="13"/>
    </row>
    <row r="18593">
      <c r="F18593" s="13"/>
      <c r="M18593" s="13"/>
    </row>
    <row r="18594">
      <c r="F18594" s="13"/>
      <c r="M18594" s="13"/>
    </row>
    <row r="18595">
      <c r="F18595" s="13"/>
      <c r="M18595" s="13"/>
    </row>
    <row r="18596">
      <c r="F18596" s="13"/>
      <c r="M18596" s="13"/>
    </row>
    <row r="18597">
      <c r="F18597" s="13"/>
      <c r="M18597" s="13"/>
    </row>
    <row r="18598">
      <c r="F18598" s="13"/>
      <c r="M18598" s="13"/>
    </row>
    <row r="18599">
      <c r="F18599" s="13"/>
      <c r="M18599" s="13"/>
    </row>
    <row r="18600">
      <c r="F18600" s="13"/>
      <c r="M18600" s="13"/>
    </row>
    <row r="18601">
      <c r="F18601" s="13"/>
      <c r="M18601" s="13"/>
    </row>
    <row r="18602">
      <c r="F18602" s="13"/>
      <c r="M18602" s="13"/>
    </row>
    <row r="18603">
      <c r="F18603" s="13"/>
      <c r="M18603" s="13"/>
    </row>
    <row r="18604">
      <c r="F18604" s="13"/>
      <c r="M18604" s="13"/>
    </row>
    <row r="18605">
      <c r="F18605" s="13"/>
      <c r="M18605" s="13"/>
    </row>
    <row r="18606">
      <c r="F18606" s="13"/>
      <c r="M18606" s="13"/>
    </row>
    <row r="18607">
      <c r="F18607" s="13"/>
      <c r="M18607" s="13"/>
    </row>
    <row r="18608">
      <c r="F18608" s="13"/>
      <c r="M18608" s="13"/>
    </row>
    <row r="18609">
      <c r="F18609" s="13"/>
      <c r="M18609" s="13"/>
    </row>
    <row r="18610">
      <c r="F18610" s="13"/>
      <c r="M18610" s="13"/>
    </row>
    <row r="18611">
      <c r="F18611" s="13"/>
      <c r="M18611" s="13"/>
    </row>
    <row r="18612">
      <c r="F18612" s="13"/>
      <c r="M18612" s="13"/>
    </row>
    <row r="18613">
      <c r="F18613" s="13"/>
      <c r="M18613" s="13"/>
    </row>
    <row r="18614">
      <c r="F18614" s="13"/>
      <c r="M18614" s="13"/>
    </row>
    <row r="18615">
      <c r="F18615" s="13"/>
      <c r="M18615" s="13"/>
    </row>
    <row r="18616">
      <c r="F18616" s="13"/>
      <c r="M18616" s="13"/>
    </row>
    <row r="18617">
      <c r="F18617" s="13"/>
      <c r="M18617" s="13"/>
    </row>
    <row r="18618">
      <c r="F18618" s="13"/>
      <c r="M18618" s="13"/>
    </row>
    <row r="18619">
      <c r="F18619" s="13"/>
      <c r="M18619" s="13"/>
    </row>
    <row r="18620">
      <c r="F18620" s="13"/>
      <c r="M18620" s="13"/>
    </row>
    <row r="18621">
      <c r="F18621" s="13"/>
      <c r="M18621" s="13"/>
    </row>
    <row r="18622">
      <c r="F18622" s="13"/>
      <c r="M18622" s="13"/>
    </row>
    <row r="18623">
      <c r="F18623" s="13"/>
      <c r="M18623" s="13"/>
    </row>
    <row r="18624">
      <c r="F18624" s="13"/>
      <c r="M18624" s="13"/>
    </row>
    <row r="18625">
      <c r="F18625" s="13"/>
      <c r="M18625" s="13"/>
    </row>
    <row r="18626">
      <c r="F18626" s="13"/>
      <c r="M18626" s="13"/>
    </row>
    <row r="18627">
      <c r="F18627" s="13"/>
      <c r="M18627" s="13"/>
    </row>
    <row r="18628">
      <c r="F18628" s="13"/>
      <c r="M18628" s="13"/>
    </row>
    <row r="18629">
      <c r="F18629" s="13"/>
      <c r="M18629" s="13"/>
    </row>
    <row r="18630">
      <c r="F18630" s="13"/>
      <c r="M18630" s="13"/>
    </row>
    <row r="18631">
      <c r="F18631" s="13"/>
      <c r="M18631" s="13"/>
    </row>
    <row r="18632">
      <c r="F18632" s="13"/>
      <c r="M18632" s="13"/>
    </row>
    <row r="18633">
      <c r="F18633" s="13"/>
      <c r="M18633" s="13"/>
    </row>
    <row r="18634">
      <c r="F18634" s="13"/>
      <c r="M18634" s="13"/>
    </row>
    <row r="18635">
      <c r="F18635" s="13"/>
      <c r="M18635" s="13"/>
    </row>
    <row r="18636">
      <c r="F18636" s="13"/>
      <c r="M18636" s="13"/>
    </row>
    <row r="18637">
      <c r="F18637" s="13"/>
      <c r="M18637" s="13"/>
    </row>
    <row r="18638">
      <c r="F18638" s="13"/>
      <c r="M18638" s="13"/>
    </row>
    <row r="18639">
      <c r="F18639" s="13"/>
      <c r="M18639" s="13"/>
    </row>
    <row r="18640">
      <c r="F18640" s="13"/>
      <c r="M18640" s="13"/>
    </row>
    <row r="18641">
      <c r="F18641" s="13"/>
      <c r="M18641" s="13"/>
    </row>
    <row r="18642">
      <c r="F18642" s="13"/>
      <c r="M18642" s="13"/>
    </row>
    <row r="18643">
      <c r="F18643" s="13"/>
      <c r="M18643" s="13"/>
    </row>
    <row r="18644">
      <c r="F18644" s="13"/>
      <c r="M18644" s="13"/>
    </row>
    <row r="18645">
      <c r="F18645" s="13"/>
      <c r="M18645" s="13"/>
    </row>
    <row r="18646">
      <c r="F18646" s="13"/>
      <c r="M18646" s="13"/>
    </row>
    <row r="18647">
      <c r="F18647" s="13"/>
      <c r="M18647" s="13"/>
    </row>
    <row r="18648">
      <c r="F18648" s="13"/>
      <c r="M18648" s="13"/>
    </row>
    <row r="18649">
      <c r="F18649" s="13"/>
      <c r="M18649" s="13"/>
    </row>
    <row r="18650">
      <c r="F18650" s="13"/>
      <c r="M18650" s="13"/>
    </row>
    <row r="18651">
      <c r="F18651" s="13"/>
      <c r="M18651" s="13"/>
    </row>
    <row r="18652">
      <c r="F18652" s="13"/>
      <c r="M18652" s="13"/>
    </row>
    <row r="18653">
      <c r="F18653" s="13"/>
      <c r="M18653" s="13"/>
    </row>
    <row r="18654">
      <c r="F18654" s="13"/>
      <c r="M18654" s="13"/>
    </row>
    <row r="18655">
      <c r="F18655" s="13"/>
      <c r="M18655" s="13"/>
    </row>
    <row r="18656">
      <c r="F18656" s="13"/>
      <c r="M18656" s="13"/>
    </row>
    <row r="18657">
      <c r="F18657" s="13"/>
      <c r="M18657" s="13"/>
    </row>
    <row r="18658">
      <c r="F18658" s="13"/>
      <c r="M18658" s="13"/>
    </row>
    <row r="18659">
      <c r="F18659" s="13"/>
      <c r="M18659" s="13"/>
    </row>
    <row r="18660">
      <c r="F18660" s="13"/>
      <c r="M18660" s="13"/>
    </row>
    <row r="18661">
      <c r="F18661" s="13"/>
      <c r="M18661" s="13"/>
    </row>
    <row r="18662">
      <c r="F18662" s="13"/>
      <c r="M18662" s="13"/>
    </row>
    <row r="18663">
      <c r="F18663" s="13"/>
      <c r="M18663" s="13"/>
    </row>
    <row r="18664">
      <c r="F18664" s="13"/>
      <c r="M18664" s="13"/>
    </row>
    <row r="18665">
      <c r="F18665" s="13"/>
      <c r="M18665" s="13"/>
    </row>
    <row r="18666">
      <c r="F18666" s="13"/>
      <c r="M18666" s="13"/>
    </row>
    <row r="18667">
      <c r="F18667" s="13"/>
      <c r="M18667" s="13"/>
    </row>
    <row r="18668">
      <c r="F18668" s="13"/>
      <c r="M18668" s="13"/>
    </row>
    <row r="18669">
      <c r="F18669" s="13"/>
      <c r="M18669" s="13"/>
    </row>
    <row r="18670">
      <c r="F18670" s="13"/>
      <c r="M18670" s="13"/>
    </row>
    <row r="18671">
      <c r="F18671" s="13"/>
      <c r="M18671" s="13"/>
    </row>
    <row r="18672">
      <c r="F18672" s="13"/>
      <c r="M18672" s="13"/>
    </row>
    <row r="18673">
      <c r="F18673" s="13"/>
      <c r="M18673" s="13"/>
    </row>
    <row r="18674">
      <c r="F18674" s="13"/>
      <c r="M18674" s="13"/>
    </row>
    <row r="18675">
      <c r="F18675" s="13"/>
      <c r="M18675" s="13"/>
    </row>
    <row r="18676">
      <c r="F18676" s="13"/>
      <c r="M18676" s="13"/>
    </row>
    <row r="18677">
      <c r="F18677" s="13"/>
      <c r="M18677" s="13"/>
    </row>
    <row r="18678">
      <c r="F18678" s="13"/>
      <c r="M18678" s="13"/>
    </row>
    <row r="18679">
      <c r="F18679" s="13"/>
      <c r="M18679" s="13"/>
    </row>
    <row r="18680">
      <c r="F18680" s="13"/>
      <c r="M18680" s="13"/>
    </row>
    <row r="18681">
      <c r="F18681" s="13"/>
      <c r="M18681" s="13"/>
    </row>
    <row r="18682">
      <c r="F18682" s="13"/>
      <c r="M18682" s="13"/>
    </row>
    <row r="18683">
      <c r="F18683" s="13"/>
      <c r="M18683" s="13"/>
    </row>
    <row r="18684">
      <c r="F18684" s="13"/>
      <c r="M18684" s="13"/>
    </row>
    <row r="18685">
      <c r="F18685" s="13"/>
      <c r="M18685" s="13"/>
    </row>
    <row r="18686">
      <c r="F18686" s="13"/>
      <c r="M18686" s="13"/>
    </row>
    <row r="18687">
      <c r="F18687" s="13"/>
      <c r="M18687" s="13"/>
    </row>
    <row r="18688">
      <c r="F18688" s="13"/>
      <c r="M18688" s="13"/>
    </row>
    <row r="18689">
      <c r="F18689" s="13"/>
      <c r="M18689" s="13"/>
    </row>
    <row r="18690">
      <c r="F18690" s="13"/>
      <c r="M18690" s="13"/>
    </row>
    <row r="18691">
      <c r="F18691" s="13"/>
      <c r="M18691" s="13"/>
    </row>
    <row r="18692">
      <c r="F18692" s="13"/>
      <c r="M18692" s="13"/>
    </row>
    <row r="18693">
      <c r="F18693" s="13"/>
      <c r="M18693" s="13"/>
    </row>
    <row r="18694">
      <c r="F18694" s="13"/>
      <c r="M18694" s="13"/>
    </row>
    <row r="18695">
      <c r="F18695" s="13"/>
      <c r="M18695" s="13"/>
    </row>
    <row r="18696">
      <c r="F18696" s="13"/>
      <c r="M18696" s="13"/>
    </row>
    <row r="18697">
      <c r="F18697" s="13"/>
      <c r="M18697" s="13"/>
    </row>
    <row r="18698">
      <c r="F18698" s="13"/>
      <c r="M18698" s="13"/>
    </row>
    <row r="18699">
      <c r="F18699" s="13"/>
      <c r="M18699" s="13"/>
    </row>
    <row r="18700">
      <c r="F18700" s="13"/>
      <c r="M18700" s="13"/>
    </row>
    <row r="18701">
      <c r="F18701" s="13"/>
      <c r="M18701" s="13"/>
    </row>
    <row r="18702">
      <c r="F18702" s="13"/>
      <c r="M18702" s="13"/>
    </row>
    <row r="18703">
      <c r="F18703" s="13"/>
      <c r="M18703" s="13"/>
    </row>
    <row r="18704">
      <c r="F18704" s="13"/>
      <c r="M18704" s="13"/>
    </row>
    <row r="18705">
      <c r="F18705" s="13"/>
      <c r="M18705" s="13"/>
    </row>
    <row r="18706">
      <c r="F18706" s="13"/>
      <c r="M18706" s="13"/>
    </row>
    <row r="18707">
      <c r="F18707" s="13"/>
      <c r="M18707" s="13"/>
    </row>
    <row r="18708">
      <c r="F18708" s="13"/>
      <c r="M18708" s="13"/>
    </row>
    <row r="18709">
      <c r="F18709" s="13"/>
      <c r="M18709" s="13"/>
    </row>
    <row r="18710">
      <c r="F18710" s="13"/>
      <c r="M18710" s="13"/>
    </row>
    <row r="18711">
      <c r="F18711" s="13"/>
      <c r="M18711" s="13"/>
    </row>
    <row r="18712">
      <c r="F18712" s="13"/>
      <c r="M18712" s="13"/>
    </row>
    <row r="18713">
      <c r="F18713" s="13"/>
      <c r="M18713" s="13"/>
    </row>
    <row r="18714">
      <c r="F18714" s="13"/>
      <c r="M18714" s="13"/>
    </row>
    <row r="18715">
      <c r="F18715" s="13"/>
      <c r="M18715" s="13"/>
    </row>
    <row r="18716">
      <c r="F18716" s="13"/>
      <c r="M18716" s="13"/>
    </row>
    <row r="18717">
      <c r="F18717" s="13"/>
      <c r="M18717" s="13"/>
    </row>
    <row r="18718">
      <c r="F18718" s="13"/>
      <c r="M18718" s="13"/>
    </row>
    <row r="18719">
      <c r="F18719" s="13"/>
      <c r="M18719" s="13"/>
    </row>
    <row r="18720">
      <c r="F18720" s="13"/>
      <c r="M18720" s="13"/>
    </row>
    <row r="18721">
      <c r="F18721" s="13"/>
      <c r="M18721" s="13"/>
    </row>
    <row r="18722">
      <c r="F18722" s="13"/>
      <c r="M18722" s="13"/>
    </row>
    <row r="18723">
      <c r="F18723" s="13"/>
      <c r="M18723" s="13"/>
    </row>
    <row r="18724">
      <c r="F18724" s="13"/>
      <c r="M18724" s="13"/>
    </row>
    <row r="18725">
      <c r="F18725" s="13"/>
      <c r="M18725" s="13"/>
    </row>
    <row r="18726">
      <c r="F18726" s="13"/>
      <c r="M18726" s="13"/>
    </row>
    <row r="18727">
      <c r="F18727" s="13"/>
      <c r="M18727" s="13"/>
    </row>
    <row r="18728">
      <c r="F18728" s="13"/>
      <c r="M18728" s="13"/>
    </row>
    <row r="18729">
      <c r="F18729" s="13"/>
      <c r="M18729" s="13"/>
    </row>
    <row r="18730">
      <c r="F18730" s="13"/>
      <c r="M18730" s="13"/>
    </row>
    <row r="18731">
      <c r="F18731" s="13"/>
      <c r="M18731" s="13"/>
    </row>
    <row r="18732">
      <c r="F18732" s="13"/>
      <c r="M18732" s="13"/>
    </row>
    <row r="18733">
      <c r="F18733" s="13"/>
      <c r="M18733" s="13"/>
    </row>
    <row r="18734">
      <c r="F18734" s="13"/>
      <c r="M18734" s="13"/>
    </row>
    <row r="18735">
      <c r="F18735" s="13"/>
      <c r="M18735" s="13"/>
    </row>
    <row r="18736">
      <c r="F18736" s="13"/>
      <c r="M18736" s="13"/>
    </row>
    <row r="18737">
      <c r="F18737" s="13"/>
      <c r="M18737" s="13"/>
    </row>
    <row r="18738">
      <c r="F18738" s="13"/>
      <c r="M18738" s="13"/>
    </row>
    <row r="18739">
      <c r="F18739" s="13"/>
      <c r="M18739" s="13"/>
    </row>
    <row r="18740">
      <c r="F18740" s="13"/>
      <c r="M18740" s="13"/>
    </row>
    <row r="18741">
      <c r="F18741" s="13"/>
      <c r="M18741" s="13"/>
    </row>
    <row r="18742">
      <c r="F18742" s="13"/>
      <c r="M18742" s="13"/>
    </row>
    <row r="18743">
      <c r="F18743" s="13"/>
      <c r="M18743" s="13"/>
    </row>
    <row r="18744">
      <c r="F18744" s="13"/>
      <c r="M18744" s="13"/>
    </row>
    <row r="18745">
      <c r="F18745" s="13"/>
      <c r="M18745" s="13"/>
    </row>
    <row r="18746">
      <c r="F18746" s="13"/>
      <c r="M18746" s="13"/>
    </row>
    <row r="18747">
      <c r="F18747" s="13"/>
      <c r="M18747" s="13"/>
    </row>
    <row r="18748">
      <c r="F18748" s="13"/>
      <c r="M18748" s="13"/>
    </row>
    <row r="18749">
      <c r="F18749" s="13"/>
      <c r="M18749" s="13"/>
    </row>
    <row r="18750">
      <c r="F18750" s="13"/>
      <c r="M18750" s="13"/>
    </row>
    <row r="18751">
      <c r="F18751" s="13"/>
      <c r="M18751" s="13"/>
    </row>
    <row r="18752">
      <c r="F18752" s="13"/>
      <c r="M18752" s="13"/>
    </row>
    <row r="18753">
      <c r="F18753" s="13"/>
      <c r="M18753" s="13"/>
    </row>
    <row r="18754">
      <c r="F18754" s="13"/>
      <c r="M18754" s="13"/>
    </row>
    <row r="18755">
      <c r="F18755" s="13"/>
      <c r="M18755" s="13"/>
    </row>
    <row r="18756">
      <c r="F18756" s="13"/>
      <c r="M18756" s="13"/>
    </row>
    <row r="18757">
      <c r="F18757" s="13"/>
      <c r="M18757" s="13"/>
    </row>
    <row r="18758">
      <c r="F18758" s="13"/>
      <c r="M18758" s="13"/>
    </row>
    <row r="18759">
      <c r="F18759" s="13"/>
      <c r="M18759" s="13"/>
    </row>
    <row r="18760">
      <c r="F18760" s="13"/>
      <c r="M18760" s="13"/>
    </row>
    <row r="18761">
      <c r="F18761" s="13"/>
      <c r="M18761" s="13"/>
    </row>
    <row r="18762">
      <c r="F18762" s="13"/>
      <c r="M18762" s="13"/>
    </row>
    <row r="18763">
      <c r="F18763" s="13"/>
      <c r="M18763" s="13"/>
    </row>
    <row r="18764">
      <c r="F18764" s="13"/>
      <c r="M18764" s="13"/>
    </row>
    <row r="18765">
      <c r="F18765" s="13"/>
      <c r="M18765" s="13"/>
    </row>
    <row r="18766">
      <c r="F18766" s="13"/>
      <c r="M18766" s="13"/>
    </row>
    <row r="18767">
      <c r="F18767" s="13"/>
      <c r="M18767" s="13"/>
    </row>
    <row r="18768">
      <c r="F18768" s="13"/>
      <c r="M18768" s="13"/>
    </row>
    <row r="18769">
      <c r="F18769" s="13"/>
      <c r="M18769" s="13"/>
    </row>
    <row r="18770">
      <c r="F18770" s="13"/>
      <c r="M18770" s="13"/>
    </row>
    <row r="18771">
      <c r="F18771" s="13"/>
      <c r="M18771" s="13"/>
    </row>
    <row r="18772">
      <c r="F18772" s="13"/>
      <c r="M18772" s="13"/>
    </row>
    <row r="18773">
      <c r="F18773" s="13"/>
      <c r="M18773" s="13"/>
    </row>
    <row r="18774">
      <c r="F18774" s="13"/>
      <c r="M18774" s="13"/>
    </row>
    <row r="18775">
      <c r="F18775" s="13"/>
      <c r="M18775" s="13"/>
    </row>
    <row r="18776">
      <c r="F18776" s="13"/>
      <c r="M18776" s="13"/>
    </row>
    <row r="18777">
      <c r="F18777" s="13"/>
      <c r="M18777" s="13"/>
    </row>
    <row r="18778">
      <c r="F18778" s="13"/>
      <c r="M18778" s="13"/>
    </row>
    <row r="18779">
      <c r="F18779" s="13"/>
      <c r="M18779" s="13"/>
    </row>
    <row r="18780">
      <c r="F18780" s="13"/>
      <c r="M18780" s="13"/>
    </row>
    <row r="18781">
      <c r="F18781" s="13"/>
      <c r="M18781" s="13"/>
    </row>
    <row r="18782">
      <c r="F18782" s="13"/>
      <c r="M18782" s="13"/>
    </row>
    <row r="18783">
      <c r="F18783" s="13"/>
      <c r="M18783" s="13"/>
    </row>
    <row r="18784">
      <c r="F18784" s="13"/>
      <c r="M18784" s="13"/>
    </row>
    <row r="18785">
      <c r="F18785" s="13"/>
      <c r="M18785" s="13"/>
    </row>
    <row r="18786">
      <c r="F18786" s="13"/>
      <c r="M18786" s="13"/>
    </row>
    <row r="18787">
      <c r="F18787" s="13"/>
      <c r="M18787" s="13"/>
    </row>
    <row r="18788">
      <c r="F18788" s="13"/>
      <c r="M18788" s="13"/>
    </row>
    <row r="18789">
      <c r="F18789" s="13"/>
      <c r="M18789" s="13"/>
    </row>
    <row r="18790">
      <c r="F18790" s="13"/>
      <c r="M18790" s="13"/>
    </row>
    <row r="18791">
      <c r="F18791" s="13"/>
      <c r="M18791" s="13"/>
    </row>
    <row r="18792">
      <c r="F18792" s="13"/>
      <c r="M18792" s="13"/>
    </row>
    <row r="18793">
      <c r="F18793" s="13"/>
      <c r="M18793" s="13"/>
    </row>
    <row r="18794">
      <c r="F18794" s="13"/>
      <c r="M18794" s="13"/>
    </row>
    <row r="18795">
      <c r="F18795" s="13"/>
      <c r="M18795" s="13"/>
    </row>
    <row r="18796">
      <c r="F18796" s="13"/>
      <c r="M18796" s="13"/>
    </row>
    <row r="18797">
      <c r="F18797" s="13"/>
      <c r="M18797" s="13"/>
    </row>
    <row r="18798">
      <c r="F18798" s="13"/>
      <c r="M18798" s="13"/>
    </row>
    <row r="18799">
      <c r="F18799" s="13"/>
      <c r="M18799" s="13"/>
    </row>
    <row r="18800">
      <c r="F18800" s="13"/>
      <c r="M18800" s="13"/>
    </row>
    <row r="18801">
      <c r="F18801" s="13"/>
      <c r="M18801" s="13"/>
    </row>
    <row r="18802">
      <c r="F18802" s="13"/>
      <c r="M18802" s="13"/>
    </row>
    <row r="18803">
      <c r="F18803" s="13"/>
      <c r="M18803" s="13"/>
    </row>
    <row r="18804">
      <c r="F18804" s="13"/>
      <c r="M18804" s="13"/>
    </row>
    <row r="18805">
      <c r="F18805" s="13"/>
      <c r="M18805" s="13"/>
    </row>
    <row r="18806">
      <c r="F18806" s="13"/>
      <c r="M18806" s="13"/>
    </row>
    <row r="18807">
      <c r="F18807" s="13"/>
      <c r="M18807" s="13"/>
    </row>
    <row r="18808">
      <c r="F18808" s="13"/>
      <c r="M18808" s="13"/>
    </row>
    <row r="18809">
      <c r="F18809" s="13"/>
      <c r="M18809" s="13"/>
    </row>
    <row r="18810">
      <c r="F18810" s="13"/>
      <c r="M18810" s="13"/>
    </row>
    <row r="18811">
      <c r="F18811" s="13"/>
      <c r="M18811" s="13"/>
    </row>
    <row r="18812">
      <c r="F18812" s="13"/>
      <c r="M18812" s="13"/>
    </row>
    <row r="18813">
      <c r="F18813" s="13"/>
      <c r="M18813" s="13"/>
    </row>
    <row r="18814">
      <c r="F18814" s="13"/>
      <c r="M18814" s="13"/>
    </row>
    <row r="18815">
      <c r="F18815" s="13"/>
      <c r="M18815" s="13"/>
    </row>
    <row r="18816">
      <c r="F18816" s="13"/>
      <c r="M18816" s="13"/>
    </row>
    <row r="18817">
      <c r="F18817" s="13"/>
      <c r="M18817" s="13"/>
    </row>
    <row r="18818">
      <c r="F18818" s="13"/>
      <c r="M18818" s="13"/>
    </row>
    <row r="18819">
      <c r="F18819" s="13"/>
      <c r="M18819" s="13"/>
    </row>
    <row r="18820">
      <c r="F18820" s="13"/>
      <c r="M18820" s="13"/>
    </row>
    <row r="18821">
      <c r="F18821" s="13"/>
      <c r="M18821" s="13"/>
    </row>
    <row r="18822">
      <c r="F18822" s="13"/>
      <c r="M18822" s="13"/>
    </row>
    <row r="18823">
      <c r="F18823" s="13"/>
      <c r="M18823" s="13"/>
    </row>
    <row r="18824">
      <c r="F18824" s="13"/>
      <c r="M18824" s="13"/>
    </row>
    <row r="18825">
      <c r="F18825" s="13"/>
      <c r="M18825" s="13"/>
    </row>
    <row r="18826">
      <c r="F18826" s="13"/>
      <c r="M18826" s="13"/>
    </row>
    <row r="18827">
      <c r="F18827" s="13"/>
      <c r="M18827" s="13"/>
    </row>
    <row r="18828">
      <c r="F18828" s="13"/>
      <c r="M18828" s="13"/>
    </row>
    <row r="18829">
      <c r="F18829" s="13"/>
      <c r="M18829" s="13"/>
    </row>
    <row r="18830">
      <c r="F18830" s="13"/>
      <c r="M18830" s="13"/>
    </row>
    <row r="18831">
      <c r="F18831" s="13"/>
      <c r="M18831" s="13"/>
    </row>
    <row r="18832">
      <c r="F18832" s="13"/>
      <c r="M18832" s="13"/>
    </row>
    <row r="18833">
      <c r="F18833" s="13"/>
      <c r="M18833" s="13"/>
    </row>
    <row r="18834">
      <c r="F18834" s="13"/>
      <c r="M18834" s="13"/>
    </row>
    <row r="18835">
      <c r="F18835" s="13"/>
      <c r="M18835" s="13"/>
    </row>
    <row r="18836">
      <c r="F18836" s="13"/>
      <c r="M18836" s="13"/>
    </row>
    <row r="18837">
      <c r="F18837" s="13"/>
      <c r="M18837" s="13"/>
    </row>
    <row r="18838">
      <c r="F18838" s="13"/>
      <c r="M18838" s="13"/>
    </row>
    <row r="18839">
      <c r="F18839" s="13"/>
      <c r="M18839" s="13"/>
    </row>
    <row r="18840">
      <c r="F18840" s="13"/>
      <c r="M18840" s="13"/>
    </row>
    <row r="18841">
      <c r="F18841" s="13"/>
      <c r="M18841" s="13"/>
    </row>
    <row r="18842">
      <c r="F18842" s="13"/>
      <c r="M18842" s="13"/>
    </row>
    <row r="18843">
      <c r="F18843" s="13"/>
      <c r="M18843" s="13"/>
    </row>
    <row r="18844">
      <c r="F18844" s="13"/>
      <c r="M18844" s="13"/>
    </row>
    <row r="18845">
      <c r="F18845" s="13"/>
      <c r="M18845" s="13"/>
    </row>
    <row r="18846">
      <c r="F18846" s="13"/>
      <c r="M18846" s="13"/>
    </row>
    <row r="18847">
      <c r="F18847" s="13"/>
      <c r="M18847" s="13"/>
    </row>
    <row r="18848">
      <c r="F18848" s="13"/>
      <c r="M18848" s="13"/>
    </row>
    <row r="18849">
      <c r="F18849" s="13"/>
      <c r="M18849" s="13"/>
    </row>
    <row r="18850">
      <c r="F18850" s="13"/>
      <c r="M18850" s="13"/>
    </row>
    <row r="18851">
      <c r="F18851" s="13"/>
      <c r="M18851" s="13"/>
    </row>
    <row r="18852">
      <c r="F18852" s="13"/>
      <c r="M18852" s="13"/>
    </row>
    <row r="18853">
      <c r="F18853" s="13"/>
      <c r="M18853" s="13"/>
    </row>
    <row r="18854">
      <c r="F18854" s="13"/>
      <c r="M18854" s="13"/>
    </row>
    <row r="18855">
      <c r="F18855" s="13"/>
      <c r="M18855" s="13"/>
    </row>
    <row r="18856">
      <c r="F18856" s="13"/>
      <c r="M18856" s="13"/>
    </row>
    <row r="18857">
      <c r="F18857" s="13"/>
      <c r="M18857" s="13"/>
    </row>
    <row r="18858">
      <c r="F18858" s="13"/>
      <c r="M18858" s="13"/>
    </row>
    <row r="18859">
      <c r="F18859" s="13"/>
      <c r="M18859" s="13"/>
    </row>
    <row r="18860">
      <c r="F18860" s="13"/>
      <c r="M18860" s="13"/>
    </row>
    <row r="18861">
      <c r="F18861" s="13"/>
      <c r="M18861" s="13"/>
    </row>
    <row r="18862">
      <c r="F18862" s="13"/>
      <c r="M18862" s="13"/>
    </row>
    <row r="18863">
      <c r="F18863" s="13"/>
      <c r="M18863" s="13"/>
    </row>
    <row r="18864">
      <c r="F18864" s="13"/>
      <c r="M18864" s="13"/>
    </row>
    <row r="18865">
      <c r="F18865" s="13"/>
      <c r="M18865" s="13"/>
    </row>
    <row r="18866">
      <c r="F18866" s="13"/>
      <c r="M18866" s="13"/>
    </row>
    <row r="18867">
      <c r="F18867" s="13"/>
      <c r="M18867" s="13"/>
    </row>
    <row r="18868">
      <c r="F18868" s="13"/>
      <c r="M18868" s="13"/>
    </row>
    <row r="18869">
      <c r="F18869" s="13"/>
      <c r="M18869" s="13"/>
    </row>
    <row r="18870">
      <c r="F18870" s="13"/>
      <c r="M18870" s="13"/>
    </row>
    <row r="18871">
      <c r="F18871" s="13"/>
      <c r="M18871" s="13"/>
    </row>
    <row r="18872">
      <c r="F18872" s="13"/>
      <c r="M18872" s="13"/>
    </row>
    <row r="18873">
      <c r="F18873" s="13"/>
      <c r="M18873" s="13"/>
    </row>
    <row r="18874">
      <c r="F18874" s="13"/>
      <c r="M18874" s="13"/>
    </row>
    <row r="18875">
      <c r="F18875" s="13"/>
      <c r="M18875" s="13"/>
    </row>
    <row r="18876">
      <c r="F18876" s="13"/>
      <c r="M18876" s="13"/>
    </row>
    <row r="18877">
      <c r="F18877" s="13"/>
      <c r="M18877" s="13"/>
    </row>
    <row r="18878">
      <c r="F18878" s="13"/>
      <c r="M18878" s="13"/>
    </row>
    <row r="18879">
      <c r="F18879" s="13"/>
      <c r="M18879" s="13"/>
    </row>
    <row r="18880">
      <c r="F18880" s="13"/>
      <c r="M18880" s="13"/>
    </row>
    <row r="18881">
      <c r="F18881" s="13"/>
      <c r="M18881" s="13"/>
    </row>
    <row r="18882">
      <c r="F18882" s="13"/>
      <c r="M18882" s="13"/>
    </row>
    <row r="18883">
      <c r="F18883" s="13"/>
      <c r="M18883" s="13"/>
    </row>
    <row r="18884">
      <c r="F18884" s="13"/>
      <c r="M18884" s="13"/>
    </row>
    <row r="18885">
      <c r="F18885" s="13"/>
      <c r="M18885" s="13"/>
    </row>
    <row r="18886">
      <c r="F18886" s="13"/>
      <c r="M18886" s="13"/>
    </row>
    <row r="18887">
      <c r="F18887" s="13"/>
      <c r="M18887" s="13"/>
    </row>
    <row r="18888">
      <c r="F18888" s="13"/>
      <c r="M18888" s="13"/>
    </row>
    <row r="18889">
      <c r="F18889" s="13"/>
      <c r="M18889" s="13"/>
    </row>
    <row r="18890">
      <c r="F18890" s="13"/>
      <c r="M18890" s="13"/>
    </row>
    <row r="18891">
      <c r="F18891" s="13"/>
      <c r="M18891" s="13"/>
    </row>
    <row r="18892">
      <c r="F18892" s="13"/>
      <c r="M18892" s="13"/>
    </row>
    <row r="18893">
      <c r="F18893" s="13"/>
      <c r="M18893" s="13"/>
    </row>
    <row r="18894">
      <c r="F18894" s="13"/>
      <c r="M18894" s="13"/>
    </row>
    <row r="18895">
      <c r="F18895" s="13"/>
      <c r="M18895" s="13"/>
    </row>
    <row r="18896">
      <c r="F18896" s="13"/>
      <c r="M18896" s="13"/>
    </row>
    <row r="18897">
      <c r="F18897" s="13"/>
      <c r="M18897" s="13"/>
    </row>
    <row r="18898">
      <c r="F18898" s="13"/>
      <c r="M18898" s="13"/>
    </row>
    <row r="18899">
      <c r="F18899" s="13"/>
      <c r="M18899" s="13"/>
    </row>
    <row r="18900">
      <c r="F18900" s="13"/>
      <c r="M18900" s="13"/>
    </row>
    <row r="18901">
      <c r="F18901" s="13"/>
      <c r="M18901" s="13"/>
    </row>
    <row r="18902">
      <c r="F18902" s="13"/>
      <c r="M18902" s="13"/>
    </row>
    <row r="18903">
      <c r="F18903" s="13"/>
      <c r="M18903" s="13"/>
    </row>
    <row r="18904">
      <c r="F18904" s="13"/>
      <c r="M18904" s="13"/>
    </row>
    <row r="18905">
      <c r="F18905" s="13"/>
      <c r="M18905" s="13"/>
    </row>
    <row r="18906">
      <c r="F18906" s="13"/>
      <c r="M18906" s="13"/>
    </row>
    <row r="18907">
      <c r="F18907" s="13"/>
      <c r="M18907" s="13"/>
    </row>
    <row r="18908">
      <c r="F18908" s="13"/>
      <c r="M18908" s="13"/>
    </row>
    <row r="18909">
      <c r="F18909" s="13"/>
      <c r="M18909" s="13"/>
    </row>
    <row r="18910">
      <c r="F18910" s="13"/>
      <c r="M18910" s="13"/>
    </row>
    <row r="18911">
      <c r="F18911" s="13"/>
      <c r="M18911" s="13"/>
    </row>
    <row r="18912">
      <c r="F18912" s="13"/>
      <c r="M18912" s="13"/>
    </row>
    <row r="18913">
      <c r="F18913" s="13"/>
      <c r="M18913" s="13"/>
    </row>
    <row r="18914">
      <c r="F18914" s="13"/>
      <c r="M18914" s="13"/>
    </row>
    <row r="18915">
      <c r="F18915" s="13"/>
      <c r="M18915" s="13"/>
    </row>
    <row r="18916">
      <c r="F18916" s="13"/>
      <c r="M18916" s="13"/>
    </row>
    <row r="18917">
      <c r="F18917" s="13"/>
      <c r="M18917" s="13"/>
    </row>
    <row r="18918">
      <c r="F18918" s="13"/>
      <c r="M18918" s="13"/>
    </row>
    <row r="18919">
      <c r="F18919" s="13"/>
      <c r="M18919" s="13"/>
    </row>
    <row r="18920">
      <c r="F18920" s="13"/>
      <c r="M18920" s="13"/>
    </row>
    <row r="18921">
      <c r="F18921" s="13"/>
      <c r="M18921" s="13"/>
    </row>
    <row r="18922">
      <c r="F18922" s="13"/>
      <c r="M18922" s="13"/>
    </row>
    <row r="18923">
      <c r="F18923" s="13"/>
      <c r="M18923" s="13"/>
    </row>
    <row r="18924">
      <c r="F18924" s="13"/>
      <c r="M18924" s="13"/>
    </row>
    <row r="18925">
      <c r="F18925" s="13"/>
      <c r="M18925" s="13"/>
    </row>
    <row r="18926">
      <c r="F18926" s="13"/>
      <c r="M18926" s="13"/>
    </row>
    <row r="18927">
      <c r="F18927" s="13"/>
      <c r="M18927" s="13"/>
    </row>
    <row r="18928">
      <c r="F18928" s="13"/>
      <c r="M18928" s="13"/>
    </row>
    <row r="18929">
      <c r="F18929" s="13"/>
      <c r="M18929" s="13"/>
    </row>
    <row r="18930">
      <c r="F18930" s="13"/>
      <c r="M18930" s="13"/>
    </row>
    <row r="18931">
      <c r="F18931" s="13"/>
      <c r="M18931" s="13"/>
    </row>
    <row r="18932">
      <c r="F18932" s="13"/>
      <c r="M18932" s="13"/>
    </row>
    <row r="18933">
      <c r="F18933" s="13"/>
      <c r="M18933" s="13"/>
    </row>
    <row r="18934">
      <c r="F18934" s="13"/>
      <c r="M18934" s="13"/>
    </row>
    <row r="18935">
      <c r="F18935" s="13"/>
      <c r="M18935" s="13"/>
    </row>
    <row r="18936">
      <c r="F18936" s="13"/>
      <c r="M18936" s="13"/>
    </row>
    <row r="18937">
      <c r="F18937" s="13"/>
      <c r="M18937" s="13"/>
    </row>
    <row r="18938">
      <c r="F18938" s="13"/>
      <c r="M18938" s="13"/>
    </row>
    <row r="18939">
      <c r="F18939" s="13"/>
      <c r="M18939" s="13"/>
    </row>
    <row r="18940">
      <c r="F18940" s="13"/>
      <c r="M18940" s="13"/>
    </row>
    <row r="18941">
      <c r="F18941" s="13"/>
      <c r="M18941" s="13"/>
    </row>
    <row r="18942">
      <c r="F18942" s="13"/>
      <c r="M18942" s="13"/>
    </row>
    <row r="18943">
      <c r="F18943" s="13"/>
      <c r="M18943" s="13"/>
    </row>
    <row r="18944">
      <c r="F18944" s="13"/>
      <c r="M18944" s="13"/>
    </row>
    <row r="18945">
      <c r="F18945" s="13"/>
      <c r="M18945" s="13"/>
    </row>
    <row r="18946">
      <c r="F18946" s="13"/>
      <c r="M18946" s="13"/>
    </row>
    <row r="18947">
      <c r="F18947" s="13"/>
      <c r="M18947" s="13"/>
    </row>
    <row r="18948">
      <c r="F18948" s="13"/>
      <c r="M18948" s="13"/>
    </row>
    <row r="18949">
      <c r="F18949" s="13"/>
      <c r="M18949" s="13"/>
    </row>
    <row r="18950">
      <c r="F18950" s="13"/>
      <c r="M18950" s="13"/>
    </row>
    <row r="18951">
      <c r="F18951" s="13"/>
      <c r="M18951" s="13"/>
    </row>
    <row r="18952">
      <c r="F18952" s="13"/>
      <c r="M18952" s="13"/>
    </row>
    <row r="18953">
      <c r="F18953" s="13"/>
      <c r="M18953" s="13"/>
    </row>
    <row r="18954">
      <c r="F18954" s="13"/>
      <c r="M18954" s="13"/>
    </row>
    <row r="18955">
      <c r="F18955" s="13"/>
      <c r="M18955" s="13"/>
    </row>
    <row r="18956">
      <c r="F18956" s="13"/>
      <c r="M18956" s="13"/>
    </row>
    <row r="18957">
      <c r="F18957" s="13"/>
      <c r="M18957" s="13"/>
    </row>
    <row r="18958">
      <c r="F18958" s="13"/>
      <c r="M18958" s="13"/>
    </row>
    <row r="18959">
      <c r="F18959" s="13"/>
      <c r="M18959" s="13"/>
    </row>
    <row r="18960">
      <c r="F18960" s="13"/>
      <c r="M18960" s="13"/>
    </row>
    <row r="18961">
      <c r="F18961" s="13"/>
      <c r="M18961" s="13"/>
    </row>
    <row r="18962">
      <c r="F18962" s="13"/>
      <c r="M18962" s="13"/>
    </row>
    <row r="18963">
      <c r="F18963" s="13"/>
      <c r="M18963" s="13"/>
    </row>
    <row r="18964">
      <c r="F18964" s="13"/>
      <c r="M18964" s="13"/>
    </row>
    <row r="18965">
      <c r="F18965" s="13"/>
      <c r="M18965" s="13"/>
    </row>
    <row r="18966">
      <c r="F18966" s="13"/>
      <c r="M18966" s="13"/>
    </row>
    <row r="18967">
      <c r="F18967" s="13"/>
      <c r="M18967" s="13"/>
    </row>
    <row r="18968">
      <c r="F18968" s="13"/>
      <c r="M18968" s="13"/>
    </row>
    <row r="18969">
      <c r="F18969" s="13"/>
      <c r="M18969" s="13"/>
    </row>
    <row r="18970">
      <c r="F18970" s="13"/>
      <c r="M18970" s="13"/>
    </row>
    <row r="18971">
      <c r="F18971" s="13"/>
      <c r="M18971" s="13"/>
    </row>
    <row r="18972">
      <c r="F18972" s="13"/>
      <c r="M18972" s="13"/>
    </row>
    <row r="18973">
      <c r="F18973" s="13"/>
      <c r="M18973" s="13"/>
    </row>
    <row r="18974">
      <c r="F18974" s="13"/>
      <c r="M18974" s="13"/>
    </row>
    <row r="18975">
      <c r="F18975" s="13"/>
      <c r="M18975" s="13"/>
    </row>
    <row r="18976">
      <c r="F18976" s="13"/>
      <c r="M18976" s="13"/>
    </row>
    <row r="18977">
      <c r="F18977" s="13"/>
      <c r="M18977" s="13"/>
    </row>
    <row r="18978">
      <c r="F18978" s="13"/>
      <c r="M18978" s="13"/>
    </row>
    <row r="18979">
      <c r="F18979" s="13"/>
      <c r="M18979" s="13"/>
    </row>
    <row r="18980">
      <c r="F18980" s="13"/>
      <c r="M18980" s="13"/>
    </row>
    <row r="18981">
      <c r="F18981" s="13"/>
      <c r="M18981" s="13"/>
    </row>
    <row r="18982">
      <c r="F18982" s="13"/>
      <c r="M18982" s="13"/>
    </row>
    <row r="18983">
      <c r="F18983" s="13"/>
      <c r="M18983" s="13"/>
    </row>
    <row r="18984">
      <c r="F18984" s="13"/>
      <c r="M18984" s="13"/>
    </row>
    <row r="18985">
      <c r="F18985" s="13"/>
      <c r="M18985" s="13"/>
    </row>
    <row r="18986">
      <c r="F18986" s="13"/>
      <c r="M18986" s="13"/>
    </row>
    <row r="18987">
      <c r="F18987" s="13"/>
      <c r="M18987" s="13"/>
    </row>
    <row r="18988">
      <c r="F18988" s="13"/>
      <c r="M18988" s="13"/>
    </row>
    <row r="18989">
      <c r="F18989" s="13"/>
      <c r="M18989" s="13"/>
    </row>
    <row r="18990">
      <c r="F18990" s="13"/>
      <c r="M18990" s="13"/>
    </row>
    <row r="18991">
      <c r="F18991" s="13"/>
      <c r="M18991" s="13"/>
    </row>
    <row r="18992">
      <c r="F18992" s="13"/>
      <c r="M18992" s="13"/>
    </row>
    <row r="18993">
      <c r="F18993" s="13"/>
      <c r="M18993" s="13"/>
    </row>
    <row r="18994">
      <c r="F18994" s="13"/>
      <c r="M18994" s="13"/>
    </row>
    <row r="18995">
      <c r="F18995" s="13"/>
      <c r="M18995" s="13"/>
    </row>
    <row r="18996">
      <c r="F18996" s="13"/>
      <c r="M18996" s="13"/>
    </row>
    <row r="18997">
      <c r="F18997" s="13"/>
      <c r="M18997" s="13"/>
    </row>
    <row r="18998">
      <c r="F18998" s="13"/>
      <c r="M18998" s="13"/>
    </row>
    <row r="18999">
      <c r="F18999" s="13"/>
      <c r="M18999" s="13"/>
    </row>
    <row r="19000">
      <c r="F19000" s="13"/>
      <c r="M19000" s="13"/>
    </row>
    <row r="19001">
      <c r="F19001" s="13"/>
      <c r="M19001" s="13"/>
    </row>
    <row r="19002">
      <c r="F19002" s="13"/>
      <c r="M19002" s="13"/>
    </row>
    <row r="19003">
      <c r="F19003" s="13"/>
      <c r="M19003" s="13"/>
    </row>
    <row r="19004">
      <c r="F19004" s="13"/>
      <c r="M19004" s="13"/>
    </row>
    <row r="19005">
      <c r="F19005" s="13"/>
      <c r="M19005" s="13"/>
    </row>
    <row r="19006">
      <c r="F19006" s="13"/>
      <c r="M19006" s="13"/>
    </row>
    <row r="19007">
      <c r="F19007" s="13"/>
      <c r="M19007" s="13"/>
    </row>
    <row r="19008">
      <c r="F19008" s="13"/>
      <c r="M19008" s="13"/>
    </row>
    <row r="19009">
      <c r="F19009" s="13"/>
      <c r="M19009" s="13"/>
    </row>
    <row r="19010">
      <c r="F19010" s="13"/>
      <c r="M19010" s="13"/>
    </row>
    <row r="19011">
      <c r="F19011" s="13"/>
      <c r="M19011" s="13"/>
    </row>
    <row r="19012">
      <c r="F19012" s="13"/>
      <c r="M19012" s="13"/>
    </row>
    <row r="19013">
      <c r="F19013" s="13"/>
      <c r="M19013" s="13"/>
    </row>
    <row r="19014">
      <c r="F19014" s="13"/>
      <c r="M19014" s="13"/>
    </row>
    <row r="19015">
      <c r="F19015" s="13"/>
      <c r="M19015" s="13"/>
    </row>
    <row r="19016">
      <c r="F19016" s="13"/>
      <c r="M19016" s="13"/>
    </row>
    <row r="19017">
      <c r="F19017" s="13"/>
      <c r="M19017" s="13"/>
    </row>
    <row r="19018">
      <c r="F19018" s="13"/>
      <c r="M19018" s="13"/>
    </row>
    <row r="19019">
      <c r="F19019" s="13"/>
      <c r="M19019" s="13"/>
    </row>
    <row r="19020">
      <c r="F19020" s="13"/>
      <c r="M19020" s="13"/>
    </row>
    <row r="19021">
      <c r="F19021" s="13"/>
      <c r="M19021" s="13"/>
    </row>
    <row r="19022">
      <c r="F19022" s="13"/>
      <c r="M19022" s="13"/>
    </row>
    <row r="19023">
      <c r="F19023" s="13"/>
      <c r="M19023" s="13"/>
    </row>
    <row r="19024">
      <c r="F19024" s="13"/>
      <c r="M19024" s="13"/>
    </row>
    <row r="19025">
      <c r="F19025" s="13"/>
      <c r="M19025" s="13"/>
    </row>
    <row r="19026">
      <c r="F19026" s="13"/>
      <c r="M19026" s="13"/>
    </row>
    <row r="19027">
      <c r="F19027" s="13"/>
      <c r="M19027" s="13"/>
    </row>
    <row r="19028">
      <c r="F19028" s="13"/>
      <c r="M19028" s="13"/>
    </row>
    <row r="19029">
      <c r="F19029" s="13"/>
      <c r="M19029" s="13"/>
    </row>
    <row r="19030">
      <c r="F19030" s="13"/>
      <c r="M19030" s="13"/>
    </row>
    <row r="19031">
      <c r="F19031" s="13"/>
      <c r="M19031" s="13"/>
    </row>
    <row r="19032">
      <c r="F19032" s="13"/>
      <c r="M19032" s="13"/>
    </row>
    <row r="19033">
      <c r="F19033" s="13"/>
      <c r="M19033" s="13"/>
    </row>
    <row r="19034">
      <c r="F19034" s="13"/>
      <c r="M19034" s="13"/>
    </row>
    <row r="19035">
      <c r="F19035" s="13"/>
      <c r="M19035" s="13"/>
    </row>
    <row r="19036">
      <c r="F19036" s="13"/>
      <c r="M19036" s="13"/>
    </row>
    <row r="19037">
      <c r="F19037" s="13"/>
      <c r="M19037" s="13"/>
    </row>
    <row r="19038">
      <c r="F19038" s="13"/>
      <c r="M19038" s="13"/>
    </row>
    <row r="19039">
      <c r="F19039" s="13"/>
      <c r="M19039" s="13"/>
    </row>
    <row r="19040">
      <c r="F19040" s="13"/>
      <c r="M19040" s="13"/>
    </row>
    <row r="19041">
      <c r="F19041" s="13"/>
      <c r="M19041" s="13"/>
    </row>
    <row r="19042">
      <c r="F19042" s="13"/>
      <c r="M19042" s="13"/>
    </row>
    <row r="19043">
      <c r="F19043" s="13"/>
      <c r="M19043" s="13"/>
    </row>
    <row r="19044">
      <c r="F19044" s="13"/>
      <c r="M19044" s="13"/>
    </row>
    <row r="19045">
      <c r="F19045" s="13"/>
      <c r="M19045" s="13"/>
    </row>
    <row r="19046">
      <c r="F19046" s="13"/>
      <c r="M19046" s="13"/>
    </row>
    <row r="19047">
      <c r="F19047" s="13"/>
      <c r="M19047" s="13"/>
    </row>
    <row r="19048">
      <c r="F19048" s="13"/>
      <c r="M19048" s="13"/>
    </row>
    <row r="19049">
      <c r="F19049" s="13"/>
      <c r="M19049" s="13"/>
    </row>
    <row r="19050">
      <c r="F19050" s="13"/>
      <c r="M19050" s="13"/>
    </row>
    <row r="19051">
      <c r="F19051" s="13"/>
      <c r="M19051" s="13"/>
    </row>
    <row r="19052">
      <c r="F19052" s="13"/>
      <c r="M19052" s="13"/>
    </row>
    <row r="19053">
      <c r="F19053" s="13"/>
      <c r="M19053" s="13"/>
    </row>
    <row r="19054">
      <c r="F19054" s="13"/>
      <c r="M19054" s="13"/>
    </row>
    <row r="19055">
      <c r="F19055" s="13"/>
      <c r="M19055" s="13"/>
    </row>
    <row r="19056">
      <c r="F19056" s="13"/>
      <c r="M19056" s="13"/>
    </row>
    <row r="19057">
      <c r="F19057" s="13"/>
      <c r="M19057" s="13"/>
    </row>
    <row r="19058">
      <c r="F19058" s="13"/>
      <c r="M19058" s="13"/>
    </row>
    <row r="19059">
      <c r="F19059" s="13"/>
      <c r="M19059" s="13"/>
    </row>
    <row r="19060">
      <c r="F19060" s="13"/>
      <c r="M19060" s="13"/>
    </row>
    <row r="19061">
      <c r="F19061" s="13"/>
      <c r="M19061" s="13"/>
    </row>
    <row r="19062">
      <c r="F19062" s="13"/>
      <c r="M19062" s="13"/>
    </row>
    <row r="19063">
      <c r="F19063" s="13"/>
      <c r="M19063" s="13"/>
    </row>
    <row r="19064">
      <c r="F19064" s="13"/>
      <c r="M19064" s="13"/>
    </row>
    <row r="19065">
      <c r="F19065" s="13"/>
      <c r="M19065" s="13"/>
    </row>
    <row r="19066">
      <c r="F19066" s="13"/>
      <c r="M19066" s="13"/>
    </row>
    <row r="19067">
      <c r="F19067" s="13"/>
      <c r="M19067" s="13"/>
    </row>
    <row r="19068">
      <c r="F19068" s="13"/>
      <c r="M19068" s="13"/>
    </row>
    <row r="19069">
      <c r="F19069" s="13"/>
      <c r="M19069" s="13"/>
    </row>
    <row r="19070">
      <c r="F19070" s="13"/>
      <c r="M19070" s="13"/>
    </row>
    <row r="19071">
      <c r="F19071" s="13"/>
      <c r="M19071" s="13"/>
    </row>
    <row r="19072">
      <c r="F19072" s="13"/>
      <c r="M19072" s="13"/>
    </row>
    <row r="19073">
      <c r="F19073" s="13"/>
      <c r="M19073" s="13"/>
    </row>
    <row r="19074">
      <c r="F19074" s="13"/>
      <c r="M19074" s="13"/>
    </row>
    <row r="19075">
      <c r="F19075" s="13"/>
      <c r="M19075" s="13"/>
    </row>
    <row r="19076">
      <c r="F19076" s="13"/>
      <c r="M19076" s="13"/>
    </row>
    <row r="19077">
      <c r="F19077" s="13"/>
      <c r="M19077" s="13"/>
    </row>
    <row r="19078">
      <c r="F19078" s="13"/>
      <c r="M19078" s="13"/>
    </row>
    <row r="19079">
      <c r="F19079" s="13"/>
      <c r="M19079" s="13"/>
    </row>
    <row r="19080">
      <c r="F19080" s="13"/>
      <c r="M19080" s="13"/>
    </row>
    <row r="19081">
      <c r="F19081" s="13"/>
      <c r="M19081" s="13"/>
    </row>
    <row r="19082">
      <c r="F19082" s="13"/>
      <c r="M19082" s="13"/>
    </row>
    <row r="19083">
      <c r="F19083" s="13"/>
      <c r="M19083" s="13"/>
    </row>
    <row r="19084">
      <c r="F19084" s="13"/>
      <c r="M19084" s="13"/>
    </row>
    <row r="19085">
      <c r="F19085" s="13"/>
      <c r="M19085" s="13"/>
    </row>
    <row r="19086">
      <c r="F19086" s="13"/>
      <c r="M19086" s="13"/>
    </row>
    <row r="19087">
      <c r="F19087" s="13"/>
      <c r="M19087" s="13"/>
    </row>
    <row r="19088">
      <c r="F19088" s="13"/>
      <c r="M19088" s="13"/>
    </row>
    <row r="19089">
      <c r="F19089" s="13"/>
      <c r="M19089" s="13"/>
    </row>
    <row r="19090">
      <c r="F19090" s="13"/>
      <c r="M19090" s="13"/>
    </row>
    <row r="19091">
      <c r="F19091" s="13"/>
      <c r="M19091" s="13"/>
    </row>
    <row r="19092">
      <c r="F19092" s="13"/>
      <c r="M19092" s="13"/>
    </row>
    <row r="19093">
      <c r="F19093" s="13"/>
      <c r="M19093" s="13"/>
    </row>
    <row r="19094">
      <c r="F19094" s="13"/>
      <c r="M19094" s="13"/>
    </row>
    <row r="19095">
      <c r="F19095" s="13"/>
      <c r="M19095" s="13"/>
    </row>
    <row r="19096">
      <c r="F19096" s="13"/>
      <c r="M19096" s="13"/>
    </row>
    <row r="19097">
      <c r="F19097" s="13"/>
      <c r="M19097" s="13"/>
    </row>
    <row r="19098">
      <c r="F19098" s="13"/>
      <c r="M19098" s="13"/>
    </row>
    <row r="19099">
      <c r="F19099" s="13"/>
      <c r="M19099" s="13"/>
    </row>
    <row r="19100">
      <c r="F19100" s="13"/>
      <c r="M19100" s="13"/>
    </row>
    <row r="19101">
      <c r="F19101" s="13"/>
      <c r="M19101" s="13"/>
    </row>
    <row r="19102">
      <c r="F19102" s="13"/>
      <c r="M19102" s="13"/>
    </row>
    <row r="19103">
      <c r="F19103" s="13"/>
      <c r="M19103" s="13"/>
    </row>
    <row r="19104">
      <c r="F19104" s="13"/>
      <c r="M19104" s="13"/>
    </row>
    <row r="19105">
      <c r="F19105" s="13"/>
      <c r="M19105" s="13"/>
    </row>
    <row r="19106">
      <c r="F19106" s="13"/>
      <c r="M19106" s="13"/>
    </row>
    <row r="19107">
      <c r="F19107" s="13"/>
      <c r="M19107" s="13"/>
    </row>
    <row r="19108">
      <c r="F19108" s="13"/>
      <c r="M19108" s="13"/>
    </row>
    <row r="19109">
      <c r="F19109" s="13"/>
      <c r="M19109" s="13"/>
    </row>
    <row r="19110">
      <c r="F19110" s="13"/>
      <c r="M19110" s="13"/>
    </row>
    <row r="19111">
      <c r="F19111" s="13"/>
      <c r="M19111" s="13"/>
    </row>
    <row r="19112">
      <c r="F19112" s="13"/>
      <c r="M19112" s="13"/>
    </row>
    <row r="19113">
      <c r="F19113" s="13"/>
      <c r="M19113" s="13"/>
    </row>
    <row r="19114">
      <c r="F19114" s="13"/>
      <c r="M19114" s="13"/>
    </row>
    <row r="19115">
      <c r="F19115" s="13"/>
      <c r="M19115" s="13"/>
    </row>
    <row r="19116">
      <c r="F19116" s="13"/>
      <c r="M19116" s="13"/>
    </row>
    <row r="19117">
      <c r="F19117" s="13"/>
      <c r="M19117" s="13"/>
    </row>
    <row r="19118">
      <c r="F19118" s="13"/>
      <c r="M19118" s="13"/>
    </row>
    <row r="19119">
      <c r="F19119" s="13"/>
      <c r="M19119" s="13"/>
    </row>
    <row r="19120">
      <c r="F19120" s="13"/>
      <c r="M19120" s="13"/>
    </row>
    <row r="19121">
      <c r="F19121" s="13"/>
      <c r="M19121" s="13"/>
    </row>
    <row r="19122">
      <c r="F19122" s="13"/>
      <c r="M19122" s="13"/>
    </row>
    <row r="19123">
      <c r="F19123" s="13"/>
      <c r="M19123" s="13"/>
    </row>
    <row r="19124">
      <c r="F19124" s="13"/>
      <c r="M19124" s="13"/>
    </row>
    <row r="19125">
      <c r="F19125" s="13"/>
      <c r="M19125" s="13"/>
    </row>
    <row r="19126">
      <c r="F19126" s="13"/>
      <c r="M19126" s="13"/>
    </row>
    <row r="19127">
      <c r="F19127" s="13"/>
      <c r="M19127" s="13"/>
    </row>
    <row r="19128">
      <c r="F19128" s="13"/>
      <c r="M19128" s="13"/>
    </row>
    <row r="19129">
      <c r="F19129" s="13"/>
      <c r="M19129" s="13"/>
    </row>
    <row r="19130">
      <c r="F19130" s="13"/>
      <c r="M19130" s="13"/>
    </row>
    <row r="19131">
      <c r="F19131" s="13"/>
      <c r="M19131" s="13"/>
    </row>
    <row r="19132">
      <c r="F19132" s="13"/>
      <c r="M19132" s="13"/>
    </row>
    <row r="19133">
      <c r="F19133" s="13"/>
      <c r="M19133" s="13"/>
    </row>
    <row r="19134">
      <c r="F19134" s="13"/>
      <c r="M19134" s="13"/>
    </row>
    <row r="19135">
      <c r="F19135" s="13"/>
      <c r="M19135" s="13"/>
    </row>
    <row r="19136">
      <c r="F19136" s="13"/>
      <c r="M19136" s="13"/>
    </row>
    <row r="19137">
      <c r="F19137" s="13"/>
      <c r="M19137" s="13"/>
    </row>
    <row r="19138">
      <c r="F19138" s="13"/>
      <c r="M19138" s="13"/>
    </row>
    <row r="19139">
      <c r="F19139" s="13"/>
      <c r="M19139" s="13"/>
    </row>
    <row r="19140">
      <c r="F19140" s="13"/>
      <c r="M19140" s="13"/>
    </row>
    <row r="19141">
      <c r="F19141" s="13"/>
      <c r="M19141" s="13"/>
    </row>
    <row r="19142">
      <c r="F19142" s="13"/>
      <c r="M19142" s="13"/>
    </row>
    <row r="19143">
      <c r="F19143" s="13"/>
      <c r="M19143" s="13"/>
    </row>
    <row r="19144">
      <c r="F19144" s="13"/>
      <c r="M19144" s="13"/>
    </row>
    <row r="19145">
      <c r="F19145" s="13"/>
      <c r="M19145" s="13"/>
    </row>
    <row r="19146">
      <c r="F19146" s="13"/>
      <c r="M19146" s="13"/>
    </row>
    <row r="19147">
      <c r="F19147" s="13"/>
      <c r="M19147" s="13"/>
    </row>
    <row r="19148">
      <c r="F19148" s="13"/>
      <c r="M19148" s="13"/>
    </row>
    <row r="19149">
      <c r="F19149" s="13"/>
      <c r="M19149" s="13"/>
    </row>
    <row r="19150">
      <c r="F19150" s="13"/>
      <c r="M19150" s="13"/>
    </row>
    <row r="19151">
      <c r="F19151" s="13"/>
      <c r="M19151" s="13"/>
    </row>
    <row r="19152">
      <c r="F19152" s="13"/>
      <c r="M19152" s="13"/>
    </row>
    <row r="19153">
      <c r="F19153" s="13"/>
      <c r="M19153" s="13"/>
    </row>
    <row r="19154">
      <c r="F19154" s="13"/>
      <c r="M19154" s="13"/>
    </row>
    <row r="19155">
      <c r="F19155" s="13"/>
      <c r="M19155" s="13"/>
    </row>
    <row r="19156">
      <c r="F19156" s="13"/>
      <c r="M19156" s="13"/>
    </row>
    <row r="19157">
      <c r="F19157" s="13"/>
      <c r="M19157" s="13"/>
    </row>
    <row r="19158">
      <c r="F19158" s="13"/>
      <c r="M19158" s="13"/>
    </row>
    <row r="19159">
      <c r="F19159" s="13"/>
      <c r="M19159" s="13"/>
    </row>
    <row r="19160">
      <c r="F19160" s="13"/>
      <c r="M19160" s="13"/>
    </row>
    <row r="19161">
      <c r="F19161" s="13"/>
      <c r="M19161" s="13"/>
    </row>
    <row r="19162">
      <c r="F19162" s="13"/>
      <c r="M19162" s="13"/>
    </row>
    <row r="19163">
      <c r="F19163" s="13"/>
      <c r="M19163" s="13"/>
    </row>
    <row r="19164">
      <c r="F19164" s="13"/>
      <c r="M19164" s="13"/>
    </row>
    <row r="19165">
      <c r="F19165" s="13"/>
      <c r="M19165" s="13"/>
    </row>
    <row r="19166">
      <c r="F19166" s="13"/>
      <c r="M19166" s="13"/>
    </row>
    <row r="19167">
      <c r="F19167" s="13"/>
      <c r="M19167" s="13"/>
    </row>
    <row r="19168">
      <c r="F19168" s="13"/>
      <c r="M19168" s="13"/>
    </row>
    <row r="19169">
      <c r="F19169" s="13"/>
      <c r="M19169" s="13"/>
    </row>
    <row r="19170">
      <c r="F19170" s="13"/>
      <c r="M19170" s="13"/>
    </row>
    <row r="19171">
      <c r="F19171" s="13"/>
      <c r="M19171" s="13"/>
    </row>
    <row r="19172">
      <c r="F19172" s="13"/>
      <c r="M19172" s="13"/>
    </row>
    <row r="19173">
      <c r="F19173" s="13"/>
      <c r="M19173" s="13"/>
    </row>
    <row r="19174">
      <c r="F19174" s="13"/>
      <c r="M19174" s="13"/>
    </row>
    <row r="19175">
      <c r="F19175" s="13"/>
      <c r="M19175" s="13"/>
    </row>
    <row r="19176">
      <c r="F19176" s="13"/>
      <c r="M19176" s="13"/>
    </row>
    <row r="19177">
      <c r="F19177" s="13"/>
      <c r="M19177" s="13"/>
    </row>
    <row r="19178">
      <c r="F19178" s="13"/>
      <c r="M19178" s="13"/>
    </row>
    <row r="19179">
      <c r="F19179" s="13"/>
      <c r="M19179" s="13"/>
    </row>
    <row r="19180">
      <c r="F19180" s="13"/>
      <c r="M19180" s="13"/>
    </row>
    <row r="19181">
      <c r="F19181" s="13"/>
      <c r="M19181" s="13"/>
    </row>
    <row r="19182">
      <c r="F19182" s="13"/>
      <c r="M19182" s="13"/>
    </row>
    <row r="19183">
      <c r="F19183" s="13"/>
      <c r="M19183" s="13"/>
    </row>
    <row r="19184">
      <c r="F19184" s="13"/>
      <c r="M19184" s="13"/>
    </row>
    <row r="19185">
      <c r="F19185" s="13"/>
      <c r="M19185" s="13"/>
    </row>
    <row r="19186">
      <c r="F19186" s="13"/>
      <c r="M19186" s="13"/>
    </row>
    <row r="19187">
      <c r="F19187" s="13"/>
      <c r="M19187" s="13"/>
    </row>
    <row r="19188">
      <c r="F19188" s="13"/>
      <c r="M19188" s="13"/>
    </row>
    <row r="19189">
      <c r="F19189" s="13"/>
      <c r="M19189" s="13"/>
    </row>
    <row r="19190">
      <c r="F19190" s="13"/>
      <c r="M19190" s="13"/>
    </row>
    <row r="19191">
      <c r="F19191" s="13"/>
      <c r="M19191" s="13"/>
    </row>
    <row r="19192">
      <c r="F19192" s="13"/>
      <c r="M19192" s="13"/>
    </row>
    <row r="19193">
      <c r="F19193" s="13"/>
      <c r="M19193" s="13"/>
    </row>
    <row r="19194">
      <c r="F19194" s="13"/>
      <c r="M19194" s="13"/>
    </row>
    <row r="19195">
      <c r="F19195" s="13"/>
      <c r="M19195" s="13"/>
    </row>
    <row r="19196">
      <c r="F19196" s="13"/>
      <c r="M19196" s="13"/>
    </row>
    <row r="19197">
      <c r="F19197" s="13"/>
      <c r="M19197" s="13"/>
    </row>
    <row r="19198">
      <c r="F19198" s="13"/>
      <c r="M19198" s="13"/>
    </row>
    <row r="19199">
      <c r="F19199" s="13"/>
      <c r="M19199" s="13"/>
    </row>
    <row r="19200">
      <c r="F19200" s="13"/>
      <c r="M19200" s="13"/>
    </row>
    <row r="19201">
      <c r="F19201" s="13"/>
      <c r="M19201" s="13"/>
    </row>
    <row r="19202">
      <c r="F19202" s="13"/>
      <c r="M19202" s="13"/>
    </row>
    <row r="19203">
      <c r="F19203" s="13"/>
      <c r="M19203" s="13"/>
    </row>
    <row r="19204">
      <c r="F19204" s="13"/>
      <c r="M19204" s="13"/>
    </row>
    <row r="19205">
      <c r="F19205" s="13"/>
      <c r="M19205" s="13"/>
    </row>
    <row r="19206">
      <c r="F19206" s="13"/>
      <c r="M19206" s="13"/>
    </row>
    <row r="19207">
      <c r="F19207" s="13"/>
      <c r="M19207" s="13"/>
    </row>
    <row r="19208">
      <c r="F19208" s="13"/>
      <c r="M19208" s="13"/>
    </row>
    <row r="19209">
      <c r="F19209" s="13"/>
      <c r="M19209" s="13"/>
    </row>
    <row r="19210">
      <c r="F19210" s="13"/>
      <c r="M19210" s="13"/>
    </row>
    <row r="19211">
      <c r="F19211" s="13"/>
      <c r="M19211" s="13"/>
    </row>
    <row r="19212">
      <c r="F19212" s="13"/>
      <c r="M19212" s="13"/>
    </row>
    <row r="19213">
      <c r="F19213" s="13"/>
      <c r="M19213" s="13"/>
    </row>
    <row r="19214">
      <c r="F19214" s="13"/>
      <c r="M19214" s="13"/>
    </row>
    <row r="19215">
      <c r="F19215" s="13"/>
      <c r="M19215" s="13"/>
    </row>
    <row r="19216">
      <c r="F19216" s="13"/>
      <c r="M19216" s="13"/>
    </row>
    <row r="19217">
      <c r="F19217" s="13"/>
      <c r="M19217" s="13"/>
    </row>
    <row r="19218">
      <c r="F19218" s="13"/>
      <c r="M19218" s="13"/>
    </row>
    <row r="19219">
      <c r="F19219" s="13"/>
      <c r="M19219" s="13"/>
    </row>
    <row r="19220">
      <c r="F19220" s="13"/>
      <c r="M19220" s="13"/>
    </row>
    <row r="19221">
      <c r="F19221" s="13"/>
      <c r="M19221" s="13"/>
    </row>
    <row r="19222">
      <c r="F19222" s="13"/>
      <c r="M19222" s="13"/>
    </row>
    <row r="19223">
      <c r="F19223" s="13"/>
      <c r="M19223" s="13"/>
    </row>
    <row r="19224">
      <c r="F19224" s="13"/>
      <c r="M19224" s="13"/>
    </row>
    <row r="19225">
      <c r="F19225" s="13"/>
      <c r="M19225" s="13"/>
    </row>
    <row r="19226">
      <c r="F19226" s="13"/>
      <c r="M19226" s="13"/>
    </row>
    <row r="19227">
      <c r="F19227" s="13"/>
      <c r="M19227" s="13"/>
    </row>
    <row r="19228">
      <c r="F19228" s="13"/>
      <c r="M19228" s="13"/>
    </row>
    <row r="19229">
      <c r="F19229" s="13"/>
      <c r="M19229" s="13"/>
    </row>
    <row r="19230">
      <c r="F19230" s="13"/>
      <c r="M19230" s="13"/>
    </row>
    <row r="19231">
      <c r="F19231" s="13"/>
      <c r="M19231" s="13"/>
    </row>
    <row r="19232">
      <c r="F19232" s="13"/>
      <c r="M19232" s="13"/>
    </row>
    <row r="19233">
      <c r="F19233" s="13"/>
      <c r="M19233" s="13"/>
    </row>
    <row r="19234">
      <c r="F19234" s="13"/>
      <c r="M19234" s="13"/>
    </row>
    <row r="19235">
      <c r="F19235" s="13"/>
      <c r="M19235" s="13"/>
    </row>
    <row r="19236">
      <c r="F19236" s="13"/>
      <c r="M19236" s="13"/>
    </row>
    <row r="19237">
      <c r="F19237" s="13"/>
      <c r="M19237" s="13"/>
    </row>
    <row r="19238">
      <c r="F19238" s="13"/>
      <c r="M19238" s="13"/>
    </row>
    <row r="19239">
      <c r="F19239" s="13"/>
      <c r="M19239" s="13"/>
    </row>
    <row r="19240">
      <c r="F19240" s="13"/>
      <c r="M19240" s="13"/>
    </row>
    <row r="19241">
      <c r="F19241" s="13"/>
      <c r="M19241" s="13"/>
    </row>
    <row r="19242">
      <c r="F19242" s="13"/>
      <c r="M19242" s="13"/>
    </row>
    <row r="19243">
      <c r="F19243" s="13"/>
      <c r="M19243" s="13"/>
    </row>
    <row r="19244">
      <c r="F19244" s="13"/>
      <c r="M19244" s="13"/>
    </row>
    <row r="19245">
      <c r="F19245" s="13"/>
      <c r="M19245" s="13"/>
    </row>
    <row r="19246">
      <c r="F19246" s="13"/>
      <c r="M19246" s="13"/>
    </row>
    <row r="19247">
      <c r="F19247" s="13"/>
      <c r="M19247" s="13"/>
    </row>
    <row r="19248">
      <c r="F19248" s="13"/>
      <c r="M19248" s="13"/>
    </row>
    <row r="19249">
      <c r="F19249" s="13"/>
      <c r="M19249" s="13"/>
    </row>
    <row r="19250">
      <c r="F19250" s="13"/>
      <c r="M19250" s="13"/>
    </row>
    <row r="19251">
      <c r="F19251" s="13"/>
      <c r="M19251" s="13"/>
    </row>
    <row r="19252">
      <c r="F19252" s="13"/>
      <c r="M19252" s="13"/>
    </row>
    <row r="19253">
      <c r="F19253" s="13"/>
      <c r="M19253" s="13"/>
    </row>
    <row r="19254">
      <c r="F19254" s="13"/>
      <c r="M19254" s="13"/>
    </row>
    <row r="19255">
      <c r="F19255" s="13"/>
      <c r="M19255" s="13"/>
    </row>
    <row r="19256">
      <c r="F19256" s="13"/>
      <c r="M19256" s="13"/>
    </row>
    <row r="19257">
      <c r="F19257" s="13"/>
      <c r="M19257" s="13"/>
    </row>
    <row r="19258">
      <c r="F19258" s="13"/>
      <c r="M19258" s="13"/>
    </row>
    <row r="19259">
      <c r="F19259" s="13"/>
      <c r="M19259" s="13"/>
    </row>
    <row r="19260">
      <c r="F19260" s="13"/>
      <c r="M19260" s="13"/>
    </row>
    <row r="19261">
      <c r="F19261" s="13"/>
      <c r="M19261" s="13"/>
    </row>
    <row r="19262">
      <c r="F19262" s="13"/>
      <c r="M19262" s="13"/>
    </row>
    <row r="19263">
      <c r="F19263" s="13"/>
      <c r="M19263" s="13"/>
    </row>
    <row r="19264">
      <c r="F19264" s="13"/>
      <c r="M19264" s="13"/>
    </row>
    <row r="19265">
      <c r="F19265" s="13"/>
      <c r="M19265" s="13"/>
    </row>
    <row r="19266">
      <c r="F19266" s="13"/>
      <c r="M19266" s="13"/>
    </row>
    <row r="19267">
      <c r="F19267" s="13"/>
      <c r="M19267" s="13"/>
    </row>
    <row r="19268">
      <c r="F19268" s="13"/>
      <c r="M19268" s="13"/>
    </row>
    <row r="19269">
      <c r="F19269" s="13"/>
      <c r="M19269" s="13"/>
    </row>
    <row r="19270">
      <c r="F19270" s="13"/>
      <c r="M19270" s="13"/>
    </row>
    <row r="19271">
      <c r="F19271" s="13"/>
      <c r="M19271" s="13"/>
    </row>
    <row r="19272">
      <c r="F19272" s="13"/>
      <c r="M19272" s="13"/>
    </row>
    <row r="19273">
      <c r="F19273" s="13"/>
      <c r="M19273" s="13"/>
    </row>
    <row r="19274">
      <c r="F19274" s="13"/>
      <c r="M19274" s="13"/>
    </row>
    <row r="19275">
      <c r="F19275" s="13"/>
      <c r="M19275" s="13"/>
    </row>
    <row r="19276">
      <c r="F19276" s="13"/>
      <c r="M19276" s="13"/>
    </row>
    <row r="19277">
      <c r="F19277" s="13"/>
      <c r="M19277" s="13"/>
    </row>
    <row r="19278">
      <c r="F19278" s="13"/>
      <c r="M19278" s="13"/>
    </row>
    <row r="19279">
      <c r="F19279" s="13"/>
      <c r="M19279" s="13"/>
    </row>
    <row r="19280">
      <c r="F19280" s="13"/>
      <c r="M19280" s="13"/>
    </row>
    <row r="19281">
      <c r="F19281" s="13"/>
      <c r="M19281" s="13"/>
    </row>
    <row r="19282">
      <c r="F19282" s="13"/>
      <c r="M19282" s="13"/>
    </row>
    <row r="19283">
      <c r="F19283" s="13"/>
      <c r="M19283" s="13"/>
    </row>
    <row r="19284">
      <c r="F19284" s="13"/>
      <c r="M19284" s="13"/>
    </row>
    <row r="19285">
      <c r="F19285" s="13"/>
      <c r="M19285" s="13"/>
    </row>
    <row r="19286">
      <c r="F19286" s="13"/>
      <c r="M19286" s="13"/>
    </row>
    <row r="19287">
      <c r="F19287" s="13"/>
      <c r="M19287" s="13"/>
    </row>
    <row r="19288">
      <c r="F19288" s="13"/>
      <c r="M19288" s="13"/>
    </row>
    <row r="19289">
      <c r="F19289" s="13"/>
      <c r="M19289" s="13"/>
    </row>
    <row r="19290">
      <c r="F19290" s="13"/>
      <c r="M19290" s="13"/>
    </row>
    <row r="19291">
      <c r="F19291" s="13"/>
      <c r="M19291" s="13"/>
    </row>
    <row r="19292">
      <c r="F19292" s="13"/>
      <c r="M19292" s="13"/>
    </row>
    <row r="19293">
      <c r="F19293" s="13"/>
      <c r="M19293" s="13"/>
    </row>
    <row r="19294">
      <c r="F19294" s="13"/>
      <c r="M19294" s="13"/>
    </row>
    <row r="19295">
      <c r="F19295" s="13"/>
      <c r="M19295" s="13"/>
    </row>
    <row r="19296">
      <c r="F19296" s="13"/>
      <c r="M19296" s="13"/>
    </row>
    <row r="19297">
      <c r="F19297" s="13"/>
      <c r="M19297" s="13"/>
    </row>
    <row r="19298">
      <c r="F19298" s="13"/>
      <c r="M19298" s="13"/>
    </row>
    <row r="19299">
      <c r="F19299" s="13"/>
      <c r="M19299" s="13"/>
    </row>
    <row r="19300">
      <c r="F19300" s="13"/>
      <c r="M19300" s="13"/>
    </row>
    <row r="19301">
      <c r="F19301" s="13"/>
      <c r="M19301" s="13"/>
    </row>
    <row r="19302">
      <c r="F19302" s="13"/>
      <c r="M19302" s="13"/>
    </row>
    <row r="19303">
      <c r="F19303" s="13"/>
      <c r="M19303" s="13"/>
    </row>
    <row r="19304">
      <c r="F19304" s="13"/>
      <c r="M19304" s="13"/>
    </row>
    <row r="19305">
      <c r="F19305" s="13"/>
      <c r="M19305" s="13"/>
    </row>
    <row r="19306">
      <c r="F19306" s="13"/>
      <c r="M19306" s="13"/>
    </row>
    <row r="19307">
      <c r="F19307" s="13"/>
      <c r="M19307" s="13"/>
    </row>
    <row r="19308">
      <c r="F19308" s="13"/>
      <c r="M19308" s="13"/>
    </row>
    <row r="19309">
      <c r="F19309" s="13"/>
      <c r="M19309" s="13"/>
    </row>
    <row r="19310">
      <c r="F19310" s="13"/>
      <c r="M19310" s="13"/>
    </row>
    <row r="19311">
      <c r="F19311" s="13"/>
      <c r="M19311" s="13"/>
    </row>
    <row r="19312">
      <c r="F19312" s="13"/>
      <c r="M19312" s="13"/>
    </row>
    <row r="19313">
      <c r="F19313" s="13"/>
      <c r="M19313" s="13"/>
    </row>
    <row r="19314">
      <c r="F19314" s="13"/>
      <c r="M19314" s="13"/>
    </row>
    <row r="19315">
      <c r="F19315" s="13"/>
      <c r="M19315" s="13"/>
    </row>
    <row r="19316">
      <c r="F19316" s="13"/>
      <c r="M19316" s="13"/>
    </row>
    <row r="19317">
      <c r="F19317" s="13"/>
      <c r="M19317" s="13"/>
    </row>
    <row r="19318">
      <c r="F19318" s="13"/>
      <c r="M19318" s="13"/>
    </row>
    <row r="19319">
      <c r="F19319" s="13"/>
      <c r="M19319" s="13"/>
    </row>
    <row r="19320">
      <c r="F19320" s="13"/>
      <c r="M19320" s="13"/>
    </row>
    <row r="19321">
      <c r="F19321" s="13"/>
      <c r="M19321" s="13"/>
    </row>
    <row r="19322">
      <c r="F19322" s="13"/>
      <c r="M19322" s="13"/>
    </row>
    <row r="19323">
      <c r="F19323" s="13"/>
      <c r="M19323" s="13"/>
    </row>
    <row r="19324">
      <c r="F19324" s="13"/>
      <c r="M19324" s="13"/>
    </row>
    <row r="19325">
      <c r="F19325" s="13"/>
      <c r="M19325" s="13"/>
    </row>
    <row r="19326">
      <c r="F19326" s="13"/>
      <c r="M19326" s="13"/>
    </row>
    <row r="19327">
      <c r="F19327" s="13"/>
      <c r="M19327" s="13"/>
    </row>
    <row r="19328">
      <c r="F19328" s="13"/>
      <c r="M19328" s="13"/>
    </row>
    <row r="19329">
      <c r="F19329" s="13"/>
      <c r="M19329" s="13"/>
    </row>
    <row r="19330">
      <c r="F19330" s="13"/>
      <c r="M19330" s="13"/>
    </row>
    <row r="19331">
      <c r="F19331" s="13"/>
      <c r="M19331" s="13"/>
    </row>
    <row r="19332">
      <c r="F19332" s="13"/>
      <c r="M19332" s="13"/>
    </row>
    <row r="19333">
      <c r="F19333" s="13"/>
      <c r="M19333" s="13"/>
    </row>
    <row r="19334">
      <c r="F19334" s="13"/>
      <c r="M19334" s="13"/>
    </row>
    <row r="19335">
      <c r="F19335" s="13"/>
      <c r="M19335" s="13"/>
    </row>
    <row r="19336">
      <c r="F19336" s="13"/>
      <c r="M19336" s="13"/>
    </row>
    <row r="19337">
      <c r="F19337" s="13"/>
      <c r="M19337" s="13"/>
    </row>
    <row r="19338">
      <c r="F19338" s="13"/>
      <c r="M19338" s="13"/>
    </row>
    <row r="19339">
      <c r="F19339" s="13"/>
      <c r="M19339" s="13"/>
    </row>
    <row r="19340">
      <c r="F19340" s="13"/>
      <c r="M19340" s="13"/>
    </row>
    <row r="19341">
      <c r="F19341" s="13"/>
      <c r="M19341" s="13"/>
    </row>
    <row r="19342">
      <c r="F19342" s="13"/>
      <c r="M19342" s="13"/>
    </row>
    <row r="19343">
      <c r="F19343" s="13"/>
      <c r="M19343" s="13"/>
    </row>
    <row r="19344">
      <c r="F19344" s="13"/>
      <c r="M19344" s="13"/>
    </row>
    <row r="19345">
      <c r="F19345" s="13"/>
      <c r="M19345" s="13"/>
    </row>
    <row r="19346">
      <c r="F19346" s="13"/>
      <c r="M19346" s="13"/>
    </row>
    <row r="19347">
      <c r="F19347" s="13"/>
      <c r="M19347" s="13"/>
    </row>
    <row r="19348">
      <c r="F19348" s="13"/>
      <c r="M19348" s="13"/>
    </row>
    <row r="19349">
      <c r="F19349" s="13"/>
      <c r="M19349" s="13"/>
    </row>
    <row r="19350">
      <c r="F19350" s="13"/>
      <c r="M19350" s="13"/>
    </row>
    <row r="19351">
      <c r="F19351" s="13"/>
      <c r="M19351" s="13"/>
    </row>
    <row r="19352">
      <c r="F19352" s="13"/>
      <c r="M19352" s="13"/>
    </row>
    <row r="19353">
      <c r="F19353" s="13"/>
      <c r="M19353" s="13"/>
    </row>
    <row r="19354">
      <c r="F19354" s="13"/>
      <c r="M19354" s="13"/>
    </row>
    <row r="19355">
      <c r="F19355" s="13"/>
      <c r="M19355" s="13"/>
    </row>
    <row r="19356">
      <c r="F19356" s="13"/>
      <c r="M19356" s="13"/>
    </row>
    <row r="19357">
      <c r="F19357" s="13"/>
      <c r="M19357" s="13"/>
    </row>
    <row r="19358">
      <c r="F19358" s="13"/>
      <c r="M19358" s="13"/>
    </row>
    <row r="19359">
      <c r="F19359" s="13"/>
      <c r="M19359" s="13"/>
    </row>
    <row r="19360">
      <c r="F19360" s="13"/>
      <c r="M19360" s="13"/>
    </row>
    <row r="19361">
      <c r="F19361" s="13"/>
      <c r="M19361" s="13"/>
    </row>
    <row r="19362">
      <c r="F19362" s="13"/>
      <c r="M19362" s="13"/>
    </row>
    <row r="19363">
      <c r="F19363" s="13"/>
      <c r="M19363" s="13"/>
    </row>
    <row r="19364">
      <c r="F19364" s="13"/>
      <c r="M19364" s="13"/>
    </row>
    <row r="19365">
      <c r="F19365" s="13"/>
      <c r="M19365" s="13"/>
    </row>
    <row r="19366">
      <c r="F19366" s="13"/>
      <c r="M19366" s="13"/>
    </row>
    <row r="19367">
      <c r="F19367" s="13"/>
      <c r="M19367" s="13"/>
    </row>
    <row r="19368">
      <c r="F19368" s="13"/>
      <c r="M19368" s="13"/>
    </row>
    <row r="19369">
      <c r="F19369" s="13"/>
      <c r="M19369" s="13"/>
    </row>
    <row r="19370">
      <c r="F19370" s="13"/>
      <c r="M19370" s="13"/>
    </row>
    <row r="19371">
      <c r="F19371" s="13"/>
      <c r="M19371" s="13"/>
    </row>
    <row r="19372">
      <c r="F19372" s="13"/>
      <c r="M19372" s="13"/>
    </row>
    <row r="19373">
      <c r="F19373" s="13"/>
      <c r="M19373" s="13"/>
    </row>
    <row r="19374">
      <c r="F19374" s="13"/>
      <c r="M19374" s="13"/>
    </row>
    <row r="19375">
      <c r="F19375" s="13"/>
      <c r="M19375" s="13"/>
    </row>
    <row r="19376">
      <c r="F19376" s="13"/>
      <c r="M19376" s="13"/>
    </row>
    <row r="19377">
      <c r="F19377" s="13"/>
      <c r="M19377" s="13"/>
    </row>
    <row r="19378">
      <c r="F19378" s="13"/>
      <c r="M19378" s="13"/>
    </row>
    <row r="19379">
      <c r="F19379" s="13"/>
      <c r="M19379" s="13"/>
    </row>
    <row r="19380">
      <c r="F19380" s="13"/>
      <c r="M19380" s="13"/>
    </row>
    <row r="19381">
      <c r="F19381" s="13"/>
      <c r="M19381" s="13"/>
    </row>
    <row r="19382">
      <c r="F19382" s="13"/>
      <c r="M19382" s="13"/>
    </row>
    <row r="19383">
      <c r="F19383" s="13"/>
      <c r="M19383" s="13"/>
    </row>
    <row r="19384">
      <c r="F19384" s="13"/>
      <c r="M19384" s="13"/>
    </row>
    <row r="19385">
      <c r="F19385" s="13"/>
      <c r="M19385" s="13"/>
    </row>
    <row r="19386">
      <c r="F19386" s="13"/>
      <c r="M19386" s="13"/>
    </row>
    <row r="19387">
      <c r="F19387" s="13"/>
      <c r="M19387" s="13"/>
    </row>
    <row r="19388">
      <c r="F19388" s="13"/>
      <c r="M19388" s="13"/>
    </row>
    <row r="19389">
      <c r="F19389" s="13"/>
      <c r="M19389" s="13"/>
    </row>
    <row r="19390">
      <c r="F19390" s="13"/>
      <c r="M19390" s="13"/>
    </row>
    <row r="19391">
      <c r="F19391" s="13"/>
      <c r="M19391" s="13"/>
    </row>
    <row r="19392">
      <c r="F19392" s="13"/>
      <c r="M19392" s="13"/>
    </row>
    <row r="19393">
      <c r="F19393" s="13"/>
      <c r="M19393" s="13"/>
    </row>
    <row r="19394">
      <c r="F19394" s="13"/>
      <c r="M19394" s="13"/>
    </row>
    <row r="19395">
      <c r="F19395" s="13"/>
      <c r="M19395" s="13"/>
    </row>
    <row r="19396">
      <c r="F19396" s="13"/>
      <c r="M19396" s="13"/>
    </row>
    <row r="19397">
      <c r="F19397" s="13"/>
      <c r="M19397" s="13"/>
    </row>
    <row r="19398">
      <c r="F19398" s="13"/>
      <c r="M19398" s="13"/>
    </row>
    <row r="19399">
      <c r="F19399" s="13"/>
      <c r="M19399" s="13"/>
    </row>
    <row r="19400">
      <c r="F19400" s="13"/>
      <c r="M19400" s="13"/>
    </row>
    <row r="19401">
      <c r="F19401" s="13"/>
      <c r="M19401" s="13"/>
    </row>
    <row r="19402">
      <c r="F19402" s="13"/>
      <c r="M19402" s="13"/>
    </row>
    <row r="19403">
      <c r="F19403" s="13"/>
      <c r="M19403" s="13"/>
    </row>
    <row r="19404">
      <c r="F19404" s="13"/>
      <c r="M19404" s="13"/>
    </row>
    <row r="19405">
      <c r="F19405" s="13"/>
      <c r="M19405" s="13"/>
    </row>
    <row r="19406">
      <c r="F19406" s="13"/>
      <c r="M19406" s="13"/>
    </row>
    <row r="19407">
      <c r="F19407" s="13"/>
      <c r="M19407" s="13"/>
    </row>
    <row r="19408">
      <c r="F19408" s="13"/>
      <c r="M19408" s="13"/>
    </row>
    <row r="19409">
      <c r="F19409" s="13"/>
      <c r="M19409" s="13"/>
    </row>
    <row r="19410">
      <c r="F19410" s="13"/>
      <c r="M19410" s="13"/>
    </row>
    <row r="19411">
      <c r="F19411" s="13"/>
      <c r="M19411" s="13"/>
    </row>
    <row r="19412">
      <c r="F19412" s="13"/>
      <c r="M19412" s="13"/>
    </row>
    <row r="19413">
      <c r="F19413" s="13"/>
      <c r="M19413" s="13"/>
    </row>
    <row r="19414">
      <c r="F19414" s="13"/>
      <c r="M19414" s="13"/>
    </row>
    <row r="19415">
      <c r="F19415" s="13"/>
      <c r="M19415" s="13"/>
    </row>
    <row r="19416">
      <c r="F19416" s="13"/>
      <c r="M19416" s="13"/>
    </row>
    <row r="19417">
      <c r="F19417" s="13"/>
      <c r="M19417" s="13"/>
    </row>
    <row r="19418">
      <c r="F19418" s="13"/>
      <c r="M19418" s="13"/>
    </row>
    <row r="19419">
      <c r="F19419" s="13"/>
      <c r="M19419" s="13"/>
    </row>
    <row r="19420">
      <c r="F19420" s="13"/>
      <c r="M19420" s="13"/>
    </row>
    <row r="19421">
      <c r="F19421" s="13"/>
      <c r="M19421" s="13"/>
    </row>
    <row r="19422">
      <c r="F19422" s="13"/>
      <c r="M19422" s="13"/>
    </row>
    <row r="19423">
      <c r="F19423" s="13"/>
      <c r="M19423" s="13"/>
    </row>
    <row r="19424">
      <c r="F19424" s="13"/>
      <c r="M19424" s="13"/>
    </row>
    <row r="19425">
      <c r="F19425" s="13"/>
      <c r="M19425" s="13"/>
    </row>
    <row r="19426">
      <c r="F19426" s="13"/>
      <c r="M19426" s="13"/>
    </row>
    <row r="19427">
      <c r="F19427" s="13"/>
      <c r="M19427" s="13"/>
    </row>
    <row r="19428">
      <c r="F19428" s="13"/>
      <c r="M19428" s="13"/>
    </row>
    <row r="19429">
      <c r="F19429" s="13"/>
      <c r="M19429" s="13"/>
    </row>
    <row r="19430">
      <c r="F19430" s="13"/>
      <c r="M19430" s="13"/>
    </row>
    <row r="19431">
      <c r="F19431" s="13"/>
      <c r="M19431" s="13"/>
    </row>
    <row r="19432">
      <c r="F19432" s="13"/>
      <c r="M19432" s="13"/>
    </row>
    <row r="19433">
      <c r="F19433" s="13"/>
      <c r="M19433" s="13"/>
    </row>
    <row r="19434">
      <c r="F19434" s="13"/>
      <c r="M19434" s="13"/>
    </row>
    <row r="19435">
      <c r="F19435" s="13"/>
      <c r="M19435" s="13"/>
    </row>
    <row r="19436">
      <c r="F19436" s="13"/>
      <c r="M19436" s="13"/>
    </row>
    <row r="19437">
      <c r="F19437" s="13"/>
      <c r="M19437" s="13"/>
    </row>
    <row r="19438">
      <c r="F19438" s="13"/>
      <c r="M19438" s="13"/>
    </row>
    <row r="19439">
      <c r="F19439" s="13"/>
      <c r="M19439" s="13"/>
    </row>
    <row r="19440">
      <c r="F19440" s="13"/>
      <c r="M19440" s="13"/>
    </row>
    <row r="19441">
      <c r="F19441" s="13"/>
      <c r="M19441" s="13"/>
    </row>
    <row r="19442">
      <c r="F19442" s="13"/>
      <c r="M19442" s="13"/>
    </row>
    <row r="19443">
      <c r="F19443" s="13"/>
      <c r="M19443" s="13"/>
    </row>
    <row r="19444">
      <c r="F19444" s="13"/>
      <c r="M19444" s="13"/>
    </row>
    <row r="19445">
      <c r="F19445" s="13"/>
      <c r="M19445" s="13"/>
    </row>
    <row r="19446">
      <c r="F19446" s="13"/>
      <c r="M19446" s="13"/>
    </row>
    <row r="19447">
      <c r="F19447" s="13"/>
      <c r="M19447" s="13"/>
    </row>
    <row r="19448">
      <c r="F19448" s="13"/>
      <c r="M19448" s="13"/>
    </row>
    <row r="19449">
      <c r="F19449" s="13"/>
      <c r="M19449" s="13"/>
    </row>
    <row r="19450">
      <c r="F19450" s="13"/>
      <c r="M19450" s="13"/>
    </row>
    <row r="19451">
      <c r="F19451" s="13"/>
      <c r="M19451" s="13"/>
    </row>
    <row r="19452">
      <c r="F19452" s="13"/>
      <c r="M19452" s="13"/>
    </row>
    <row r="19453">
      <c r="F19453" s="13"/>
      <c r="M19453" s="13"/>
    </row>
    <row r="19454">
      <c r="F19454" s="13"/>
      <c r="M19454" s="13"/>
    </row>
    <row r="19455">
      <c r="F19455" s="13"/>
      <c r="M19455" s="13"/>
    </row>
    <row r="19456">
      <c r="F19456" s="13"/>
      <c r="M19456" s="13"/>
    </row>
    <row r="19457">
      <c r="F19457" s="13"/>
      <c r="M19457" s="13"/>
    </row>
    <row r="19458">
      <c r="F19458" s="13"/>
      <c r="M19458" s="13"/>
    </row>
    <row r="19459">
      <c r="F19459" s="13"/>
      <c r="M19459" s="13"/>
    </row>
    <row r="19460">
      <c r="F19460" s="13"/>
      <c r="M19460" s="13"/>
    </row>
    <row r="19461">
      <c r="F19461" s="13"/>
      <c r="M19461" s="13"/>
    </row>
    <row r="19462">
      <c r="F19462" s="13"/>
      <c r="M19462" s="13"/>
    </row>
    <row r="19463">
      <c r="F19463" s="13"/>
      <c r="M19463" s="13"/>
    </row>
    <row r="19464">
      <c r="F19464" s="13"/>
      <c r="M19464" s="13"/>
    </row>
    <row r="19465">
      <c r="F19465" s="13"/>
      <c r="M19465" s="13"/>
    </row>
    <row r="19466">
      <c r="F19466" s="13"/>
      <c r="M19466" s="13"/>
    </row>
    <row r="19467">
      <c r="F19467" s="13"/>
      <c r="M19467" s="13"/>
    </row>
    <row r="19468">
      <c r="F19468" s="13"/>
      <c r="M19468" s="13"/>
    </row>
    <row r="19469">
      <c r="F19469" s="13"/>
      <c r="M19469" s="13"/>
    </row>
    <row r="19470">
      <c r="F19470" s="13"/>
      <c r="M19470" s="13"/>
    </row>
    <row r="19471">
      <c r="F19471" s="13"/>
      <c r="M19471" s="13"/>
    </row>
    <row r="19472">
      <c r="F19472" s="13"/>
      <c r="M19472" s="13"/>
    </row>
    <row r="19473">
      <c r="F19473" s="13"/>
      <c r="M19473" s="13"/>
    </row>
    <row r="19474">
      <c r="F19474" s="13"/>
      <c r="M19474" s="13"/>
    </row>
    <row r="19475">
      <c r="F19475" s="13"/>
      <c r="M19475" s="13"/>
    </row>
    <row r="19476">
      <c r="F19476" s="13"/>
      <c r="M19476" s="13"/>
    </row>
    <row r="19477">
      <c r="F19477" s="13"/>
      <c r="M19477" s="13"/>
    </row>
    <row r="19478">
      <c r="F19478" s="13"/>
      <c r="M19478" s="13"/>
    </row>
    <row r="19479">
      <c r="F19479" s="13"/>
      <c r="M19479" s="13"/>
    </row>
    <row r="19480">
      <c r="F19480" s="13"/>
      <c r="M19480" s="13"/>
    </row>
    <row r="19481">
      <c r="F19481" s="13"/>
      <c r="M19481" s="13"/>
    </row>
    <row r="19482">
      <c r="F19482" s="13"/>
      <c r="M19482" s="13"/>
    </row>
    <row r="19483">
      <c r="F19483" s="13"/>
      <c r="M19483" s="13"/>
    </row>
    <row r="19484">
      <c r="F19484" s="13"/>
      <c r="M19484" s="13"/>
    </row>
    <row r="19485">
      <c r="F19485" s="13"/>
      <c r="M19485" s="13"/>
    </row>
    <row r="19486">
      <c r="F19486" s="13"/>
      <c r="M19486" s="13"/>
    </row>
    <row r="19487">
      <c r="F19487" s="13"/>
      <c r="M19487" s="13"/>
    </row>
    <row r="19488">
      <c r="F19488" s="13"/>
      <c r="M19488" s="13"/>
    </row>
    <row r="19489">
      <c r="F19489" s="13"/>
      <c r="M19489" s="13"/>
    </row>
    <row r="19490">
      <c r="F19490" s="13"/>
      <c r="M19490" s="13"/>
    </row>
    <row r="19491">
      <c r="F19491" s="13"/>
      <c r="M19491" s="13"/>
    </row>
    <row r="19492">
      <c r="F19492" s="13"/>
      <c r="M19492" s="13"/>
    </row>
    <row r="19493">
      <c r="F19493" s="13"/>
      <c r="M19493" s="13"/>
    </row>
    <row r="19494">
      <c r="F19494" s="13"/>
      <c r="M19494" s="13"/>
    </row>
    <row r="19495">
      <c r="F19495" s="13"/>
      <c r="M19495" s="13"/>
    </row>
    <row r="19496">
      <c r="F19496" s="13"/>
      <c r="M19496" s="13"/>
    </row>
    <row r="19497">
      <c r="F19497" s="13"/>
      <c r="M19497" s="13"/>
    </row>
    <row r="19498">
      <c r="F19498" s="13"/>
      <c r="M19498" s="13"/>
    </row>
    <row r="19499">
      <c r="F19499" s="13"/>
      <c r="M19499" s="13"/>
    </row>
    <row r="19500">
      <c r="F19500" s="13"/>
      <c r="M19500" s="13"/>
    </row>
    <row r="19501">
      <c r="F19501" s="13"/>
      <c r="M19501" s="13"/>
    </row>
    <row r="19502">
      <c r="F19502" s="13"/>
      <c r="M19502" s="13"/>
    </row>
    <row r="19503">
      <c r="F19503" s="13"/>
      <c r="M19503" s="13"/>
    </row>
    <row r="19504">
      <c r="F19504" s="13"/>
      <c r="M19504" s="13"/>
    </row>
    <row r="19505">
      <c r="F19505" s="13"/>
      <c r="M19505" s="13"/>
    </row>
    <row r="19506">
      <c r="F19506" s="13"/>
      <c r="M19506" s="13"/>
    </row>
    <row r="19507">
      <c r="F19507" s="13"/>
      <c r="M19507" s="13"/>
    </row>
    <row r="19508">
      <c r="F19508" s="13"/>
      <c r="M19508" s="13"/>
    </row>
    <row r="19509">
      <c r="F19509" s="13"/>
      <c r="M19509" s="13"/>
    </row>
    <row r="19510">
      <c r="F19510" s="13"/>
      <c r="M19510" s="13"/>
    </row>
    <row r="19511">
      <c r="F19511" s="13"/>
      <c r="M19511" s="13"/>
    </row>
    <row r="19512">
      <c r="F19512" s="13"/>
      <c r="M19512" s="13"/>
    </row>
    <row r="19513">
      <c r="F19513" s="13"/>
      <c r="M19513" s="13"/>
    </row>
    <row r="19514">
      <c r="F19514" s="13"/>
      <c r="M19514" s="13"/>
    </row>
    <row r="19515">
      <c r="F19515" s="13"/>
      <c r="M19515" s="13"/>
    </row>
    <row r="19516">
      <c r="F19516" s="13"/>
      <c r="M19516" s="13"/>
    </row>
    <row r="19517">
      <c r="F19517" s="13"/>
      <c r="M19517" s="13"/>
    </row>
    <row r="19518">
      <c r="F19518" s="13"/>
      <c r="M19518" s="13"/>
    </row>
    <row r="19519">
      <c r="F19519" s="13"/>
      <c r="M19519" s="13"/>
    </row>
    <row r="19520">
      <c r="F19520" s="13"/>
      <c r="M19520" s="13"/>
    </row>
    <row r="19521">
      <c r="F19521" s="13"/>
      <c r="M19521" s="13"/>
    </row>
    <row r="19522">
      <c r="F19522" s="13"/>
      <c r="M19522" s="13"/>
    </row>
    <row r="19523">
      <c r="F19523" s="13"/>
      <c r="M19523" s="13"/>
    </row>
    <row r="19524">
      <c r="F19524" s="13"/>
      <c r="M19524" s="13"/>
    </row>
    <row r="19525">
      <c r="F19525" s="13"/>
      <c r="M19525" s="13"/>
    </row>
    <row r="19526">
      <c r="F19526" s="13"/>
      <c r="M19526" s="13"/>
    </row>
    <row r="19527">
      <c r="F19527" s="13"/>
      <c r="M19527" s="13"/>
    </row>
    <row r="19528">
      <c r="F19528" s="13"/>
      <c r="M19528" s="13"/>
    </row>
    <row r="19529">
      <c r="F19529" s="13"/>
      <c r="M19529" s="13"/>
    </row>
    <row r="19530">
      <c r="F19530" s="13"/>
      <c r="M19530" s="13"/>
    </row>
    <row r="19531">
      <c r="F19531" s="13"/>
      <c r="M19531" s="13"/>
    </row>
    <row r="19532">
      <c r="F19532" s="13"/>
      <c r="M19532" s="13"/>
    </row>
    <row r="19533">
      <c r="F19533" s="13"/>
      <c r="M19533" s="13"/>
    </row>
    <row r="19534">
      <c r="F19534" s="13"/>
      <c r="M19534" s="13"/>
    </row>
    <row r="19535">
      <c r="F19535" s="13"/>
      <c r="M19535" s="13"/>
    </row>
    <row r="19536">
      <c r="F19536" s="13"/>
      <c r="M19536" s="13"/>
    </row>
    <row r="19537">
      <c r="F19537" s="13"/>
      <c r="M19537" s="13"/>
    </row>
    <row r="19538">
      <c r="F19538" s="13"/>
      <c r="M19538" s="13"/>
    </row>
    <row r="19539">
      <c r="F19539" s="13"/>
      <c r="M19539" s="13"/>
    </row>
    <row r="19540">
      <c r="F19540" s="13"/>
      <c r="M19540" s="13"/>
    </row>
    <row r="19541">
      <c r="F19541" s="13"/>
      <c r="M19541" s="13"/>
    </row>
    <row r="19542">
      <c r="F19542" s="13"/>
      <c r="M19542" s="13"/>
    </row>
    <row r="19543">
      <c r="F19543" s="13"/>
      <c r="M19543" s="13"/>
    </row>
    <row r="19544">
      <c r="F19544" s="13"/>
      <c r="M19544" s="13"/>
    </row>
    <row r="19545">
      <c r="F19545" s="13"/>
      <c r="M19545" s="13"/>
    </row>
    <row r="19546">
      <c r="F19546" s="13"/>
      <c r="M19546" s="13"/>
    </row>
    <row r="19547">
      <c r="F19547" s="13"/>
      <c r="M19547" s="13"/>
    </row>
    <row r="19548">
      <c r="F19548" s="13"/>
      <c r="M19548" s="13"/>
    </row>
    <row r="19549">
      <c r="F19549" s="13"/>
      <c r="M19549" s="13"/>
    </row>
    <row r="19550">
      <c r="F19550" s="13"/>
      <c r="M19550" s="13"/>
    </row>
    <row r="19551">
      <c r="F19551" s="13"/>
      <c r="M19551" s="13"/>
    </row>
    <row r="19552">
      <c r="F19552" s="13"/>
      <c r="M19552" s="13"/>
    </row>
    <row r="19553">
      <c r="F19553" s="13"/>
      <c r="M19553" s="13"/>
    </row>
    <row r="19554">
      <c r="F19554" s="13"/>
      <c r="M19554" s="13"/>
    </row>
    <row r="19555">
      <c r="F19555" s="13"/>
      <c r="M19555" s="13"/>
    </row>
    <row r="19556">
      <c r="F19556" s="13"/>
      <c r="M19556" s="13"/>
    </row>
    <row r="19557">
      <c r="F19557" s="13"/>
      <c r="M19557" s="13"/>
    </row>
    <row r="19558">
      <c r="F19558" s="13"/>
      <c r="M19558" s="13"/>
    </row>
    <row r="19559">
      <c r="F19559" s="13"/>
      <c r="M19559" s="13"/>
    </row>
    <row r="19560">
      <c r="F19560" s="13"/>
      <c r="M19560" s="13"/>
    </row>
    <row r="19561">
      <c r="F19561" s="13"/>
      <c r="M19561" s="13"/>
    </row>
    <row r="19562">
      <c r="F19562" s="13"/>
      <c r="M19562" s="13"/>
    </row>
    <row r="19563">
      <c r="F19563" s="13"/>
      <c r="M19563" s="13"/>
    </row>
    <row r="19564">
      <c r="F19564" s="13"/>
      <c r="M19564" s="13"/>
    </row>
    <row r="19565">
      <c r="F19565" s="13"/>
      <c r="M19565" s="13"/>
    </row>
    <row r="19566">
      <c r="F19566" s="13"/>
      <c r="M19566" s="13"/>
    </row>
    <row r="19567">
      <c r="F19567" s="13"/>
      <c r="M19567" s="13"/>
    </row>
    <row r="19568">
      <c r="F19568" s="13"/>
      <c r="M19568" s="13"/>
    </row>
    <row r="19569">
      <c r="F19569" s="13"/>
      <c r="M19569" s="13"/>
    </row>
    <row r="19570">
      <c r="F19570" s="13"/>
      <c r="M19570" s="13"/>
    </row>
    <row r="19571">
      <c r="F19571" s="13"/>
      <c r="M19571" s="13"/>
    </row>
    <row r="19572">
      <c r="F19572" s="13"/>
      <c r="M19572" s="13"/>
    </row>
    <row r="19573">
      <c r="F19573" s="13"/>
      <c r="M19573" s="13"/>
    </row>
    <row r="19574">
      <c r="F19574" s="13"/>
      <c r="M19574" s="13"/>
    </row>
    <row r="19575">
      <c r="F19575" s="13"/>
      <c r="M19575" s="13"/>
    </row>
    <row r="19576">
      <c r="F19576" s="13"/>
      <c r="M19576" s="13"/>
    </row>
    <row r="19577">
      <c r="F19577" s="13"/>
      <c r="M19577" s="13"/>
    </row>
    <row r="19578">
      <c r="F19578" s="13"/>
      <c r="M19578" s="13"/>
    </row>
    <row r="19579">
      <c r="F19579" s="13"/>
      <c r="M19579" s="13"/>
    </row>
    <row r="19580">
      <c r="F19580" s="13"/>
      <c r="M19580" s="13"/>
    </row>
    <row r="19581">
      <c r="F19581" s="13"/>
      <c r="M19581" s="13"/>
    </row>
    <row r="19582">
      <c r="F19582" s="13"/>
      <c r="M19582" s="13"/>
    </row>
    <row r="19583">
      <c r="F19583" s="13"/>
      <c r="M19583" s="13"/>
    </row>
    <row r="19584">
      <c r="F19584" s="13"/>
      <c r="M19584" s="13"/>
    </row>
    <row r="19585">
      <c r="F19585" s="13"/>
      <c r="M19585" s="13"/>
    </row>
    <row r="19586">
      <c r="F19586" s="13"/>
      <c r="M19586" s="13"/>
    </row>
    <row r="19587">
      <c r="F19587" s="13"/>
      <c r="M19587" s="13"/>
    </row>
    <row r="19588">
      <c r="F19588" s="13"/>
      <c r="M19588" s="13"/>
    </row>
    <row r="19589">
      <c r="F19589" s="13"/>
      <c r="M19589" s="13"/>
    </row>
    <row r="19590">
      <c r="F19590" s="13"/>
      <c r="M19590" s="13"/>
    </row>
    <row r="19591">
      <c r="F19591" s="13"/>
      <c r="M19591" s="13"/>
    </row>
    <row r="19592">
      <c r="F19592" s="13"/>
      <c r="M19592" s="13"/>
    </row>
    <row r="19593">
      <c r="F19593" s="13"/>
      <c r="M19593" s="13"/>
    </row>
    <row r="19594">
      <c r="F19594" s="13"/>
      <c r="M19594" s="13"/>
    </row>
    <row r="19595">
      <c r="F19595" s="13"/>
      <c r="M19595" s="13"/>
    </row>
    <row r="19596">
      <c r="F19596" s="13"/>
      <c r="M19596" s="13"/>
    </row>
    <row r="19597">
      <c r="F19597" s="13"/>
      <c r="M19597" s="13"/>
    </row>
    <row r="19598">
      <c r="F19598" s="13"/>
      <c r="M19598" s="13"/>
    </row>
    <row r="19599">
      <c r="F19599" s="13"/>
      <c r="M19599" s="13"/>
    </row>
    <row r="19600">
      <c r="F19600" s="13"/>
      <c r="M19600" s="13"/>
    </row>
    <row r="19601">
      <c r="F19601" s="13"/>
      <c r="M19601" s="13"/>
    </row>
    <row r="19602">
      <c r="F19602" s="13"/>
      <c r="M19602" s="13"/>
    </row>
    <row r="19603">
      <c r="F19603" s="13"/>
      <c r="M19603" s="13"/>
    </row>
    <row r="19604">
      <c r="F19604" s="13"/>
      <c r="M19604" s="13"/>
    </row>
    <row r="19605">
      <c r="F19605" s="13"/>
      <c r="M19605" s="13"/>
    </row>
    <row r="19606">
      <c r="F19606" s="13"/>
      <c r="M19606" s="13"/>
    </row>
    <row r="19607">
      <c r="F19607" s="13"/>
      <c r="M19607" s="13"/>
    </row>
    <row r="19608">
      <c r="F19608" s="13"/>
      <c r="M19608" s="13"/>
    </row>
    <row r="19609">
      <c r="F19609" s="13"/>
      <c r="M19609" s="13"/>
    </row>
    <row r="19610">
      <c r="F19610" s="13"/>
      <c r="M19610" s="13"/>
    </row>
    <row r="19611">
      <c r="F19611" s="13"/>
      <c r="M19611" s="13"/>
    </row>
    <row r="19612">
      <c r="F19612" s="13"/>
      <c r="M19612" s="13"/>
    </row>
    <row r="19613">
      <c r="F19613" s="13"/>
      <c r="M19613" s="13"/>
    </row>
    <row r="19614">
      <c r="F19614" s="13"/>
      <c r="M19614" s="13"/>
    </row>
    <row r="19615">
      <c r="F19615" s="13"/>
      <c r="M19615" s="13"/>
    </row>
    <row r="19616">
      <c r="F19616" s="13"/>
      <c r="M19616" s="13"/>
    </row>
    <row r="19617">
      <c r="F19617" s="13"/>
      <c r="M19617" s="13"/>
    </row>
    <row r="19618">
      <c r="F19618" s="13"/>
      <c r="M19618" s="13"/>
    </row>
    <row r="19619">
      <c r="F19619" s="13"/>
      <c r="M19619" s="13"/>
    </row>
    <row r="19620">
      <c r="F19620" s="13"/>
      <c r="M19620" s="13"/>
    </row>
    <row r="19621">
      <c r="F19621" s="13"/>
      <c r="M19621" s="13"/>
    </row>
    <row r="19622">
      <c r="F19622" s="13"/>
      <c r="M19622" s="13"/>
    </row>
    <row r="19623">
      <c r="F19623" s="13"/>
      <c r="M19623" s="13"/>
    </row>
    <row r="19624">
      <c r="F19624" s="13"/>
      <c r="M19624" s="13"/>
    </row>
    <row r="19625">
      <c r="F19625" s="13"/>
      <c r="M19625" s="13"/>
    </row>
    <row r="19626">
      <c r="F19626" s="13"/>
      <c r="M19626" s="13"/>
    </row>
    <row r="19627">
      <c r="F19627" s="13"/>
      <c r="M19627" s="13"/>
    </row>
    <row r="19628">
      <c r="F19628" s="13"/>
      <c r="M19628" s="13"/>
    </row>
    <row r="19629">
      <c r="F19629" s="13"/>
      <c r="M19629" s="13"/>
    </row>
    <row r="19630">
      <c r="F19630" s="13"/>
      <c r="M19630" s="13"/>
    </row>
    <row r="19631">
      <c r="F19631" s="13"/>
      <c r="M19631" s="13"/>
    </row>
    <row r="19632">
      <c r="F19632" s="13"/>
      <c r="M19632" s="13"/>
    </row>
    <row r="19633">
      <c r="F19633" s="13"/>
      <c r="M19633" s="13"/>
    </row>
    <row r="19634">
      <c r="F19634" s="13"/>
      <c r="M19634" s="13"/>
    </row>
    <row r="19635">
      <c r="F19635" s="13"/>
      <c r="M19635" s="13"/>
    </row>
    <row r="19636">
      <c r="F19636" s="13"/>
      <c r="M19636" s="13"/>
    </row>
    <row r="19637">
      <c r="F19637" s="13"/>
      <c r="M19637" s="13"/>
    </row>
    <row r="19638">
      <c r="F19638" s="13"/>
      <c r="M19638" s="13"/>
    </row>
    <row r="19639">
      <c r="F19639" s="13"/>
      <c r="M19639" s="13"/>
    </row>
    <row r="19640">
      <c r="F19640" s="13"/>
      <c r="M19640" s="13"/>
    </row>
    <row r="19641">
      <c r="F19641" s="13"/>
      <c r="M19641" s="13"/>
    </row>
    <row r="19642">
      <c r="F19642" s="13"/>
      <c r="M19642" s="13"/>
    </row>
    <row r="19643">
      <c r="F19643" s="13"/>
      <c r="M19643" s="13"/>
    </row>
    <row r="19644">
      <c r="F19644" s="13"/>
      <c r="M19644" s="13"/>
    </row>
    <row r="19645">
      <c r="F19645" s="13"/>
      <c r="M19645" s="13"/>
    </row>
    <row r="19646">
      <c r="F19646" s="13"/>
      <c r="M19646" s="13"/>
    </row>
    <row r="19647">
      <c r="F19647" s="13"/>
      <c r="M19647" s="13"/>
    </row>
    <row r="19648">
      <c r="F19648" s="13"/>
      <c r="M19648" s="13"/>
    </row>
    <row r="19649">
      <c r="F19649" s="13"/>
      <c r="M19649" s="13"/>
    </row>
    <row r="19650">
      <c r="F19650" s="13"/>
      <c r="M19650" s="13"/>
    </row>
    <row r="19651">
      <c r="F19651" s="13"/>
      <c r="M19651" s="13"/>
    </row>
    <row r="19652">
      <c r="F19652" s="13"/>
      <c r="M19652" s="13"/>
    </row>
    <row r="19653">
      <c r="F19653" s="13"/>
      <c r="M19653" s="13"/>
    </row>
    <row r="19654">
      <c r="F19654" s="13"/>
      <c r="M19654" s="13"/>
    </row>
    <row r="19655">
      <c r="F19655" s="13"/>
      <c r="M19655" s="13"/>
    </row>
    <row r="19656">
      <c r="F19656" s="13"/>
      <c r="M19656" s="13"/>
    </row>
    <row r="19657">
      <c r="F19657" s="13"/>
      <c r="M19657" s="13"/>
    </row>
    <row r="19658">
      <c r="F19658" s="13"/>
      <c r="M19658" s="13"/>
    </row>
    <row r="19659">
      <c r="F19659" s="13"/>
      <c r="M19659" s="13"/>
    </row>
    <row r="19660">
      <c r="F19660" s="13"/>
      <c r="M19660" s="13"/>
    </row>
    <row r="19661">
      <c r="F19661" s="13"/>
      <c r="M19661" s="13"/>
    </row>
    <row r="19662">
      <c r="F19662" s="13"/>
      <c r="M19662" s="13"/>
    </row>
    <row r="19663">
      <c r="F19663" s="13"/>
      <c r="M19663" s="13"/>
    </row>
    <row r="19664">
      <c r="F19664" s="13"/>
      <c r="M19664" s="13"/>
    </row>
    <row r="19665">
      <c r="F19665" s="13"/>
      <c r="M19665" s="13"/>
    </row>
    <row r="19666">
      <c r="F19666" s="13"/>
      <c r="M19666" s="13"/>
    </row>
    <row r="19667">
      <c r="F19667" s="13"/>
      <c r="M19667" s="13"/>
    </row>
    <row r="19668">
      <c r="F19668" s="13"/>
      <c r="M19668" s="13"/>
    </row>
    <row r="19669">
      <c r="F19669" s="13"/>
      <c r="M19669" s="13"/>
    </row>
    <row r="19670">
      <c r="F19670" s="13"/>
      <c r="M19670" s="13"/>
    </row>
    <row r="19671">
      <c r="F19671" s="13"/>
      <c r="M19671" s="13"/>
    </row>
    <row r="19672">
      <c r="F19672" s="13"/>
      <c r="M19672" s="13"/>
    </row>
    <row r="19673">
      <c r="F19673" s="13"/>
      <c r="M19673" s="13"/>
    </row>
    <row r="19674">
      <c r="F19674" s="13"/>
      <c r="M19674" s="13"/>
    </row>
    <row r="19675">
      <c r="F19675" s="13"/>
      <c r="M19675" s="13"/>
    </row>
    <row r="19676">
      <c r="F19676" s="13"/>
      <c r="M19676" s="13"/>
    </row>
    <row r="19677">
      <c r="F19677" s="13"/>
      <c r="M19677" s="13"/>
    </row>
    <row r="19678">
      <c r="F19678" s="13"/>
      <c r="M19678" s="13"/>
    </row>
    <row r="19679">
      <c r="F19679" s="13"/>
      <c r="M19679" s="13"/>
    </row>
    <row r="19680">
      <c r="F19680" s="13"/>
      <c r="M19680" s="13"/>
    </row>
    <row r="19681">
      <c r="F19681" s="13"/>
      <c r="M19681" s="13"/>
    </row>
    <row r="19682">
      <c r="F19682" s="13"/>
      <c r="M19682" s="13"/>
    </row>
    <row r="19683">
      <c r="F19683" s="13"/>
      <c r="M19683" s="13"/>
    </row>
    <row r="19684">
      <c r="F19684" s="13"/>
      <c r="M19684" s="13"/>
    </row>
    <row r="19685">
      <c r="F19685" s="13"/>
      <c r="M19685" s="13"/>
    </row>
    <row r="19686">
      <c r="F19686" s="13"/>
      <c r="M19686" s="13"/>
    </row>
    <row r="19687">
      <c r="F19687" s="13"/>
      <c r="M19687" s="13"/>
    </row>
    <row r="19688">
      <c r="F19688" s="13"/>
      <c r="M19688" s="13"/>
    </row>
    <row r="19689">
      <c r="F19689" s="13"/>
      <c r="M19689" s="13"/>
    </row>
    <row r="19690">
      <c r="F19690" s="13"/>
      <c r="M19690" s="13"/>
    </row>
    <row r="19691">
      <c r="F19691" s="13"/>
      <c r="M19691" s="13"/>
    </row>
    <row r="19692">
      <c r="F19692" s="13"/>
      <c r="M19692" s="13"/>
    </row>
    <row r="19693">
      <c r="F19693" s="13"/>
      <c r="M19693" s="13"/>
    </row>
    <row r="19694">
      <c r="F19694" s="13"/>
      <c r="M19694" s="13"/>
    </row>
    <row r="19695">
      <c r="F19695" s="13"/>
      <c r="M19695" s="13"/>
    </row>
    <row r="19696">
      <c r="F19696" s="13"/>
      <c r="M19696" s="13"/>
    </row>
    <row r="19697">
      <c r="F19697" s="13"/>
      <c r="M19697" s="13"/>
    </row>
    <row r="19698">
      <c r="F19698" s="13"/>
      <c r="M19698" s="13"/>
    </row>
    <row r="19699">
      <c r="F19699" s="13"/>
      <c r="M19699" s="13"/>
    </row>
    <row r="19700">
      <c r="F19700" s="13"/>
      <c r="M19700" s="13"/>
    </row>
    <row r="19701">
      <c r="F19701" s="13"/>
      <c r="M19701" s="13"/>
    </row>
    <row r="19702">
      <c r="F19702" s="13"/>
      <c r="M19702" s="13"/>
    </row>
    <row r="19703">
      <c r="F19703" s="13"/>
      <c r="M19703" s="13"/>
    </row>
    <row r="19704">
      <c r="F19704" s="13"/>
      <c r="M19704" s="13"/>
    </row>
    <row r="19705">
      <c r="F19705" s="13"/>
      <c r="M19705" s="13"/>
    </row>
    <row r="19706">
      <c r="F19706" s="13"/>
      <c r="M19706" s="13"/>
    </row>
    <row r="19707">
      <c r="F19707" s="13"/>
      <c r="M19707" s="13"/>
    </row>
    <row r="19708">
      <c r="F19708" s="13"/>
      <c r="M19708" s="13"/>
    </row>
    <row r="19709">
      <c r="F19709" s="13"/>
      <c r="M19709" s="13"/>
    </row>
    <row r="19710">
      <c r="F19710" s="13"/>
      <c r="M19710" s="13"/>
    </row>
    <row r="19711">
      <c r="F19711" s="13"/>
      <c r="M19711" s="13"/>
    </row>
    <row r="19712">
      <c r="F19712" s="13"/>
      <c r="M19712" s="13"/>
    </row>
    <row r="19713">
      <c r="F19713" s="13"/>
      <c r="M19713" s="13"/>
    </row>
    <row r="19714">
      <c r="F19714" s="13"/>
      <c r="M19714" s="13"/>
    </row>
    <row r="19715">
      <c r="F19715" s="13"/>
      <c r="M19715" s="13"/>
    </row>
    <row r="19716">
      <c r="F19716" s="13"/>
      <c r="M19716" s="13"/>
    </row>
    <row r="19717">
      <c r="F19717" s="13"/>
      <c r="M19717" s="13"/>
    </row>
    <row r="19718">
      <c r="F19718" s="13"/>
      <c r="M19718" s="13"/>
    </row>
    <row r="19719">
      <c r="F19719" s="13"/>
      <c r="M19719" s="13"/>
    </row>
    <row r="19720">
      <c r="F19720" s="13"/>
      <c r="M19720" s="13"/>
    </row>
    <row r="19721">
      <c r="F19721" s="13"/>
      <c r="M19721" s="13"/>
    </row>
    <row r="19722">
      <c r="F19722" s="13"/>
      <c r="M19722" s="13"/>
    </row>
    <row r="19723">
      <c r="F19723" s="13"/>
      <c r="M19723" s="13"/>
    </row>
    <row r="19724">
      <c r="F19724" s="13"/>
      <c r="M19724" s="13"/>
    </row>
    <row r="19725">
      <c r="F19725" s="13"/>
      <c r="M19725" s="13"/>
    </row>
    <row r="19726">
      <c r="F19726" s="13"/>
      <c r="M19726" s="13"/>
    </row>
    <row r="19727">
      <c r="F19727" s="13"/>
      <c r="M19727" s="13"/>
    </row>
    <row r="19728">
      <c r="F19728" s="13"/>
      <c r="M19728" s="13"/>
    </row>
    <row r="19729">
      <c r="F19729" s="13"/>
      <c r="M19729" s="13"/>
    </row>
    <row r="19730">
      <c r="F19730" s="13"/>
      <c r="M19730" s="13"/>
    </row>
    <row r="19731">
      <c r="F19731" s="13"/>
      <c r="M19731" s="13"/>
    </row>
    <row r="19732">
      <c r="F19732" s="13"/>
      <c r="M19732" s="13"/>
    </row>
    <row r="19733">
      <c r="F19733" s="13"/>
      <c r="M19733" s="13"/>
    </row>
    <row r="19734">
      <c r="F19734" s="13"/>
      <c r="M19734" s="13"/>
    </row>
    <row r="19735">
      <c r="F19735" s="13"/>
      <c r="M19735" s="13"/>
    </row>
    <row r="19736">
      <c r="F19736" s="13"/>
      <c r="M19736" s="13"/>
    </row>
    <row r="19737">
      <c r="F19737" s="13"/>
      <c r="M19737" s="13"/>
    </row>
    <row r="19738">
      <c r="F19738" s="13"/>
      <c r="M19738" s="13"/>
    </row>
    <row r="19739">
      <c r="F19739" s="13"/>
      <c r="M19739" s="13"/>
    </row>
    <row r="19740">
      <c r="F19740" s="13"/>
      <c r="M19740" s="13"/>
    </row>
    <row r="19741">
      <c r="F19741" s="13"/>
      <c r="M19741" s="13"/>
    </row>
    <row r="19742">
      <c r="F19742" s="13"/>
      <c r="M19742" s="13"/>
    </row>
    <row r="19743">
      <c r="F19743" s="13"/>
      <c r="M19743" s="13"/>
    </row>
    <row r="19744">
      <c r="F19744" s="13"/>
      <c r="M19744" s="13"/>
    </row>
    <row r="19745">
      <c r="F19745" s="13"/>
      <c r="M19745" s="13"/>
    </row>
    <row r="19746">
      <c r="F19746" s="13"/>
      <c r="M19746" s="13"/>
    </row>
    <row r="19747">
      <c r="F19747" s="13"/>
      <c r="M19747" s="13"/>
    </row>
    <row r="19748">
      <c r="F19748" s="13"/>
      <c r="M19748" s="13"/>
    </row>
    <row r="19749">
      <c r="F19749" s="13"/>
      <c r="M19749" s="13"/>
    </row>
    <row r="19750">
      <c r="F19750" s="13"/>
      <c r="M19750" s="13"/>
    </row>
    <row r="19751">
      <c r="F19751" s="13"/>
      <c r="M19751" s="13"/>
    </row>
    <row r="19752">
      <c r="F19752" s="13"/>
      <c r="M19752" s="13"/>
    </row>
    <row r="19753">
      <c r="F19753" s="13"/>
      <c r="M19753" s="13"/>
    </row>
    <row r="19754">
      <c r="F19754" s="13"/>
      <c r="M19754" s="13"/>
    </row>
    <row r="19755">
      <c r="F19755" s="13"/>
      <c r="M19755" s="13"/>
    </row>
    <row r="19756">
      <c r="F19756" s="13"/>
      <c r="M19756" s="13"/>
    </row>
    <row r="19757">
      <c r="F19757" s="13"/>
      <c r="M19757" s="13"/>
    </row>
    <row r="19758">
      <c r="F19758" s="13"/>
      <c r="M19758" s="13"/>
    </row>
    <row r="19759">
      <c r="F19759" s="13"/>
      <c r="M19759" s="13"/>
    </row>
    <row r="19760">
      <c r="F19760" s="13"/>
      <c r="M19760" s="13"/>
    </row>
    <row r="19761">
      <c r="F19761" s="13"/>
      <c r="M19761" s="13"/>
    </row>
    <row r="19762">
      <c r="F19762" s="13"/>
      <c r="M19762" s="13"/>
    </row>
    <row r="19763">
      <c r="F19763" s="13"/>
      <c r="M19763" s="13"/>
    </row>
    <row r="19764">
      <c r="F19764" s="13"/>
      <c r="M19764" s="13"/>
    </row>
    <row r="19765">
      <c r="F19765" s="13"/>
      <c r="M19765" s="13"/>
    </row>
    <row r="19766">
      <c r="F19766" s="13"/>
      <c r="M19766" s="13"/>
    </row>
    <row r="19767">
      <c r="F19767" s="13"/>
      <c r="M19767" s="13"/>
    </row>
    <row r="19768">
      <c r="F19768" s="13"/>
      <c r="M19768" s="13"/>
    </row>
    <row r="19769">
      <c r="F19769" s="13"/>
      <c r="M19769" s="13"/>
    </row>
    <row r="19770">
      <c r="F19770" s="13"/>
      <c r="M19770" s="13"/>
    </row>
    <row r="19771">
      <c r="F19771" s="13"/>
      <c r="M19771" s="13"/>
    </row>
    <row r="19772">
      <c r="F19772" s="13"/>
      <c r="M19772" s="13"/>
    </row>
    <row r="19773">
      <c r="F19773" s="13"/>
      <c r="M19773" s="13"/>
    </row>
    <row r="19774">
      <c r="F19774" s="13"/>
      <c r="M19774" s="13"/>
    </row>
    <row r="19775">
      <c r="F19775" s="13"/>
      <c r="M19775" s="13"/>
    </row>
    <row r="19776">
      <c r="F19776" s="13"/>
      <c r="M19776" s="13"/>
    </row>
    <row r="19777">
      <c r="F19777" s="13"/>
      <c r="M19777" s="13"/>
    </row>
    <row r="19778">
      <c r="F19778" s="13"/>
      <c r="M19778" s="13"/>
    </row>
    <row r="19779">
      <c r="F19779" s="13"/>
      <c r="M19779" s="13"/>
    </row>
    <row r="19780">
      <c r="F19780" s="13"/>
      <c r="M19780" s="13"/>
    </row>
    <row r="19781">
      <c r="F19781" s="13"/>
      <c r="M19781" s="13"/>
    </row>
    <row r="19782">
      <c r="F19782" s="13"/>
      <c r="M19782" s="13"/>
    </row>
    <row r="19783">
      <c r="F19783" s="13"/>
      <c r="M19783" s="13"/>
    </row>
    <row r="19784">
      <c r="F19784" s="13"/>
      <c r="M19784" s="13"/>
    </row>
    <row r="19785">
      <c r="F19785" s="13"/>
      <c r="M19785" s="13"/>
    </row>
    <row r="19786">
      <c r="F19786" s="13"/>
      <c r="M19786" s="13"/>
    </row>
    <row r="19787">
      <c r="F19787" s="13"/>
      <c r="M19787" s="13"/>
    </row>
    <row r="19788">
      <c r="F19788" s="13"/>
      <c r="M19788" s="13"/>
    </row>
    <row r="19789">
      <c r="F19789" s="13"/>
      <c r="M19789" s="13"/>
    </row>
    <row r="19790">
      <c r="F19790" s="13"/>
      <c r="M19790" s="13"/>
    </row>
    <row r="19791">
      <c r="F19791" s="13"/>
      <c r="M19791" s="13"/>
    </row>
    <row r="19792">
      <c r="F19792" s="13"/>
      <c r="M19792" s="13"/>
    </row>
    <row r="19793">
      <c r="F19793" s="13"/>
      <c r="M19793" s="13"/>
    </row>
    <row r="19794">
      <c r="F19794" s="13"/>
      <c r="M19794" s="13"/>
    </row>
    <row r="19795">
      <c r="F19795" s="13"/>
      <c r="M19795" s="13"/>
    </row>
    <row r="19796">
      <c r="F19796" s="13"/>
      <c r="M19796" s="13"/>
    </row>
    <row r="19797">
      <c r="F19797" s="13"/>
      <c r="M19797" s="13"/>
    </row>
    <row r="19798">
      <c r="F19798" s="13"/>
      <c r="M19798" s="13"/>
    </row>
    <row r="19799">
      <c r="F19799" s="13"/>
      <c r="M19799" s="13"/>
    </row>
    <row r="19800">
      <c r="F19800" s="13"/>
      <c r="M19800" s="13"/>
    </row>
    <row r="19801">
      <c r="F19801" s="13"/>
      <c r="M19801" s="13"/>
    </row>
    <row r="19802">
      <c r="F19802" s="13"/>
      <c r="M19802" s="13"/>
    </row>
    <row r="19803">
      <c r="F19803" s="13"/>
      <c r="M19803" s="13"/>
    </row>
    <row r="19804">
      <c r="F19804" s="13"/>
      <c r="M19804" s="13"/>
    </row>
    <row r="19805">
      <c r="F19805" s="13"/>
      <c r="M19805" s="13"/>
    </row>
    <row r="19806">
      <c r="F19806" s="13"/>
      <c r="M19806" s="13"/>
    </row>
    <row r="19807">
      <c r="F19807" s="13"/>
      <c r="M19807" s="13"/>
    </row>
    <row r="19808">
      <c r="F19808" s="13"/>
      <c r="M19808" s="13"/>
    </row>
    <row r="19809">
      <c r="F19809" s="13"/>
      <c r="M19809" s="13"/>
    </row>
    <row r="19810">
      <c r="F19810" s="13"/>
      <c r="M19810" s="13"/>
    </row>
    <row r="19811">
      <c r="F19811" s="13"/>
      <c r="M19811" s="13"/>
    </row>
    <row r="19812">
      <c r="F19812" s="13"/>
      <c r="M19812" s="13"/>
    </row>
    <row r="19813">
      <c r="F19813" s="13"/>
      <c r="M19813" s="13"/>
    </row>
    <row r="19814">
      <c r="F19814" s="13"/>
      <c r="M19814" s="13"/>
    </row>
    <row r="19815">
      <c r="F19815" s="13"/>
      <c r="M19815" s="13"/>
    </row>
    <row r="19816">
      <c r="F19816" s="13"/>
      <c r="M19816" s="13"/>
    </row>
    <row r="19817">
      <c r="F19817" s="13"/>
      <c r="M19817" s="13"/>
    </row>
    <row r="19818">
      <c r="F19818" s="13"/>
      <c r="M19818" s="13"/>
    </row>
    <row r="19819">
      <c r="F19819" s="13"/>
      <c r="M19819" s="13"/>
    </row>
    <row r="19820">
      <c r="F19820" s="13"/>
      <c r="M19820" s="13"/>
    </row>
    <row r="19821">
      <c r="F19821" s="13"/>
      <c r="M19821" s="13"/>
    </row>
    <row r="19822">
      <c r="F19822" s="13"/>
      <c r="M19822" s="13"/>
    </row>
    <row r="19823">
      <c r="F19823" s="13"/>
      <c r="M19823" s="13"/>
    </row>
    <row r="19824">
      <c r="F19824" s="13"/>
      <c r="M19824" s="13"/>
    </row>
    <row r="19825">
      <c r="F19825" s="13"/>
      <c r="M19825" s="13"/>
    </row>
    <row r="19826">
      <c r="F19826" s="13"/>
      <c r="M19826" s="13"/>
    </row>
    <row r="19827">
      <c r="F19827" s="13"/>
      <c r="M19827" s="13"/>
    </row>
    <row r="19828">
      <c r="F19828" s="13"/>
      <c r="M19828" s="13"/>
    </row>
    <row r="19829">
      <c r="F19829" s="13"/>
      <c r="M19829" s="13"/>
    </row>
    <row r="19830">
      <c r="F19830" s="13"/>
      <c r="M19830" s="13"/>
    </row>
    <row r="19831">
      <c r="F19831" s="13"/>
      <c r="M19831" s="13"/>
    </row>
    <row r="19832">
      <c r="F19832" s="13"/>
      <c r="M19832" s="13"/>
    </row>
    <row r="19833">
      <c r="F19833" s="13"/>
      <c r="M19833" s="13"/>
    </row>
    <row r="19834">
      <c r="F19834" s="13"/>
      <c r="M19834" s="13"/>
    </row>
    <row r="19835">
      <c r="F19835" s="13"/>
      <c r="M19835" s="13"/>
    </row>
    <row r="19836">
      <c r="F19836" s="13"/>
      <c r="M19836" s="13"/>
    </row>
    <row r="19837">
      <c r="F19837" s="13"/>
      <c r="M19837" s="13"/>
    </row>
    <row r="19838">
      <c r="F19838" s="13"/>
      <c r="M19838" s="13"/>
    </row>
    <row r="19839">
      <c r="F19839" s="13"/>
      <c r="M19839" s="13"/>
    </row>
    <row r="19840">
      <c r="F19840" s="13"/>
      <c r="M19840" s="13"/>
    </row>
    <row r="19841">
      <c r="F19841" s="13"/>
      <c r="M19841" s="13"/>
    </row>
    <row r="19842">
      <c r="F19842" s="13"/>
      <c r="M19842" s="13"/>
    </row>
    <row r="19843">
      <c r="F19843" s="13"/>
      <c r="M19843" s="13"/>
    </row>
    <row r="19844">
      <c r="F19844" s="13"/>
      <c r="M19844" s="13"/>
    </row>
    <row r="19845">
      <c r="F19845" s="13"/>
      <c r="M19845" s="13"/>
    </row>
    <row r="19846">
      <c r="F19846" s="13"/>
      <c r="M19846" s="13"/>
    </row>
    <row r="19847">
      <c r="F19847" s="13"/>
      <c r="M19847" s="13"/>
    </row>
    <row r="19848">
      <c r="F19848" s="13"/>
      <c r="M19848" s="13"/>
    </row>
    <row r="19849">
      <c r="F19849" s="13"/>
      <c r="M19849" s="13"/>
    </row>
    <row r="19850">
      <c r="F19850" s="13"/>
      <c r="M19850" s="13"/>
    </row>
    <row r="19851">
      <c r="F19851" s="13"/>
      <c r="M19851" s="13"/>
    </row>
    <row r="19852">
      <c r="F19852" s="13"/>
      <c r="M19852" s="13"/>
    </row>
    <row r="19853">
      <c r="F19853" s="13"/>
      <c r="M19853" s="13"/>
    </row>
    <row r="19854">
      <c r="F19854" s="13"/>
      <c r="M19854" s="13"/>
    </row>
    <row r="19855">
      <c r="F19855" s="13"/>
      <c r="M19855" s="13"/>
    </row>
    <row r="19856">
      <c r="F19856" s="13"/>
      <c r="M19856" s="13"/>
    </row>
    <row r="19857">
      <c r="F19857" s="13"/>
      <c r="M19857" s="13"/>
    </row>
    <row r="19858">
      <c r="F19858" s="13"/>
      <c r="M19858" s="13"/>
    </row>
    <row r="19859">
      <c r="F19859" s="13"/>
      <c r="M19859" s="13"/>
    </row>
    <row r="19860">
      <c r="F19860" s="13"/>
      <c r="M19860" s="13"/>
    </row>
    <row r="19861">
      <c r="F19861" s="13"/>
      <c r="M19861" s="13"/>
    </row>
    <row r="19862">
      <c r="F19862" s="13"/>
      <c r="M19862" s="13"/>
    </row>
    <row r="19863">
      <c r="F19863" s="13"/>
      <c r="M19863" s="13"/>
    </row>
    <row r="19864">
      <c r="F19864" s="13"/>
      <c r="M19864" s="13"/>
    </row>
    <row r="19865">
      <c r="F19865" s="13"/>
      <c r="M19865" s="13"/>
    </row>
    <row r="19866">
      <c r="F19866" s="13"/>
      <c r="M19866" s="13"/>
    </row>
    <row r="19867">
      <c r="F19867" s="13"/>
      <c r="M19867" s="13"/>
    </row>
    <row r="19868">
      <c r="F19868" s="13"/>
      <c r="M19868" s="13"/>
    </row>
    <row r="19869">
      <c r="F19869" s="13"/>
      <c r="M19869" s="13"/>
    </row>
    <row r="19870">
      <c r="F19870" s="13"/>
      <c r="M19870" s="13"/>
    </row>
    <row r="19871">
      <c r="F19871" s="13"/>
      <c r="M19871" s="13"/>
    </row>
    <row r="19872">
      <c r="F19872" s="13"/>
      <c r="M19872" s="13"/>
    </row>
    <row r="19873">
      <c r="F19873" s="13"/>
      <c r="M19873" s="13"/>
    </row>
    <row r="19874">
      <c r="F19874" s="13"/>
      <c r="M19874" s="13"/>
    </row>
    <row r="19875">
      <c r="F19875" s="13"/>
      <c r="M19875" s="13"/>
    </row>
    <row r="19876">
      <c r="F19876" s="13"/>
      <c r="M19876" s="13"/>
    </row>
    <row r="19877">
      <c r="F19877" s="13"/>
      <c r="M19877" s="13"/>
    </row>
    <row r="19878">
      <c r="F19878" s="13"/>
      <c r="M19878" s="13"/>
    </row>
    <row r="19879">
      <c r="F19879" s="13"/>
      <c r="M19879" s="13"/>
    </row>
    <row r="19880">
      <c r="F19880" s="13"/>
      <c r="M19880" s="13"/>
    </row>
    <row r="19881">
      <c r="F19881" s="13"/>
      <c r="M19881" s="13"/>
    </row>
    <row r="19882">
      <c r="F19882" s="13"/>
      <c r="M19882" s="13"/>
    </row>
    <row r="19883">
      <c r="F19883" s="13"/>
      <c r="M19883" s="13"/>
    </row>
    <row r="19884">
      <c r="F19884" s="13"/>
      <c r="M19884" s="13"/>
    </row>
    <row r="19885">
      <c r="F19885" s="13"/>
      <c r="M19885" s="13"/>
    </row>
    <row r="19886">
      <c r="F19886" s="13"/>
      <c r="M19886" s="13"/>
    </row>
    <row r="19887">
      <c r="F19887" s="13"/>
      <c r="M19887" s="13"/>
    </row>
    <row r="19888">
      <c r="F19888" s="13"/>
      <c r="M19888" s="13"/>
    </row>
    <row r="19889">
      <c r="F19889" s="13"/>
      <c r="M19889" s="13"/>
    </row>
    <row r="19890">
      <c r="F19890" s="13"/>
      <c r="M19890" s="13"/>
    </row>
    <row r="19891">
      <c r="F19891" s="13"/>
      <c r="M19891" s="13"/>
    </row>
    <row r="19892">
      <c r="F19892" s="13"/>
      <c r="M19892" s="13"/>
    </row>
    <row r="19893">
      <c r="F19893" s="13"/>
      <c r="M19893" s="13"/>
    </row>
    <row r="19894">
      <c r="F19894" s="13"/>
      <c r="M19894" s="13"/>
    </row>
    <row r="19895">
      <c r="F19895" s="13"/>
      <c r="M19895" s="13"/>
    </row>
    <row r="19896">
      <c r="F19896" s="13"/>
      <c r="M19896" s="13"/>
    </row>
    <row r="19897">
      <c r="F19897" s="13"/>
      <c r="M19897" s="13"/>
    </row>
    <row r="19898">
      <c r="F19898" s="13"/>
      <c r="M19898" s="13"/>
    </row>
    <row r="19899">
      <c r="F19899" s="13"/>
      <c r="M19899" s="13"/>
    </row>
    <row r="19900">
      <c r="F19900" s="13"/>
      <c r="M19900" s="13"/>
    </row>
    <row r="19901">
      <c r="F19901" s="13"/>
      <c r="M19901" s="13"/>
    </row>
    <row r="19902">
      <c r="F19902" s="13"/>
      <c r="M19902" s="13"/>
    </row>
    <row r="19903">
      <c r="F19903" s="13"/>
      <c r="M19903" s="13"/>
    </row>
    <row r="19904">
      <c r="F19904" s="13"/>
      <c r="M19904" s="13"/>
    </row>
    <row r="19905">
      <c r="F19905" s="13"/>
      <c r="M19905" s="13"/>
    </row>
    <row r="19906">
      <c r="F19906" s="13"/>
      <c r="M19906" s="13"/>
    </row>
    <row r="19907">
      <c r="F19907" s="13"/>
      <c r="M19907" s="13"/>
    </row>
    <row r="19908">
      <c r="F19908" s="13"/>
      <c r="M19908" s="13"/>
    </row>
    <row r="19909">
      <c r="F19909" s="13"/>
      <c r="M19909" s="13"/>
    </row>
    <row r="19910">
      <c r="F19910" s="13"/>
      <c r="M19910" s="13"/>
    </row>
    <row r="19911">
      <c r="F19911" s="13"/>
      <c r="M19911" s="13"/>
    </row>
    <row r="19912">
      <c r="F19912" s="13"/>
      <c r="M19912" s="13"/>
    </row>
    <row r="19913">
      <c r="F19913" s="13"/>
      <c r="M19913" s="13"/>
    </row>
    <row r="19914">
      <c r="F19914" s="13"/>
      <c r="M19914" s="13"/>
    </row>
    <row r="19915">
      <c r="F19915" s="13"/>
      <c r="M19915" s="13"/>
    </row>
    <row r="19916">
      <c r="F19916" s="13"/>
      <c r="M19916" s="13"/>
    </row>
    <row r="19917">
      <c r="F19917" s="13"/>
      <c r="M19917" s="13"/>
    </row>
    <row r="19918">
      <c r="F19918" s="13"/>
      <c r="M19918" s="13"/>
    </row>
    <row r="19919">
      <c r="F19919" s="13"/>
      <c r="M19919" s="13"/>
    </row>
    <row r="19920">
      <c r="F19920" s="13"/>
      <c r="M19920" s="13"/>
    </row>
    <row r="19921">
      <c r="F19921" s="13"/>
      <c r="M19921" s="13"/>
    </row>
    <row r="19922">
      <c r="F19922" s="13"/>
      <c r="M19922" s="13"/>
    </row>
    <row r="19923">
      <c r="F19923" s="13"/>
      <c r="M19923" s="13"/>
    </row>
    <row r="19924">
      <c r="F19924" s="13"/>
      <c r="M19924" s="13"/>
    </row>
    <row r="19925">
      <c r="F19925" s="13"/>
      <c r="M19925" s="13"/>
    </row>
    <row r="19926">
      <c r="F19926" s="13"/>
      <c r="M19926" s="13"/>
    </row>
    <row r="19927">
      <c r="F19927" s="13"/>
      <c r="M19927" s="13"/>
    </row>
    <row r="19928">
      <c r="F19928" s="13"/>
      <c r="M19928" s="13"/>
    </row>
    <row r="19929">
      <c r="F19929" s="13"/>
      <c r="M19929" s="13"/>
    </row>
    <row r="19930">
      <c r="F19930" s="13"/>
      <c r="M19930" s="13"/>
    </row>
    <row r="19931">
      <c r="F19931" s="13"/>
      <c r="M19931" s="13"/>
    </row>
    <row r="19932">
      <c r="F19932" s="13"/>
      <c r="M19932" s="13"/>
    </row>
    <row r="19933">
      <c r="F19933" s="13"/>
      <c r="M19933" s="13"/>
    </row>
    <row r="19934">
      <c r="F19934" s="13"/>
      <c r="M19934" s="13"/>
    </row>
    <row r="19935">
      <c r="F19935" s="13"/>
      <c r="M19935" s="13"/>
    </row>
    <row r="19936">
      <c r="F19936" s="13"/>
      <c r="M19936" s="13"/>
    </row>
    <row r="19937">
      <c r="F19937" s="13"/>
      <c r="M19937" s="13"/>
    </row>
    <row r="19938">
      <c r="F19938" s="13"/>
      <c r="M19938" s="13"/>
    </row>
    <row r="19939">
      <c r="F19939" s="13"/>
      <c r="M19939" s="13"/>
    </row>
    <row r="19940">
      <c r="F19940" s="13"/>
      <c r="M19940" s="13"/>
    </row>
    <row r="19941">
      <c r="F19941" s="13"/>
      <c r="M19941" s="13"/>
    </row>
    <row r="19942">
      <c r="F19942" s="13"/>
      <c r="M19942" s="13"/>
    </row>
    <row r="19943">
      <c r="F19943" s="13"/>
      <c r="M19943" s="13"/>
    </row>
    <row r="19944">
      <c r="F19944" s="13"/>
      <c r="M19944" s="13"/>
    </row>
    <row r="19945">
      <c r="F19945" s="13"/>
      <c r="M19945" s="13"/>
    </row>
    <row r="19946">
      <c r="F19946" s="13"/>
      <c r="M19946" s="13"/>
    </row>
    <row r="19947">
      <c r="F19947" s="13"/>
      <c r="M19947" s="13"/>
    </row>
    <row r="19948">
      <c r="F19948" s="13"/>
      <c r="M19948" s="13"/>
    </row>
    <row r="19949">
      <c r="F19949" s="13"/>
      <c r="M19949" s="13"/>
    </row>
    <row r="19950">
      <c r="F19950" s="13"/>
      <c r="M19950" s="13"/>
    </row>
    <row r="19951">
      <c r="F19951" s="13"/>
      <c r="M19951" s="13"/>
    </row>
    <row r="19952">
      <c r="F19952" s="13"/>
      <c r="M19952" s="13"/>
    </row>
    <row r="19953">
      <c r="F19953" s="13"/>
      <c r="M19953" s="13"/>
    </row>
    <row r="19954">
      <c r="F19954" s="13"/>
      <c r="M19954" s="13"/>
    </row>
    <row r="19955">
      <c r="F19955" s="13"/>
      <c r="M19955" s="13"/>
    </row>
    <row r="19956">
      <c r="F19956" s="13"/>
      <c r="M19956" s="13"/>
    </row>
    <row r="19957">
      <c r="F19957" s="13"/>
      <c r="M19957" s="13"/>
    </row>
    <row r="19958">
      <c r="F19958" s="13"/>
      <c r="M19958" s="13"/>
    </row>
    <row r="19959">
      <c r="F19959" s="13"/>
      <c r="M19959" s="13"/>
    </row>
    <row r="19960">
      <c r="F19960" s="13"/>
      <c r="M19960" s="13"/>
    </row>
    <row r="19961">
      <c r="F19961" s="13"/>
      <c r="M19961" s="13"/>
    </row>
    <row r="19962">
      <c r="F19962" s="13"/>
      <c r="M19962" s="13"/>
    </row>
    <row r="19963">
      <c r="F19963" s="13"/>
      <c r="M19963" s="13"/>
    </row>
    <row r="19964">
      <c r="F19964" s="13"/>
      <c r="M19964" s="13"/>
    </row>
    <row r="19965">
      <c r="F19965" s="13"/>
      <c r="M19965" s="13"/>
    </row>
    <row r="19966">
      <c r="F19966" s="13"/>
      <c r="M19966" s="13"/>
    </row>
    <row r="19967">
      <c r="F19967" s="13"/>
      <c r="M19967" s="13"/>
    </row>
    <row r="19968">
      <c r="F19968" s="13"/>
      <c r="M19968" s="13"/>
    </row>
    <row r="19969">
      <c r="F19969" s="13"/>
      <c r="M19969" s="13"/>
    </row>
    <row r="19970">
      <c r="F19970" s="13"/>
      <c r="M19970" s="13"/>
    </row>
    <row r="19971">
      <c r="F19971" s="13"/>
      <c r="M19971" s="13"/>
    </row>
    <row r="19972">
      <c r="F19972" s="13"/>
      <c r="M19972" s="13"/>
    </row>
    <row r="19973">
      <c r="F19973" s="13"/>
      <c r="M19973" s="13"/>
    </row>
    <row r="19974">
      <c r="F19974" s="13"/>
      <c r="M19974" s="13"/>
    </row>
    <row r="19975">
      <c r="F19975" s="13"/>
      <c r="M19975" s="13"/>
    </row>
    <row r="19976">
      <c r="F19976" s="13"/>
      <c r="M19976" s="13"/>
    </row>
    <row r="19977">
      <c r="F19977" s="13"/>
      <c r="M19977" s="13"/>
    </row>
    <row r="19978">
      <c r="F19978" s="13"/>
      <c r="M19978" s="13"/>
    </row>
    <row r="19979">
      <c r="F19979" s="13"/>
      <c r="M19979" s="13"/>
    </row>
    <row r="19980">
      <c r="F19980" s="13"/>
      <c r="M19980" s="13"/>
    </row>
    <row r="19981">
      <c r="F19981" s="13"/>
      <c r="M19981" s="13"/>
    </row>
    <row r="19982">
      <c r="F19982" s="13"/>
      <c r="M19982" s="13"/>
    </row>
    <row r="19983">
      <c r="F19983" s="13"/>
      <c r="M19983" s="13"/>
    </row>
    <row r="19984">
      <c r="F19984" s="13"/>
      <c r="M19984" s="13"/>
    </row>
    <row r="19985">
      <c r="F19985" s="13"/>
      <c r="M19985" s="13"/>
    </row>
    <row r="19986">
      <c r="F19986" s="13"/>
      <c r="M19986" s="13"/>
    </row>
    <row r="19987">
      <c r="F19987" s="13"/>
      <c r="M19987" s="13"/>
    </row>
    <row r="19988">
      <c r="F19988" s="13"/>
      <c r="M19988" s="13"/>
    </row>
    <row r="19989">
      <c r="F19989" s="13"/>
      <c r="M19989" s="13"/>
    </row>
    <row r="19990">
      <c r="F19990" s="13"/>
      <c r="M19990" s="13"/>
    </row>
    <row r="19991">
      <c r="F19991" s="13"/>
      <c r="M19991" s="13"/>
    </row>
    <row r="19992">
      <c r="F19992" s="13"/>
      <c r="M19992" s="13"/>
    </row>
    <row r="19993">
      <c r="F19993" s="13"/>
      <c r="M19993" s="13"/>
    </row>
    <row r="19994">
      <c r="F19994" s="13"/>
      <c r="M19994" s="13"/>
    </row>
    <row r="19995">
      <c r="F19995" s="13"/>
      <c r="M19995" s="13"/>
    </row>
    <row r="19996">
      <c r="F19996" s="13"/>
      <c r="M19996" s="13"/>
    </row>
    <row r="19997">
      <c r="F19997" s="13"/>
      <c r="M19997" s="13"/>
    </row>
    <row r="19998">
      <c r="F19998" s="13"/>
      <c r="M19998" s="13"/>
    </row>
    <row r="19999">
      <c r="F19999" s="13"/>
      <c r="M19999" s="13"/>
    </row>
    <row r="20000">
      <c r="F20000" s="13"/>
      <c r="M20000" s="13"/>
    </row>
    <row r="20001">
      <c r="F20001" s="13"/>
      <c r="M20001" s="13"/>
    </row>
    <row r="20002">
      <c r="F20002" s="13"/>
      <c r="M20002" s="13"/>
    </row>
    <row r="20003">
      <c r="F20003" s="13"/>
      <c r="M20003" s="13"/>
    </row>
    <row r="20004">
      <c r="F20004" s="13"/>
      <c r="M20004" s="13"/>
    </row>
    <row r="20005">
      <c r="F20005" s="13"/>
      <c r="M20005" s="13"/>
    </row>
    <row r="20006">
      <c r="F20006" s="13"/>
      <c r="M20006" s="13"/>
    </row>
    <row r="20007">
      <c r="F20007" s="13"/>
      <c r="M20007" s="13"/>
    </row>
    <row r="20008">
      <c r="F20008" s="13"/>
      <c r="M20008" s="13"/>
    </row>
    <row r="20009">
      <c r="F20009" s="13"/>
      <c r="M20009" s="13"/>
    </row>
    <row r="20010">
      <c r="F20010" s="13"/>
      <c r="M20010" s="13"/>
    </row>
    <row r="20011">
      <c r="F20011" s="13"/>
      <c r="M20011" s="13"/>
    </row>
    <row r="20012">
      <c r="F20012" s="13"/>
      <c r="M20012" s="13"/>
    </row>
    <row r="20013">
      <c r="F20013" s="13"/>
      <c r="M20013" s="13"/>
    </row>
    <row r="20014">
      <c r="F20014" s="13"/>
      <c r="M20014" s="13"/>
    </row>
    <row r="20015">
      <c r="F20015" s="13"/>
      <c r="M20015" s="13"/>
    </row>
    <row r="20016">
      <c r="F20016" s="13"/>
      <c r="M20016" s="13"/>
    </row>
    <row r="20017">
      <c r="F20017" s="13"/>
      <c r="M20017" s="13"/>
    </row>
    <row r="20018">
      <c r="F20018" s="13"/>
      <c r="M20018" s="13"/>
    </row>
    <row r="20019">
      <c r="F20019" s="13"/>
      <c r="M20019" s="13"/>
    </row>
    <row r="20020">
      <c r="F20020" s="13"/>
      <c r="M20020" s="13"/>
    </row>
    <row r="20021">
      <c r="F20021" s="13"/>
      <c r="M20021" s="13"/>
    </row>
    <row r="20022">
      <c r="F20022" s="13"/>
      <c r="M20022" s="13"/>
    </row>
    <row r="20023">
      <c r="F20023" s="13"/>
      <c r="M20023" s="13"/>
    </row>
    <row r="20024">
      <c r="F20024" s="13"/>
      <c r="M20024" s="13"/>
    </row>
    <row r="20025">
      <c r="F20025" s="13"/>
      <c r="M20025" s="13"/>
    </row>
    <row r="20026">
      <c r="F20026" s="13"/>
      <c r="M20026" s="13"/>
    </row>
    <row r="20027">
      <c r="F20027" s="13"/>
      <c r="M20027" s="13"/>
    </row>
    <row r="20028">
      <c r="F20028" s="13"/>
      <c r="M20028" s="13"/>
    </row>
    <row r="20029">
      <c r="F20029" s="13"/>
      <c r="M20029" s="13"/>
    </row>
    <row r="20030">
      <c r="F20030" s="13"/>
      <c r="M20030" s="13"/>
    </row>
    <row r="20031">
      <c r="F20031" s="13"/>
      <c r="M20031" s="13"/>
    </row>
    <row r="20032">
      <c r="F20032" s="13"/>
      <c r="M20032" s="13"/>
    </row>
    <row r="20033">
      <c r="F20033" s="13"/>
      <c r="M20033" s="13"/>
    </row>
    <row r="20034">
      <c r="F20034" s="13"/>
      <c r="M20034" s="13"/>
    </row>
    <row r="20035">
      <c r="F20035" s="13"/>
      <c r="M20035" s="13"/>
    </row>
    <row r="20036">
      <c r="F20036" s="13"/>
      <c r="M20036" s="13"/>
    </row>
    <row r="20037">
      <c r="F20037" s="13"/>
      <c r="M20037" s="13"/>
    </row>
    <row r="20038">
      <c r="F20038" s="13"/>
      <c r="M20038" s="13"/>
    </row>
    <row r="20039">
      <c r="F20039" s="13"/>
      <c r="M20039" s="13"/>
    </row>
    <row r="20040">
      <c r="F20040" s="13"/>
      <c r="M20040" s="13"/>
    </row>
    <row r="20041">
      <c r="F20041" s="13"/>
      <c r="M20041" s="13"/>
    </row>
    <row r="20042">
      <c r="F20042" s="13"/>
      <c r="M20042" s="13"/>
    </row>
    <row r="20043">
      <c r="F20043" s="13"/>
      <c r="M20043" s="13"/>
    </row>
    <row r="20044">
      <c r="F20044" s="13"/>
      <c r="M20044" s="13"/>
    </row>
    <row r="20045">
      <c r="F20045" s="13"/>
      <c r="M20045" s="13"/>
    </row>
    <row r="20046">
      <c r="F20046" s="13"/>
      <c r="M20046" s="13"/>
    </row>
    <row r="20047">
      <c r="F20047" s="13"/>
      <c r="M20047" s="13"/>
    </row>
    <row r="20048">
      <c r="F20048" s="13"/>
      <c r="M20048" s="13"/>
    </row>
    <row r="20049">
      <c r="F20049" s="13"/>
      <c r="M20049" s="13"/>
    </row>
    <row r="20050">
      <c r="F20050" s="13"/>
      <c r="M20050" s="13"/>
    </row>
    <row r="20051">
      <c r="F20051" s="13"/>
      <c r="M20051" s="13"/>
    </row>
    <row r="20052">
      <c r="F20052" s="13"/>
      <c r="M20052" s="13"/>
    </row>
    <row r="20053">
      <c r="F20053" s="13"/>
      <c r="M20053" s="13"/>
    </row>
    <row r="20054">
      <c r="F20054" s="13"/>
      <c r="M20054" s="13"/>
    </row>
    <row r="20055">
      <c r="F20055" s="13"/>
      <c r="M20055" s="13"/>
    </row>
    <row r="20056">
      <c r="F20056" s="13"/>
      <c r="M20056" s="13"/>
    </row>
    <row r="20057">
      <c r="F20057" s="13"/>
      <c r="M20057" s="13"/>
    </row>
    <row r="20058">
      <c r="F20058" s="13"/>
      <c r="M20058" s="13"/>
    </row>
    <row r="20059">
      <c r="F20059" s="13"/>
      <c r="M20059" s="13"/>
    </row>
    <row r="20060">
      <c r="F20060" s="13"/>
      <c r="M20060" s="13"/>
    </row>
    <row r="20061">
      <c r="F20061" s="13"/>
      <c r="M20061" s="13"/>
    </row>
    <row r="20062">
      <c r="F20062" s="13"/>
      <c r="M20062" s="13"/>
    </row>
    <row r="20063">
      <c r="F20063" s="13"/>
      <c r="M20063" s="13"/>
    </row>
    <row r="20064">
      <c r="F20064" s="13"/>
      <c r="M20064" s="13"/>
    </row>
    <row r="20065">
      <c r="F20065" s="13"/>
      <c r="M20065" s="13"/>
    </row>
    <row r="20066">
      <c r="F20066" s="13"/>
      <c r="M20066" s="13"/>
    </row>
    <row r="20067">
      <c r="F20067" s="13"/>
      <c r="M20067" s="13"/>
    </row>
    <row r="20068">
      <c r="F20068" s="13"/>
      <c r="M20068" s="13"/>
    </row>
    <row r="20069">
      <c r="F20069" s="13"/>
      <c r="M20069" s="13"/>
    </row>
    <row r="20070">
      <c r="F20070" s="13"/>
      <c r="M20070" s="13"/>
    </row>
    <row r="20071">
      <c r="F20071" s="13"/>
      <c r="M20071" s="13"/>
    </row>
    <row r="20072">
      <c r="F20072" s="13"/>
      <c r="M20072" s="13"/>
    </row>
    <row r="20073">
      <c r="F20073" s="13"/>
      <c r="M20073" s="13"/>
    </row>
    <row r="20074">
      <c r="F20074" s="13"/>
      <c r="M20074" s="13"/>
    </row>
    <row r="20075">
      <c r="F20075" s="13"/>
      <c r="M20075" s="13"/>
    </row>
    <row r="20076">
      <c r="F20076" s="13"/>
      <c r="M20076" s="13"/>
    </row>
    <row r="20077">
      <c r="F20077" s="13"/>
      <c r="M20077" s="13"/>
    </row>
    <row r="20078">
      <c r="F20078" s="13"/>
      <c r="M20078" s="13"/>
    </row>
    <row r="20079">
      <c r="F20079" s="13"/>
      <c r="M20079" s="13"/>
    </row>
    <row r="20080">
      <c r="F20080" s="13"/>
      <c r="M20080" s="13"/>
    </row>
    <row r="20081">
      <c r="F20081" s="13"/>
      <c r="M20081" s="13"/>
    </row>
    <row r="20082">
      <c r="F20082" s="13"/>
      <c r="M20082" s="13"/>
    </row>
    <row r="20083">
      <c r="F20083" s="13"/>
      <c r="M20083" s="13"/>
    </row>
    <row r="20084">
      <c r="F20084" s="13"/>
      <c r="M20084" s="13"/>
    </row>
    <row r="20085">
      <c r="F20085" s="13"/>
      <c r="M20085" s="13"/>
    </row>
    <row r="20086">
      <c r="F20086" s="13"/>
      <c r="M20086" s="13"/>
    </row>
    <row r="20087">
      <c r="F20087" s="13"/>
      <c r="M20087" s="13"/>
    </row>
    <row r="20088">
      <c r="F20088" s="13"/>
      <c r="M20088" s="13"/>
    </row>
    <row r="20089">
      <c r="F20089" s="13"/>
      <c r="M20089" s="13"/>
    </row>
    <row r="20090">
      <c r="F20090" s="13"/>
      <c r="M20090" s="13"/>
    </row>
    <row r="20091">
      <c r="F20091" s="13"/>
      <c r="M20091" s="13"/>
    </row>
    <row r="20092">
      <c r="F20092" s="13"/>
      <c r="M20092" s="13"/>
    </row>
    <row r="20093">
      <c r="F20093" s="13"/>
      <c r="M20093" s="13"/>
    </row>
    <row r="20094">
      <c r="F20094" s="13"/>
      <c r="M20094" s="13"/>
    </row>
    <row r="20095">
      <c r="F20095" s="13"/>
      <c r="M20095" s="13"/>
    </row>
    <row r="20096">
      <c r="F20096" s="13"/>
      <c r="M20096" s="13"/>
    </row>
    <row r="20097">
      <c r="F20097" s="13"/>
      <c r="M20097" s="13"/>
    </row>
    <row r="20098">
      <c r="F20098" s="13"/>
      <c r="M20098" s="13"/>
    </row>
    <row r="20099">
      <c r="F20099" s="13"/>
      <c r="M20099" s="13"/>
    </row>
    <row r="20100">
      <c r="F20100" s="13"/>
      <c r="M20100" s="13"/>
    </row>
    <row r="20101">
      <c r="F20101" s="13"/>
      <c r="M20101" s="13"/>
    </row>
    <row r="20102">
      <c r="F20102" s="13"/>
      <c r="M20102" s="13"/>
    </row>
    <row r="20103">
      <c r="F20103" s="13"/>
      <c r="M20103" s="13"/>
    </row>
    <row r="20104">
      <c r="F20104" s="13"/>
      <c r="M20104" s="13"/>
    </row>
    <row r="20105">
      <c r="F20105" s="13"/>
      <c r="M20105" s="13"/>
    </row>
    <row r="20106">
      <c r="F20106" s="13"/>
      <c r="M20106" s="13"/>
    </row>
    <row r="20107">
      <c r="F20107" s="13"/>
      <c r="M20107" s="13"/>
    </row>
    <row r="20108">
      <c r="F20108" s="13"/>
      <c r="M20108" s="13"/>
    </row>
    <row r="20109">
      <c r="F20109" s="13"/>
      <c r="M20109" s="13"/>
    </row>
    <row r="20110">
      <c r="F20110" s="13"/>
      <c r="M20110" s="13"/>
    </row>
    <row r="20111">
      <c r="F20111" s="13"/>
      <c r="M20111" s="13"/>
    </row>
    <row r="20112">
      <c r="F20112" s="13"/>
      <c r="M20112" s="13"/>
    </row>
    <row r="20113">
      <c r="F20113" s="13"/>
      <c r="M20113" s="13"/>
    </row>
    <row r="20114">
      <c r="F20114" s="13"/>
      <c r="M20114" s="13"/>
    </row>
    <row r="20115">
      <c r="F20115" s="13"/>
      <c r="M20115" s="13"/>
    </row>
    <row r="20116">
      <c r="F20116" s="13"/>
      <c r="M20116" s="13"/>
    </row>
    <row r="20117">
      <c r="F20117" s="13"/>
      <c r="M20117" s="13"/>
    </row>
    <row r="20118">
      <c r="F20118" s="13"/>
      <c r="M20118" s="13"/>
    </row>
    <row r="20119">
      <c r="F20119" s="13"/>
      <c r="M20119" s="13"/>
    </row>
    <row r="20120">
      <c r="F20120" s="13"/>
      <c r="M20120" s="13"/>
    </row>
    <row r="20121">
      <c r="F20121" s="13"/>
      <c r="M20121" s="13"/>
    </row>
    <row r="20122">
      <c r="F20122" s="13"/>
      <c r="M20122" s="13"/>
    </row>
    <row r="20123">
      <c r="F20123" s="13"/>
      <c r="M20123" s="13"/>
    </row>
    <row r="20124">
      <c r="F20124" s="13"/>
      <c r="M20124" s="13"/>
    </row>
    <row r="20125">
      <c r="F20125" s="13"/>
      <c r="M20125" s="13"/>
    </row>
    <row r="20126">
      <c r="F20126" s="13"/>
      <c r="M20126" s="13"/>
    </row>
    <row r="20127">
      <c r="F20127" s="13"/>
      <c r="M20127" s="13"/>
    </row>
    <row r="20128">
      <c r="F20128" s="13"/>
      <c r="M20128" s="13"/>
    </row>
    <row r="20129">
      <c r="F20129" s="13"/>
      <c r="M20129" s="13"/>
    </row>
    <row r="20130">
      <c r="F20130" s="13"/>
      <c r="M20130" s="13"/>
    </row>
    <row r="20131">
      <c r="F20131" s="13"/>
      <c r="M20131" s="13"/>
    </row>
    <row r="20132">
      <c r="F20132" s="13"/>
      <c r="M20132" s="13"/>
    </row>
    <row r="20133">
      <c r="F20133" s="13"/>
      <c r="M20133" s="13"/>
    </row>
    <row r="20134">
      <c r="F20134" s="13"/>
      <c r="M20134" s="13"/>
    </row>
    <row r="20135">
      <c r="F20135" s="13"/>
      <c r="M20135" s="13"/>
    </row>
    <row r="20136">
      <c r="F20136" s="13"/>
      <c r="M20136" s="13"/>
    </row>
    <row r="20137">
      <c r="F20137" s="13"/>
      <c r="M20137" s="13"/>
    </row>
    <row r="20138">
      <c r="F20138" s="13"/>
      <c r="M20138" s="13"/>
    </row>
    <row r="20139">
      <c r="F20139" s="13"/>
      <c r="M20139" s="13"/>
    </row>
    <row r="20140">
      <c r="F20140" s="13"/>
      <c r="M20140" s="13"/>
    </row>
    <row r="20141">
      <c r="F20141" s="13"/>
      <c r="M20141" s="13"/>
    </row>
    <row r="20142">
      <c r="F20142" s="13"/>
      <c r="M20142" s="13"/>
    </row>
    <row r="20143">
      <c r="F20143" s="13"/>
      <c r="M20143" s="13"/>
    </row>
    <row r="20144">
      <c r="F20144" s="13"/>
      <c r="M20144" s="13"/>
    </row>
    <row r="20145">
      <c r="F20145" s="13"/>
      <c r="M20145" s="13"/>
    </row>
    <row r="20146">
      <c r="F20146" s="13"/>
      <c r="M20146" s="13"/>
    </row>
    <row r="20147">
      <c r="F20147" s="13"/>
      <c r="M20147" s="13"/>
    </row>
    <row r="20148">
      <c r="F20148" s="13"/>
      <c r="M20148" s="13"/>
    </row>
    <row r="20149">
      <c r="F20149" s="13"/>
      <c r="M20149" s="13"/>
    </row>
    <row r="20150">
      <c r="F20150" s="13"/>
      <c r="M20150" s="13"/>
    </row>
    <row r="20151">
      <c r="F20151" s="13"/>
      <c r="M20151" s="13"/>
    </row>
    <row r="20152">
      <c r="F20152" s="13"/>
      <c r="M20152" s="13"/>
    </row>
    <row r="20153">
      <c r="F20153" s="13"/>
      <c r="M20153" s="13"/>
    </row>
    <row r="20154">
      <c r="F20154" s="13"/>
      <c r="M20154" s="13"/>
    </row>
    <row r="20155">
      <c r="F20155" s="13"/>
      <c r="M20155" s="13"/>
    </row>
    <row r="20156">
      <c r="F20156" s="13"/>
      <c r="M20156" s="13"/>
    </row>
    <row r="20157">
      <c r="F20157" s="13"/>
      <c r="M20157" s="13"/>
    </row>
    <row r="20158">
      <c r="F20158" s="13"/>
      <c r="M20158" s="13"/>
    </row>
    <row r="20159">
      <c r="F20159" s="13"/>
      <c r="M20159" s="13"/>
    </row>
    <row r="20160">
      <c r="F20160" s="13"/>
      <c r="M20160" s="13"/>
    </row>
    <row r="20161">
      <c r="F20161" s="13"/>
      <c r="M20161" s="13"/>
    </row>
    <row r="20162">
      <c r="F20162" s="13"/>
      <c r="M20162" s="13"/>
    </row>
    <row r="20163">
      <c r="F20163" s="13"/>
      <c r="M20163" s="13"/>
    </row>
    <row r="20164">
      <c r="F20164" s="13"/>
      <c r="M20164" s="13"/>
    </row>
    <row r="20165">
      <c r="F20165" s="13"/>
      <c r="M20165" s="13"/>
    </row>
    <row r="20166">
      <c r="F20166" s="13"/>
      <c r="M20166" s="13"/>
    </row>
    <row r="20167">
      <c r="F20167" s="13"/>
      <c r="M20167" s="13"/>
    </row>
    <row r="20168">
      <c r="F20168" s="13"/>
      <c r="M20168" s="13"/>
    </row>
    <row r="20169">
      <c r="F20169" s="13"/>
      <c r="M20169" s="13"/>
    </row>
    <row r="20170">
      <c r="F20170" s="13"/>
      <c r="M20170" s="13"/>
    </row>
    <row r="20171">
      <c r="F20171" s="13"/>
      <c r="M20171" s="13"/>
    </row>
    <row r="20172">
      <c r="F20172" s="13"/>
      <c r="M20172" s="13"/>
    </row>
    <row r="20173">
      <c r="F20173" s="13"/>
      <c r="M20173" s="13"/>
    </row>
    <row r="20174">
      <c r="F20174" s="13"/>
      <c r="M20174" s="13"/>
    </row>
    <row r="20175">
      <c r="F20175" s="13"/>
      <c r="M20175" s="13"/>
    </row>
    <row r="20176">
      <c r="F20176" s="13"/>
      <c r="M20176" s="13"/>
    </row>
    <row r="20177">
      <c r="F20177" s="13"/>
      <c r="M20177" s="13"/>
    </row>
    <row r="20178">
      <c r="F20178" s="13"/>
      <c r="M20178" s="13"/>
    </row>
    <row r="20179">
      <c r="F20179" s="13"/>
      <c r="M20179" s="13"/>
    </row>
    <row r="20180">
      <c r="F20180" s="13"/>
      <c r="M20180" s="13"/>
    </row>
    <row r="20181">
      <c r="F20181" s="13"/>
      <c r="M20181" s="13"/>
    </row>
    <row r="20182">
      <c r="F20182" s="13"/>
      <c r="M20182" s="13"/>
    </row>
    <row r="20183">
      <c r="F20183" s="13"/>
      <c r="M20183" s="13"/>
    </row>
    <row r="20184">
      <c r="F20184" s="13"/>
      <c r="M20184" s="13"/>
    </row>
    <row r="20185">
      <c r="F20185" s="13"/>
      <c r="M20185" s="13"/>
    </row>
    <row r="20186">
      <c r="F20186" s="13"/>
      <c r="M20186" s="13"/>
    </row>
    <row r="20187">
      <c r="F20187" s="13"/>
      <c r="M20187" s="13"/>
    </row>
    <row r="20188">
      <c r="F20188" s="13"/>
      <c r="M20188" s="13"/>
    </row>
    <row r="20189">
      <c r="F20189" s="13"/>
      <c r="M20189" s="13"/>
    </row>
    <row r="20190">
      <c r="F20190" s="13"/>
      <c r="M20190" s="13"/>
    </row>
    <row r="20191">
      <c r="F20191" s="13"/>
      <c r="M20191" s="13"/>
    </row>
    <row r="20192">
      <c r="F20192" s="13"/>
      <c r="M20192" s="13"/>
    </row>
    <row r="20193">
      <c r="F20193" s="13"/>
      <c r="M20193" s="13"/>
    </row>
    <row r="20194">
      <c r="F20194" s="13"/>
      <c r="M20194" s="13"/>
    </row>
    <row r="20195">
      <c r="F20195" s="13"/>
      <c r="M20195" s="13"/>
    </row>
    <row r="20196">
      <c r="F20196" s="13"/>
      <c r="M20196" s="13"/>
    </row>
    <row r="20197">
      <c r="F20197" s="13"/>
      <c r="M20197" s="13"/>
    </row>
    <row r="20198">
      <c r="F20198" s="13"/>
      <c r="M20198" s="13"/>
    </row>
    <row r="20199">
      <c r="F20199" s="13"/>
      <c r="M20199" s="13"/>
    </row>
    <row r="20200">
      <c r="F20200" s="13"/>
      <c r="M20200" s="13"/>
    </row>
    <row r="20201">
      <c r="F20201" s="13"/>
      <c r="M20201" s="13"/>
    </row>
    <row r="20202">
      <c r="F20202" s="13"/>
      <c r="M20202" s="13"/>
    </row>
    <row r="20203">
      <c r="F20203" s="13"/>
      <c r="M20203" s="13"/>
    </row>
    <row r="20204">
      <c r="F20204" s="13"/>
      <c r="M20204" s="13"/>
    </row>
    <row r="20205">
      <c r="F20205" s="13"/>
      <c r="M20205" s="13"/>
    </row>
    <row r="20206">
      <c r="F20206" s="13"/>
      <c r="M20206" s="13"/>
    </row>
    <row r="20207">
      <c r="F20207" s="13"/>
      <c r="M20207" s="13"/>
    </row>
    <row r="20208">
      <c r="F20208" s="13"/>
      <c r="M20208" s="13"/>
    </row>
    <row r="20209">
      <c r="F20209" s="13"/>
      <c r="M20209" s="13"/>
    </row>
    <row r="20210">
      <c r="F20210" s="13"/>
      <c r="M20210" s="13"/>
    </row>
    <row r="20211">
      <c r="F20211" s="13"/>
      <c r="M20211" s="13"/>
    </row>
    <row r="20212">
      <c r="F20212" s="13"/>
      <c r="M20212" s="13"/>
    </row>
    <row r="20213">
      <c r="F20213" s="13"/>
      <c r="M20213" s="13"/>
    </row>
    <row r="20214">
      <c r="F20214" s="13"/>
      <c r="M20214" s="13"/>
    </row>
    <row r="20215">
      <c r="F20215" s="13"/>
      <c r="M20215" s="13"/>
    </row>
    <row r="20216">
      <c r="F20216" s="13"/>
      <c r="M20216" s="13"/>
    </row>
    <row r="20217">
      <c r="F20217" s="13"/>
      <c r="M20217" s="13"/>
    </row>
    <row r="20218">
      <c r="F20218" s="13"/>
      <c r="M20218" s="13"/>
    </row>
    <row r="20219">
      <c r="F20219" s="13"/>
      <c r="M20219" s="13"/>
    </row>
    <row r="20220">
      <c r="F20220" s="13"/>
      <c r="M20220" s="13"/>
    </row>
    <row r="20221">
      <c r="F20221" s="13"/>
      <c r="M20221" s="13"/>
    </row>
    <row r="20222">
      <c r="F20222" s="13"/>
      <c r="M20222" s="13"/>
    </row>
    <row r="20223">
      <c r="F20223" s="13"/>
      <c r="M20223" s="13"/>
    </row>
    <row r="20224">
      <c r="F20224" s="13"/>
      <c r="M20224" s="13"/>
    </row>
    <row r="20225">
      <c r="F20225" s="13"/>
      <c r="M20225" s="13"/>
    </row>
    <row r="20226">
      <c r="F20226" s="13"/>
      <c r="M20226" s="13"/>
    </row>
    <row r="20227">
      <c r="F20227" s="13"/>
      <c r="M20227" s="13"/>
    </row>
    <row r="20228">
      <c r="F20228" s="13"/>
      <c r="M20228" s="13"/>
    </row>
    <row r="20229">
      <c r="F20229" s="13"/>
      <c r="M20229" s="13"/>
    </row>
    <row r="20230">
      <c r="F20230" s="13"/>
      <c r="M20230" s="13"/>
    </row>
    <row r="20231">
      <c r="F20231" s="13"/>
      <c r="M20231" s="13"/>
    </row>
    <row r="20232">
      <c r="F20232" s="13"/>
      <c r="M20232" s="13"/>
    </row>
    <row r="20233">
      <c r="F20233" s="13"/>
      <c r="M20233" s="13"/>
    </row>
    <row r="20234">
      <c r="F20234" s="13"/>
      <c r="M20234" s="13"/>
    </row>
    <row r="20235">
      <c r="F20235" s="13"/>
      <c r="M20235" s="13"/>
    </row>
    <row r="20236">
      <c r="F20236" s="13"/>
      <c r="M20236" s="13"/>
    </row>
    <row r="20237">
      <c r="F20237" s="13"/>
      <c r="M20237" s="13"/>
    </row>
    <row r="20238">
      <c r="F20238" s="13"/>
      <c r="M20238" s="13"/>
    </row>
    <row r="20239">
      <c r="F20239" s="13"/>
      <c r="M20239" s="13"/>
    </row>
    <row r="20240">
      <c r="F20240" s="13"/>
      <c r="M20240" s="13"/>
    </row>
    <row r="20241">
      <c r="F20241" s="13"/>
      <c r="M20241" s="13"/>
    </row>
    <row r="20242">
      <c r="F20242" s="13"/>
      <c r="M20242" s="13"/>
    </row>
    <row r="20243">
      <c r="F20243" s="13"/>
      <c r="M20243" s="13"/>
    </row>
    <row r="20244">
      <c r="F20244" s="13"/>
      <c r="M20244" s="13"/>
    </row>
    <row r="20245">
      <c r="F20245" s="13"/>
      <c r="M20245" s="13"/>
    </row>
    <row r="20246">
      <c r="F20246" s="13"/>
      <c r="M20246" s="13"/>
    </row>
    <row r="20247">
      <c r="F20247" s="13"/>
      <c r="M20247" s="13"/>
    </row>
    <row r="20248">
      <c r="F20248" s="13"/>
      <c r="M20248" s="13"/>
    </row>
    <row r="20249">
      <c r="F20249" s="13"/>
      <c r="M20249" s="13"/>
    </row>
    <row r="20250">
      <c r="F20250" s="13"/>
      <c r="M20250" s="13"/>
    </row>
    <row r="20251">
      <c r="F20251" s="13"/>
      <c r="M20251" s="13"/>
    </row>
    <row r="20252">
      <c r="F20252" s="13"/>
      <c r="M20252" s="13"/>
    </row>
    <row r="20253">
      <c r="F20253" s="13"/>
      <c r="M20253" s="13"/>
    </row>
    <row r="20254">
      <c r="F20254" s="13"/>
      <c r="M20254" s="13"/>
    </row>
    <row r="20255">
      <c r="F20255" s="13"/>
      <c r="M20255" s="13"/>
    </row>
    <row r="20256">
      <c r="F20256" s="13"/>
      <c r="M20256" s="13"/>
    </row>
    <row r="20257">
      <c r="F20257" s="13"/>
      <c r="M20257" s="13"/>
    </row>
    <row r="20258">
      <c r="F20258" s="13"/>
      <c r="M20258" s="13"/>
    </row>
    <row r="20259">
      <c r="F20259" s="13"/>
      <c r="M20259" s="13"/>
    </row>
    <row r="20260">
      <c r="F20260" s="13"/>
      <c r="M20260" s="13"/>
    </row>
    <row r="20261">
      <c r="F20261" s="13"/>
      <c r="M20261" s="13"/>
    </row>
    <row r="20262">
      <c r="F20262" s="13"/>
      <c r="M20262" s="13"/>
    </row>
    <row r="20263">
      <c r="F20263" s="13"/>
      <c r="M20263" s="13"/>
    </row>
    <row r="20264">
      <c r="F20264" s="13"/>
      <c r="M20264" s="13"/>
    </row>
    <row r="20265">
      <c r="F20265" s="13"/>
      <c r="M20265" s="13"/>
    </row>
    <row r="20266">
      <c r="F20266" s="13"/>
      <c r="M20266" s="13"/>
    </row>
    <row r="20267">
      <c r="F20267" s="13"/>
      <c r="M20267" s="13"/>
    </row>
    <row r="20268">
      <c r="F20268" s="13"/>
      <c r="M20268" s="13"/>
    </row>
    <row r="20269">
      <c r="F20269" s="13"/>
      <c r="M20269" s="13"/>
    </row>
    <row r="20270">
      <c r="F20270" s="13"/>
      <c r="M20270" s="13"/>
    </row>
    <row r="20271">
      <c r="F20271" s="13"/>
      <c r="M20271" s="13"/>
    </row>
    <row r="20272">
      <c r="F20272" s="13"/>
      <c r="M20272" s="13"/>
    </row>
    <row r="20273">
      <c r="F20273" s="13"/>
      <c r="M20273" s="13"/>
    </row>
    <row r="20274">
      <c r="F20274" s="13"/>
      <c r="M20274" s="13"/>
    </row>
    <row r="20275">
      <c r="F20275" s="13"/>
      <c r="M20275" s="13"/>
    </row>
    <row r="20276">
      <c r="F20276" s="13"/>
      <c r="M20276" s="13"/>
    </row>
    <row r="20277">
      <c r="F20277" s="13"/>
      <c r="M20277" s="13"/>
    </row>
    <row r="20278">
      <c r="F20278" s="13"/>
      <c r="M20278" s="13"/>
    </row>
    <row r="20279">
      <c r="F20279" s="13"/>
      <c r="M20279" s="13"/>
    </row>
    <row r="20280">
      <c r="F20280" s="13"/>
      <c r="M20280" s="13"/>
    </row>
    <row r="20281">
      <c r="F20281" s="13"/>
      <c r="M20281" s="13"/>
    </row>
    <row r="20282">
      <c r="F20282" s="13"/>
      <c r="M20282" s="13"/>
    </row>
    <row r="20283">
      <c r="F20283" s="13"/>
      <c r="M20283" s="13"/>
    </row>
    <row r="20284">
      <c r="F20284" s="13"/>
      <c r="M20284" s="13"/>
    </row>
    <row r="20285">
      <c r="F20285" s="13"/>
      <c r="M20285" s="13"/>
    </row>
    <row r="20286">
      <c r="F20286" s="13"/>
      <c r="M20286" s="13"/>
    </row>
    <row r="20287">
      <c r="F20287" s="13"/>
      <c r="M20287" s="13"/>
    </row>
    <row r="20288">
      <c r="F20288" s="13"/>
      <c r="M20288" s="13"/>
    </row>
    <row r="20289">
      <c r="F20289" s="13"/>
      <c r="M20289" s="13"/>
    </row>
    <row r="20290">
      <c r="F20290" s="13"/>
      <c r="M20290" s="13"/>
    </row>
    <row r="20291">
      <c r="F20291" s="13"/>
      <c r="M20291" s="13"/>
    </row>
    <row r="20292">
      <c r="F20292" s="13"/>
      <c r="M20292" s="13"/>
    </row>
    <row r="20293">
      <c r="F20293" s="13"/>
      <c r="M20293" s="13"/>
    </row>
    <row r="20294">
      <c r="F20294" s="13"/>
      <c r="M20294" s="13"/>
    </row>
    <row r="20295">
      <c r="F20295" s="13"/>
      <c r="M20295" s="13"/>
    </row>
    <row r="20296">
      <c r="F20296" s="13"/>
      <c r="M20296" s="13"/>
    </row>
    <row r="20297">
      <c r="F20297" s="13"/>
      <c r="M20297" s="13"/>
    </row>
    <row r="20298">
      <c r="F20298" s="13"/>
      <c r="M20298" s="13"/>
    </row>
    <row r="20299">
      <c r="F20299" s="13"/>
      <c r="M20299" s="13"/>
    </row>
    <row r="20300">
      <c r="F20300" s="13"/>
      <c r="M20300" s="13"/>
    </row>
    <row r="20301">
      <c r="F20301" s="13"/>
      <c r="M20301" s="13"/>
    </row>
    <row r="20302">
      <c r="F20302" s="13"/>
      <c r="M20302" s="13"/>
    </row>
    <row r="20303">
      <c r="F20303" s="13"/>
      <c r="M20303" s="13"/>
    </row>
    <row r="20304">
      <c r="F20304" s="13"/>
      <c r="M20304" s="13"/>
    </row>
    <row r="20305">
      <c r="F20305" s="13"/>
      <c r="M20305" s="13"/>
    </row>
    <row r="20306">
      <c r="F20306" s="13"/>
      <c r="M20306" s="13"/>
    </row>
    <row r="20307">
      <c r="F20307" s="13"/>
      <c r="M20307" s="13"/>
    </row>
    <row r="20308">
      <c r="F20308" s="13"/>
      <c r="M20308" s="13"/>
    </row>
    <row r="20309">
      <c r="F20309" s="13"/>
      <c r="M20309" s="13"/>
    </row>
    <row r="20310">
      <c r="F20310" s="13"/>
      <c r="M20310" s="13"/>
    </row>
    <row r="20311">
      <c r="F20311" s="13"/>
      <c r="M20311" s="13"/>
    </row>
    <row r="20312">
      <c r="F20312" s="13"/>
      <c r="M20312" s="13"/>
    </row>
    <row r="20313">
      <c r="F20313" s="13"/>
      <c r="M20313" s="13"/>
    </row>
    <row r="20314">
      <c r="F20314" s="13"/>
      <c r="M20314" s="13"/>
    </row>
    <row r="20315">
      <c r="F20315" s="13"/>
      <c r="M20315" s="13"/>
    </row>
    <row r="20316">
      <c r="F20316" s="13"/>
      <c r="M20316" s="13"/>
    </row>
    <row r="20317">
      <c r="F20317" s="13"/>
      <c r="M20317" s="13"/>
    </row>
    <row r="20318">
      <c r="F20318" s="13"/>
      <c r="M20318" s="13"/>
    </row>
    <row r="20319">
      <c r="F20319" s="13"/>
      <c r="M20319" s="13"/>
    </row>
    <row r="20320">
      <c r="F20320" s="13"/>
      <c r="M20320" s="13"/>
    </row>
    <row r="20321">
      <c r="F20321" s="13"/>
      <c r="M20321" s="13"/>
    </row>
    <row r="20322">
      <c r="F20322" s="13"/>
      <c r="M20322" s="13"/>
    </row>
    <row r="20323">
      <c r="F20323" s="13"/>
      <c r="M20323" s="13"/>
    </row>
    <row r="20324">
      <c r="F20324" s="13"/>
      <c r="M20324" s="13"/>
    </row>
    <row r="20325">
      <c r="F20325" s="13"/>
      <c r="M20325" s="13"/>
    </row>
    <row r="20326">
      <c r="F20326" s="13"/>
      <c r="M20326" s="13"/>
    </row>
    <row r="20327">
      <c r="F20327" s="13"/>
      <c r="M20327" s="13"/>
    </row>
    <row r="20328">
      <c r="F20328" s="13"/>
      <c r="M20328" s="13"/>
    </row>
    <row r="20329">
      <c r="F20329" s="13"/>
      <c r="M20329" s="13"/>
    </row>
    <row r="20330">
      <c r="F20330" s="13"/>
      <c r="M20330" s="13"/>
    </row>
    <row r="20331">
      <c r="F20331" s="13"/>
      <c r="M20331" s="13"/>
    </row>
    <row r="20332">
      <c r="F20332" s="13"/>
      <c r="M20332" s="13"/>
    </row>
    <row r="20333">
      <c r="F20333" s="13"/>
      <c r="M20333" s="13"/>
    </row>
    <row r="20334">
      <c r="F20334" s="13"/>
      <c r="M20334" s="13"/>
    </row>
    <row r="20335">
      <c r="F20335" s="13"/>
      <c r="M20335" s="13"/>
    </row>
    <row r="20336">
      <c r="F20336" s="13"/>
      <c r="M20336" s="13"/>
    </row>
    <row r="20337">
      <c r="F20337" s="13"/>
      <c r="M20337" s="13"/>
    </row>
    <row r="20338">
      <c r="F20338" s="13"/>
      <c r="M20338" s="13"/>
    </row>
    <row r="20339">
      <c r="F20339" s="13"/>
      <c r="M20339" s="13"/>
    </row>
    <row r="20340">
      <c r="F20340" s="13"/>
      <c r="M20340" s="13"/>
    </row>
    <row r="20341">
      <c r="F20341" s="13"/>
      <c r="M20341" s="13"/>
    </row>
    <row r="20342">
      <c r="F20342" s="13"/>
      <c r="M20342" s="13"/>
    </row>
    <row r="20343">
      <c r="F20343" s="13"/>
      <c r="M20343" s="13"/>
    </row>
    <row r="20344">
      <c r="F20344" s="13"/>
      <c r="M20344" s="13"/>
    </row>
    <row r="20345">
      <c r="F20345" s="13"/>
      <c r="M20345" s="13"/>
    </row>
    <row r="20346">
      <c r="F20346" s="13"/>
      <c r="M20346" s="13"/>
    </row>
    <row r="20347">
      <c r="F20347" s="13"/>
      <c r="M20347" s="13"/>
    </row>
    <row r="20348">
      <c r="F20348" s="13"/>
      <c r="M20348" s="13"/>
    </row>
    <row r="20349">
      <c r="F20349" s="13"/>
      <c r="M20349" s="13"/>
    </row>
    <row r="20350">
      <c r="F20350" s="13"/>
      <c r="M20350" s="13"/>
    </row>
    <row r="20351">
      <c r="F20351" s="13"/>
      <c r="M20351" s="13"/>
    </row>
    <row r="20352">
      <c r="F20352" s="13"/>
      <c r="M20352" s="13"/>
    </row>
    <row r="20353">
      <c r="F20353" s="13"/>
      <c r="M20353" s="13"/>
    </row>
    <row r="20354">
      <c r="F20354" s="13"/>
      <c r="M20354" s="13"/>
    </row>
    <row r="20355">
      <c r="F20355" s="13"/>
      <c r="M20355" s="13"/>
    </row>
    <row r="20356">
      <c r="F20356" s="13"/>
      <c r="M20356" s="13"/>
    </row>
    <row r="20357">
      <c r="F20357" s="13"/>
      <c r="M20357" s="13"/>
    </row>
    <row r="20358">
      <c r="F20358" s="13"/>
      <c r="M20358" s="13"/>
    </row>
    <row r="20359">
      <c r="F20359" s="13"/>
      <c r="M20359" s="13"/>
    </row>
    <row r="20360">
      <c r="F20360" s="13"/>
      <c r="M20360" s="13"/>
    </row>
    <row r="20361">
      <c r="F20361" s="13"/>
      <c r="M20361" s="13"/>
    </row>
    <row r="20362">
      <c r="F20362" s="13"/>
      <c r="M20362" s="13"/>
    </row>
    <row r="20363">
      <c r="F20363" s="13"/>
      <c r="M20363" s="13"/>
    </row>
    <row r="20364">
      <c r="F20364" s="13"/>
      <c r="M20364" s="13"/>
    </row>
    <row r="20365">
      <c r="F20365" s="13"/>
      <c r="M20365" s="13"/>
    </row>
    <row r="20366">
      <c r="F20366" s="13"/>
      <c r="M20366" s="13"/>
    </row>
    <row r="20367">
      <c r="F20367" s="13"/>
      <c r="M20367" s="13"/>
    </row>
    <row r="20368">
      <c r="F20368" s="13"/>
      <c r="M20368" s="13"/>
    </row>
    <row r="20369">
      <c r="F20369" s="13"/>
      <c r="M20369" s="13"/>
    </row>
    <row r="20370">
      <c r="F20370" s="13"/>
      <c r="M20370" s="13"/>
    </row>
    <row r="20371">
      <c r="F20371" s="13"/>
      <c r="M20371" s="13"/>
    </row>
    <row r="20372">
      <c r="F20372" s="13"/>
      <c r="M20372" s="13"/>
    </row>
    <row r="20373">
      <c r="F20373" s="13"/>
      <c r="M20373" s="13"/>
    </row>
    <row r="20374">
      <c r="F20374" s="13"/>
      <c r="M20374" s="13"/>
    </row>
    <row r="20375">
      <c r="F20375" s="13"/>
      <c r="M20375" s="13"/>
    </row>
    <row r="20376">
      <c r="F20376" s="13"/>
      <c r="M20376" s="13"/>
    </row>
    <row r="20377">
      <c r="F20377" s="13"/>
      <c r="M20377" s="13"/>
    </row>
    <row r="20378">
      <c r="F20378" s="13"/>
      <c r="M20378" s="13"/>
    </row>
    <row r="20379">
      <c r="F20379" s="13"/>
      <c r="M20379" s="13"/>
    </row>
    <row r="20380">
      <c r="F20380" s="13"/>
      <c r="M20380" s="13"/>
    </row>
    <row r="20381">
      <c r="F20381" s="13"/>
      <c r="M20381" s="13"/>
    </row>
    <row r="20382">
      <c r="F20382" s="13"/>
      <c r="M20382" s="13"/>
    </row>
    <row r="20383">
      <c r="F20383" s="13"/>
      <c r="M20383" s="13"/>
    </row>
    <row r="20384">
      <c r="F20384" s="13"/>
      <c r="M20384" s="13"/>
    </row>
    <row r="20385">
      <c r="F20385" s="13"/>
      <c r="M20385" s="13"/>
    </row>
    <row r="20386">
      <c r="F20386" s="13"/>
      <c r="M20386" s="13"/>
    </row>
    <row r="20387">
      <c r="F20387" s="13"/>
      <c r="M20387" s="13"/>
    </row>
    <row r="20388">
      <c r="F20388" s="13"/>
      <c r="M20388" s="13"/>
    </row>
    <row r="20389">
      <c r="F20389" s="13"/>
      <c r="M20389" s="13"/>
    </row>
    <row r="20390">
      <c r="F20390" s="13"/>
      <c r="M20390" s="13"/>
    </row>
    <row r="20391">
      <c r="F20391" s="13"/>
      <c r="M20391" s="13"/>
    </row>
    <row r="20392">
      <c r="F20392" s="13"/>
      <c r="M20392" s="13"/>
    </row>
    <row r="20393">
      <c r="F20393" s="13"/>
      <c r="M20393" s="13"/>
    </row>
    <row r="20394">
      <c r="F20394" s="13"/>
      <c r="M20394" s="13"/>
    </row>
    <row r="20395">
      <c r="F20395" s="13"/>
      <c r="M20395" s="13"/>
    </row>
    <row r="20396">
      <c r="F20396" s="13"/>
      <c r="M20396" s="13"/>
    </row>
    <row r="20397">
      <c r="F20397" s="13"/>
      <c r="M20397" s="13"/>
    </row>
    <row r="20398">
      <c r="F20398" s="13"/>
      <c r="M20398" s="13"/>
    </row>
    <row r="20399">
      <c r="F20399" s="13"/>
      <c r="M20399" s="13"/>
    </row>
    <row r="20400">
      <c r="F20400" s="13"/>
      <c r="M20400" s="13"/>
    </row>
    <row r="20401">
      <c r="F20401" s="13"/>
      <c r="M20401" s="13"/>
    </row>
    <row r="20402">
      <c r="F20402" s="13"/>
      <c r="M20402" s="13"/>
    </row>
    <row r="20403">
      <c r="F20403" s="13"/>
      <c r="M20403" s="13"/>
    </row>
    <row r="20404">
      <c r="F20404" s="13"/>
      <c r="M20404" s="13"/>
    </row>
    <row r="20405">
      <c r="F20405" s="13"/>
      <c r="M20405" s="13"/>
    </row>
    <row r="20406">
      <c r="F20406" s="13"/>
      <c r="M20406" s="13"/>
    </row>
    <row r="20407">
      <c r="F20407" s="13"/>
      <c r="M20407" s="13"/>
    </row>
    <row r="20408">
      <c r="F20408" s="13"/>
      <c r="M20408" s="13"/>
    </row>
    <row r="20409">
      <c r="F20409" s="13"/>
      <c r="M20409" s="13"/>
    </row>
    <row r="20410">
      <c r="F20410" s="13"/>
      <c r="M20410" s="13"/>
    </row>
    <row r="20411">
      <c r="F20411" s="13"/>
      <c r="M20411" s="13"/>
    </row>
    <row r="20412">
      <c r="F20412" s="13"/>
      <c r="M20412" s="13"/>
    </row>
    <row r="20413">
      <c r="F20413" s="13"/>
      <c r="M20413" s="13"/>
    </row>
    <row r="20414">
      <c r="F20414" s="13"/>
      <c r="M20414" s="13"/>
    </row>
    <row r="20415">
      <c r="F20415" s="13"/>
      <c r="M20415" s="13"/>
    </row>
    <row r="20416">
      <c r="F20416" s="13"/>
      <c r="M20416" s="13"/>
    </row>
    <row r="20417">
      <c r="F20417" s="13"/>
      <c r="M20417" s="13"/>
    </row>
    <row r="20418">
      <c r="F20418" s="13"/>
      <c r="M20418" s="13"/>
    </row>
    <row r="20419">
      <c r="F20419" s="13"/>
      <c r="M20419" s="13"/>
    </row>
    <row r="20420">
      <c r="F20420" s="13"/>
      <c r="M20420" s="13"/>
    </row>
    <row r="20421">
      <c r="F20421" s="13"/>
      <c r="M20421" s="13"/>
    </row>
    <row r="20422">
      <c r="F20422" s="13"/>
      <c r="M20422" s="13"/>
    </row>
    <row r="20423">
      <c r="F20423" s="13"/>
      <c r="M20423" s="13"/>
    </row>
    <row r="20424">
      <c r="F20424" s="13"/>
      <c r="M20424" s="13"/>
    </row>
    <row r="20425">
      <c r="F20425" s="13"/>
      <c r="M20425" s="13"/>
    </row>
    <row r="20426">
      <c r="F20426" s="13"/>
      <c r="M20426" s="13"/>
    </row>
    <row r="20427">
      <c r="F20427" s="13"/>
      <c r="M20427" s="13"/>
    </row>
    <row r="20428">
      <c r="F20428" s="13"/>
      <c r="M20428" s="13"/>
    </row>
    <row r="20429">
      <c r="F20429" s="13"/>
      <c r="M20429" s="13"/>
    </row>
    <row r="20430">
      <c r="F20430" s="13"/>
      <c r="M20430" s="13"/>
    </row>
    <row r="20431">
      <c r="F20431" s="13"/>
      <c r="M20431" s="13"/>
    </row>
    <row r="20432">
      <c r="F20432" s="13"/>
      <c r="M20432" s="13"/>
    </row>
    <row r="20433">
      <c r="F20433" s="13"/>
      <c r="M20433" s="13"/>
    </row>
    <row r="20434">
      <c r="F20434" s="13"/>
      <c r="M20434" s="13"/>
    </row>
    <row r="20435">
      <c r="F20435" s="13"/>
      <c r="M20435" s="13"/>
    </row>
    <row r="20436">
      <c r="F20436" s="13"/>
      <c r="M20436" s="13"/>
    </row>
    <row r="20437">
      <c r="F20437" s="13"/>
      <c r="M20437" s="13"/>
    </row>
    <row r="20438">
      <c r="F20438" s="13"/>
      <c r="M20438" s="13"/>
    </row>
    <row r="20439">
      <c r="F20439" s="13"/>
      <c r="M20439" s="13"/>
    </row>
    <row r="20440">
      <c r="F20440" s="13"/>
      <c r="M20440" s="13"/>
    </row>
    <row r="20441">
      <c r="F20441" s="13"/>
      <c r="M20441" s="13"/>
    </row>
    <row r="20442">
      <c r="F20442" s="13"/>
      <c r="M20442" s="13"/>
    </row>
    <row r="20443">
      <c r="F20443" s="13"/>
      <c r="M20443" s="13"/>
    </row>
    <row r="20444">
      <c r="F20444" s="13"/>
      <c r="M20444" s="13"/>
    </row>
    <row r="20445">
      <c r="F20445" s="13"/>
      <c r="M20445" s="13"/>
    </row>
    <row r="20446">
      <c r="F20446" s="13"/>
      <c r="M20446" s="13"/>
    </row>
    <row r="20447">
      <c r="F20447" s="13"/>
      <c r="M20447" s="13"/>
    </row>
    <row r="20448">
      <c r="F20448" s="13"/>
      <c r="M20448" s="13"/>
    </row>
    <row r="20449">
      <c r="F20449" s="13"/>
      <c r="M20449" s="13"/>
    </row>
    <row r="20450">
      <c r="F20450" s="13"/>
      <c r="M20450" s="13"/>
    </row>
    <row r="20451">
      <c r="F20451" s="13"/>
      <c r="M20451" s="13"/>
    </row>
    <row r="20452">
      <c r="F20452" s="13"/>
      <c r="M20452" s="13"/>
    </row>
    <row r="20453">
      <c r="F20453" s="13"/>
      <c r="M20453" s="13"/>
    </row>
    <row r="20454">
      <c r="F20454" s="13"/>
      <c r="M20454" s="13"/>
    </row>
    <row r="20455">
      <c r="F20455" s="13"/>
      <c r="M20455" s="13"/>
    </row>
    <row r="20456">
      <c r="F20456" s="13"/>
      <c r="M20456" s="13"/>
    </row>
    <row r="20457">
      <c r="F20457" s="13"/>
      <c r="M20457" s="13"/>
    </row>
    <row r="20458">
      <c r="F20458" s="13"/>
      <c r="M20458" s="13"/>
    </row>
    <row r="20459">
      <c r="F20459" s="13"/>
      <c r="M20459" s="13"/>
    </row>
    <row r="20460">
      <c r="F20460" s="13"/>
      <c r="M20460" s="13"/>
    </row>
    <row r="20461">
      <c r="F20461" s="13"/>
      <c r="M20461" s="13"/>
    </row>
    <row r="20462">
      <c r="F20462" s="13"/>
      <c r="M20462" s="13"/>
    </row>
    <row r="20463">
      <c r="F20463" s="13"/>
      <c r="M20463" s="13"/>
    </row>
    <row r="20464">
      <c r="F20464" s="13"/>
      <c r="M20464" s="13"/>
    </row>
    <row r="20465">
      <c r="F20465" s="13"/>
      <c r="M20465" s="13"/>
    </row>
    <row r="20466">
      <c r="F20466" s="13"/>
      <c r="M20466" s="13"/>
    </row>
    <row r="20467">
      <c r="F20467" s="13"/>
      <c r="M20467" s="13"/>
    </row>
    <row r="20468">
      <c r="F20468" s="13"/>
      <c r="M20468" s="13"/>
    </row>
    <row r="20469">
      <c r="F20469" s="13"/>
      <c r="M20469" s="13"/>
    </row>
    <row r="20470">
      <c r="F20470" s="13"/>
      <c r="M20470" s="13"/>
    </row>
    <row r="20471">
      <c r="F20471" s="13"/>
      <c r="M20471" s="13"/>
    </row>
    <row r="20472">
      <c r="F20472" s="13"/>
      <c r="M20472" s="13"/>
    </row>
    <row r="20473">
      <c r="F20473" s="13"/>
      <c r="M20473" s="13"/>
    </row>
    <row r="20474">
      <c r="F20474" s="13"/>
      <c r="M20474" s="13"/>
    </row>
    <row r="20475">
      <c r="F20475" s="13"/>
      <c r="M20475" s="13"/>
    </row>
    <row r="20476">
      <c r="F20476" s="13"/>
      <c r="M20476" s="13"/>
    </row>
    <row r="20477">
      <c r="F20477" s="13"/>
      <c r="M20477" s="13"/>
    </row>
    <row r="20478">
      <c r="F20478" s="13"/>
      <c r="M20478" s="13"/>
    </row>
    <row r="20479">
      <c r="F20479" s="13"/>
      <c r="M20479" s="13"/>
    </row>
    <row r="20480">
      <c r="F20480" s="13"/>
      <c r="M20480" s="13"/>
    </row>
    <row r="20481">
      <c r="F20481" s="13"/>
      <c r="M20481" s="13"/>
    </row>
    <row r="20482">
      <c r="F20482" s="13"/>
      <c r="M20482" s="13"/>
    </row>
    <row r="20483">
      <c r="F20483" s="13"/>
      <c r="M20483" s="13"/>
    </row>
    <row r="20484">
      <c r="F20484" s="13"/>
      <c r="M20484" s="13"/>
    </row>
    <row r="20485">
      <c r="F20485" s="13"/>
      <c r="M20485" s="13"/>
    </row>
    <row r="20486">
      <c r="F20486" s="13"/>
      <c r="M20486" s="13"/>
    </row>
    <row r="20487">
      <c r="F20487" s="13"/>
      <c r="M20487" s="13"/>
    </row>
    <row r="20488">
      <c r="F20488" s="13"/>
      <c r="M20488" s="13"/>
    </row>
    <row r="20489">
      <c r="F20489" s="13"/>
      <c r="M20489" s="13"/>
    </row>
    <row r="20490">
      <c r="F20490" s="13"/>
      <c r="M20490" s="13"/>
    </row>
    <row r="20491">
      <c r="F20491" s="13"/>
      <c r="M20491" s="13"/>
    </row>
    <row r="20492">
      <c r="F20492" s="13"/>
      <c r="M20492" s="13"/>
    </row>
    <row r="20493">
      <c r="F20493" s="13"/>
      <c r="M20493" s="13"/>
    </row>
    <row r="20494">
      <c r="F20494" s="13"/>
      <c r="M20494" s="13"/>
    </row>
    <row r="20495">
      <c r="F20495" s="13"/>
      <c r="M20495" s="13"/>
    </row>
    <row r="20496">
      <c r="F20496" s="13"/>
      <c r="M20496" s="13"/>
    </row>
    <row r="20497">
      <c r="F20497" s="13"/>
      <c r="M20497" s="13"/>
    </row>
    <row r="20498">
      <c r="F20498" s="13"/>
      <c r="M20498" s="13"/>
    </row>
    <row r="20499">
      <c r="F20499" s="13"/>
      <c r="M20499" s="13"/>
    </row>
    <row r="20500">
      <c r="F20500" s="13"/>
      <c r="M20500" s="13"/>
    </row>
    <row r="20501">
      <c r="F20501" s="13"/>
      <c r="M20501" s="13"/>
    </row>
    <row r="20502">
      <c r="F20502" s="13"/>
      <c r="M20502" s="13"/>
    </row>
    <row r="20503">
      <c r="F20503" s="13"/>
      <c r="M20503" s="13"/>
    </row>
    <row r="20504">
      <c r="F20504" s="13"/>
      <c r="M20504" s="13"/>
    </row>
    <row r="20505">
      <c r="F20505" s="13"/>
      <c r="M20505" s="13"/>
    </row>
    <row r="20506">
      <c r="F20506" s="13"/>
      <c r="M20506" s="13"/>
    </row>
    <row r="20507">
      <c r="F20507" s="13"/>
      <c r="M20507" s="13"/>
    </row>
    <row r="20508">
      <c r="F20508" s="13"/>
      <c r="M20508" s="13"/>
    </row>
    <row r="20509">
      <c r="F20509" s="13"/>
      <c r="M20509" s="13"/>
    </row>
    <row r="20510">
      <c r="F20510" s="13"/>
      <c r="M20510" s="13"/>
    </row>
    <row r="20511">
      <c r="F20511" s="13"/>
      <c r="M20511" s="13"/>
    </row>
    <row r="20512">
      <c r="F20512" s="13"/>
      <c r="M20512" s="13"/>
    </row>
    <row r="20513">
      <c r="F20513" s="13"/>
      <c r="M20513" s="13"/>
    </row>
    <row r="20514">
      <c r="F20514" s="13"/>
      <c r="M20514" s="13"/>
    </row>
    <row r="20515">
      <c r="F20515" s="13"/>
      <c r="M20515" s="13"/>
    </row>
    <row r="20516">
      <c r="F20516" s="13"/>
      <c r="M20516" s="13"/>
    </row>
    <row r="20517">
      <c r="F20517" s="13"/>
      <c r="M20517" s="13"/>
    </row>
    <row r="20518">
      <c r="F20518" s="13"/>
      <c r="M20518" s="13"/>
    </row>
    <row r="20519">
      <c r="F20519" s="13"/>
      <c r="M20519" s="13"/>
    </row>
    <row r="20520">
      <c r="F20520" s="13"/>
      <c r="M20520" s="13"/>
    </row>
    <row r="20521">
      <c r="F20521" s="13"/>
      <c r="M20521" s="13"/>
    </row>
    <row r="20522">
      <c r="F20522" s="13"/>
      <c r="M20522" s="13"/>
    </row>
    <row r="20523">
      <c r="F20523" s="13"/>
      <c r="M20523" s="13"/>
    </row>
    <row r="20524">
      <c r="F20524" s="13"/>
      <c r="M20524" s="13"/>
    </row>
    <row r="20525">
      <c r="F20525" s="13"/>
      <c r="M20525" s="13"/>
    </row>
    <row r="20526">
      <c r="F20526" s="13"/>
      <c r="M20526" s="13"/>
    </row>
    <row r="20527">
      <c r="F20527" s="13"/>
      <c r="M20527" s="13"/>
    </row>
    <row r="20528">
      <c r="F20528" s="13"/>
      <c r="M20528" s="13"/>
    </row>
    <row r="20529">
      <c r="F20529" s="13"/>
      <c r="M20529" s="13"/>
    </row>
    <row r="20530">
      <c r="F20530" s="13"/>
      <c r="M20530" s="13"/>
    </row>
    <row r="20531">
      <c r="F20531" s="13"/>
      <c r="M20531" s="13"/>
    </row>
    <row r="20532">
      <c r="F20532" s="13"/>
      <c r="M20532" s="13"/>
    </row>
    <row r="20533">
      <c r="F20533" s="13"/>
      <c r="M20533" s="13"/>
    </row>
    <row r="20534">
      <c r="F20534" s="13"/>
      <c r="M20534" s="13"/>
    </row>
    <row r="20535">
      <c r="F20535" s="13"/>
      <c r="M20535" s="13"/>
    </row>
    <row r="20536">
      <c r="F20536" s="13"/>
      <c r="M20536" s="13"/>
    </row>
    <row r="20537">
      <c r="F20537" s="13"/>
      <c r="M20537" s="13"/>
    </row>
    <row r="20538">
      <c r="F20538" s="13"/>
      <c r="M20538" s="13"/>
    </row>
    <row r="20539">
      <c r="F20539" s="13"/>
      <c r="M20539" s="13"/>
    </row>
    <row r="20540">
      <c r="F20540" s="13"/>
      <c r="M20540" s="13"/>
    </row>
    <row r="20541">
      <c r="F20541" s="13"/>
      <c r="M20541" s="13"/>
    </row>
    <row r="20542">
      <c r="F20542" s="13"/>
      <c r="M20542" s="13"/>
    </row>
    <row r="20543">
      <c r="F20543" s="13"/>
      <c r="M20543" s="13"/>
    </row>
    <row r="20544">
      <c r="F20544" s="13"/>
      <c r="M20544" s="13"/>
    </row>
    <row r="20545">
      <c r="F20545" s="13"/>
      <c r="M20545" s="13"/>
    </row>
    <row r="20546">
      <c r="F20546" s="13"/>
      <c r="M20546" s="13"/>
    </row>
    <row r="20547">
      <c r="F20547" s="13"/>
      <c r="M20547" s="13"/>
    </row>
    <row r="20548">
      <c r="F20548" s="13"/>
      <c r="M20548" s="13"/>
    </row>
    <row r="20549">
      <c r="F20549" s="13"/>
      <c r="M20549" s="13"/>
    </row>
    <row r="20550">
      <c r="F20550" s="13"/>
      <c r="M20550" s="13"/>
    </row>
    <row r="20551">
      <c r="F20551" s="13"/>
      <c r="M20551" s="13"/>
    </row>
    <row r="20552">
      <c r="F20552" s="13"/>
      <c r="M20552" s="13"/>
    </row>
    <row r="20553">
      <c r="F20553" s="13"/>
      <c r="M20553" s="13"/>
    </row>
    <row r="20554">
      <c r="F20554" s="13"/>
      <c r="M20554" s="13"/>
    </row>
    <row r="20555">
      <c r="F20555" s="13"/>
      <c r="M20555" s="13"/>
    </row>
    <row r="20556">
      <c r="F20556" s="13"/>
      <c r="M20556" s="13"/>
    </row>
    <row r="20557">
      <c r="F20557" s="13"/>
      <c r="M20557" s="13"/>
    </row>
    <row r="20558">
      <c r="F20558" s="13"/>
      <c r="M20558" s="13"/>
    </row>
    <row r="20559">
      <c r="F20559" s="13"/>
      <c r="M20559" s="13"/>
    </row>
    <row r="20560">
      <c r="F20560" s="13"/>
      <c r="M20560" s="13"/>
    </row>
    <row r="20561">
      <c r="F20561" s="13"/>
      <c r="M20561" s="13"/>
    </row>
    <row r="20562">
      <c r="F20562" s="13"/>
      <c r="M20562" s="13"/>
    </row>
    <row r="20563">
      <c r="F20563" s="13"/>
      <c r="M20563" s="13"/>
    </row>
    <row r="20564">
      <c r="F20564" s="13"/>
      <c r="M20564" s="13"/>
    </row>
    <row r="20565">
      <c r="F20565" s="13"/>
      <c r="M20565" s="13"/>
    </row>
    <row r="20566">
      <c r="F20566" s="13"/>
      <c r="M20566" s="13"/>
    </row>
    <row r="20567">
      <c r="F20567" s="13"/>
      <c r="M20567" s="13"/>
    </row>
    <row r="20568">
      <c r="F20568" s="13"/>
      <c r="M20568" s="13"/>
    </row>
    <row r="20569">
      <c r="F20569" s="13"/>
      <c r="M20569" s="13"/>
    </row>
    <row r="20570">
      <c r="F20570" s="13"/>
      <c r="M20570" s="13"/>
    </row>
    <row r="20571">
      <c r="F20571" s="13"/>
      <c r="M20571" s="13"/>
    </row>
    <row r="20572">
      <c r="F20572" s="13"/>
      <c r="M20572" s="13"/>
    </row>
    <row r="20573">
      <c r="F20573" s="13"/>
      <c r="M20573" s="13"/>
    </row>
    <row r="20574">
      <c r="F20574" s="13"/>
      <c r="M20574" s="13"/>
    </row>
    <row r="20575">
      <c r="F20575" s="13"/>
      <c r="M20575" s="13"/>
    </row>
    <row r="20576">
      <c r="F20576" s="13"/>
      <c r="M20576" s="13"/>
    </row>
    <row r="20577">
      <c r="F20577" s="13"/>
      <c r="M20577" s="13"/>
    </row>
    <row r="20578">
      <c r="F20578" s="13"/>
      <c r="M20578" s="13"/>
    </row>
    <row r="20579">
      <c r="F20579" s="13"/>
      <c r="M20579" s="13"/>
    </row>
    <row r="20580">
      <c r="F20580" s="13"/>
      <c r="M20580" s="13"/>
    </row>
    <row r="20581">
      <c r="F20581" s="13"/>
      <c r="M20581" s="13"/>
    </row>
    <row r="20582">
      <c r="F20582" s="13"/>
      <c r="M20582" s="13"/>
    </row>
    <row r="20583">
      <c r="F20583" s="13"/>
      <c r="M20583" s="13"/>
    </row>
    <row r="20584">
      <c r="F20584" s="13"/>
      <c r="M20584" s="13"/>
    </row>
    <row r="20585">
      <c r="F20585" s="13"/>
      <c r="M20585" s="13"/>
    </row>
    <row r="20586">
      <c r="F20586" s="13"/>
      <c r="M20586" s="13"/>
    </row>
    <row r="20587">
      <c r="F20587" s="13"/>
      <c r="M20587" s="13"/>
    </row>
    <row r="20588">
      <c r="F20588" s="13"/>
      <c r="M20588" s="13"/>
    </row>
    <row r="20589">
      <c r="F20589" s="13"/>
      <c r="M20589" s="13"/>
    </row>
    <row r="20590">
      <c r="F20590" s="13"/>
      <c r="M20590" s="13"/>
    </row>
    <row r="20591">
      <c r="F20591" s="13"/>
      <c r="M20591" s="13"/>
    </row>
    <row r="20592">
      <c r="F20592" s="13"/>
      <c r="M20592" s="13"/>
    </row>
    <row r="20593">
      <c r="F20593" s="13"/>
      <c r="M20593" s="13"/>
    </row>
    <row r="20594">
      <c r="F20594" s="13"/>
      <c r="M20594" s="13"/>
    </row>
    <row r="20595">
      <c r="F20595" s="13"/>
      <c r="M20595" s="13"/>
    </row>
    <row r="20596">
      <c r="F20596" s="13"/>
      <c r="M20596" s="13"/>
    </row>
    <row r="20597">
      <c r="F20597" s="13"/>
      <c r="M20597" s="13"/>
    </row>
    <row r="20598">
      <c r="F20598" s="13"/>
      <c r="M20598" s="13"/>
    </row>
    <row r="20599">
      <c r="F20599" s="13"/>
      <c r="M20599" s="13"/>
    </row>
    <row r="20600">
      <c r="F20600" s="13"/>
      <c r="M20600" s="13"/>
    </row>
    <row r="20601">
      <c r="F20601" s="13"/>
      <c r="M20601" s="13"/>
    </row>
    <row r="20602">
      <c r="F20602" s="13"/>
      <c r="M20602" s="13"/>
    </row>
    <row r="20603">
      <c r="F20603" s="13"/>
      <c r="M20603" s="13"/>
    </row>
    <row r="20604">
      <c r="F20604" s="13"/>
      <c r="M20604" s="13"/>
    </row>
    <row r="20605">
      <c r="F20605" s="13"/>
      <c r="M20605" s="13"/>
    </row>
    <row r="20606">
      <c r="F20606" s="13"/>
      <c r="M20606" s="13"/>
    </row>
    <row r="20607">
      <c r="F20607" s="13"/>
      <c r="M20607" s="13"/>
    </row>
    <row r="20608">
      <c r="F20608" s="13"/>
      <c r="M20608" s="13"/>
    </row>
    <row r="20609">
      <c r="F20609" s="13"/>
      <c r="M20609" s="13"/>
    </row>
    <row r="20610">
      <c r="F20610" s="13"/>
      <c r="M20610" s="13"/>
    </row>
    <row r="20611">
      <c r="F20611" s="13"/>
      <c r="M20611" s="13"/>
    </row>
    <row r="20612">
      <c r="F20612" s="13"/>
      <c r="M20612" s="13"/>
    </row>
    <row r="20613">
      <c r="F20613" s="13"/>
      <c r="M20613" s="13"/>
    </row>
    <row r="20614">
      <c r="F20614" s="13"/>
      <c r="M20614" s="13"/>
    </row>
    <row r="20615">
      <c r="F20615" s="13"/>
      <c r="M20615" s="13"/>
    </row>
    <row r="20616">
      <c r="F20616" s="13"/>
      <c r="M20616" s="13"/>
    </row>
    <row r="20617">
      <c r="F20617" s="13"/>
      <c r="M20617" s="13"/>
    </row>
    <row r="20618">
      <c r="F20618" s="13"/>
      <c r="M20618" s="13"/>
    </row>
    <row r="20619">
      <c r="F20619" s="13"/>
      <c r="M20619" s="13"/>
    </row>
    <row r="20620">
      <c r="F20620" s="13"/>
      <c r="M20620" s="13"/>
    </row>
    <row r="20621">
      <c r="F20621" s="13"/>
      <c r="M20621" s="13"/>
    </row>
    <row r="20622">
      <c r="F20622" s="13"/>
      <c r="M20622" s="13"/>
    </row>
    <row r="20623">
      <c r="F20623" s="13"/>
      <c r="M20623" s="13"/>
    </row>
    <row r="20624">
      <c r="F20624" s="13"/>
      <c r="M20624" s="13"/>
    </row>
    <row r="20625">
      <c r="F20625" s="13"/>
      <c r="M20625" s="13"/>
    </row>
    <row r="20626">
      <c r="F20626" s="13"/>
      <c r="M20626" s="13"/>
    </row>
    <row r="20627">
      <c r="F20627" s="13"/>
      <c r="M20627" s="13"/>
    </row>
    <row r="20628">
      <c r="F20628" s="13"/>
      <c r="M20628" s="13"/>
    </row>
    <row r="20629">
      <c r="F20629" s="13"/>
      <c r="M20629" s="13"/>
    </row>
    <row r="20630">
      <c r="F20630" s="13"/>
      <c r="M20630" s="13"/>
    </row>
    <row r="20631">
      <c r="F20631" s="13"/>
      <c r="M20631" s="13"/>
    </row>
    <row r="20632">
      <c r="F20632" s="13"/>
      <c r="M20632" s="13"/>
    </row>
    <row r="20633">
      <c r="F20633" s="13"/>
      <c r="M20633" s="13"/>
    </row>
    <row r="20634">
      <c r="F20634" s="13"/>
      <c r="M20634" s="13"/>
    </row>
    <row r="20635">
      <c r="F20635" s="13"/>
      <c r="M20635" s="13"/>
    </row>
    <row r="20636">
      <c r="F20636" s="13"/>
      <c r="M20636" s="13"/>
    </row>
    <row r="20637">
      <c r="F20637" s="13"/>
      <c r="M20637" s="13"/>
    </row>
    <row r="20638">
      <c r="F20638" s="13"/>
      <c r="M20638" s="13"/>
    </row>
    <row r="20639">
      <c r="F20639" s="13"/>
      <c r="M20639" s="13"/>
    </row>
    <row r="20640">
      <c r="F20640" s="13"/>
      <c r="M20640" s="13"/>
    </row>
    <row r="20641">
      <c r="F20641" s="13"/>
      <c r="M20641" s="13"/>
    </row>
    <row r="20642">
      <c r="F20642" s="13"/>
      <c r="M20642" s="13"/>
    </row>
    <row r="20643">
      <c r="F20643" s="13"/>
      <c r="M20643" s="13"/>
    </row>
    <row r="20644">
      <c r="F20644" s="13"/>
      <c r="M20644" s="13"/>
    </row>
    <row r="20645">
      <c r="F20645" s="13"/>
      <c r="M20645" s="13"/>
    </row>
    <row r="20646">
      <c r="F20646" s="13"/>
      <c r="M20646" s="13"/>
    </row>
    <row r="20647">
      <c r="F20647" s="13"/>
      <c r="M20647" s="13"/>
    </row>
    <row r="20648">
      <c r="F20648" s="13"/>
      <c r="M20648" s="13"/>
    </row>
    <row r="20649">
      <c r="F20649" s="13"/>
      <c r="M20649" s="13"/>
    </row>
    <row r="20650">
      <c r="F20650" s="13"/>
      <c r="M20650" s="13"/>
    </row>
    <row r="20651">
      <c r="F20651" s="13"/>
      <c r="M20651" s="13"/>
    </row>
    <row r="20652">
      <c r="F20652" s="13"/>
      <c r="M20652" s="13"/>
    </row>
    <row r="20653">
      <c r="F20653" s="13"/>
      <c r="M20653" s="13"/>
    </row>
    <row r="20654">
      <c r="F20654" s="13"/>
      <c r="M20654" s="13"/>
    </row>
    <row r="20655">
      <c r="F20655" s="13"/>
      <c r="M20655" s="13"/>
    </row>
    <row r="20656">
      <c r="F20656" s="13"/>
      <c r="M20656" s="13"/>
    </row>
    <row r="20657">
      <c r="F20657" s="13"/>
      <c r="M20657" s="13"/>
    </row>
    <row r="20658">
      <c r="F20658" s="13"/>
      <c r="M20658" s="13"/>
    </row>
    <row r="20659">
      <c r="F20659" s="13"/>
      <c r="M20659" s="13"/>
    </row>
    <row r="20660">
      <c r="F20660" s="13"/>
      <c r="M20660" s="13"/>
    </row>
    <row r="20661">
      <c r="F20661" s="13"/>
      <c r="M20661" s="13"/>
    </row>
    <row r="20662">
      <c r="F20662" s="13"/>
      <c r="M20662" s="13"/>
    </row>
    <row r="20663">
      <c r="F20663" s="13"/>
      <c r="M20663" s="13"/>
    </row>
    <row r="20664">
      <c r="F20664" s="13"/>
      <c r="M20664" s="13"/>
    </row>
    <row r="20665">
      <c r="F20665" s="13"/>
      <c r="M20665" s="13"/>
    </row>
    <row r="20666">
      <c r="F20666" s="13"/>
      <c r="M20666" s="13"/>
    </row>
    <row r="20667">
      <c r="F20667" s="13"/>
      <c r="M20667" s="13"/>
    </row>
    <row r="20668">
      <c r="F20668" s="13"/>
      <c r="M20668" s="13"/>
    </row>
    <row r="20669">
      <c r="F20669" s="13"/>
      <c r="M20669" s="13"/>
    </row>
    <row r="20670">
      <c r="F20670" s="13"/>
      <c r="M20670" s="13"/>
    </row>
    <row r="20671">
      <c r="F20671" s="13"/>
      <c r="M20671" s="13"/>
    </row>
    <row r="20672">
      <c r="F20672" s="13"/>
      <c r="M20672" s="13"/>
    </row>
    <row r="20673">
      <c r="F20673" s="13"/>
      <c r="M20673" s="13"/>
    </row>
    <row r="20674">
      <c r="F20674" s="13"/>
      <c r="M20674" s="13"/>
    </row>
    <row r="20675">
      <c r="F20675" s="13"/>
      <c r="M20675" s="13"/>
    </row>
    <row r="20676">
      <c r="F20676" s="13"/>
      <c r="M20676" s="13"/>
    </row>
    <row r="20677">
      <c r="F20677" s="13"/>
      <c r="M20677" s="13"/>
    </row>
    <row r="20678">
      <c r="F20678" s="13"/>
      <c r="M20678" s="13"/>
    </row>
    <row r="20679">
      <c r="F20679" s="13"/>
      <c r="M20679" s="13"/>
    </row>
    <row r="20680">
      <c r="F20680" s="13"/>
      <c r="M20680" s="13"/>
    </row>
    <row r="20681">
      <c r="F20681" s="13"/>
      <c r="M20681" s="13"/>
    </row>
    <row r="20682">
      <c r="F20682" s="13"/>
      <c r="M20682" s="13"/>
    </row>
    <row r="20683">
      <c r="F20683" s="13"/>
      <c r="M20683" s="13"/>
    </row>
    <row r="20684">
      <c r="F20684" s="13"/>
      <c r="M20684" s="13"/>
    </row>
    <row r="20685">
      <c r="F20685" s="13"/>
      <c r="M20685" s="13"/>
    </row>
    <row r="20686">
      <c r="F20686" s="13"/>
      <c r="M20686" s="13"/>
    </row>
    <row r="20687">
      <c r="F20687" s="13"/>
      <c r="M20687" s="13"/>
    </row>
    <row r="20688">
      <c r="F20688" s="13"/>
      <c r="M20688" s="13"/>
    </row>
    <row r="20689">
      <c r="F20689" s="13"/>
      <c r="M20689" s="13"/>
    </row>
    <row r="20690">
      <c r="F20690" s="13"/>
      <c r="M20690" s="13"/>
    </row>
    <row r="20691">
      <c r="F20691" s="13"/>
      <c r="M20691" s="13"/>
    </row>
    <row r="20692">
      <c r="F20692" s="13"/>
      <c r="M20692" s="13"/>
    </row>
    <row r="20693">
      <c r="F20693" s="13"/>
      <c r="M20693" s="13"/>
    </row>
    <row r="20694">
      <c r="F20694" s="13"/>
      <c r="M20694" s="13"/>
    </row>
    <row r="20695">
      <c r="F20695" s="13"/>
      <c r="M20695" s="13"/>
    </row>
    <row r="20696">
      <c r="F20696" s="13"/>
      <c r="M20696" s="13"/>
    </row>
    <row r="20697">
      <c r="F20697" s="13"/>
      <c r="M20697" s="13"/>
    </row>
    <row r="20698">
      <c r="F20698" s="13"/>
      <c r="M20698" s="13"/>
    </row>
    <row r="20699">
      <c r="F20699" s="13"/>
      <c r="M20699" s="13"/>
    </row>
    <row r="20700">
      <c r="F20700" s="13"/>
      <c r="M20700" s="13"/>
    </row>
    <row r="20701">
      <c r="F20701" s="13"/>
      <c r="M20701" s="13"/>
    </row>
    <row r="20702">
      <c r="F20702" s="13"/>
      <c r="M20702" s="13"/>
    </row>
    <row r="20703">
      <c r="F20703" s="13"/>
      <c r="M20703" s="13"/>
    </row>
    <row r="20704">
      <c r="F20704" s="13"/>
      <c r="M20704" s="13"/>
    </row>
    <row r="20705">
      <c r="F20705" s="13"/>
      <c r="M20705" s="13"/>
    </row>
    <row r="20706">
      <c r="F20706" s="13"/>
      <c r="M20706" s="13"/>
    </row>
    <row r="20707">
      <c r="F20707" s="13"/>
      <c r="M20707" s="13"/>
    </row>
    <row r="20708">
      <c r="F20708" s="13"/>
      <c r="M20708" s="13"/>
    </row>
    <row r="20709">
      <c r="F20709" s="13"/>
      <c r="M20709" s="13"/>
    </row>
    <row r="20710">
      <c r="F20710" s="13"/>
      <c r="M20710" s="13"/>
    </row>
    <row r="20711">
      <c r="F20711" s="13"/>
      <c r="M20711" s="13"/>
    </row>
    <row r="20712">
      <c r="F20712" s="13"/>
      <c r="M20712" s="13"/>
    </row>
    <row r="20713">
      <c r="F20713" s="13"/>
      <c r="M20713" s="13"/>
    </row>
    <row r="20714">
      <c r="F20714" s="13"/>
      <c r="M20714" s="13"/>
    </row>
    <row r="20715">
      <c r="F20715" s="13"/>
      <c r="M20715" s="13"/>
    </row>
    <row r="20716">
      <c r="F20716" s="13"/>
      <c r="M20716" s="13"/>
    </row>
    <row r="20717">
      <c r="F20717" s="13"/>
      <c r="M20717" s="13"/>
    </row>
    <row r="20718">
      <c r="F20718" s="13"/>
      <c r="M20718" s="13"/>
    </row>
    <row r="20719">
      <c r="F20719" s="13"/>
      <c r="M20719" s="13"/>
    </row>
    <row r="20720">
      <c r="F20720" s="13"/>
      <c r="M20720" s="13"/>
    </row>
    <row r="20721">
      <c r="F20721" s="13"/>
      <c r="M20721" s="13"/>
    </row>
    <row r="20722">
      <c r="F20722" s="13"/>
      <c r="M20722" s="13"/>
    </row>
    <row r="20723">
      <c r="F20723" s="13"/>
      <c r="M20723" s="13"/>
    </row>
    <row r="20724">
      <c r="F20724" s="13"/>
      <c r="M20724" s="13"/>
    </row>
    <row r="20725">
      <c r="F20725" s="13"/>
      <c r="M20725" s="13"/>
    </row>
    <row r="20726">
      <c r="F20726" s="13"/>
      <c r="M20726" s="13"/>
    </row>
    <row r="20727">
      <c r="F20727" s="13"/>
      <c r="M20727" s="13"/>
    </row>
    <row r="20728">
      <c r="F20728" s="13"/>
      <c r="M20728" s="13"/>
    </row>
    <row r="20729">
      <c r="F20729" s="13"/>
      <c r="M20729" s="13"/>
    </row>
    <row r="20730">
      <c r="F20730" s="13"/>
      <c r="M20730" s="13"/>
    </row>
    <row r="20731">
      <c r="F20731" s="13"/>
      <c r="M20731" s="13"/>
    </row>
    <row r="20732">
      <c r="F20732" s="13"/>
      <c r="M20732" s="13"/>
    </row>
    <row r="20733">
      <c r="F20733" s="13"/>
      <c r="M20733" s="13"/>
    </row>
    <row r="20734">
      <c r="F20734" s="13"/>
      <c r="M20734" s="13"/>
    </row>
    <row r="20735">
      <c r="F20735" s="13"/>
      <c r="M20735" s="13"/>
    </row>
    <row r="20736">
      <c r="F20736" s="13"/>
      <c r="M20736" s="13"/>
    </row>
    <row r="20737">
      <c r="F20737" s="13"/>
      <c r="M20737" s="13"/>
    </row>
    <row r="20738">
      <c r="F20738" s="13"/>
      <c r="M20738" s="13"/>
    </row>
    <row r="20739">
      <c r="F20739" s="13"/>
      <c r="M20739" s="13"/>
    </row>
    <row r="20740">
      <c r="F20740" s="13"/>
      <c r="M20740" s="13"/>
    </row>
    <row r="20741">
      <c r="F20741" s="13"/>
      <c r="M20741" s="13"/>
    </row>
    <row r="20742">
      <c r="F20742" s="13"/>
      <c r="M20742" s="13"/>
    </row>
    <row r="20743">
      <c r="F20743" s="13"/>
      <c r="M20743" s="13"/>
    </row>
    <row r="20744">
      <c r="F20744" s="13"/>
      <c r="M20744" s="13"/>
    </row>
    <row r="20745">
      <c r="F20745" s="13"/>
      <c r="M20745" s="13"/>
    </row>
    <row r="20746">
      <c r="F20746" s="13"/>
      <c r="M20746" s="13"/>
    </row>
    <row r="20747">
      <c r="F20747" s="13"/>
      <c r="M20747" s="13"/>
    </row>
    <row r="20748">
      <c r="F20748" s="13"/>
      <c r="M20748" s="13"/>
    </row>
    <row r="20749">
      <c r="F20749" s="13"/>
      <c r="M20749" s="13"/>
    </row>
    <row r="20750">
      <c r="F20750" s="13"/>
      <c r="M20750" s="13"/>
    </row>
    <row r="20751">
      <c r="F20751" s="13"/>
      <c r="M20751" s="13"/>
    </row>
    <row r="20752">
      <c r="F20752" s="13"/>
      <c r="M20752" s="13"/>
    </row>
    <row r="20753">
      <c r="F20753" s="13"/>
      <c r="M20753" s="13"/>
    </row>
    <row r="20754">
      <c r="F20754" s="13"/>
      <c r="M20754" s="13"/>
    </row>
    <row r="20755">
      <c r="F20755" s="13"/>
      <c r="M20755" s="13"/>
    </row>
    <row r="20756">
      <c r="F20756" s="13"/>
      <c r="M20756" s="13"/>
    </row>
    <row r="20757">
      <c r="F20757" s="13"/>
      <c r="M20757" s="13"/>
    </row>
    <row r="20758">
      <c r="F20758" s="13"/>
      <c r="M20758" s="13"/>
    </row>
    <row r="20759">
      <c r="F20759" s="13"/>
      <c r="M20759" s="13"/>
    </row>
    <row r="20760">
      <c r="F20760" s="13"/>
      <c r="M20760" s="13"/>
    </row>
    <row r="20761">
      <c r="F20761" s="13"/>
      <c r="M20761" s="13"/>
    </row>
    <row r="20762">
      <c r="F20762" s="13"/>
      <c r="M20762" s="13"/>
    </row>
    <row r="20763">
      <c r="F20763" s="13"/>
      <c r="M20763" s="13"/>
    </row>
    <row r="20764">
      <c r="F20764" s="13"/>
      <c r="M20764" s="13"/>
    </row>
    <row r="20765">
      <c r="F20765" s="13"/>
      <c r="M20765" s="13"/>
    </row>
    <row r="20766">
      <c r="F20766" s="13"/>
      <c r="M20766" s="13"/>
    </row>
    <row r="20767">
      <c r="F20767" s="13"/>
      <c r="M20767" s="13"/>
    </row>
    <row r="20768">
      <c r="F20768" s="13"/>
      <c r="M20768" s="13"/>
    </row>
    <row r="20769">
      <c r="F20769" s="13"/>
      <c r="M20769" s="13"/>
    </row>
    <row r="20770">
      <c r="F20770" s="13"/>
      <c r="M20770" s="13"/>
    </row>
    <row r="20771">
      <c r="F20771" s="13"/>
      <c r="M20771" s="13"/>
    </row>
    <row r="20772">
      <c r="F20772" s="13"/>
      <c r="M20772" s="13"/>
    </row>
    <row r="20773">
      <c r="F20773" s="13"/>
      <c r="M20773" s="13"/>
    </row>
    <row r="20774">
      <c r="F20774" s="13"/>
      <c r="M20774" s="13"/>
    </row>
    <row r="20775">
      <c r="F20775" s="13"/>
      <c r="M20775" s="13"/>
    </row>
    <row r="20776">
      <c r="F20776" s="13"/>
      <c r="M20776" s="13"/>
    </row>
    <row r="20777">
      <c r="F20777" s="13"/>
      <c r="M20777" s="13"/>
    </row>
    <row r="20778">
      <c r="F20778" s="13"/>
      <c r="M20778" s="13"/>
    </row>
    <row r="20779">
      <c r="F20779" s="13"/>
      <c r="M20779" s="13"/>
    </row>
    <row r="20780">
      <c r="F20780" s="13"/>
      <c r="M20780" s="13"/>
    </row>
    <row r="20781">
      <c r="F20781" s="13"/>
      <c r="M20781" s="13"/>
    </row>
    <row r="20782">
      <c r="F20782" s="13"/>
      <c r="M20782" s="13"/>
    </row>
    <row r="20783">
      <c r="F20783" s="13"/>
      <c r="M20783" s="13"/>
    </row>
    <row r="20784">
      <c r="F20784" s="13"/>
      <c r="M20784" s="13"/>
    </row>
    <row r="20785">
      <c r="F20785" s="13"/>
      <c r="M20785" s="13"/>
    </row>
    <row r="20786">
      <c r="F20786" s="13"/>
      <c r="M20786" s="13"/>
    </row>
    <row r="20787">
      <c r="F20787" s="13"/>
      <c r="M20787" s="13"/>
    </row>
    <row r="20788">
      <c r="F20788" s="13"/>
      <c r="M20788" s="13"/>
    </row>
    <row r="20789">
      <c r="F20789" s="13"/>
      <c r="M20789" s="13"/>
    </row>
    <row r="20790">
      <c r="F20790" s="13"/>
      <c r="M20790" s="13"/>
    </row>
    <row r="20791">
      <c r="F20791" s="13"/>
      <c r="M20791" s="13"/>
    </row>
    <row r="20792">
      <c r="F20792" s="13"/>
      <c r="M20792" s="13"/>
    </row>
    <row r="20793">
      <c r="F20793" s="13"/>
      <c r="M20793" s="13"/>
    </row>
    <row r="20794">
      <c r="F20794" s="13"/>
      <c r="M20794" s="13"/>
    </row>
    <row r="20795">
      <c r="F20795" s="13"/>
      <c r="M20795" s="13"/>
    </row>
    <row r="20796">
      <c r="F20796" s="13"/>
      <c r="M20796" s="13"/>
    </row>
    <row r="20797">
      <c r="F20797" s="13"/>
      <c r="M20797" s="13"/>
    </row>
    <row r="20798">
      <c r="F20798" s="13"/>
      <c r="M20798" s="13"/>
    </row>
    <row r="20799">
      <c r="F20799" s="13"/>
      <c r="M20799" s="13"/>
    </row>
    <row r="20800">
      <c r="F20800" s="13"/>
      <c r="M20800" s="13"/>
    </row>
    <row r="20801">
      <c r="F20801" s="13"/>
      <c r="M20801" s="13"/>
    </row>
    <row r="20802">
      <c r="F20802" s="13"/>
      <c r="M20802" s="13"/>
    </row>
    <row r="20803">
      <c r="F20803" s="13"/>
      <c r="M20803" s="13"/>
    </row>
    <row r="20804">
      <c r="F20804" s="13"/>
      <c r="M20804" s="13"/>
    </row>
    <row r="20805">
      <c r="F20805" s="13"/>
      <c r="M20805" s="13"/>
    </row>
    <row r="20806">
      <c r="F20806" s="13"/>
      <c r="M20806" s="13"/>
    </row>
    <row r="20807">
      <c r="F20807" s="13"/>
      <c r="M20807" s="13"/>
    </row>
    <row r="20808">
      <c r="F20808" s="13"/>
      <c r="M20808" s="13"/>
    </row>
    <row r="20809">
      <c r="F20809" s="13"/>
      <c r="M20809" s="13"/>
    </row>
    <row r="20810">
      <c r="F20810" s="13"/>
      <c r="M20810" s="13"/>
    </row>
    <row r="20811">
      <c r="F20811" s="13"/>
      <c r="M20811" s="13"/>
    </row>
    <row r="20812">
      <c r="F20812" s="13"/>
      <c r="M20812" s="13"/>
    </row>
    <row r="20813">
      <c r="F20813" s="13"/>
      <c r="M20813" s="13"/>
    </row>
    <row r="20814">
      <c r="F20814" s="13"/>
      <c r="M20814" s="13"/>
    </row>
    <row r="20815">
      <c r="F20815" s="13"/>
      <c r="M20815" s="13"/>
    </row>
    <row r="20816">
      <c r="F20816" s="13"/>
      <c r="M20816" s="13"/>
    </row>
    <row r="20817">
      <c r="F20817" s="13"/>
      <c r="M20817" s="13"/>
    </row>
    <row r="20818">
      <c r="F20818" s="13"/>
      <c r="M20818" s="13"/>
    </row>
    <row r="20819">
      <c r="F20819" s="13"/>
      <c r="M20819" s="13"/>
    </row>
    <row r="20820">
      <c r="F20820" s="13"/>
      <c r="M20820" s="13"/>
    </row>
    <row r="20821">
      <c r="F20821" s="13"/>
      <c r="M20821" s="13"/>
    </row>
    <row r="20822">
      <c r="F20822" s="13"/>
      <c r="M20822" s="13"/>
    </row>
    <row r="20823">
      <c r="F20823" s="13"/>
      <c r="M20823" s="13"/>
    </row>
    <row r="20824">
      <c r="F20824" s="13"/>
      <c r="M20824" s="13"/>
    </row>
    <row r="20825">
      <c r="F20825" s="13"/>
      <c r="M20825" s="13"/>
    </row>
    <row r="20826">
      <c r="F20826" s="13"/>
      <c r="M20826" s="13"/>
    </row>
    <row r="20827">
      <c r="F20827" s="13"/>
      <c r="M20827" s="13"/>
    </row>
    <row r="20828">
      <c r="F20828" s="13"/>
      <c r="M20828" s="13"/>
    </row>
    <row r="20829">
      <c r="F20829" s="13"/>
      <c r="M20829" s="13"/>
    </row>
    <row r="20830">
      <c r="F20830" s="13"/>
      <c r="M20830" s="13"/>
    </row>
    <row r="20831">
      <c r="F20831" s="13"/>
      <c r="M20831" s="13"/>
    </row>
    <row r="20832">
      <c r="F20832" s="13"/>
      <c r="M20832" s="13"/>
    </row>
    <row r="20833">
      <c r="F20833" s="13"/>
      <c r="M20833" s="13"/>
    </row>
    <row r="20834">
      <c r="F20834" s="13"/>
      <c r="M20834" s="13"/>
    </row>
    <row r="20835">
      <c r="F20835" s="13"/>
      <c r="M20835" s="13"/>
    </row>
    <row r="20836">
      <c r="F20836" s="13"/>
      <c r="M20836" s="13"/>
    </row>
    <row r="20837">
      <c r="F20837" s="13"/>
      <c r="M20837" s="13"/>
    </row>
    <row r="20838">
      <c r="F20838" s="13"/>
      <c r="M20838" s="13"/>
    </row>
    <row r="20839">
      <c r="F20839" s="13"/>
      <c r="M20839" s="13"/>
    </row>
    <row r="20840">
      <c r="F20840" s="13"/>
      <c r="M20840" s="13"/>
    </row>
    <row r="20841">
      <c r="F20841" s="13"/>
      <c r="M20841" s="13"/>
    </row>
    <row r="20842">
      <c r="F20842" s="13"/>
      <c r="M20842" s="13"/>
    </row>
    <row r="20843">
      <c r="F20843" s="13"/>
      <c r="M20843" s="13"/>
    </row>
    <row r="20844">
      <c r="F20844" s="13"/>
      <c r="M20844" s="13"/>
    </row>
    <row r="20845">
      <c r="F20845" s="13"/>
      <c r="M20845" s="13"/>
    </row>
    <row r="20846">
      <c r="F20846" s="13"/>
      <c r="M20846" s="13"/>
    </row>
    <row r="20847">
      <c r="F20847" s="13"/>
      <c r="M20847" s="13"/>
    </row>
    <row r="20848">
      <c r="F20848" s="13"/>
      <c r="M20848" s="13"/>
    </row>
    <row r="20849">
      <c r="F20849" s="13"/>
      <c r="M20849" s="13"/>
    </row>
    <row r="20850">
      <c r="F20850" s="13"/>
      <c r="M20850" s="13"/>
    </row>
    <row r="20851">
      <c r="F20851" s="13"/>
      <c r="M20851" s="13"/>
    </row>
    <row r="20852">
      <c r="F20852" s="13"/>
      <c r="M20852" s="13"/>
    </row>
    <row r="20853">
      <c r="F20853" s="13"/>
      <c r="M20853" s="13"/>
    </row>
    <row r="20854">
      <c r="F20854" s="13"/>
      <c r="M20854" s="13"/>
    </row>
    <row r="20855">
      <c r="F20855" s="13"/>
      <c r="M20855" s="13"/>
    </row>
    <row r="20856">
      <c r="F20856" s="13"/>
      <c r="M20856" s="13"/>
    </row>
    <row r="20857">
      <c r="F20857" s="13"/>
      <c r="M20857" s="13"/>
    </row>
    <row r="20858">
      <c r="F20858" s="13"/>
      <c r="M20858" s="13"/>
    </row>
    <row r="20859">
      <c r="F20859" s="13"/>
      <c r="M20859" s="13"/>
    </row>
    <row r="20860">
      <c r="F20860" s="13"/>
      <c r="M20860" s="13"/>
    </row>
    <row r="20861">
      <c r="F20861" s="13"/>
      <c r="M20861" s="13"/>
    </row>
    <row r="20862">
      <c r="F20862" s="13"/>
      <c r="M20862" s="13"/>
    </row>
    <row r="20863">
      <c r="F20863" s="13"/>
      <c r="M20863" s="13"/>
    </row>
    <row r="20864">
      <c r="F20864" s="13"/>
      <c r="M20864" s="13"/>
    </row>
    <row r="20865">
      <c r="F20865" s="13"/>
      <c r="M20865" s="13"/>
    </row>
    <row r="20866">
      <c r="F20866" s="13"/>
      <c r="M20866" s="13"/>
    </row>
    <row r="20867">
      <c r="F20867" s="13"/>
      <c r="M20867" s="13"/>
    </row>
    <row r="20868">
      <c r="F20868" s="13"/>
      <c r="M20868" s="13"/>
    </row>
    <row r="20869">
      <c r="F20869" s="13"/>
      <c r="M20869" s="13"/>
    </row>
    <row r="20870">
      <c r="F20870" s="13"/>
      <c r="M20870" s="13"/>
    </row>
    <row r="20871">
      <c r="F20871" s="13"/>
      <c r="M20871" s="13"/>
    </row>
    <row r="20872">
      <c r="F20872" s="13"/>
      <c r="M20872" s="13"/>
    </row>
    <row r="20873">
      <c r="F20873" s="13"/>
      <c r="M20873" s="13"/>
    </row>
    <row r="20874">
      <c r="F20874" s="13"/>
      <c r="M20874" s="13"/>
    </row>
    <row r="20875">
      <c r="F20875" s="13"/>
      <c r="M20875" s="13"/>
    </row>
    <row r="20876">
      <c r="F20876" s="13"/>
      <c r="M20876" s="13"/>
    </row>
    <row r="20877">
      <c r="F20877" s="13"/>
      <c r="M20877" s="13"/>
    </row>
    <row r="20878">
      <c r="F20878" s="13"/>
      <c r="M20878" s="13"/>
    </row>
    <row r="20879">
      <c r="F20879" s="13"/>
      <c r="M20879" s="13"/>
    </row>
    <row r="20880">
      <c r="F20880" s="13"/>
      <c r="M20880" s="13"/>
    </row>
    <row r="20881">
      <c r="F20881" s="13"/>
      <c r="M20881" s="13"/>
    </row>
    <row r="20882">
      <c r="F20882" s="13"/>
      <c r="M20882" s="13"/>
    </row>
    <row r="20883">
      <c r="F20883" s="13"/>
      <c r="M20883" s="13"/>
    </row>
    <row r="20884">
      <c r="F20884" s="13"/>
      <c r="M20884" s="13"/>
    </row>
    <row r="20885">
      <c r="F20885" s="13"/>
      <c r="M20885" s="13"/>
    </row>
    <row r="20886">
      <c r="F20886" s="13"/>
      <c r="M20886" s="13"/>
    </row>
    <row r="20887">
      <c r="F20887" s="13"/>
      <c r="M20887" s="13"/>
    </row>
    <row r="20888">
      <c r="F20888" s="13"/>
      <c r="M20888" s="13"/>
    </row>
    <row r="20889">
      <c r="F20889" s="13"/>
      <c r="M20889" s="13"/>
    </row>
    <row r="20890">
      <c r="F20890" s="13"/>
      <c r="M20890" s="13"/>
    </row>
    <row r="20891">
      <c r="F20891" s="13"/>
      <c r="M20891" s="13"/>
    </row>
    <row r="20892">
      <c r="F20892" s="13"/>
      <c r="M20892" s="13"/>
    </row>
    <row r="20893">
      <c r="F20893" s="13"/>
      <c r="M20893" s="13"/>
    </row>
    <row r="20894">
      <c r="F20894" s="13"/>
      <c r="M20894" s="13"/>
    </row>
    <row r="20895">
      <c r="F20895" s="13"/>
      <c r="M20895" s="13"/>
    </row>
    <row r="20896">
      <c r="F20896" s="13"/>
      <c r="M20896" s="13"/>
    </row>
    <row r="20897">
      <c r="F20897" s="13"/>
      <c r="M20897" s="13"/>
    </row>
    <row r="20898">
      <c r="F20898" s="13"/>
      <c r="M20898" s="13"/>
    </row>
    <row r="20899">
      <c r="F20899" s="13"/>
      <c r="M20899" s="13"/>
    </row>
    <row r="20900">
      <c r="F20900" s="13"/>
      <c r="M20900" s="13"/>
    </row>
    <row r="20901">
      <c r="F20901" s="13"/>
      <c r="M20901" s="13"/>
    </row>
    <row r="20902">
      <c r="F20902" s="13"/>
      <c r="M20902" s="13"/>
    </row>
    <row r="20903">
      <c r="F20903" s="13"/>
      <c r="M20903" s="13"/>
    </row>
    <row r="20904">
      <c r="F20904" s="13"/>
      <c r="M20904" s="13"/>
    </row>
    <row r="20905">
      <c r="F20905" s="13"/>
      <c r="M20905" s="13"/>
    </row>
    <row r="20906">
      <c r="F20906" s="13"/>
      <c r="M20906" s="13"/>
    </row>
    <row r="20907">
      <c r="F20907" s="13"/>
      <c r="M20907" s="13"/>
    </row>
    <row r="20908">
      <c r="F20908" s="13"/>
      <c r="M20908" s="13"/>
    </row>
    <row r="20909">
      <c r="F20909" s="13"/>
      <c r="M20909" s="13"/>
    </row>
    <row r="20910">
      <c r="F20910" s="13"/>
      <c r="M20910" s="13"/>
    </row>
    <row r="20911">
      <c r="F20911" s="13"/>
      <c r="M20911" s="13"/>
    </row>
    <row r="20912">
      <c r="F20912" s="13"/>
      <c r="M20912" s="13"/>
    </row>
    <row r="20913">
      <c r="F20913" s="13"/>
      <c r="M20913" s="13"/>
    </row>
    <row r="20914">
      <c r="F20914" s="13"/>
      <c r="M20914" s="13"/>
    </row>
    <row r="20915">
      <c r="F20915" s="13"/>
      <c r="M20915" s="13"/>
    </row>
    <row r="20916">
      <c r="F20916" s="13"/>
      <c r="M20916" s="13"/>
    </row>
    <row r="20917">
      <c r="F20917" s="13"/>
      <c r="M20917" s="13"/>
    </row>
    <row r="20918">
      <c r="F20918" s="13"/>
      <c r="M20918" s="13"/>
    </row>
    <row r="20919">
      <c r="F20919" s="13"/>
      <c r="M20919" s="13"/>
    </row>
    <row r="20920">
      <c r="F20920" s="13"/>
      <c r="M20920" s="13"/>
    </row>
    <row r="20921">
      <c r="F20921" s="13"/>
      <c r="M20921" s="13"/>
    </row>
    <row r="20922">
      <c r="F20922" s="13"/>
      <c r="M20922" s="13"/>
    </row>
    <row r="20923">
      <c r="F20923" s="13"/>
      <c r="M20923" s="13"/>
    </row>
    <row r="20924">
      <c r="F20924" s="13"/>
      <c r="M20924" s="13"/>
    </row>
    <row r="20925">
      <c r="F20925" s="13"/>
      <c r="M20925" s="13"/>
    </row>
    <row r="20926">
      <c r="F20926" s="13"/>
      <c r="M20926" s="13"/>
    </row>
    <row r="20927">
      <c r="F20927" s="13"/>
      <c r="M20927" s="13"/>
    </row>
    <row r="20928">
      <c r="F20928" s="13"/>
      <c r="M20928" s="13"/>
    </row>
    <row r="20929">
      <c r="F20929" s="13"/>
      <c r="M20929" s="13"/>
    </row>
    <row r="20930">
      <c r="F20930" s="13"/>
      <c r="M20930" s="13"/>
    </row>
    <row r="20931">
      <c r="F20931" s="13"/>
      <c r="M20931" s="13"/>
    </row>
    <row r="20932">
      <c r="F20932" s="13"/>
      <c r="M20932" s="13"/>
    </row>
    <row r="20933">
      <c r="F20933" s="13"/>
      <c r="M20933" s="13"/>
    </row>
    <row r="20934">
      <c r="F20934" s="13"/>
      <c r="M20934" s="13"/>
    </row>
    <row r="20935">
      <c r="F20935" s="13"/>
      <c r="M20935" s="13"/>
    </row>
    <row r="20936">
      <c r="F20936" s="13"/>
      <c r="M20936" s="13"/>
    </row>
    <row r="20937">
      <c r="F20937" s="13"/>
      <c r="M20937" s="13"/>
    </row>
    <row r="20938">
      <c r="F20938" s="13"/>
      <c r="M20938" s="13"/>
    </row>
    <row r="20939">
      <c r="F20939" s="13"/>
      <c r="M20939" s="13"/>
    </row>
    <row r="20940">
      <c r="F20940" s="13"/>
      <c r="M20940" s="13"/>
    </row>
    <row r="20941">
      <c r="F20941" s="13"/>
      <c r="M20941" s="13"/>
    </row>
    <row r="20942">
      <c r="F20942" s="13"/>
      <c r="M20942" s="13"/>
    </row>
    <row r="20943">
      <c r="F20943" s="13"/>
      <c r="M20943" s="13"/>
    </row>
    <row r="20944">
      <c r="F20944" s="13"/>
      <c r="M20944" s="13"/>
    </row>
    <row r="20945">
      <c r="F20945" s="13"/>
      <c r="M20945" s="13"/>
    </row>
    <row r="20946">
      <c r="F20946" s="13"/>
      <c r="M20946" s="13"/>
    </row>
    <row r="20947">
      <c r="F20947" s="13"/>
      <c r="M20947" s="13"/>
    </row>
    <row r="20948">
      <c r="F20948" s="13"/>
      <c r="M20948" s="13"/>
    </row>
    <row r="20949">
      <c r="F20949" s="13"/>
      <c r="M20949" s="13"/>
    </row>
    <row r="20950">
      <c r="F20950" s="13"/>
      <c r="M20950" s="13"/>
    </row>
    <row r="20951">
      <c r="F20951" s="13"/>
      <c r="M20951" s="13"/>
    </row>
    <row r="20952">
      <c r="F20952" s="13"/>
      <c r="M20952" s="13"/>
    </row>
    <row r="20953">
      <c r="F20953" s="13"/>
      <c r="M20953" s="13"/>
    </row>
    <row r="20954">
      <c r="F20954" s="13"/>
      <c r="M20954" s="13"/>
    </row>
    <row r="20955">
      <c r="F20955" s="13"/>
      <c r="M20955" s="13"/>
    </row>
    <row r="20956">
      <c r="F20956" s="13"/>
      <c r="M20956" s="13"/>
    </row>
    <row r="20957">
      <c r="F20957" s="13"/>
      <c r="M20957" s="13"/>
    </row>
    <row r="20958">
      <c r="F20958" s="13"/>
      <c r="M20958" s="13"/>
    </row>
    <row r="20959">
      <c r="F20959" s="13"/>
      <c r="M20959" s="13"/>
    </row>
    <row r="20960">
      <c r="F20960" s="13"/>
      <c r="M20960" s="13"/>
    </row>
    <row r="20961">
      <c r="F20961" s="13"/>
      <c r="M20961" s="13"/>
    </row>
    <row r="20962">
      <c r="F20962" s="13"/>
      <c r="M20962" s="13"/>
    </row>
    <row r="20963">
      <c r="F20963" s="13"/>
      <c r="M20963" s="13"/>
    </row>
    <row r="20964">
      <c r="F20964" s="13"/>
      <c r="M20964" s="13"/>
    </row>
    <row r="20965">
      <c r="F20965" s="13"/>
      <c r="M20965" s="13"/>
    </row>
    <row r="20966">
      <c r="F20966" s="13"/>
      <c r="M20966" s="13"/>
    </row>
    <row r="20967">
      <c r="F20967" s="13"/>
      <c r="M20967" s="13"/>
    </row>
    <row r="20968">
      <c r="F20968" s="13"/>
      <c r="M20968" s="13"/>
    </row>
    <row r="20969">
      <c r="F20969" s="13"/>
      <c r="M20969" s="13"/>
    </row>
    <row r="20970">
      <c r="F20970" s="13"/>
      <c r="M20970" s="13"/>
    </row>
    <row r="20971">
      <c r="F20971" s="13"/>
      <c r="M20971" s="13"/>
    </row>
    <row r="20972">
      <c r="F20972" s="13"/>
      <c r="M20972" s="13"/>
    </row>
    <row r="20973">
      <c r="F20973" s="13"/>
      <c r="M20973" s="13"/>
    </row>
    <row r="20974">
      <c r="F20974" s="13"/>
      <c r="M20974" s="13"/>
    </row>
    <row r="20975">
      <c r="F20975" s="13"/>
      <c r="M20975" s="13"/>
    </row>
    <row r="20976">
      <c r="F20976" s="13"/>
      <c r="M20976" s="13"/>
    </row>
    <row r="20977">
      <c r="F20977" s="13"/>
      <c r="M20977" s="13"/>
    </row>
    <row r="20978">
      <c r="F20978" s="13"/>
      <c r="M20978" s="13"/>
    </row>
    <row r="20979">
      <c r="F20979" s="13"/>
      <c r="M20979" s="13"/>
    </row>
    <row r="20980">
      <c r="F20980" s="13"/>
      <c r="M20980" s="13"/>
    </row>
    <row r="20981">
      <c r="F20981" s="13"/>
      <c r="M20981" s="13"/>
    </row>
    <row r="20982">
      <c r="F20982" s="13"/>
      <c r="M20982" s="13"/>
    </row>
    <row r="20983">
      <c r="F20983" s="13"/>
      <c r="M20983" s="13"/>
    </row>
    <row r="20984">
      <c r="F20984" s="13"/>
      <c r="M20984" s="13"/>
    </row>
    <row r="20985">
      <c r="F20985" s="13"/>
      <c r="M20985" s="13"/>
    </row>
    <row r="20986">
      <c r="F20986" s="13"/>
      <c r="M20986" s="13"/>
    </row>
    <row r="20987">
      <c r="F20987" s="13"/>
      <c r="M20987" s="13"/>
    </row>
    <row r="20988">
      <c r="F20988" s="13"/>
      <c r="M20988" s="13"/>
    </row>
    <row r="20989">
      <c r="F20989" s="13"/>
      <c r="M20989" s="13"/>
    </row>
    <row r="20990">
      <c r="F20990" s="13"/>
      <c r="M20990" s="13"/>
    </row>
    <row r="20991">
      <c r="F20991" s="13"/>
      <c r="M20991" s="13"/>
    </row>
    <row r="20992">
      <c r="F20992" s="13"/>
      <c r="M20992" s="13"/>
    </row>
    <row r="20993">
      <c r="F20993" s="13"/>
      <c r="M20993" s="13"/>
    </row>
    <row r="20994">
      <c r="F20994" s="13"/>
      <c r="M20994" s="13"/>
    </row>
    <row r="20995">
      <c r="F20995" s="13"/>
      <c r="M20995" s="13"/>
    </row>
    <row r="20996">
      <c r="F20996" s="13"/>
      <c r="M20996" s="13"/>
    </row>
    <row r="20997">
      <c r="F20997" s="13"/>
      <c r="M20997" s="13"/>
    </row>
    <row r="20998">
      <c r="F20998" s="13"/>
      <c r="M20998" s="13"/>
    </row>
    <row r="20999">
      <c r="F20999" s="13"/>
      <c r="M20999" s="13"/>
    </row>
    <row r="21000">
      <c r="F21000" s="13"/>
      <c r="M21000" s="13"/>
    </row>
    <row r="21001">
      <c r="F21001" s="13"/>
      <c r="M21001" s="13"/>
    </row>
    <row r="21002">
      <c r="F21002" s="13"/>
      <c r="M21002" s="13"/>
    </row>
    <row r="21003">
      <c r="F21003" s="13"/>
      <c r="M21003" s="13"/>
    </row>
    <row r="21004">
      <c r="F21004" s="13"/>
      <c r="M21004" s="13"/>
    </row>
    <row r="21005">
      <c r="F21005" s="13"/>
      <c r="M21005" s="13"/>
    </row>
    <row r="21006">
      <c r="F21006" s="13"/>
      <c r="M21006" s="13"/>
    </row>
    <row r="21007">
      <c r="F21007" s="13"/>
      <c r="M21007" s="13"/>
    </row>
    <row r="21008">
      <c r="F21008" s="13"/>
      <c r="M21008" s="13"/>
    </row>
    <row r="21009">
      <c r="F21009" s="13"/>
      <c r="M21009" s="13"/>
    </row>
    <row r="21010">
      <c r="F21010" s="13"/>
      <c r="M21010" s="13"/>
    </row>
    <row r="21011">
      <c r="F21011" s="13"/>
      <c r="M21011" s="13"/>
    </row>
    <row r="21012">
      <c r="F21012" s="13"/>
      <c r="M21012" s="13"/>
    </row>
    <row r="21013">
      <c r="F21013" s="13"/>
      <c r="M21013" s="13"/>
    </row>
    <row r="21014">
      <c r="F21014" s="13"/>
      <c r="M21014" s="13"/>
    </row>
    <row r="21015">
      <c r="F21015" s="13"/>
      <c r="M21015" s="13"/>
    </row>
    <row r="21016">
      <c r="F21016" s="13"/>
      <c r="M21016" s="13"/>
    </row>
    <row r="21017">
      <c r="F21017" s="13"/>
      <c r="M21017" s="13"/>
    </row>
    <row r="21018">
      <c r="F21018" s="13"/>
      <c r="M21018" s="13"/>
    </row>
    <row r="21019">
      <c r="F21019" s="13"/>
      <c r="M21019" s="13"/>
    </row>
    <row r="21020">
      <c r="F21020" s="13"/>
      <c r="M21020" s="13"/>
    </row>
    <row r="21021">
      <c r="F21021" s="13"/>
      <c r="M21021" s="13"/>
    </row>
    <row r="21022">
      <c r="F21022" s="13"/>
      <c r="M21022" s="13"/>
    </row>
    <row r="21023">
      <c r="F21023" s="13"/>
      <c r="M21023" s="13"/>
    </row>
    <row r="21024">
      <c r="F21024" s="13"/>
      <c r="M21024" s="13"/>
    </row>
    <row r="21025">
      <c r="F21025" s="13"/>
      <c r="M21025" s="13"/>
    </row>
    <row r="21026">
      <c r="F21026" s="13"/>
      <c r="M21026" s="13"/>
    </row>
    <row r="21027">
      <c r="F21027" s="13"/>
      <c r="M21027" s="13"/>
    </row>
    <row r="21028">
      <c r="F21028" s="13"/>
      <c r="M21028" s="13"/>
    </row>
    <row r="21029">
      <c r="F21029" s="13"/>
      <c r="M21029" s="13"/>
    </row>
    <row r="21030">
      <c r="F21030" s="13"/>
      <c r="M21030" s="13"/>
    </row>
    <row r="21031">
      <c r="F21031" s="13"/>
      <c r="M21031" s="13"/>
    </row>
    <row r="21032">
      <c r="F21032" s="13"/>
      <c r="M21032" s="13"/>
    </row>
    <row r="21033">
      <c r="F21033" s="13"/>
      <c r="M21033" s="13"/>
    </row>
    <row r="21034">
      <c r="F21034" s="13"/>
      <c r="M21034" s="13"/>
    </row>
    <row r="21035">
      <c r="F21035" s="13"/>
      <c r="M21035" s="13"/>
    </row>
    <row r="21036">
      <c r="F21036" s="13"/>
      <c r="M21036" s="13"/>
    </row>
    <row r="21037">
      <c r="F21037" s="13"/>
      <c r="M21037" s="13"/>
    </row>
    <row r="21038">
      <c r="F21038" s="13"/>
      <c r="M21038" s="13"/>
    </row>
    <row r="21039">
      <c r="F21039" s="13"/>
      <c r="M21039" s="13"/>
    </row>
    <row r="21040">
      <c r="F21040" s="13"/>
      <c r="M21040" s="13"/>
    </row>
    <row r="21041">
      <c r="F21041" s="13"/>
      <c r="M21041" s="13"/>
    </row>
    <row r="21042">
      <c r="F21042" s="13"/>
      <c r="M21042" s="13"/>
    </row>
    <row r="21043">
      <c r="F21043" s="13"/>
      <c r="M21043" s="13"/>
    </row>
    <row r="21044">
      <c r="F21044" s="13"/>
      <c r="M21044" s="13"/>
    </row>
    <row r="21045">
      <c r="F21045" s="13"/>
      <c r="M21045" s="13"/>
    </row>
    <row r="21046">
      <c r="F21046" s="13"/>
      <c r="M21046" s="13"/>
    </row>
    <row r="21047">
      <c r="F21047" s="13"/>
      <c r="M21047" s="13"/>
    </row>
    <row r="21048">
      <c r="F21048" s="13"/>
      <c r="M21048" s="13"/>
    </row>
    <row r="21049">
      <c r="F21049" s="13"/>
      <c r="M21049" s="13"/>
    </row>
    <row r="21050">
      <c r="F21050" s="13"/>
      <c r="M21050" s="13"/>
    </row>
    <row r="21051">
      <c r="F21051" s="13"/>
      <c r="M21051" s="13"/>
    </row>
    <row r="21052">
      <c r="F21052" s="13"/>
      <c r="M21052" s="13"/>
    </row>
    <row r="21053">
      <c r="F21053" s="13"/>
      <c r="M21053" s="13"/>
    </row>
    <row r="21054">
      <c r="F21054" s="13"/>
      <c r="M21054" s="13"/>
    </row>
    <row r="21055">
      <c r="F21055" s="13"/>
      <c r="M21055" s="13"/>
    </row>
    <row r="21056">
      <c r="F21056" s="13"/>
      <c r="M21056" s="13"/>
    </row>
    <row r="21057">
      <c r="F21057" s="13"/>
      <c r="M21057" s="13"/>
    </row>
    <row r="21058">
      <c r="F21058" s="13"/>
      <c r="M21058" s="13"/>
    </row>
    <row r="21059">
      <c r="F21059" s="13"/>
      <c r="M21059" s="13"/>
    </row>
    <row r="21060">
      <c r="F21060" s="13"/>
      <c r="M21060" s="13"/>
    </row>
    <row r="21061">
      <c r="F21061" s="13"/>
      <c r="M21061" s="13"/>
    </row>
    <row r="21062">
      <c r="F21062" s="13"/>
      <c r="M21062" s="13"/>
    </row>
    <row r="21063">
      <c r="F21063" s="13"/>
      <c r="M21063" s="13"/>
    </row>
    <row r="21064">
      <c r="F21064" s="13"/>
      <c r="M21064" s="13"/>
    </row>
    <row r="21065">
      <c r="F21065" s="13"/>
      <c r="M21065" s="13"/>
    </row>
    <row r="21066">
      <c r="F21066" s="13"/>
      <c r="M21066" s="13"/>
    </row>
    <row r="21067">
      <c r="F21067" s="13"/>
      <c r="M21067" s="13"/>
    </row>
    <row r="21068">
      <c r="F21068" s="13"/>
      <c r="M21068" s="13"/>
    </row>
    <row r="21069">
      <c r="F21069" s="13"/>
      <c r="M21069" s="13"/>
    </row>
    <row r="21070">
      <c r="F21070" s="13"/>
      <c r="M21070" s="13"/>
    </row>
    <row r="21071">
      <c r="F21071" s="13"/>
      <c r="M21071" s="13"/>
    </row>
    <row r="21072">
      <c r="F21072" s="13"/>
      <c r="M21072" s="13"/>
    </row>
    <row r="21073">
      <c r="F21073" s="13"/>
      <c r="M21073" s="13"/>
    </row>
    <row r="21074">
      <c r="F21074" s="13"/>
      <c r="M21074" s="13"/>
    </row>
    <row r="21075">
      <c r="F21075" s="13"/>
      <c r="M21075" s="13"/>
    </row>
    <row r="21076">
      <c r="F21076" s="13"/>
      <c r="M21076" s="13"/>
    </row>
    <row r="21077">
      <c r="F21077" s="13"/>
      <c r="M21077" s="13"/>
    </row>
    <row r="21078">
      <c r="F21078" s="13"/>
      <c r="M21078" s="13"/>
    </row>
    <row r="21079">
      <c r="F21079" s="13"/>
      <c r="M21079" s="13"/>
    </row>
    <row r="21080">
      <c r="F21080" s="13"/>
      <c r="M21080" s="13"/>
    </row>
    <row r="21081">
      <c r="F21081" s="13"/>
      <c r="M21081" s="13"/>
    </row>
    <row r="21082">
      <c r="F21082" s="13"/>
      <c r="M21082" s="13"/>
    </row>
    <row r="21083">
      <c r="F21083" s="13"/>
      <c r="M21083" s="13"/>
    </row>
    <row r="21084">
      <c r="F21084" s="13"/>
      <c r="M21084" s="13"/>
    </row>
    <row r="21085">
      <c r="F21085" s="13"/>
      <c r="M21085" s="13"/>
    </row>
    <row r="21086">
      <c r="F21086" s="13"/>
      <c r="M21086" s="13"/>
    </row>
    <row r="21087">
      <c r="F21087" s="13"/>
      <c r="M21087" s="13"/>
    </row>
    <row r="21088">
      <c r="F21088" s="13"/>
      <c r="M21088" s="13"/>
    </row>
    <row r="21089">
      <c r="F21089" s="13"/>
      <c r="M21089" s="13"/>
    </row>
    <row r="21090">
      <c r="F21090" s="13"/>
      <c r="M21090" s="13"/>
    </row>
    <row r="21091">
      <c r="F21091" s="13"/>
      <c r="M21091" s="13"/>
    </row>
    <row r="21092">
      <c r="F21092" s="13"/>
      <c r="M21092" s="13"/>
    </row>
    <row r="21093">
      <c r="F21093" s="13"/>
      <c r="M21093" s="13"/>
    </row>
    <row r="21094">
      <c r="F21094" s="13"/>
      <c r="M21094" s="13"/>
    </row>
    <row r="21095">
      <c r="F21095" s="13"/>
      <c r="M21095" s="13"/>
    </row>
    <row r="21096">
      <c r="F21096" s="13"/>
      <c r="M21096" s="13"/>
    </row>
    <row r="21097">
      <c r="F21097" s="13"/>
      <c r="M21097" s="13"/>
    </row>
    <row r="21098">
      <c r="F21098" s="13"/>
      <c r="M21098" s="13"/>
    </row>
    <row r="21099">
      <c r="F21099" s="13"/>
      <c r="M21099" s="13"/>
    </row>
    <row r="21100">
      <c r="F21100" s="13"/>
      <c r="M21100" s="13"/>
    </row>
    <row r="21101">
      <c r="F21101" s="13"/>
      <c r="M21101" s="13"/>
    </row>
    <row r="21102">
      <c r="F21102" s="13"/>
      <c r="M21102" s="13"/>
    </row>
    <row r="21103">
      <c r="F21103" s="13"/>
      <c r="M21103" s="13"/>
    </row>
    <row r="21104">
      <c r="F21104" s="13"/>
      <c r="M21104" s="13"/>
    </row>
    <row r="21105">
      <c r="F21105" s="13"/>
      <c r="M21105" s="13"/>
    </row>
    <row r="21106">
      <c r="F21106" s="13"/>
      <c r="M21106" s="13"/>
    </row>
    <row r="21107">
      <c r="F21107" s="13"/>
      <c r="M21107" s="13"/>
    </row>
    <row r="21108">
      <c r="F21108" s="13"/>
      <c r="M21108" s="13"/>
    </row>
    <row r="21109">
      <c r="F21109" s="13"/>
      <c r="M21109" s="13"/>
    </row>
    <row r="21110">
      <c r="F21110" s="13"/>
      <c r="M21110" s="13"/>
    </row>
    <row r="21111">
      <c r="F21111" s="13"/>
      <c r="M21111" s="13"/>
    </row>
    <row r="21112">
      <c r="F21112" s="13"/>
      <c r="M21112" s="13"/>
    </row>
    <row r="21113">
      <c r="F21113" s="13"/>
      <c r="M21113" s="13"/>
    </row>
    <row r="21114">
      <c r="F21114" s="13"/>
      <c r="M21114" s="13"/>
    </row>
    <row r="21115">
      <c r="F21115" s="13"/>
      <c r="M21115" s="13"/>
    </row>
    <row r="21116">
      <c r="F21116" s="13"/>
      <c r="M21116" s="13"/>
    </row>
    <row r="21117">
      <c r="F21117" s="13"/>
      <c r="M21117" s="13"/>
    </row>
    <row r="21118">
      <c r="F21118" s="13"/>
      <c r="M21118" s="13"/>
    </row>
    <row r="21119">
      <c r="F21119" s="13"/>
      <c r="M21119" s="13"/>
    </row>
    <row r="21120">
      <c r="F21120" s="13"/>
      <c r="M21120" s="13"/>
    </row>
    <row r="21121">
      <c r="F21121" s="13"/>
      <c r="M21121" s="13"/>
    </row>
    <row r="21122">
      <c r="F21122" s="13"/>
      <c r="M21122" s="13"/>
    </row>
    <row r="21123">
      <c r="F21123" s="13"/>
      <c r="M21123" s="13"/>
    </row>
    <row r="21124">
      <c r="F21124" s="13"/>
      <c r="M21124" s="13"/>
    </row>
    <row r="21125">
      <c r="F21125" s="13"/>
      <c r="M21125" s="13"/>
    </row>
    <row r="21126">
      <c r="F21126" s="13"/>
      <c r="M21126" s="13"/>
    </row>
    <row r="21127">
      <c r="F21127" s="13"/>
      <c r="M21127" s="13"/>
    </row>
    <row r="21128">
      <c r="F21128" s="13"/>
      <c r="M21128" s="13"/>
    </row>
    <row r="21129">
      <c r="F21129" s="13"/>
      <c r="M21129" s="13"/>
    </row>
    <row r="21130">
      <c r="F21130" s="13"/>
      <c r="M21130" s="13"/>
    </row>
    <row r="21131">
      <c r="F21131" s="13"/>
      <c r="M21131" s="13"/>
    </row>
    <row r="21132">
      <c r="F21132" s="13"/>
      <c r="M21132" s="13"/>
    </row>
    <row r="21133">
      <c r="F21133" s="13"/>
      <c r="M21133" s="13"/>
    </row>
    <row r="21134">
      <c r="F21134" s="13"/>
      <c r="M21134" s="13"/>
    </row>
    <row r="21135">
      <c r="F21135" s="13"/>
      <c r="M21135" s="13"/>
    </row>
    <row r="21136">
      <c r="F21136" s="13"/>
      <c r="M21136" s="13"/>
    </row>
    <row r="21137">
      <c r="F21137" s="13"/>
      <c r="M21137" s="13"/>
    </row>
    <row r="21138">
      <c r="F21138" s="13"/>
      <c r="M21138" s="13"/>
    </row>
    <row r="21139">
      <c r="F21139" s="13"/>
      <c r="M21139" s="13"/>
    </row>
    <row r="21140">
      <c r="F21140" s="13"/>
      <c r="M21140" s="13"/>
    </row>
    <row r="21141">
      <c r="F21141" s="13"/>
      <c r="M21141" s="13"/>
    </row>
    <row r="21142">
      <c r="F21142" s="13"/>
      <c r="M21142" s="13"/>
    </row>
    <row r="21143">
      <c r="F21143" s="13"/>
      <c r="M21143" s="13"/>
    </row>
    <row r="21144">
      <c r="F21144" s="13"/>
      <c r="M21144" s="13"/>
    </row>
    <row r="21145">
      <c r="F21145" s="13"/>
      <c r="M21145" s="13"/>
    </row>
    <row r="21146">
      <c r="F21146" s="13"/>
      <c r="M21146" s="13"/>
    </row>
    <row r="21147">
      <c r="F21147" s="13"/>
      <c r="M21147" s="13"/>
    </row>
    <row r="21148">
      <c r="F21148" s="13"/>
      <c r="M21148" s="13"/>
    </row>
    <row r="21149">
      <c r="F21149" s="13"/>
      <c r="M21149" s="13"/>
    </row>
    <row r="21150">
      <c r="F21150" s="13"/>
      <c r="M21150" s="13"/>
    </row>
    <row r="21151">
      <c r="F21151" s="13"/>
      <c r="M21151" s="13"/>
    </row>
    <row r="21152">
      <c r="F21152" s="13"/>
      <c r="M21152" s="13"/>
    </row>
    <row r="21153">
      <c r="F21153" s="13"/>
      <c r="M21153" s="13"/>
    </row>
    <row r="21154">
      <c r="F21154" s="13"/>
      <c r="M21154" s="13"/>
    </row>
    <row r="21155">
      <c r="F21155" s="13"/>
      <c r="M21155" s="13"/>
    </row>
    <row r="21156">
      <c r="F21156" s="13"/>
      <c r="M21156" s="13"/>
    </row>
    <row r="21157">
      <c r="F21157" s="13"/>
      <c r="M21157" s="13"/>
    </row>
    <row r="21158">
      <c r="F21158" s="13"/>
      <c r="M21158" s="13"/>
    </row>
    <row r="21159">
      <c r="F21159" s="13"/>
      <c r="M21159" s="13"/>
    </row>
    <row r="21160">
      <c r="F21160" s="13"/>
      <c r="M21160" s="13"/>
    </row>
    <row r="21161">
      <c r="F21161" s="13"/>
      <c r="M21161" s="13"/>
    </row>
    <row r="21162">
      <c r="F21162" s="13"/>
      <c r="M21162" s="13"/>
    </row>
    <row r="21163">
      <c r="F21163" s="13"/>
      <c r="M21163" s="13"/>
    </row>
    <row r="21164">
      <c r="F21164" s="13"/>
      <c r="M21164" s="13"/>
    </row>
    <row r="21165">
      <c r="F21165" s="13"/>
      <c r="M21165" s="13"/>
    </row>
    <row r="21166">
      <c r="F21166" s="13"/>
      <c r="M21166" s="13"/>
    </row>
    <row r="21167">
      <c r="F21167" s="13"/>
      <c r="M21167" s="13"/>
    </row>
    <row r="21168">
      <c r="F21168" s="13"/>
      <c r="M21168" s="13"/>
    </row>
    <row r="21169">
      <c r="F21169" s="13"/>
      <c r="M21169" s="13"/>
    </row>
    <row r="21170">
      <c r="F21170" s="13"/>
      <c r="M21170" s="13"/>
    </row>
    <row r="21171">
      <c r="F21171" s="13"/>
      <c r="M21171" s="13"/>
    </row>
    <row r="21172">
      <c r="F21172" s="13"/>
      <c r="M21172" s="13"/>
    </row>
    <row r="21173">
      <c r="F21173" s="13"/>
      <c r="M21173" s="13"/>
    </row>
    <row r="21174">
      <c r="F21174" s="13"/>
      <c r="M21174" s="13"/>
    </row>
    <row r="21175">
      <c r="F21175" s="13"/>
      <c r="M21175" s="13"/>
    </row>
    <row r="21176">
      <c r="F21176" s="13"/>
      <c r="M21176" s="13"/>
    </row>
    <row r="21177">
      <c r="F21177" s="13"/>
      <c r="M21177" s="13"/>
    </row>
    <row r="21178">
      <c r="F21178" s="13"/>
      <c r="M21178" s="13"/>
    </row>
    <row r="21179">
      <c r="F21179" s="13"/>
      <c r="M21179" s="13"/>
    </row>
    <row r="21180">
      <c r="F21180" s="13"/>
      <c r="M21180" s="13"/>
    </row>
    <row r="21181">
      <c r="F21181" s="13"/>
      <c r="M21181" s="13"/>
    </row>
    <row r="21182">
      <c r="F21182" s="13"/>
      <c r="M21182" s="13"/>
    </row>
    <row r="21183">
      <c r="F21183" s="13"/>
      <c r="M21183" s="13"/>
    </row>
    <row r="21184">
      <c r="F21184" s="13"/>
      <c r="M21184" s="13"/>
    </row>
    <row r="21185">
      <c r="F21185" s="13"/>
      <c r="M21185" s="13"/>
    </row>
    <row r="21186">
      <c r="F21186" s="13"/>
      <c r="M21186" s="13"/>
    </row>
    <row r="21187">
      <c r="F21187" s="13"/>
      <c r="M21187" s="13"/>
    </row>
    <row r="21188">
      <c r="F21188" s="13"/>
      <c r="M21188" s="13"/>
    </row>
    <row r="21189">
      <c r="F21189" s="13"/>
      <c r="M21189" s="13"/>
    </row>
    <row r="21190">
      <c r="F21190" s="13"/>
      <c r="M21190" s="13"/>
    </row>
    <row r="21191">
      <c r="F21191" s="13"/>
      <c r="M21191" s="13"/>
    </row>
    <row r="21192">
      <c r="F21192" s="13"/>
      <c r="M21192" s="13"/>
    </row>
    <row r="21193">
      <c r="F21193" s="13"/>
      <c r="M21193" s="13"/>
    </row>
    <row r="21194">
      <c r="F21194" s="13"/>
      <c r="M21194" s="13"/>
    </row>
    <row r="21195">
      <c r="F21195" s="13"/>
      <c r="M21195" s="13"/>
    </row>
    <row r="21196">
      <c r="F21196" s="13"/>
      <c r="M21196" s="13"/>
    </row>
    <row r="21197">
      <c r="F21197" s="13"/>
      <c r="M21197" s="13"/>
    </row>
    <row r="21198">
      <c r="F21198" s="13"/>
      <c r="M21198" s="13"/>
    </row>
    <row r="21199">
      <c r="F21199" s="13"/>
      <c r="M21199" s="13"/>
    </row>
    <row r="21200">
      <c r="F21200" s="13"/>
      <c r="M21200" s="13"/>
    </row>
    <row r="21201">
      <c r="F21201" s="13"/>
      <c r="M21201" s="13"/>
    </row>
    <row r="21202">
      <c r="F21202" s="13"/>
      <c r="M21202" s="13"/>
    </row>
    <row r="21203">
      <c r="F21203" s="13"/>
      <c r="M21203" s="13"/>
    </row>
    <row r="21204">
      <c r="F21204" s="13"/>
      <c r="M21204" s="13"/>
    </row>
    <row r="21205">
      <c r="F21205" s="13"/>
      <c r="M21205" s="13"/>
    </row>
    <row r="21206">
      <c r="F21206" s="13"/>
      <c r="M21206" s="13"/>
    </row>
    <row r="21207">
      <c r="F21207" s="13"/>
      <c r="M21207" s="13"/>
    </row>
    <row r="21208">
      <c r="F21208" s="13"/>
      <c r="M21208" s="13"/>
    </row>
    <row r="21209">
      <c r="F21209" s="13"/>
      <c r="M21209" s="13"/>
    </row>
    <row r="21210">
      <c r="F21210" s="13"/>
      <c r="M21210" s="13"/>
    </row>
    <row r="21211">
      <c r="F21211" s="13"/>
      <c r="M21211" s="13"/>
    </row>
    <row r="21212">
      <c r="F21212" s="13"/>
      <c r="M21212" s="13"/>
    </row>
    <row r="21213">
      <c r="F21213" s="13"/>
      <c r="M21213" s="13"/>
    </row>
    <row r="21214">
      <c r="F21214" s="13"/>
      <c r="M21214" s="13"/>
    </row>
    <row r="21215">
      <c r="F21215" s="13"/>
      <c r="M21215" s="13"/>
    </row>
    <row r="21216">
      <c r="F21216" s="13"/>
      <c r="M21216" s="13"/>
    </row>
    <row r="21217">
      <c r="F21217" s="13"/>
      <c r="M21217" s="13"/>
    </row>
    <row r="21218">
      <c r="F21218" s="13"/>
      <c r="M21218" s="13"/>
    </row>
    <row r="21219">
      <c r="F21219" s="13"/>
      <c r="M21219" s="13"/>
    </row>
    <row r="21220">
      <c r="F21220" s="13"/>
      <c r="M21220" s="13"/>
    </row>
    <row r="21221">
      <c r="F21221" s="13"/>
      <c r="M21221" s="13"/>
    </row>
    <row r="21222">
      <c r="F21222" s="13"/>
      <c r="M21222" s="13"/>
    </row>
    <row r="21223">
      <c r="F21223" s="13"/>
      <c r="M21223" s="13"/>
    </row>
    <row r="21224">
      <c r="F21224" s="13"/>
      <c r="M21224" s="13"/>
    </row>
    <row r="21225">
      <c r="F21225" s="13"/>
      <c r="M21225" s="13"/>
    </row>
    <row r="21226">
      <c r="F21226" s="13"/>
      <c r="M21226" s="13"/>
    </row>
    <row r="21227">
      <c r="F21227" s="13"/>
      <c r="M21227" s="13"/>
    </row>
    <row r="21228">
      <c r="F21228" s="13"/>
      <c r="M21228" s="13"/>
    </row>
    <row r="21229">
      <c r="F21229" s="13"/>
      <c r="M21229" s="13"/>
    </row>
    <row r="21230">
      <c r="F21230" s="13"/>
      <c r="M21230" s="13"/>
    </row>
    <row r="21231">
      <c r="F21231" s="13"/>
      <c r="M21231" s="13"/>
    </row>
    <row r="21232">
      <c r="F21232" s="13"/>
      <c r="M21232" s="13"/>
    </row>
    <row r="21233">
      <c r="F21233" s="13"/>
      <c r="M21233" s="13"/>
    </row>
    <row r="21234">
      <c r="F21234" s="13"/>
      <c r="M21234" s="13"/>
    </row>
    <row r="21235">
      <c r="F21235" s="13"/>
      <c r="M21235" s="13"/>
    </row>
    <row r="21236">
      <c r="F21236" s="13"/>
      <c r="M21236" s="13"/>
    </row>
    <row r="21237">
      <c r="F21237" s="13"/>
      <c r="M21237" s="13"/>
    </row>
    <row r="21238">
      <c r="F21238" s="13"/>
      <c r="M21238" s="13"/>
    </row>
    <row r="21239">
      <c r="F21239" s="13"/>
      <c r="M21239" s="13"/>
    </row>
    <row r="21240">
      <c r="F21240" s="13"/>
      <c r="M21240" s="13"/>
    </row>
    <row r="21241">
      <c r="F21241" s="13"/>
      <c r="M21241" s="13"/>
    </row>
    <row r="21242">
      <c r="F21242" s="13"/>
      <c r="M21242" s="13"/>
    </row>
    <row r="21243">
      <c r="F21243" s="13"/>
      <c r="M21243" s="13"/>
    </row>
    <row r="21244">
      <c r="F21244" s="13"/>
      <c r="M21244" s="13"/>
    </row>
    <row r="21245">
      <c r="F21245" s="13"/>
      <c r="M21245" s="13"/>
    </row>
    <row r="21246">
      <c r="F21246" s="13"/>
      <c r="M21246" s="13"/>
    </row>
    <row r="21247">
      <c r="F21247" s="13"/>
      <c r="M21247" s="13"/>
    </row>
    <row r="21248">
      <c r="F21248" s="13"/>
      <c r="M21248" s="13"/>
    </row>
    <row r="21249">
      <c r="F21249" s="13"/>
      <c r="M21249" s="13"/>
    </row>
    <row r="21250">
      <c r="F21250" s="13"/>
      <c r="M21250" s="13"/>
    </row>
    <row r="21251">
      <c r="F21251" s="13"/>
      <c r="M21251" s="13"/>
    </row>
    <row r="21252">
      <c r="F21252" s="13"/>
      <c r="M21252" s="13"/>
    </row>
    <row r="21253">
      <c r="F21253" s="13"/>
      <c r="M21253" s="13"/>
    </row>
    <row r="21254">
      <c r="F21254" s="13"/>
      <c r="M21254" s="13"/>
    </row>
    <row r="21255">
      <c r="F21255" s="13"/>
      <c r="M21255" s="13"/>
    </row>
    <row r="21256">
      <c r="F21256" s="13"/>
      <c r="M21256" s="13"/>
    </row>
    <row r="21257">
      <c r="F21257" s="13"/>
      <c r="M21257" s="13"/>
    </row>
    <row r="21258">
      <c r="F21258" s="13"/>
      <c r="M21258" s="13"/>
    </row>
    <row r="21259">
      <c r="F21259" s="13"/>
      <c r="M21259" s="13"/>
    </row>
    <row r="21260">
      <c r="F21260" s="13"/>
      <c r="M21260" s="13"/>
    </row>
    <row r="21261">
      <c r="F21261" s="13"/>
      <c r="M21261" s="13"/>
    </row>
    <row r="21262">
      <c r="F21262" s="13"/>
      <c r="M21262" s="13"/>
    </row>
    <row r="21263">
      <c r="F21263" s="13"/>
      <c r="M21263" s="13"/>
    </row>
    <row r="21264">
      <c r="F21264" s="13"/>
      <c r="M21264" s="13"/>
    </row>
    <row r="21265">
      <c r="F21265" s="13"/>
      <c r="M21265" s="13"/>
    </row>
    <row r="21266">
      <c r="F21266" s="13"/>
      <c r="M21266" s="13"/>
    </row>
    <row r="21267">
      <c r="F21267" s="13"/>
      <c r="M21267" s="13"/>
    </row>
    <row r="21268">
      <c r="F21268" s="13"/>
      <c r="M21268" s="13"/>
    </row>
    <row r="21269">
      <c r="F21269" s="13"/>
      <c r="M21269" s="13"/>
    </row>
    <row r="21270">
      <c r="F21270" s="13"/>
      <c r="M21270" s="13"/>
    </row>
    <row r="21271">
      <c r="F21271" s="13"/>
      <c r="M21271" s="13"/>
    </row>
    <row r="21272">
      <c r="F21272" s="13"/>
      <c r="M21272" s="13"/>
    </row>
    <row r="21273">
      <c r="F21273" s="13"/>
      <c r="M21273" s="13"/>
    </row>
    <row r="21274">
      <c r="F21274" s="13"/>
      <c r="M21274" s="13"/>
    </row>
    <row r="21275">
      <c r="F21275" s="13"/>
      <c r="M21275" s="13"/>
    </row>
    <row r="21276">
      <c r="F21276" s="13"/>
      <c r="M21276" s="13"/>
    </row>
    <row r="21277">
      <c r="F21277" s="13"/>
      <c r="M21277" s="13"/>
    </row>
    <row r="21278">
      <c r="F21278" s="13"/>
      <c r="M21278" s="13"/>
    </row>
    <row r="21279">
      <c r="F21279" s="13"/>
      <c r="M21279" s="13"/>
    </row>
    <row r="21280">
      <c r="F21280" s="13"/>
      <c r="M21280" s="13"/>
    </row>
    <row r="21281">
      <c r="F21281" s="13"/>
      <c r="M21281" s="13"/>
    </row>
    <row r="21282">
      <c r="F21282" s="13"/>
      <c r="M21282" s="13"/>
    </row>
    <row r="21283">
      <c r="F21283" s="13"/>
      <c r="M21283" s="13"/>
    </row>
    <row r="21284">
      <c r="F21284" s="13"/>
      <c r="M21284" s="13"/>
    </row>
    <row r="21285">
      <c r="F21285" s="13"/>
      <c r="M21285" s="13"/>
    </row>
    <row r="21286">
      <c r="F21286" s="13"/>
      <c r="M21286" s="13"/>
    </row>
    <row r="21287">
      <c r="F21287" s="13"/>
      <c r="M21287" s="13"/>
    </row>
    <row r="21288">
      <c r="F21288" s="13"/>
      <c r="M21288" s="13"/>
    </row>
    <row r="21289">
      <c r="F21289" s="13"/>
      <c r="M21289" s="13"/>
    </row>
    <row r="21290">
      <c r="F21290" s="13"/>
      <c r="M21290" s="13"/>
    </row>
    <row r="21291">
      <c r="F21291" s="13"/>
      <c r="M21291" s="13"/>
    </row>
    <row r="21292">
      <c r="F21292" s="13"/>
      <c r="M21292" s="13"/>
    </row>
    <row r="21293">
      <c r="F21293" s="13"/>
      <c r="M21293" s="13"/>
    </row>
    <row r="21294">
      <c r="F21294" s="13"/>
      <c r="M21294" s="13"/>
    </row>
    <row r="21295">
      <c r="F21295" s="13"/>
      <c r="M21295" s="13"/>
    </row>
    <row r="21296">
      <c r="F21296" s="13"/>
      <c r="M21296" s="13"/>
    </row>
    <row r="21297">
      <c r="F21297" s="13"/>
      <c r="M21297" s="13"/>
    </row>
    <row r="21298">
      <c r="F21298" s="13"/>
      <c r="M21298" s="13"/>
    </row>
    <row r="21299">
      <c r="F21299" s="13"/>
      <c r="M21299" s="13"/>
    </row>
    <row r="21300">
      <c r="F21300" s="13"/>
      <c r="M21300" s="13"/>
    </row>
    <row r="21301">
      <c r="F21301" s="13"/>
      <c r="M21301" s="13"/>
    </row>
    <row r="21302">
      <c r="F21302" s="13"/>
      <c r="M21302" s="13"/>
    </row>
    <row r="21303">
      <c r="F21303" s="13"/>
      <c r="M21303" s="13"/>
    </row>
    <row r="21304">
      <c r="F21304" s="13"/>
      <c r="M21304" s="13"/>
    </row>
    <row r="21305">
      <c r="F21305" s="13"/>
      <c r="M21305" s="13"/>
    </row>
    <row r="21306">
      <c r="F21306" s="13"/>
      <c r="M21306" s="13"/>
    </row>
    <row r="21307">
      <c r="F21307" s="13"/>
      <c r="M21307" s="13"/>
    </row>
    <row r="21308">
      <c r="F21308" s="13"/>
      <c r="M21308" s="13"/>
    </row>
    <row r="21309">
      <c r="F21309" s="13"/>
      <c r="M21309" s="13"/>
    </row>
    <row r="21310">
      <c r="F21310" s="13"/>
      <c r="M21310" s="13"/>
    </row>
    <row r="21311">
      <c r="F21311" s="13"/>
      <c r="M21311" s="13"/>
    </row>
    <row r="21312">
      <c r="F21312" s="13"/>
      <c r="M21312" s="13"/>
    </row>
    <row r="21313">
      <c r="F21313" s="13"/>
      <c r="M21313" s="13"/>
    </row>
    <row r="21314">
      <c r="F21314" s="13"/>
      <c r="M21314" s="13"/>
    </row>
    <row r="21315">
      <c r="F21315" s="13"/>
      <c r="M21315" s="13"/>
    </row>
    <row r="21316">
      <c r="F21316" s="13"/>
      <c r="M21316" s="13"/>
    </row>
    <row r="21317">
      <c r="F21317" s="13"/>
      <c r="M21317" s="13"/>
    </row>
    <row r="21318">
      <c r="F21318" s="13"/>
      <c r="M21318" s="13"/>
    </row>
    <row r="21319">
      <c r="F21319" s="13"/>
      <c r="M21319" s="13"/>
    </row>
    <row r="21320">
      <c r="F21320" s="13"/>
      <c r="M21320" s="13"/>
    </row>
    <row r="21321">
      <c r="F21321" s="13"/>
      <c r="M21321" s="13"/>
    </row>
    <row r="21322">
      <c r="F21322" s="13"/>
      <c r="M21322" s="13"/>
    </row>
    <row r="21323">
      <c r="F21323" s="13"/>
      <c r="M21323" s="13"/>
    </row>
    <row r="21324">
      <c r="F21324" s="13"/>
      <c r="M21324" s="13"/>
    </row>
    <row r="21325">
      <c r="F21325" s="13"/>
      <c r="M21325" s="13"/>
    </row>
    <row r="21326">
      <c r="F21326" s="13"/>
      <c r="M21326" s="13"/>
    </row>
    <row r="21327">
      <c r="F21327" s="13"/>
      <c r="M21327" s="13"/>
    </row>
    <row r="21328">
      <c r="F21328" s="13"/>
      <c r="M21328" s="13"/>
    </row>
    <row r="21329">
      <c r="F21329" s="13"/>
      <c r="M21329" s="13"/>
    </row>
    <row r="21330">
      <c r="F21330" s="13"/>
      <c r="M21330" s="13"/>
    </row>
    <row r="21331">
      <c r="F21331" s="13"/>
      <c r="M21331" s="13"/>
    </row>
    <row r="21332">
      <c r="F21332" s="13"/>
      <c r="M21332" s="13"/>
    </row>
    <row r="21333">
      <c r="F21333" s="13"/>
      <c r="M21333" s="13"/>
    </row>
    <row r="21334">
      <c r="F21334" s="13"/>
      <c r="M21334" s="13"/>
    </row>
    <row r="21335">
      <c r="F21335" s="13"/>
      <c r="M21335" s="13"/>
    </row>
    <row r="21336">
      <c r="F21336" s="13"/>
      <c r="M21336" s="13"/>
    </row>
    <row r="21337">
      <c r="F21337" s="13"/>
      <c r="M21337" s="13"/>
    </row>
    <row r="21338">
      <c r="F21338" s="13"/>
      <c r="M21338" s="13"/>
    </row>
    <row r="21339">
      <c r="F21339" s="13"/>
      <c r="M21339" s="13"/>
    </row>
    <row r="21340">
      <c r="F21340" s="13"/>
      <c r="M21340" s="13"/>
    </row>
    <row r="21341">
      <c r="F21341" s="13"/>
      <c r="M21341" s="13"/>
    </row>
    <row r="21342">
      <c r="F21342" s="13"/>
      <c r="M21342" s="13"/>
    </row>
    <row r="21343">
      <c r="F21343" s="13"/>
      <c r="M21343" s="13"/>
    </row>
    <row r="21344">
      <c r="F21344" s="13"/>
      <c r="M21344" s="13"/>
    </row>
    <row r="21345">
      <c r="F21345" s="13"/>
      <c r="M21345" s="13"/>
    </row>
    <row r="21346">
      <c r="F21346" s="13"/>
      <c r="M21346" s="13"/>
    </row>
    <row r="21347">
      <c r="F21347" s="13"/>
      <c r="M21347" s="13"/>
    </row>
    <row r="21348">
      <c r="F21348" s="13"/>
      <c r="M21348" s="13"/>
    </row>
    <row r="21349">
      <c r="F21349" s="13"/>
      <c r="M21349" s="13"/>
    </row>
    <row r="21350">
      <c r="F21350" s="13"/>
      <c r="M21350" s="13"/>
    </row>
    <row r="21351">
      <c r="F21351" s="13"/>
      <c r="M21351" s="13"/>
    </row>
    <row r="21352">
      <c r="F21352" s="13"/>
      <c r="M21352" s="13"/>
    </row>
    <row r="21353">
      <c r="F21353" s="13"/>
      <c r="M21353" s="13"/>
    </row>
    <row r="21354">
      <c r="F21354" s="13"/>
      <c r="M21354" s="13"/>
    </row>
    <row r="21355">
      <c r="F21355" s="13"/>
      <c r="M21355" s="13"/>
    </row>
    <row r="21356">
      <c r="F21356" s="13"/>
      <c r="M21356" s="13"/>
    </row>
    <row r="21357">
      <c r="F21357" s="13"/>
      <c r="M21357" s="13"/>
    </row>
    <row r="21358">
      <c r="F21358" s="13"/>
      <c r="M21358" s="13"/>
    </row>
    <row r="21359">
      <c r="F21359" s="13"/>
      <c r="M21359" s="13"/>
    </row>
    <row r="21360">
      <c r="F21360" s="13"/>
      <c r="M21360" s="13"/>
    </row>
    <row r="21361">
      <c r="F21361" s="13"/>
      <c r="M21361" s="13"/>
    </row>
    <row r="21362">
      <c r="F21362" s="13"/>
      <c r="M21362" s="13"/>
    </row>
    <row r="21363">
      <c r="F21363" s="13"/>
      <c r="M21363" s="13"/>
    </row>
    <row r="21364">
      <c r="F21364" s="13"/>
      <c r="M21364" s="13"/>
    </row>
    <row r="21365">
      <c r="F21365" s="13"/>
      <c r="M21365" s="13"/>
    </row>
    <row r="21366">
      <c r="F21366" s="13"/>
      <c r="M21366" s="13"/>
    </row>
    <row r="21367">
      <c r="F21367" s="13"/>
      <c r="M21367" s="13"/>
    </row>
    <row r="21368">
      <c r="F21368" s="13"/>
      <c r="M21368" s="13"/>
    </row>
    <row r="21369">
      <c r="F21369" s="13"/>
      <c r="M21369" s="13"/>
    </row>
    <row r="21370">
      <c r="F21370" s="13"/>
      <c r="M21370" s="13"/>
    </row>
    <row r="21371">
      <c r="F21371" s="13"/>
      <c r="M21371" s="13"/>
    </row>
    <row r="21372">
      <c r="F21372" s="13"/>
      <c r="M21372" s="13"/>
    </row>
    <row r="21373">
      <c r="F21373" s="13"/>
      <c r="M21373" s="13"/>
    </row>
    <row r="21374">
      <c r="F21374" s="13"/>
      <c r="M21374" s="13"/>
    </row>
    <row r="21375">
      <c r="F21375" s="13"/>
      <c r="M21375" s="13"/>
    </row>
    <row r="21376">
      <c r="F21376" s="13"/>
      <c r="M21376" s="13"/>
    </row>
    <row r="21377">
      <c r="F21377" s="13"/>
      <c r="M21377" s="13"/>
    </row>
    <row r="21378">
      <c r="F21378" s="13"/>
      <c r="M21378" s="13"/>
    </row>
    <row r="21379">
      <c r="F21379" s="13"/>
      <c r="M21379" s="13"/>
    </row>
    <row r="21380">
      <c r="F21380" s="13"/>
      <c r="M21380" s="13"/>
    </row>
    <row r="21381">
      <c r="F21381" s="13"/>
      <c r="M21381" s="13"/>
    </row>
    <row r="21382">
      <c r="F21382" s="13"/>
      <c r="M21382" s="13"/>
    </row>
    <row r="21383">
      <c r="F21383" s="13"/>
      <c r="M21383" s="13"/>
    </row>
    <row r="21384">
      <c r="F21384" s="13"/>
      <c r="M21384" s="13"/>
    </row>
    <row r="21385">
      <c r="F21385" s="13"/>
      <c r="M21385" s="13"/>
    </row>
    <row r="21386">
      <c r="F21386" s="13"/>
      <c r="M21386" s="13"/>
    </row>
    <row r="21387">
      <c r="F21387" s="13"/>
      <c r="M21387" s="13"/>
    </row>
    <row r="21388">
      <c r="F21388" s="13"/>
      <c r="M21388" s="13"/>
    </row>
    <row r="21389">
      <c r="F21389" s="13"/>
      <c r="M21389" s="13"/>
    </row>
    <row r="21390">
      <c r="F21390" s="13"/>
      <c r="M21390" s="13"/>
    </row>
    <row r="21391">
      <c r="F21391" s="13"/>
      <c r="M21391" s="13"/>
    </row>
    <row r="21392">
      <c r="F21392" s="13"/>
      <c r="M21392" s="13"/>
    </row>
    <row r="21393">
      <c r="F21393" s="13"/>
      <c r="M21393" s="13"/>
    </row>
    <row r="21394">
      <c r="F21394" s="13"/>
      <c r="M21394" s="13"/>
    </row>
    <row r="21395">
      <c r="F21395" s="13"/>
      <c r="M21395" s="13"/>
    </row>
    <row r="21396">
      <c r="F21396" s="13"/>
      <c r="M21396" s="13"/>
    </row>
    <row r="21397">
      <c r="F21397" s="13"/>
      <c r="M21397" s="13"/>
    </row>
    <row r="21398">
      <c r="F21398" s="13"/>
      <c r="M21398" s="13"/>
    </row>
    <row r="21399">
      <c r="F21399" s="13"/>
      <c r="M21399" s="13"/>
    </row>
    <row r="21400">
      <c r="F21400" s="13"/>
      <c r="M21400" s="13"/>
    </row>
    <row r="21401">
      <c r="F21401" s="13"/>
      <c r="M21401" s="13"/>
    </row>
    <row r="21402">
      <c r="F21402" s="13"/>
      <c r="M21402" s="13"/>
    </row>
    <row r="21403">
      <c r="F21403" s="13"/>
      <c r="M21403" s="13"/>
    </row>
    <row r="21404">
      <c r="F21404" s="13"/>
      <c r="M21404" s="13"/>
    </row>
    <row r="21405">
      <c r="F21405" s="13"/>
      <c r="M21405" s="13"/>
    </row>
    <row r="21406">
      <c r="F21406" s="13"/>
      <c r="M21406" s="13"/>
    </row>
    <row r="21407">
      <c r="F21407" s="13"/>
      <c r="M21407" s="13"/>
    </row>
    <row r="21408">
      <c r="F21408" s="13"/>
      <c r="M21408" s="13"/>
    </row>
    <row r="21409">
      <c r="F21409" s="13"/>
      <c r="M21409" s="13"/>
    </row>
    <row r="21410">
      <c r="F21410" s="13"/>
      <c r="M21410" s="13"/>
    </row>
    <row r="21411">
      <c r="F21411" s="13"/>
      <c r="M21411" s="13"/>
    </row>
    <row r="21412">
      <c r="F21412" s="13"/>
      <c r="M21412" s="13"/>
    </row>
    <row r="21413">
      <c r="F21413" s="13"/>
      <c r="M21413" s="13"/>
    </row>
    <row r="21414">
      <c r="F21414" s="13"/>
      <c r="M21414" s="13"/>
    </row>
    <row r="21415">
      <c r="F21415" s="13"/>
      <c r="M21415" s="13"/>
    </row>
    <row r="21416">
      <c r="F21416" s="13"/>
      <c r="M21416" s="13"/>
    </row>
    <row r="21417">
      <c r="F21417" s="13"/>
      <c r="M21417" s="13"/>
    </row>
    <row r="21418">
      <c r="F21418" s="13"/>
      <c r="M21418" s="13"/>
    </row>
    <row r="21419">
      <c r="F21419" s="13"/>
      <c r="M21419" s="13"/>
    </row>
    <row r="21420">
      <c r="F21420" s="13"/>
      <c r="M21420" s="13"/>
    </row>
    <row r="21421">
      <c r="F21421" s="13"/>
      <c r="M21421" s="13"/>
    </row>
    <row r="21422">
      <c r="F21422" s="13"/>
      <c r="M21422" s="13"/>
    </row>
    <row r="21423">
      <c r="F21423" s="13"/>
      <c r="M21423" s="13"/>
    </row>
    <row r="21424">
      <c r="F21424" s="13"/>
      <c r="M21424" s="13"/>
    </row>
    <row r="21425">
      <c r="F21425" s="13"/>
      <c r="M21425" s="13"/>
    </row>
    <row r="21426">
      <c r="F21426" s="13"/>
      <c r="M21426" s="13"/>
    </row>
    <row r="21427">
      <c r="F21427" s="13"/>
      <c r="M21427" s="13"/>
    </row>
    <row r="21428">
      <c r="F21428" s="13"/>
      <c r="M21428" s="13"/>
    </row>
    <row r="21429">
      <c r="F21429" s="13"/>
      <c r="M21429" s="13"/>
    </row>
    <row r="21430">
      <c r="F21430" s="13"/>
      <c r="M21430" s="13"/>
    </row>
    <row r="21431">
      <c r="F21431" s="13"/>
      <c r="M21431" s="13"/>
    </row>
    <row r="21432">
      <c r="F21432" s="13"/>
      <c r="M21432" s="13"/>
    </row>
    <row r="21433">
      <c r="F21433" s="13"/>
      <c r="M21433" s="13"/>
    </row>
    <row r="21434">
      <c r="F21434" s="13"/>
      <c r="M21434" s="13"/>
    </row>
    <row r="21435">
      <c r="F21435" s="13"/>
      <c r="M21435" s="13"/>
    </row>
    <row r="21436">
      <c r="F21436" s="13"/>
      <c r="M21436" s="13"/>
    </row>
    <row r="21437">
      <c r="F21437" s="13"/>
      <c r="M21437" s="13"/>
    </row>
    <row r="21438">
      <c r="F21438" s="13"/>
      <c r="M21438" s="13"/>
    </row>
    <row r="21439">
      <c r="F21439" s="13"/>
      <c r="M21439" s="13"/>
    </row>
    <row r="21440">
      <c r="F21440" s="13"/>
      <c r="M21440" s="13"/>
    </row>
    <row r="21441">
      <c r="F21441" s="13"/>
      <c r="M21441" s="13"/>
    </row>
    <row r="21442">
      <c r="F21442" s="13"/>
      <c r="M21442" s="13"/>
    </row>
    <row r="21443">
      <c r="F21443" s="13"/>
      <c r="M21443" s="13"/>
    </row>
    <row r="21444">
      <c r="F21444" s="13"/>
      <c r="M21444" s="13"/>
    </row>
    <row r="21445">
      <c r="F21445" s="13"/>
      <c r="M21445" s="13"/>
    </row>
    <row r="21446">
      <c r="F21446" s="13"/>
      <c r="M21446" s="13"/>
    </row>
    <row r="21447">
      <c r="F21447" s="13"/>
      <c r="M21447" s="13"/>
    </row>
    <row r="21448">
      <c r="F21448" s="13"/>
      <c r="M21448" s="13"/>
    </row>
    <row r="21449">
      <c r="F21449" s="13"/>
      <c r="M21449" s="13"/>
    </row>
    <row r="21450">
      <c r="F21450" s="13"/>
      <c r="M21450" s="13"/>
    </row>
    <row r="21451">
      <c r="F21451" s="13"/>
      <c r="M21451" s="13"/>
    </row>
    <row r="21452">
      <c r="F21452" s="13"/>
      <c r="M21452" s="13"/>
    </row>
    <row r="21453">
      <c r="F21453" s="13"/>
      <c r="M21453" s="13"/>
    </row>
    <row r="21454">
      <c r="F21454" s="13"/>
      <c r="M21454" s="13"/>
    </row>
    <row r="21455">
      <c r="F21455" s="13"/>
      <c r="M21455" s="13"/>
    </row>
    <row r="21456">
      <c r="F21456" s="13"/>
      <c r="M21456" s="13"/>
    </row>
    <row r="21457">
      <c r="F21457" s="13"/>
      <c r="M21457" s="13"/>
    </row>
    <row r="21458">
      <c r="F21458" s="13"/>
      <c r="M21458" s="13"/>
    </row>
    <row r="21459">
      <c r="F21459" s="13"/>
      <c r="M21459" s="13"/>
    </row>
    <row r="21460">
      <c r="F21460" s="13"/>
      <c r="M21460" s="13"/>
    </row>
    <row r="21461">
      <c r="F21461" s="13"/>
      <c r="M21461" s="13"/>
    </row>
    <row r="21462">
      <c r="F21462" s="13"/>
      <c r="M21462" s="13"/>
    </row>
    <row r="21463">
      <c r="F21463" s="13"/>
      <c r="M21463" s="13"/>
    </row>
    <row r="21464">
      <c r="F21464" s="13"/>
      <c r="M21464" s="13"/>
    </row>
    <row r="21465">
      <c r="F21465" s="13"/>
      <c r="M21465" s="13"/>
    </row>
    <row r="21466">
      <c r="F21466" s="13"/>
      <c r="M21466" s="13"/>
    </row>
    <row r="21467">
      <c r="F21467" s="13"/>
      <c r="M21467" s="13"/>
    </row>
    <row r="21468">
      <c r="F21468" s="13"/>
      <c r="M21468" s="13"/>
    </row>
    <row r="21469">
      <c r="F21469" s="13"/>
      <c r="M21469" s="13"/>
    </row>
    <row r="21470">
      <c r="F21470" s="13"/>
      <c r="M21470" s="13"/>
    </row>
    <row r="21471">
      <c r="F21471" s="13"/>
      <c r="M21471" s="13"/>
    </row>
    <row r="21472">
      <c r="F21472" s="13"/>
      <c r="M21472" s="13"/>
    </row>
    <row r="21473">
      <c r="F21473" s="13"/>
      <c r="M21473" s="13"/>
    </row>
    <row r="21474">
      <c r="F21474" s="13"/>
      <c r="M21474" s="13"/>
    </row>
    <row r="21475">
      <c r="F21475" s="13"/>
      <c r="M21475" s="13"/>
    </row>
    <row r="21476">
      <c r="F21476" s="13"/>
      <c r="M21476" s="13"/>
    </row>
    <row r="21477">
      <c r="F21477" s="13"/>
      <c r="M21477" s="13"/>
    </row>
    <row r="21478">
      <c r="F21478" s="13"/>
      <c r="M21478" s="13"/>
    </row>
    <row r="21479">
      <c r="F21479" s="13"/>
      <c r="M21479" s="13"/>
    </row>
    <row r="21480">
      <c r="F21480" s="13"/>
      <c r="M21480" s="13"/>
    </row>
    <row r="21481">
      <c r="F21481" s="13"/>
      <c r="M21481" s="13"/>
    </row>
    <row r="21482">
      <c r="F21482" s="13"/>
      <c r="M21482" s="13"/>
    </row>
    <row r="21483">
      <c r="F21483" s="13"/>
      <c r="M21483" s="13"/>
    </row>
    <row r="21484">
      <c r="F21484" s="13"/>
      <c r="M21484" s="13"/>
    </row>
    <row r="21485">
      <c r="F21485" s="13"/>
      <c r="M21485" s="13"/>
    </row>
    <row r="21486">
      <c r="F21486" s="13"/>
      <c r="M21486" s="13"/>
    </row>
    <row r="21487">
      <c r="F21487" s="13"/>
      <c r="M21487" s="13"/>
    </row>
    <row r="21488">
      <c r="F21488" s="13"/>
      <c r="M21488" s="13"/>
    </row>
    <row r="21489">
      <c r="F21489" s="13"/>
      <c r="M21489" s="13"/>
    </row>
    <row r="21490">
      <c r="F21490" s="13"/>
      <c r="M21490" s="13"/>
    </row>
    <row r="21491">
      <c r="F21491" s="13"/>
      <c r="M21491" s="13"/>
    </row>
    <row r="21492">
      <c r="F21492" s="13"/>
      <c r="M21492" s="13"/>
    </row>
    <row r="21493">
      <c r="F21493" s="13"/>
      <c r="M21493" s="13"/>
    </row>
    <row r="21494">
      <c r="F21494" s="13"/>
      <c r="M21494" s="13"/>
    </row>
    <row r="21495">
      <c r="F21495" s="13"/>
      <c r="M21495" s="13"/>
    </row>
    <row r="21496">
      <c r="F21496" s="13"/>
      <c r="M21496" s="13"/>
    </row>
    <row r="21497">
      <c r="F21497" s="13"/>
      <c r="M21497" s="13"/>
    </row>
    <row r="21498">
      <c r="F21498" s="13"/>
      <c r="M21498" s="13"/>
    </row>
    <row r="21499">
      <c r="F21499" s="13"/>
      <c r="M21499" s="13"/>
    </row>
    <row r="21500">
      <c r="F21500" s="13"/>
      <c r="M21500" s="13"/>
    </row>
    <row r="21501">
      <c r="F21501" s="13"/>
      <c r="M21501" s="13"/>
    </row>
    <row r="21502">
      <c r="F21502" s="13"/>
      <c r="M21502" s="13"/>
    </row>
    <row r="21503">
      <c r="F21503" s="13"/>
      <c r="M21503" s="13"/>
    </row>
    <row r="21504">
      <c r="F21504" s="13"/>
      <c r="M21504" s="13"/>
    </row>
    <row r="21505">
      <c r="F21505" s="13"/>
      <c r="M21505" s="13"/>
    </row>
    <row r="21506">
      <c r="F21506" s="13"/>
      <c r="M21506" s="13"/>
    </row>
    <row r="21507">
      <c r="F21507" s="13"/>
      <c r="M21507" s="13"/>
    </row>
    <row r="21508">
      <c r="F21508" s="13"/>
      <c r="M21508" s="13"/>
    </row>
    <row r="21509">
      <c r="F21509" s="13"/>
      <c r="M21509" s="13"/>
    </row>
    <row r="21510">
      <c r="F21510" s="13"/>
      <c r="M21510" s="13"/>
    </row>
    <row r="21511">
      <c r="F21511" s="13"/>
      <c r="M21511" s="13"/>
    </row>
    <row r="21512">
      <c r="F21512" s="13"/>
      <c r="M21512" s="13"/>
    </row>
    <row r="21513">
      <c r="F21513" s="13"/>
      <c r="M21513" s="13"/>
    </row>
    <row r="21514">
      <c r="F21514" s="13"/>
      <c r="M21514" s="13"/>
    </row>
    <row r="21515">
      <c r="F21515" s="13"/>
      <c r="M21515" s="13"/>
    </row>
    <row r="21516">
      <c r="F21516" s="13"/>
      <c r="M21516" s="13"/>
    </row>
    <row r="21517">
      <c r="F21517" s="13"/>
      <c r="M21517" s="13"/>
    </row>
    <row r="21518">
      <c r="F21518" s="13"/>
      <c r="M21518" s="13"/>
    </row>
    <row r="21519">
      <c r="F21519" s="13"/>
      <c r="M21519" s="13"/>
    </row>
    <row r="21520">
      <c r="F21520" s="13"/>
      <c r="M21520" s="13"/>
    </row>
    <row r="21521">
      <c r="F21521" s="13"/>
      <c r="M21521" s="13"/>
    </row>
    <row r="21522">
      <c r="F21522" s="13"/>
      <c r="M21522" s="13"/>
    </row>
    <row r="21523">
      <c r="F21523" s="13"/>
      <c r="M21523" s="13"/>
    </row>
    <row r="21524">
      <c r="F21524" s="13"/>
      <c r="M21524" s="13"/>
    </row>
    <row r="21525">
      <c r="F21525" s="13"/>
      <c r="M21525" s="13"/>
    </row>
    <row r="21526">
      <c r="F21526" s="13"/>
      <c r="M21526" s="13"/>
    </row>
    <row r="21527">
      <c r="F21527" s="13"/>
      <c r="M21527" s="13"/>
    </row>
    <row r="21528">
      <c r="F21528" s="13"/>
      <c r="M21528" s="13"/>
    </row>
    <row r="21529">
      <c r="F21529" s="13"/>
      <c r="M21529" s="13"/>
    </row>
    <row r="21530">
      <c r="F21530" s="13"/>
      <c r="M21530" s="13"/>
    </row>
    <row r="21531">
      <c r="F21531" s="13"/>
      <c r="M21531" s="13"/>
    </row>
    <row r="21532">
      <c r="F21532" s="13"/>
      <c r="M21532" s="13"/>
    </row>
    <row r="21533">
      <c r="F21533" s="13"/>
      <c r="M21533" s="13"/>
    </row>
    <row r="21534">
      <c r="F21534" s="13"/>
      <c r="M21534" s="13"/>
    </row>
    <row r="21535">
      <c r="F21535" s="13"/>
      <c r="M21535" s="13"/>
    </row>
    <row r="21536">
      <c r="F21536" s="13"/>
      <c r="M21536" s="13"/>
    </row>
    <row r="21537">
      <c r="F21537" s="13"/>
      <c r="M21537" s="13"/>
    </row>
    <row r="21538">
      <c r="F21538" s="13"/>
      <c r="M21538" s="13"/>
    </row>
    <row r="21539">
      <c r="F21539" s="13"/>
      <c r="M21539" s="13"/>
    </row>
    <row r="21540">
      <c r="F21540" s="13"/>
      <c r="M21540" s="13"/>
    </row>
    <row r="21541">
      <c r="F21541" s="13"/>
      <c r="M21541" s="13"/>
    </row>
    <row r="21542">
      <c r="F21542" s="13"/>
      <c r="M21542" s="13"/>
    </row>
    <row r="21543">
      <c r="F21543" s="13"/>
      <c r="M21543" s="13"/>
    </row>
    <row r="21544">
      <c r="F21544" s="13"/>
      <c r="M21544" s="13"/>
    </row>
    <row r="21545">
      <c r="F21545" s="13"/>
      <c r="M21545" s="13"/>
    </row>
    <row r="21546">
      <c r="F21546" s="13"/>
      <c r="M21546" s="13"/>
    </row>
    <row r="21547">
      <c r="F21547" s="13"/>
      <c r="M21547" s="13"/>
    </row>
    <row r="21548">
      <c r="F21548" s="13"/>
      <c r="M21548" s="13"/>
    </row>
    <row r="21549">
      <c r="F21549" s="13"/>
      <c r="M21549" s="13"/>
    </row>
    <row r="21550">
      <c r="F21550" s="13"/>
      <c r="M21550" s="13"/>
    </row>
    <row r="21551">
      <c r="F21551" s="13"/>
      <c r="M21551" s="13"/>
    </row>
    <row r="21552">
      <c r="F21552" s="13"/>
      <c r="M21552" s="13"/>
    </row>
    <row r="21553">
      <c r="F21553" s="13"/>
      <c r="M21553" s="13"/>
    </row>
    <row r="21554">
      <c r="F21554" s="13"/>
      <c r="M21554" s="13"/>
    </row>
    <row r="21555">
      <c r="F21555" s="13"/>
      <c r="M21555" s="13"/>
    </row>
    <row r="21556">
      <c r="F21556" s="13"/>
      <c r="M21556" s="13"/>
    </row>
    <row r="21557">
      <c r="F21557" s="13"/>
      <c r="M21557" s="13"/>
    </row>
    <row r="21558">
      <c r="F21558" s="13"/>
      <c r="M21558" s="13"/>
    </row>
    <row r="21559">
      <c r="F21559" s="13"/>
      <c r="M21559" s="13"/>
    </row>
    <row r="21560">
      <c r="F21560" s="13"/>
      <c r="M21560" s="13"/>
    </row>
    <row r="21561">
      <c r="F21561" s="13"/>
      <c r="M21561" s="13"/>
    </row>
    <row r="21562">
      <c r="F21562" s="13"/>
      <c r="M21562" s="13"/>
    </row>
    <row r="21563">
      <c r="F21563" s="13"/>
      <c r="M21563" s="13"/>
    </row>
    <row r="21564">
      <c r="F21564" s="13"/>
      <c r="M21564" s="13"/>
    </row>
    <row r="21565">
      <c r="F21565" s="13"/>
      <c r="M21565" s="13"/>
    </row>
    <row r="21566">
      <c r="F21566" s="13"/>
      <c r="M21566" s="13"/>
    </row>
    <row r="21567">
      <c r="F21567" s="13"/>
      <c r="M21567" s="13"/>
    </row>
    <row r="21568">
      <c r="F21568" s="13"/>
      <c r="M21568" s="13"/>
    </row>
    <row r="21569">
      <c r="F21569" s="13"/>
      <c r="M21569" s="13"/>
    </row>
    <row r="21570">
      <c r="F21570" s="13"/>
      <c r="M21570" s="13"/>
    </row>
    <row r="21571">
      <c r="F21571" s="13"/>
      <c r="M21571" s="13"/>
    </row>
    <row r="21572">
      <c r="F21572" s="13"/>
      <c r="M21572" s="13"/>
    </row>
    <row r="21573">
      <c r="F21573" s="13"/>
      <c r="M21573" s="13"/>
    </row>
    <row r="21574">
      <c r="F21574" s="13"/>
      <c r="M21574" s="13"/>
    </row>
    <row r="21575">
      <c r="F21575" s="13"/>
      <c r="M21575" s="13"/>
    </row>
    <row r="21576">
      <c r="F21576" s="13"/>
      <c r="M21576" s="13"/>
    </row>
    <row r="21577">
      <c r="F21577" s="13"/>
      <c r="M21577" s="13"/>
    </row>
    <row r="21578">
      <c r="F21578" s="13"/>
      <c r="M21578" s="13"/>
    </row>
    <row r="21579">
      <c r="F21579" s="13"/>
      <c r="M21579" s="13"/>
    </row>
    <row r="21580">
      <c r="F21580" s="13"/>
      <c r="M21580" s="13"/>
    </row>
    <row r="21581">
      <c r="F21581" s="13"/>
      <c r="M21581" s="13"/>
    </row>
    <row r="21582">
      <c r="F21582" s="13"/>
      <c r="M21582" s="13"/>
    </row>
    <row r="21583">
      <c r="F21583" s="13"/>
      <c r="M21583" s="13"/>
    </row>
    <row r="21584">
      <c r="F21584" s="13"/>
      <c r="M21584" s="13"/>
    </row>
    <row r="21585">
      <c r="F21585" s="13"/>
      <c r="M21585" s="13"/>
    </row>
    <row r="21586">
      <c r="F21586" s="13"/>
      <c r="M21586" s="13"/>
    </row>
    <row r="21587">
      <c r="F21587" s="13"/>
      <c r="M21587" s="13"/>
    </row>
    <row r="21588">
      <c r="F21588" s="13"/>
      <c r="M21588" s="13"/>
    </row>
    <row r="21589">
      <c r="F21589" s="13"/>
      <c r="M21589" s="13"/>
    </row>
    <row r="21590">
      <c r="F21590" s="13"/>
      <c r="M21590" s="13"/>
    </row>
    <row r="21591">
      <c r="F21591" s="13"/>
      <c r="M21591" s="13"/>
    </row>
    <row r="21592">
      <c r="F21592" s="13"/>
      <c r="M21592" s="13"/>
    </row>
    <row r="21593">
      <c r="F21593" s="13"/>
      <c r="M21593" s="13"/>
    </row>
    <row r="21594">
      <c r="F21594" s="13"/>
      <c r="M21594" s="13"/>
    </row>
    <row r="21595">
      <c r="F21595" s="13"/>
      <c r="M21595" s="13"/>
    </row>
    <row r="21596">
      <c r="F21596" s="13"/>
      <c r="M21596" s="13"/>
    </row>
    <row r="21597">
      <c r="F21597" s="13"/>
      <c r="M21597" s="13"/>
    </row>
    <row r="21598">
      <c r="F21598" s="13"/>
      <c r="M21598" s="13"/>
    </row>
    <row r="21599">
      <c r="F21599" s="13"/>
      <c r="M21599" s="13"/>
    </row>
    <row r="21600">
      <c r="F21600" s="13"/>
      <c r="M21600" s="13"/>
    </row>
    <row r="21601">
      <c r="F21601" s="13"/>
      <c r="M21601" s="13"/>
    </row>
    <row r="21602">
      <c r="F21602" s="13"/>
      <c r="M21602" s="13"/>
    </row>
    <row r="21603">
      <c r="F21603" s="13"/>
      <c r="M21603" s="13"/>
    </row>
    <row r="21604">
      <c r="F21604" s="13"/>
      <c r="M21604" s="13"/>
    </row>
    <row r="21605">
      <c r="F21605" s="13"/>
      <c r="M21605" s="13"/>
    </row>
    <row r="21606">
      <c r="F21606" s="13"/>
      <c r="M21606" s="13"/>
    </row>
    <row r="21607">
      <c r="F21607" s="13"/>
      <c r="M21607" s="13"/>
    </row>
    <row r="21608">
      <c r="F21608" s="13"/>
      <c r="M21608" s="13"/>
    </row>
    <row r="21609">
      <c r="F21609" s="13"/>
      <c r="M21609" s="13"/>
    </row>
    <row r="21610">
      <c r="F21610" s="13"/>
      <c r="M21610" s="13"/>
    </row>
    <row r="21611">
      <c r="F21611" s="13"/>
      <c r="M21611" s="13"/>
    </row>
    <row r="21612">
      <c r="F21612" s="13"/>
      <c r="M21612" s="13"/>
    </row>
    <row r="21613">
      <c r="F21613" s="13"/>
      <c r="M21613" s="13"/>
    </row>
    <row r="21614">
      <c r="F21614" s="13"/>
      <c r="M21614" s="13"/>
    </row>
    <row r="21615">
      <c r="F21615" s="13"/>
      <c r="M21615" s="13"/>
    </row>
    <row r="21616">
      <c r="F21616" s="13"/>
      <c r="M21616" s="13"/>
    </row>
    <row r="21617">
      <c r="F21617" s="13"/>
      <c r="M21617" s="13"/>
    </row>
    <row r="21618">
      <c r="F21618" s="13"/>
      <c r="M21618" s="13"/>
    </row>
    <row r="21619">
      <c r="F21619" s="13"/>
      <c r="M21619" s="13"/>
    </row>
    <row r="21620">
      <c r="F21620" s="13"/>
      <c r="M21620" s="13"/>
    </row>
    <row r="21621">
      <c r="F21621" s="13"/>
      <c r="M21621" s="13"/>
    </row>
    <row r="21622">
      <c r="F21622" s="13"/>
      <c r="M21622" s="13"/>
    </row>
    <row r="21623">
      <c r="F21623" s="13"/>
      <c r="M21623" s="13"/>
    </row>
    <row r="21624">
      <c r="F21624" s="13"/>
      <c r="M21624" s="13"/>
    </row>
    <row r="21625">
      <c r="F21625" s="13"/>
      <c r="M21625" s="13"/>
    </row>
    <row r="21626">
      <c r="F21626" s="13"/>
      <c r="M21626" s="13"/>
    </row>
    <row r="21627">
      <c r="F21627" s="13"/>
      <c r="M21627" s="13"/>
    </row>
    <row r="21628">
      <c r="F21628" s="13"/>
      <c r="M21628" s="13"/>
    </row>
    <row r="21629">
      <c r="F21629" s="13"/>
      <c r="M21629" s="13"/>
    </row>
    <row r="21630">
      <c r="F21630" s="13"/>
      <c r="M21630" s="13"/>
    </row>
    <row r="21631">
      <c r="F21631" s="13"/>
      <c r="M21631" s="13"/>
    </row>
    <row r="21632">
      <c r="F21632" s="13"/>
      <c r="M21632" s="13"/>
    </row>
    <row r="21633">
      <c r="F21633" s="13"/>
      <c r="M21633" s="13"/>
    </row>
    <row r="21634">
      <c r="F21634" s="13"/>
      <c r="M21634" s="13"/>
    </row>
    <row r="21635">
      <c r="F21635" s="13"/>
      <c r="M21635" s="13"/>
    </row>
    <row r="21636">
      <c r="F21636" s="13"/>
      <c r="M21636" s="13"/>
    </row>
    <row r="21637">
      <c r="F21637" s="13"/>
      <c r="M21637" s="13"/>
    </row>
    <row r="21638">
      <c r="F21638" s="13"/>
      <c r="M21638" s="13"/>
    </row>
    <row r="21639">
      <c r="F21639" s="13"/>
      <c r="M21639" s="13"/>
    </row>
    <row r="21640">
      <c r="F21640" s="13"/>
      <c r="M21640" s="13"/>
    </row>
    <row r="21641">
      <c r="F21641" s="13"/>
      <c r="M21641" s="13"/>
    </row>
    <row r="21642">
      <c r="F21642" s="13"/>
      <c r="M21642" s="13"/>
    </row>
    <row r="21643">
      <c r="F21643" s="13"/>
      <c r="M21643" s="13"/>
    </row>
    <row r="21644">
      <c r="F21644" s="13"/>
      <c r="M21644" s="13"/>
    </row>
    <row r="21645">
      <c r="F21645" s="13"/>
      <c r="M21645" s="13"/>
    </row>
    <row r="21646">
      <c r="F21646" s="13"/>
      <c r="M21646" s="13"/>
    </row>
    <row r="21647">
      <c r="F21647" s="13"/>
      <c r="M21647" s="13"/>
    </row>
    <row r="21648">
      <c r="F21648" s="13"/>
      <c r="M21648" s="13"/>
    </row>
    <row r="21649">
      <c r="F21649" s="13"/>
      <c r="M21649" s="13"/>
    </row>
    <row r="21650">
      <c r="F21650" s="13"/>
      <c r="M21650" s="13"/>
    </row>
    <row r="21651">
      <c r="F21651" s="13"/>
      <c r="M21651" s="13"/>
    </row>
    <row r="21652">
      <c r="F21652" s="13"/>
      <c r="M21652" s="13"/>
    </row>
    <row r="21653">
      <c r="F21653" s="13"/>
      <c r="M21653" s="13"/>
    </row>
    <row r="21654">
      <c r="F21654" s="13"/>
      <c r="M21654" s="13"/>
    </row>
    <row r="21655">
      <c r="F21655" s="13"/>
      <c r="M21655" s="13"/>
    </row>
    <row r="21656">
      <c r="F21656" s="13"/>
      <c r="M21656" s="13"/>
    </row>
    <row r="21657">
      <c r="F21657" s="13"/>
      <c r="M21657" s="13"/>
    </row>
    <row r="21658">
      <c r="F21658" s="13"/>
      <c r="M21658" s="13"/>
    </row>
    <row r="21659">
      <c r="F21659" s="13"/>
      <c r="M21659" s="13"/>
    </row>
    <row r="21660">
      <c r="F21660" s="13"/>
      <c r="M21660" s="13"/>
    </row>
    <row r="21661">
      <c r="F21661" s="13"/>
      <c r="M21661" s="13"/>
    </row>
    <row r="21662">
      <c r="F21662" s="13"/>
      <c r="M21662" s="13"/>
    </row>
    <row r="21663">
      <c r="F21663" s="13"/>
      <c r="M21663" s="13"/>
    </row>
    <row r="21664">
      <c r="F21664" s="13"/>
      <c r="M21664" s="13"/>
    </row>
    <row r="21665">
      <c r="F21665" s="13"/>
      <c r="M21665" s="13"/>
    </row>
    <row r="21666">
      <c r="F21666" s="13"/>
      <c r="M21666" s="13"/>
    </row>
    <row r="21667">
      <c r="F21667" s="13"/>
      <c r="M21667" s="13"/>
    </row>
    <row r="21668">
      <c r="F21668" s="13"/>
      <c r="M21668" s="13"/>
    </row>
    <row r="21669">
      <c r="F21669" s="13"/>
      <c r="M21669" s="13"/>
    </row>
    <row r="21670">
      <c r="F21670" s="13"/>
      <c r="M21670" s="13"/>
    </row>
    <row r="21671">
      <c r="F21671" s="13"/>
      <c r="M21671" s="13"/>
    </row>
    <row r="21672">
      <c r="F21672" s="13"/>
      <c r="M21672" s="13"/>
    </row>
    <row r="21673">
      <c r="F21673" s="13"/>
      <c r="M21673" s="13"/>
    </row>
    <row r="21674">
      <c r="F21674" s="13"/>
      <c r="M21674" s="13"/>
    </row>
    <row r="21675">
      <c r="F21675" s="13"/>
      <c r="M21675" s="13"/>
    </row>
    <row r="21676">
      <c r="F21676" s="13"/>
      <c r="M21676" s="13"/>
    </row>
    <row r="21677">
      <c r="F21677" s="13"/>
      <c r="M21677" s="13"/>
    </row>
    <row r="21678">
      <c r="F21678" s="13"/>
      <c r="M21678" s="13"/>
    </row>
    <row r="21679">
      <c r="F21679" s="13"/>
      <c r="M21679" s="13"/>
    </row>
    <row r="21680">
      <c r="F21680" s="13"/>
      <c r="M21680" s="13"/>
    </row>
    <row r="21681">
      <c r="F21681" s="13"/>
      <c r="M21681" s="13"/>
    </row>
    <row r="21682">
      <c r="F21682" s="13"/>
      <c r="M21682" s="13"/>
    </row>
    <row r="21683">
      <c r="F21683" s="13"/>
      <c r="M21683" s="13"/>
    </row>
    <row r="21684">
      <c r="F21684" s="13"/>
      <c r="M21684" s="13"/>
    </row>
    <row r="21685">
      <c r="F21685" s="13"/>
      <c r="M21685" s="13"/>
    </row>
    <row r="21686">
      <c r="F21686" s="13"/>
      <c r="M21686" s="13"/>
    </row>
    <row r="21687">
      <c r="F21687" s="13"/>
      <c r="M21687" s="13"/>
    </row>
    <row r="21688">
      <c r="F21688" s="13"/>
      <c r="M21688" s="13"/>
    </row>
    <row r="21689">
      <c r="F21689" s="13"/>
      <c r="M21689" s="13"/>
    </row>
    <row r="21690">
      <c r="F21690" s="13"/>
      <c r="M21690" s="13"/>
    </row>
    <row r="21691">
      <c r="F21691" s="13"/>
      <c r="M21691" s="13"/>
    </row>
    <row r="21692">
      <c r="F21692" s="13"/>
      <c r="M21692" s="13"/>
    </row>
    <row r="21693">
      <c r="F21693" s="13"/>
      <c r="M21693" s="13"/>
    </row>
    <row r="21694">
      <c r="F21694" s="13"/>
      <c r="M21694" s="13"/>
    </row>
    <row r="21695">
      <c r="F21695" s="13"/>
      <c r="M21695" s="13"/>
    </row>
    <row r="21696">
      <c r="F21696" s="13"/>
      <c r="M21696" s="13"/>
    </row>
    <row r="21697">
      <c r="F21697" s="13"/>
      <c r="M21697" s="13"/>
    </row>
    <row r="21698">
      <c r="F21698" s="13"/>
      <c r="M21698" s="13"/>
    </row>
    <row r="21699">
      <c r="F21699" s="13"/>
      <c r="M21699" s="13"/>
    </row>
    <row r="21700">
      <c r="F21700" s="13"/>
      <c r="M21700" s="13"/>
    </row>
    <row r="21701">
      <c r="F21701" s="13"/>
      <c r="M21701" s="13"/>
    </row>
    <row r="21702">
      <c r="F21702" s="13"/>
      <c r="M21702" s="13"/>
    </row>
    <row r="21703">
      <c r="F21703" s="13"/>
      <c r="M21703" s="13"/>
    </row>
    <row r="21704">
      <c r="F21704" s="13"/>
      <c r="M21704" s="13"/>
    </row>
    <row r="21705">
      <c r="F21705" s="13"/>
      <c r="M21705" s="13"/>
    </row>
    <row r="21706">
      <c r="F21706" s="13"/>
      <c r="M21706" s="13"/>
    </row>
    <row r="21707">
      <c r="F21707" s="13"/>
      <c r="M21707" s="13"/>
    </row>
    <row r="21708">
      <c r="F21708" s="13"/>
      <c r="M21708" s="13"/>
    </row>
    <row r="21709">
      <c r="F21709" s="13"/>
      <c r="M21709" s="13"/>
    </row>
    <row r="21710">
      <c r="F21710" s="13"/>
      <c r="M21710" s="13"/>
    </row>
    <row r="21711">
      <c r="F21711" s="13"/>
      <c r="M21711" s="13"/>
    </row>
    <row r="21712">
      <c r="F21712" s="13"/>
      <c r="M21712" s="13"/>
    </row>
    <row r="21713">
      <c r="F21713" s="13"/>
      <c r="M21713" s="13"/>
    </row>
    <row r="21714">
      <c r="F21714" s="13"/>
      <c r="M21714" s="13"/>
    </row>
    <row r="21715">
      <c r="F21715" s="13"/>
      <c r="M21715" s="13"/>
    </row>
    <row r="21716">
      <c r="F21716" s="13"/>
      <c r="M21716" s="13"/>
    </row>
    <row r="21717">
      <c r="F21717" s="13"/>
      <c r="M21717" s="13"/>
    </row>
    <row r="21718">
      <c r="F21718" s="13"/>
      <c r="M21718" s="13"/>
    </row>
    <row r="21719">
      <c r="F21719" s="13"/>
      <c r="M21719" s="13"/>
    </row>
    <row r="21720">
      <c r="F21720" s="13"/>
      <c r="M21720" s="13"/>
    </row>
    <row r="21721">
      <c r="F21721" s="13"/>
      <c r="M21721" s="13"/>
    </row>
    <row r="21722">
      <c r="F21722" s="13"/>
      <c r="M21722" s="13"/>
    </row>
    <row r="21723">
      <c r="F21723" s="13"/>
      <c r="M21723" s="13"/>
    </row>
    <row r="21724">
      <c r="F21724" s="13"/>
      <c r="M21724" s="13"/>
    </row>
    <row r="21725">
      <c r="F21725" s="13"/>
      <c r="M21725" s="13"/>
    </row>
    <row r="21726">
      <c r="F21726" s="13"/>
      <c r="M21726" s="13"/>
    </row>
    <row r="21727">
      <c r="F21727" s="13"/>
      <c r="M21727" s="13"/>
    </row>
    <row r="21728">
      <c r="F21728" s="13"/>
      <c r="M21728" s="13"/>
    </row>
    <row r="21729">
      <c r="F21729" s="13"/>
      <c r="M21729" s="13"/>
    </row>
    <row r="21730">
      <c r="F21730" s="13"/>
      <c r="M21730" s="13"/>
    </row>
    <row r="21731">
      <c r="F21731" s="13"/>
      <c r="M21731" s="13"/>
    </row>
    <row r="21732">
      <c r="F21732" s="13"/>
      <c r="M21732" s="13"/>
    </row>
    <row r="21733">
      <c r="F21733" s="13"/>
      <c r="M21733" s="13"/>
    </row>
    <row r="21734">
      <c r="F21734" s="13"/>
      <c r="M21734" s="13"/>
    </row>
    <row r="21735">
      <c r="F21735" s="13"/>
      <c r="M21735" s="13"/>
    </row>
    <row r="21736">
      <c r="F21736" s="13"/>
      <c r="M21736" s="13"/>
    </row>
    <row r="21737">
      <c r="F21737" s="13"/>
      <c r="M21737" s="13"/>
    </row>
    <row r="21738">
      <c r="F21738" s="13"/>
      <c r="M21738" s="13"/>
    </row>
    <row r="21739">
      <c r="F21739" s="13"/>
      <c r="M21739" s="13"/>
    </row>
    <row r="21740">
      <c r="F21740" s="13"/>
      <c r="M21740" s="13"/>
    </row>
    <row r="21741">
      <c r="F21741" s="13"/>
      <c r="M21741" s="13"/>
    </row>
    <row r="21742">
      <c r="F21742" s="13"/>
      <c r="M21742" s="13"/>
    </row>
    <row r="21743">
      <c r="F21743" s="13"/>
      <c r="M21743" s="13"/>
    </row>
    <row r="21744">
      <c r="F21744" s="13"/>
      <c r="M21744" s="13"/>
    </row>
    <row r="21745">
      <c r="F21745" s="13"/>
      <c r="M21745" s="13"/>
    </row>
    <row r="21746">
      <c r="F21746" s="13"/>
      <c r="M21746" s="13"/>
    </row>
    <row r="21747">
      <c r="F21747" s="13"/>
      <c r="M21747" s="13"/>
    </row>
    <row r="21748">
      <c r="F21748" s="13"/>
      <c r="M21748" s="13"/>
    </row>
    <row r="21749">
      <c r="F21749" s="13"/>
      <c r="M21749" s="13"/>
    </row>
    <row r="21750">
      <c r="F21750" s="13"/>
      <c r="M21750" s="13"/>
    </row>
    <row r="21751">
      <c r="F21751" s="13"/>
      <c r="M21751" s="13"/>
    </row>
    <row r="21752">
      <c r="F21752" s="13"/>
      <c r="M21752" s="13"/>
    </row>
    <row r="21753">
      <c r="F21753" s="13"/>
      <c r="M21753" s="13"/>
    </row>
    <row r="21754">
      <c r="F21754" s="13"/>
      <c r="M21754" s="13"/>
    </row>
    <row r="21755">
      <c r="F21755" s="13"/>
      <c r="M21755" s="13"/>
    </row>
    <row r="21756">
      <c r="F21756" s="13"/>
      <c r="M21756" s="13"/>
    </row>
    <row r="21757">
      <c r="F21757" s="13"/>
      <c r="M21757" s="13"/>
    </row>
    <row r="21758">
      <c r="F21758" s="13"/>
      <c r="M21758" s="13"/>
    </row>
    <row r="21759">
      <c r="F21759" s="13"/>
      <c r="M21759" s="13"/>
    </row>
    <row r="21760">
      <c r="F21760" s="13"/>
      <c r="M21760" s="13"/>
    </row>
    <row r="21761">
      <c r="F21761" s="13"/>
      <c r="M21761" s="13"/>
    </row>
    <row r="21762">
      <c r="F21762" s="13"/>
      <c r="M21762" s="13"/>
    </row>
    <row r="21763">
      <c r="F21763" s="13"/>
      <c r="M21763" s="13"/>
    </row>
    <row r="21764">
      <c r="F21764" s="13"/>
      <c r="M21764" s="13"/>
    </row>
    <row r="21765">
      <c r="F21765" s="13"/>
      <c r="M21765" s="13"/>
    </row>
    <row r="21766">
      <c r="F21766" s="13"/>
      <c r="M21766" s="13"/>
    </row>
    <row r="21767">
      <c r="F21767" s="13"/>
      <c r="M21767" s="13"/>
    </row>
    <row r="21768">
      <c r="F21768" s="13"/>
      <c r="M21768" s="13"/>
    </row>
    <row r="21769">
      <c r="F21769" s="13"/>
      <c r="M21769" s="13"/>
    </row>
    <row r="21770">
      <c r="F21770" s="13"/>
      <c r="M21770" s="13"/>
    </row>
    <row r="21771">
      <c r="F21771" s="13"/>
      <c r="M21771" s="13"/>
    </row>
    <row r="21772">
      <c r="F21772" s="13"/>
      <c r="M21772" s="13"/>
    </row>
    <row r="21773">
      <c r="F21773" s="13"/>
      <c r="M21773" s="13"/>
    </row>
    <row r="21774">
      <c r="F21774" s="13"/>
      <c r="M21774" s="13"/>
    </row>
    <row r="21775">
      <c r="F21775" s="13"/>
      <c r="M21775" s="13"/>
    </row>
    <row r="21776">
      <c r="F21776" s="13"/>
      <c r="M21776" s="13"/>
    </row>
    <row r="21777">
      <c r="F21777" s="13"/>
      <c r="M21777" s="13"/>
    </row>
    <row r="21778">
      <c r="F21778" s="13"/>
      <c r="M21778" s="13"/>
    </row>
    <row r="21779">
      <c r="F21779" s="13"/>
      <c r="M21779" s="13"/>
    </row>
    <row r="21780">
      <c r="F21780" s="13"/>
      <c r="M21780" s="13"/>
    </row>
    <row r="21781">
      <c r="F21781" s="13"/>
      <c r="M21781" s="13"/>
    </row>
    <row r="21782">
      <c r="F21782" s="13"/>
      <c r="M21782" s="13"/>
    </row>
    <row r="21783">
      <c r="F21783" s="13"/>
      <c r="M21783" s="13"/>
    </row>
    <row r="21784">
      <c r="F21784" s="13"/>
      <c r="M21784" s="13"/>
    </row>
    <row r="21785">
      <c r="F21785" s="13"/>
      <c r="M21785" s="13"/>
    </row>
    <row r="21786">
      <c r="F21786" s="13"/>
      <c r="M21786" s="13"/>
    </row>
    <row r="21787">
      <c r="F21787" s="13"/>
      <c r="M21787" s="13"/>
    </row>
    <row r="21788">
      <c r="F21788" s="13"/>
      <c r="M21788" s="13"/>
    </row>
    <row r="21789">
      <c r="F21789" s="13"/>
      <c r="M21789" s="13"/>
    </row>
    <row r="21790">
      <c r="F21790" s="13"/>
      <c r="M21790" s="13"/>
    </row>
    <row r="21791">
      <c r="F21791" s="13"/>
      <c r="M21791" s="13"/>
    </row>
    <row r="21792">
      <c r="F21792" s="13"/>
      <c r="M21792" s="13"/>
    </row>
    <row r="21793">
      <c r="F21793" s="13"/>
      <c r="M21793" s="13"/>
    </row>
    <row r="21794">
      <c r="F21794" s="13"/>
      <c r="M21794" s="13"/>
    </row>
    <row r="21795">
      <c r="F21795" s="13"/>
      <c r="M21795" s="13"/>
    </row>
    <row r="21796">
      <c r="F21796" s="13"/>
      <c r="M21796" s="13"/>
    </row>
    <row r="21797">
      <c r="F21797" s="13"/>
      <c r="M21797" s="13"/>
    </row>
    <row r="21798">
      <c r="F21798" s="13"/>
      <c r="M21798" s="13"/>
    </row>
    <row r="21799">
      <c r="F21799" s="13"/>
      <c r="M21799" s="13"/>
    </row>
    <row r="21800">
      <c r="F21800" s="13"/>
      <c r="M21800" s="13"/>
    </row>
    <row r="21801">
      <c r="F21801" s="13"/>
      <c r="M21801" s="13"/>
    </row>
    <row r="21802">
      <c r="F21802" s="13"/>
      <c r="M21802" s="13"/>
    </row>
    <row r="21803">
      <c r="F21803" s="13"/>
      <c r="M21803" s="13"/>
    </row>
    <row r="21804">
      <c r="F21804" s="13"/>
      <c r="M21804" s="13"/>
    </row>
    <row r="21805">
      <c r="F21805" s="13"/>
      <c r="M21805" s="13"/>
    </row>
    <row r="21806">
      <c r="F21806" s="13"/>
      <c r="M21806" s="13"/>
    </row>
    <row r="21807">
      <c r="F21807" s="13"/>
      <c r="M21807" s="13"/>
    </row>
    <row r="21808">
      <c r="F21808" s="13"/>
      <c r="M21808" s="13"/>
    </row>
    <row r="21809">
      <c r="F21809" s="13"/>
      <c r="M21809" s="13"/>
    </row>
    <row r="21810">
      <c r="F21810" s="13"/>
      <c r="M21810" s="13"/>
    </row>
    <row r="21811">
      <c r="F21811" s="13"/>
      <c r="M21811" s="13"/>
    </row>
    <row r="21812">
      <c r="F21812" s="13"/>
      <c r="M21812" s="13"/>
    </row>
    <row r="21813">
      <c r="F21813" s="13"/>
      <c r="M21813" s="13"/>
    </row>
    <row r="21814">
      <c r="F21814" s="13"/>
      <c r="M21814" s="13"/>
    </row>
    <row r="21815">
      <c r="F21815" s="13"/>
      <c r="M21815" s="13"/>
    </row>
    <row r="21816">
      <c r="F21816" s="13"/>
      <c r="M21816" s="13"/>
    </row>
    <row r="21817">
      <c r="F21817" s="13"/>
      <c r="M21817" s="13"/>
    </row>
    <row r="21818">
      <c r="F21818" s="13"/>
      <c r="M21818" s="13"/>
    </row>
    <row r="21819">
      <c r="F21819" s="13"/>
      <c r="M21819" s="13"/>
    </row>
    <row r="21820">
      <c r="F21820" s="13"/>
      <c r="M21820" s="13"/>
    </row>
    <row r="21821">
      <c r="F21821" s="13"/>
      <c r="M21821" s="13"/>
    </row>
    <row r="21822">
      <c r="F21822" s="13"/>
      <c r="M21822" s="13"/>
    </row>
    <row r="21823">
      <c r="F21823" s="13"/>
      <c r="M21823" s="13"/>
    </row>
    <row r="21824">
      <c r="F21824" s="13"/>
      <c r="M21824" s="13"/>
    </row>
    <row r="21825">
      <c r="F21825" s="13"/>
      <c r="M21825" s="13"/>
    </row>
    <row r="21826">
      <c r="F21826" s="13"/>
      <c r="M21826" s="13"/>
    </row>
    <row r="21827">
      <c r="F21827" s="13"/>
      <c r="M21827" s="13"/>
    </row>
    <row r="21828">
      <c r="F21828" s="13"/>
      <c r="M21828" s="13"/>
    </row>
    <row r="21829">
      <c r="F21829" s="13"/>
      <c r="M21829" s="13"/>
    </row>
    <row r="21830">
      <c r="F21830" s="13"/>
      <c r="M21830" s="13"/>
    </row>
    <row r="21831">
      <c r="F21831" s="13"/>
      <c r="M21831" s="13"/>
    </row>
    <row r="21832">
      <c r="F21832" s="13"/>
      <c r="M21832" s="13"/>
    </row>
    <row r="21833">
      <c r="F21833" s="13"/>
      <c r="M21833" s="13"/>
    </row>
    <row r="21834">
      <c r="F21834" s="13"/>
      <c r="M21834" s="13"/>
    </row>
    <row r="21835">
      <c r="F21835" s="13"/>
      <c r="M21835" s="13"/>
    </row>
    <row r="21836">
      <c r="F21836" s="13"/>
      <c r="M21836" s="13"/>
    </row>
    <row r="21837">
      <c r="F21837" s="13"/>
      <c r="M21837" s="13"/>
    </row>
    <row r="21838">
      <c r="F21838" s="13"/>
      <c r="M21838" s="13"/>
    </row>
    <row r="21839">
      <c r="F21839" s="13"/>
      <c r="M21839" s="13"/>
    </row>
    <row r="21840">
      <c r="F21840" s="13"/>
      <c r="M21840" s="13"/>
    </row>
    <row r="21841">
      <c r="F21841" s="13"/>
      <c r="M21841" s="13"/>
    </row>
    <row r="21842">
      <c r="F21842" s="13"/>
      <c r="M21842" s="13"/>
    </row>
    <row r="21843">
      <c r="F21843" s="13"/>
      <c r="M21843" s="13"/>
    </row>
    <row r="21844">
      <c r="F21844" s="13"/>
      <c r="M21844" s="13"/>
    </row>
    <row r="21845">
      <c r="F21845" s="13"/>
      <c r="M21845" s="13"/>
    </row>
    <row r="21846">
      <c r="F21846" s="13"/>
      <c r="M21846" s="13"/>
    </row>
    <row r="21847">
      <c r="F21847" s="13"/>
      <c r="M21847" s="13"/>
    </row>
    <row r="21848">
      <c r="F21848" s="13"/>
      <c r="M21848" s="13"/>
    </row>
    <row r="21849">
      <c r="F21849" s="13"/>
      <c r="M21849" s="13"/>
    </row>
    <row r="21850">
      <c r="F21850" s="13"/>
      <c r="M21850" s="13"/>
    </row>
    <row r="21851">
      <c r="F21851" s="13"/>
      <c r="M21851" s="13"/>
    </row>
    <row r="21852">
      <c r="F21852" s="13"/>
      <c r="M21852" s="13"/>
    </row>
    <row r="21853">
      <c r="F21853" s="13"/>
      <c r="M21853" s="13"/>
    </row>
    <row r="21854">
      <c r="F21854" s="13"/>
      <c r="M21854" s="13"/>
    </row>
    <row r="21855">
      <c r="F21855" s="13"/>
      <c r="M21855" s="13"/>
    </row>
    <row r="21856">
      <c r="F21856" s="13"/>
      <c r="M21856" s="13"/>
    </row>
    <row r="21857">
      <c r="F21857" s="13"/>
      <c r="M21857" s="13"/>
    </row>
    <row r="21858">
      <c r="F21858" s="13"/>
      <c r="M21858" s="13"/>
    </row>
    <row r="21859">
      <c r="F21859" s="13"/>
      <c r="M21859" s="13"/>
    </row>
    <row r="21860">
      <c r="F21860" s="13"/>
      <c r="M21860" s="13"/>
    </row>
    <row r="21861">
      <c r="F21861" s="13"/>
      <c r="M21861" s="13"/>
    </row>
    <row r="21862">
      <c r="F21862" s="13"/>
      <c r="M21862" s="13"/>
    </row>
    <row r="21863">
      <c r="F21863" s="13"/>
      <c r="M21863" s="13"/>
    </row>
    <row r="21864">
      <c r="F21864" s="13"/>
      <c r="M21864" s="13"/>
    </row>
    <row r="21865">
      <c r="F21865" s="13"/>
      <c r="M21865" s="13"/>
    </row>
    <row r="21866">
      <c r="F21866" s="13"/>
      <c r="M21866" s="13"/>
    </row>
    <row r="21867">
      <c r="F21867" s="13"/>
      <c r="M21867" s="13"/>
    </row>
    <row r="21868">
      <c r="F21868" s="13"/>
      <c r="M21868" s="13"/>
    </row>
    <row r="21869">
      <c r="F21869" s="13"/>
      <c r="M21869" s="13"/>
    </row>
    <row r="21870">
      <c r="F21870" s="13"/>
      <c r="M21870" s="13"/>
    </row>
    <row r="21871">
      <c r="F21871" s="13"/>
      <c r="M21871" s="13"/>
    </row>
    <row r="21872">
      <c r="F21872" s="13"/>
      <c r="M21872" s="13"/>
    </row>
    <row r="21873">
      <c r="F21873" s="13"/>
      <c r="M21873" s="13"/>
    </row>
    <row r="21874">
      <c r="F21874" s="13"/>
      <c r="M21874" s="13"/>
    </row>
    <row r="21875">
      <c r="F21875" s="13"/>
      <c r="M21875" s="13"/>
    </row>
    <row r="21876">
      <c r="F21876" s="13"/>
      <c r="M21876" s="13"/>
    </row>
    <row r="21877">
      <c r="F21877" s="13"/>
      <c r="M21877" s="13"/>
    </row>
    <row r="21878">
      <c r="F21878" s="13"/>
      <c r="M21878" s="13"/>
    </row>
    <row r="21879">
      <c r="F21879" s="13"/>
      <c r="M21879" s="13"/>
    </row>
    <row r="21880">
      <c r="F21880" s="13"/>
      <c r="M21880" s="13"/>
    </row>
    <row r="21881">
      <c r="F21881" s="13"/>
      <c r="M21881" s="13"/>
    </row>
    <row r="21882">
      <c r="F21882" s="13"/>
      <c r="M21882" s="13"/>
    </row>
    <row r="21883">
      <c r="F21883" s="13"/>
      <c r="M21883" s="13"/>
    </row>
    <row r="21884">
      <c r="F21884" s="13"/>
      <c r="M21884" s="13"/>
    </row>
    <row r="21885">
      <c r="F21885" s="13"/>
      <c r="M21885" s="13"/>
    </row>
    <row r="21886">
      <c r="F21886" s="13"/>
      <c r="M21886" s="13"/>
    </row>
    <row r="21887">
      <c r="F21887" s="13"/>
      <c r="M21887" s="13"/>
    </row>
    <row r="21888">
      <c r="F21888" s="13"/>
      <c r="M21888" s="13"/>
    </row>
    <row r="21889">
      <c r="F21889" s="13"/>
      <c r="M21889" s="13"/>
    </row>
    <row r="21890">
      <c r="F21890" s="13"/>
      <c r="M21890" s="13"/>
    </row>
    <row r="21891">
      <c r="F21891" s="13"/>
      <c r="M21891" s="13"/>
    </row>
    <row r="21892">
      <c r="F21892" s="13"/>
      <c r="M21892" s="13"/>
    </row>
    <row r="21893">
      <c r="F21893" s="13"/>
      <c r="M21893" s="13"/>
    </row>
    <row r="21894">
      <c r="F21894" s="13"/>
      <c r="M21894" s="13"/>
    </row>
    <row r="21895">
      <c r="F21895" s="13"/>
      <c r="M21895" s="13"/>
    </row>
    <row r="21896">
      <c r="F21896" s="13"/>
      <c r="M21896" s="13"/>
    </row>
    <row r="21897">
      <c r="F21897" s="13"/>
      <c r="M21897" s="13"/>
    </row>
    <row r="21898">
      <c r="F21898" s="13"/>
      <c r="M21898" s="13"/>
    </row>
    <row r="21899">
      <c r="F21899" s="13"/>
      <c r="M21899" s="13"/>
    </row>
    <row r="21900">
      <c r="F21900" s="13"/>
      <c r="M21900" s="13"/>
    </row>
    <row r="21901">
      <c r="F21901" s="13"/>
      <c r="M21901" s="13"/>
    </row>
    <row r="21902">
      <c r="F21902" s="13"/>
      <c r="M21902" s="13"/>
    </row>
    <row r="21903">
      <c r="F21903" s="13"/>
      <c r="M21903" s="13"/>
    </row>
    <row r="21904">
      <c r="F21904" s="13"/>
      <c r="M21904" s="13"/>
    </row>
    <row r="21905">
      <c r="F21905" s="13"/>
      <c r="M21905" s="13"/>
    </row>
    <row r="21906">
      <c r="F21906" s="13"/>
      <c r="M21906" s="13"/>
    </row>
    <row r="21907">
      <c r="F21907" s="13"/>
      <c r="M21907" s="13"/>
    </row>
    <row r="21908">
      <c r="F21908" s="13"/>
      <c r="M21908" s="13"/>
    </row>
    <row r="21909">
      <c r="F21909" s="13"/>
      <c r="M21909" s="13"/>
    </row>
    <row r="21910">
      <c r="F21910" s="13"/>
      <c r="M21910" s="13"/>
    </row>
    <row r="21911">
      <c r="F21911" s="13"/>
      <c r="M21911" s="13"/>
    </row>
    <row r="21912">
      <c r="F21912" s="13"/>
      <c r="M21912" s="13"/>
    </row>
    <row r="21913">
      <c r="F21913" s="13"/>
      <c r="M21913" s="13"/>
    </row>
    <row r="21914">
      <c r="F21914" s="13"/>
      <c r="M21914" s="13"/>
    </row>
    <row r="21915">
      <c r="F21915" s="13"/>
      <c r="M21915" s="13"/>
    </row>
    <row r="21916">
      <c r="F21916" s="13"/>
      <c r="M21916" s="13"/>
    </row>
    <row r="21917">
      <c r="F21917" s="13"/>
      <c r="M21917" s="13"/>
    </row>
    <row r="21918">
      <c r="F21918" s="13"/>
      <c r="M21918" s="13"/>
    </row>
    <row r="21919">
      <c r="F21919" s="13"/>
      <c r="M21919" s="13"/>
    </row>
    <row r="21920">
      <c r="F21920" s="13"/>
      <c r="M21920" s="13"/>
    </row>
    <row r="21921">
      <c r="F21921" s="13"/>
      <c r="M21921" s="13"/>
    </row>
    <row r="21922">
      <c r="F21922" s="13"/>
      <c r="M21922" s="13"/>
    </row>
    <row r="21923">
      <c r="F21923" s="13"/>
      <c r="M21923" s="13"/>
    </row>
    <row r="21924">
      <c r="F21924" s="13"/>
      <c r="M21924" s="13"/>
    </row>
    <row r="21925">
      <c r="F21925" s="13"/>
      <c r="M21925" s="13"/>
    </row>
    <row r="21926">
      <c r="F21926" s="13"/>
      <c r="M21926" s="13"/>
    </row>
    <row r="21927">
      <c r="F21927" s="13"/>
      <c r="M21927" s="13"/>
    </row>
    <row r="21928">
      <c r="F21928" s="13"/>
      <c r="M21928" s="13"/>
    </row>
    <row r="21929">
      <c r="F21929" s="13"/>
      <c r="M21929" s="13"/>
    </row>
    <row r="21930">
      <c r="F21930" s="13"/>
      <c r="M21930" s="13"/>
    </row>
    <row r="21931">
      <c r="F21931" s="13"/>
      <c r="M21931" s="13"/>
    </row>
    <row r="21932">
      <c r="F21932" s="13"/>
      <c r="M21932" s="13"/>
    </row>
    <row r="21933">
      <c r="F21933" s="13"/>
      <c r="M21933" s="13"/>
    </row>
    <row r="21934">
      <c r="F21934" s="13"/>
      <c r="M21934" s="13"/>
    </row>
    <row r="21935">
      <c r="F21935" s="13"/>
      <c r="M21935" s="13"/>
    </row>
    <row r="21936">
      <c r="F21936" s="13"/>
      <c r="M21936" s="13"/>
    </row>
    <row r="21937">
      <c r="F21937" s="13"/>
      <c r="M21937" s="13"/>
    </row>
    <row r="21938">
      <c r="F21938" s="13"/>
      <c r="M21938" s="13"/>
    </row>
    <row r="21939">
      <c r="F21939" s="13"/>
      <c r="M21939" s="13"/>
    </row>
    <row r="21940">
      <c r="F21940" s="13"/>
      <c r="M21940" s="13"/>
    </row>
    <row r="21941">
      <c r="F21941" s="13"/>
      <c r="M21941" s="13"/>
    </row>
    <row r="21942">
      <c r="F21942" s="13"/>
      <c r="M21942" s="13"/>
    </row>
    <row r="21943">
      <c r="F21943" s="13"/>
      <c r="M21943" s="13"/>
    </row>
    <row r="21944">
      <c r="F21944" s="13"/>
      <c r="M21944" s="13"/>
    </row>
    <row r="21945">
      <c r="F21945" s="13"/>
      <c r="M21945" s="13"/>
    </row>
    <row r="21946">
      <c r="F21946" s="13"/>
      <c r="M21946" s="13"/>
    </row>
    <row r="21947">
      <c r="F21947" s="13"/>
      <c r="M21947" s="13"/>
    </row>
    <row r="21948">
      <c r="F21948" s="13"/>
      <c r="M21948" s="13"/>
    </row>
    <row r="21949">
      <c r="F21949" s="13"/>
      <c r="M21949" s="13"/>
    </row>
    <row r="21950">
      <c r="F21950" s="13"/>
      <c r="M21950" s="13"/>
    </row>
    <row r="21951">
      <c r="F21951" s="13"/>
      <c r="M21951" s="13"/>
    </row>
    <row r="21952">
      <c r="F21952" s="13"/>
      <c r="M21952" s="13"/>
    </row>
    <row r="21953">
      <c r="F21953" s="13"/>
      <c r="M21953" s="13"/>
    </row>
    <row r="21954">
      <c r="F21954" s="13"/>
      <c r="M21954" s="13"/>
    </row>
    <row r="21955">
      <c r="F21955" s="13"/>
      <c r="M21955" s="13"/>
    </row>
    <row r="21956">
      <c r="F21956" s="13"/>
      <c r="M21956" s="13"/>
    </row>
    <row r="21957">
      <c r="F21957" s="13"/>
      <c r="M21957" s="13"/>
    </row>
    <row r="21958">
      <c r="F21958" s="13"/>
      <c r="M21958" s="13"/>
    </row>
    <row r="21959">
      <c r="F21959" s="13"/>
      <c r="M21959" s="13"/>
    </row>
    <row r="21960">
      <c r="F21960" s="13"/>
      <c r="M21960" s="13"/>
    </row>
    <row r="21961">
      <c r="F21961" s="13"/>
      <c r="M21961" s="13"/>
    </row>
    <row r="21962">
      <c r="F21962" s="13"/>
      <c r="M21962" s="13"/>
    </row>
    <row r="21963">
      <c r="F21963" s="13"/>
      <c r="M21963" s="13"/>
    </row>
    <row r="21964">
      <c r="F21964" s="13"/>
      <c r="M21964" s="13"/>
    </row>
    <row r="21965">
      <c r="F21965" s="13"/>
      <c r="M21965" s="13"/>
    </row>
    <row r="21966">
      <c r="F21966" s="13"/>
      <c r="M21966" s="13"/>
    </row>
    <row r="21967">
      <c r="F21967" s="13"/>
      <c r="M21967" s="13"/>
    </row>
    <row r="21968">
      <c r="F21968" s="13"/>
      <c r="M21968" s="13"/>
    </row>
    <row r="21969">
      <c r="F21969" s="13"/>
      <c r="M21969" s="13"/>
    </row>
    <row r="21970">
      <c r="F21970" s="13"/>
      <c r="M21970" s="13"/>
    </row>
    <row r="21971">
      <c r="F21971" s="13"/>
      <c r="M21971" s="13"/>
    </row>
    <row r="21972">
      <c r="F21972" s="13"/>
      <c r="M21972" s="13"/>
    </row>
    <row r="21973">
      <c r="F21973" s="13"/>
      <c r="M21973" s="13"/>
    </row>
    <row r="21974">
      <c r="F21974" s="13"/>
      <c r="M21974" s="13"/>
    </row>
    <row r="21975">
      <c r="F21975" s="13"/>
      <c r="M21975" s="13"/>
    </row>
    <row r="21976">
      <c r="F21976" s="13"/>
      <c r="M21976" s="13"/>
    </row>
    <row r="21977">
      <c r="F21977" s="13"/>
      <c r="M21977" s="13"/>
    </row>
    <row r="21978">
      <c r="F21978" s="13"/>
      <c r="M21978" s="13"/>
    </row>
    <row r="21979">
      <c r="F21979" s="13"/>
      <c r="M21979" s="13"/>
    </row>
    <row r="21980">
      <c r="F21980" s="13"/>
      <c r="M21980" s="13"/>
    </row>
    <row r="21981">
      <c r="F21981" s="13"/>
      <c r="M21981" s="13"/>
    </row>
    <row r="21982">
      <c r="F21982" s="13"/>
      <c r="M21982" s="13"/>
    </row>
    <row r="21983">
      <c r="F21983" s="13"/>
      <c r="M21983" s="13"/>
    </row>
    <row r="21984">
      <c r="F21984" s="13"/>
      <c r="M21984" s="13"/>
    </row>
    <row r="21985">
      <c r="F21985" s="13"/>
      <c r="M21985" s="13"/>
    </row>
    <row r="21986">
      <c r="F21986" s="13"/>
      <c r="M21986" s="13"/>
    </row>
    <row r="21987">
      <c r="F21987" s="13"/>
      <c r="M21987" s="13"/>
    </row>
    <row r="21988">
      <c r="F21988" s="13"/>
      <c r="M21988" s="13"/>
    </row>
    <row r="21989">
      <c r="F21989" s="13"/>
      <c r="M21989" s="13"/>
    </row>
    <row r="21990">
      <c r="F21990" s="13"/>
      <c r="M21990" s="13"/>
    </row>
    <row r="21991">
      <c r="F21991" s="13"/>
      <c r="M21991" s="13"/>
    </row>
    <row r="21992">
      <c r="F21992" s="13"/>
      <c r="M21992" s="13"/>
    </row>
    <row r="21993">
      <c r="F21993" s="13"/>
      <c r="M21993" s="13"/>
    </row>
    <row r="21994">
      <c r="F21994" s="13"/>
      <c r="M21994" s="13"/>
    </row>
    <row r="21995">
      <c r="F21995" s="13"/>
      <c r="M21995" s="13"/>
    </row>
    <row r="21996">
      <c r="F21996" s="13"/>
      <c r="M21996" s="13"/>
    </row>
    <row r="21997">
      <c r="F21997" s="13"/>
      <c r="M21997" s="13"/>
    </row>
    <row r="21998">
      <c r="F21998" s="13"/>
      <c r="M21998" s="13"/>
    </row>
    <row r="21999">
      <c r="F21999" s="13"/>
      <c r="M21999" s="13"/>
    </row>
    <row r="22000">
      <c r="F22000" s="13"/>
      <c r="M22000" s="13"/>
    </row>
    <row r="22001">
      <c r="F22001" s="13"/>
      <c r="M22001" s="13"/>
    </row>
    <row r="22002">
      <c r="F22002" s="13"/>
      <c r="M22002" s="13"/>
    </row>
    <row r="22003">
      <c r="F22003" s="13"/>
      <c r="M22003" s="13"/>
    </row>
    <row r="22004">
      <c r="F22004" s="13"/>
      <c r="M22004" s="13"/>
    </row>
    <row r="22005">
      <c r="F22005" s="13"/>
      <c r="M22005" s="13"/>
    </row>
    <row r="22006">
      <c r="F22006" s="13"/>
      <c r="M22006" s="13"/>
    </row>
    <row r="22007">
      <c r="F22007" s="13"/>
      <c r="M22007" s="13"/>
    </row>
    <row r="22008">
      <c r="F22008" s="13"/>
      <c r="M22008" s="13"/>
    </row>
    <row r="22009">
      <c r="F22009" s="13"/>
      <c r="M22009" s="13"/>
    </row>
    <row r="22010">
      <c r="F22010" s="13"/>
      <c r="M22010" s="13"/>
    </row>
    <row r="22011">
      <c r="F22011" s="13"/>
      <c r="M22011" s="13"/>
    </row>
    <row r="22012">
      <c r="F22012" s="13"/>
      <c r="M22012" s="13"/>
    </row>
    <row r="22013">
      <c r="F22013" s="13"/>
      <c r="M22013" s="13"/>
    </row>
    <row r="22014">
      <c r="F22014" s="13"/>
      <c r="M22014" s="13"/>
    </row>
    <row r="22015">
      <c r="F22015" s="13"/>
      <c r="M22015" s="13"/>
    </row>
    <row r="22016">
      <c r="F22016" s="13"/>
      <c r="M22016" s="13"/>
    </row>
    <row r="22017">
      <c r="F22017" s="13"/>
      <c r="M22017" s="13"/>
    </row>
    <row r="22018">
      <c r="F22018" s="13"/>
      <c r="M22018" s="13"/>
    </row>
    <row r="22019">
      <c r="F22019" s="13"/>
      <c r="M22019" s="13"/>
    </row>
    <row r="22020">
      <c r="F22020" s="13"/>
      <c r="M22020" s="13"/>
    </row>
    <row r="22021">
      <c r="F22021" s="13"/>
      <c r="M22021" s="13"/>
    </row>
    <row r="22022">
      <c r="F22022" s="13"/>
      <c r="M22022" s="13"/>
    </row>
    <row r="22023">
      <c r="F22023" s="13"/>
      <c r="M22023" s="13"/>
    </row>
    <row r="22024">
      <c r="F22024" s="13"/>
      <c r="M22024" s="13"/>
    </row>
    <row r="22025">
      <c r="F22025" s="13"/>
      <c r="M22025" s="13"/>
    </row>
    <row r="22026">
      <c r="F22026" s="13"/>
      <c r="M22026" s="13"/>
    </row>
    <row r="22027">
      <c r="F22027" s="13"/>
      <c r="M22027" s="13"/>
    </row>
    <row r="22028">
      <c r="F22028" s="13"/>
      <c r="M22028" s="13"/>
    </row>
    <row r="22029">
      <c r="F22029" s="13"/>
      <c r="M22029" s="13"/>
    </row>
    <row r="22030">
      <c r="F22030" s="13"/>
      <c r="M22030" s="13"/>
    </row>
    <row r="22031">
      <c r="F22031" s="13"/>
      <c r="M22031" s="13"/>
    </row>
    <row r="22032">
      <c r="F22032" s="13"/>
      <c r="M22032" s="13"/>
    </row>
    <row r="22033">
      <c r="F22033" s="13"/>
      <c r="M22033" s="13"/>
    </row>
    <row r="22034">
      <c r="F22034" s="13"/>
      <c r="M22034" s="13"/>
    </row>
    <row r="22035">
      <c r="F22035" s="13"/>
      <c r="M22035" s="13"/>
    </row>
    <row r="22036">
      <c r="F22036" s="13"/>
      <c r="M22036" s="13"/>
    </row>
    <row r="22037">
      <c r="F22037" s="13"/>
      <c r="M22037" s="13"/>
    </row>
    <row r="22038">
      <c r="F22038" s="13"/>
      <c r="M22038" s="13"/>
    </row>
    <row r="22039">
      <c r="F22039" s="13"/>
      <c r="M22039" s="13"/>
    </row>
    <row r="22040">
      <c r="F22040" s="13"/>
      <c r="M22040" s="13"/>
    </row>
    <row r="22041">
      <c r="F22041" s="13"/>
      <c r="M22041" s="13"/>
    </row>
    <row r="22042">
      <c r="F22042" s="13"/>
      <c r="M22042" s="13"/>
    </row>
    <row r="22043">
      <c r="F22043" s="13"/>
      <c r="M22043" s="13"/>
    </row>
    <row r="22044">
      <c r="F22044" s="13"/>
      <c r="M22044" s="13"/>
    </row>
    <row r="22045">
      <c r="F22045" s="13"/>
      <c r="M22045" s="13"/>
    </row>
    <row r="22046">
      <c r="F22046" s="13"/>
      <c r="M22046" s="13"/>
    </row>
    <row r="22047">
      <c r="F22047" s="13"/>
      <c r="M22047" s="13"/>
    </row>
    <row r="22048">
      <c r="F22048" s="13"/>
      <c r="M22048" s="13"/>
    </row>
    <row r="22049">
      <c r="F22049" s="13"/>
      <c r="M22049" s="13"/>
    </row>
    <row r="22050">
      <c r="F22050" s="13"/>
      <c r="M22050" s="13"/>
    </row>
    <row r="22051">
      <c r="F22051" s="13"/>
      <c r="M22051" s="13"/>
    </row>
    <row r="22052">
      <c r="F22052" s="13"/>
      <c r="M22052" s="13"/>
    </row>
    <row r="22053">
      <c r="F22053" s="13"/>
      <c r="M22053" s="13"/>
    </row>
    <row r="22054">
      <c r="F22054" s="13"/>
      <c r="M22054" s="13"/>
    </row>
    <row r="22055">
      <c r="F22055" s="13"/>
      <c r="M22055" s="13"/>
    </row>
    <row r="22056">
      <c r="F22056" s="13"/>
      <c r="M22056" s="13"/>
    </row>
    <row r="22057">
      <c r="F22057" s="13"/>
      <c r="M22057" s="13"/>
    </row>
    <row r="22058">
      <c r="F22058" s="13"/>
      <c r="M22058" s="13"/>
    </row>
    <row r="22059">
      <c r="F22059" s="13"/>
      <c r="M22059" s="13"/>
    </row>
    <row r="22060">
      <c r="F22060" s="13"/>
      <c r="M22060" s="13"/>
    </row>
    <row r="22061">
      <c r="F22061" s="13"/>
      <c r="M22061" s="13"/>
    </row>
    <row r="22062">
      <c r="F22062" s="13"/>
      <c r="M22062" s="13"/>
    </row>
    <row r="22063">
      <c r="F22063" s="13"/>
      <c r="M22063" s="13"/>
    </row>
    <row r="22064">
      <c r="F22064" s="13"/>
      <c r="M22064" s="13"/>
    </row>
    <row r="22065">
      <c r="F22065" s="13"/>
      <c r="M22065" s="13"/>
    </row>
    <row r="22066">
      <c r="F22066" s="13"/>
      <c r="M22066" s="13"/>
    </row>
    <row r="22067">
      <c r="F22067" s="13"/>
      <c r="M22067" s="13"/>
    </row>
    <row r="22068">
      <c r="F22068" s="13"/>
      <c r="M22068" s="13"/>
    </row>
    <row r="22069">
      <c r="F22069" s="13"/>
      <c r="M22069" s="13"/>
    </row>
    <row r="22070">
      <c r="F22070" s="13"/>
      <c r="M22070" s="13"/>
    </row>
    <row r="22071">
      <c r="F22071" s="13"/>
      <c r="M22071" s="13"/>
    </row>
    <row r="22072">
      <c r="F22072" s="13"/>
      <c r="M22072" s="13"/>
    </row>
    <row r="22073">
      <c r="F22073" s="13"/>
      <c r="M22073" s="13"/>
    </row>
    <row r="22074">
      <c r="F22074" s="13"/>
      <c r="M22074" s="13"/>
    </row>
    <row r="22075">
      <c r="F22075" s="13"/>
      <c r="M22075" s="13"/>
    </row>
    <row r="22076">
      <c r="F22076" s="13"/>
      <c r="M22076" s="13"/>
    </row>
    <row r="22077">
      <c r="F22077" s="13"/>
      <c r="M22077" s="13"/>
    </row>
    <row r="22078">
      <c r="F22078" s="13"/>
      <c r="M22078" s="13"/>
    </row>
    <row r="22079">
      <c r="F22079" s="13"/>
      <c r="M22079" s="13"/>
    </row>
    <row r="22080">
      <c r="F22080" s="13"/>
      <c r="M22080" s="13"/>
    </row>
    <row r="22081">
      <c r="F22081" s="13"/>
      <c r="M22081" s="13"/>
    </row>
    <row r="22082">
      <c r="F22082" s="13"/>
      <c r="M22082" s="13"/>
    </row>
    <row r="22083">
      <c r="F22083" s="13"/>
      <c r="M22083" s="13"/>
    </row>
    <row r="22084">
      <c r="F22084" s="13"/>
      <c r="M22084" s="13"/>
    </row>
    <row r="22085">
      <c r="F22085" s="13"/>
      <c r="M22085" s="13"/>
    </row>
    <row r="22086">
      <c r="F22086" s="13"/>
      <c r="M22086" s="13"/>
    </row>
    <row r="22087">
      <c r="F22087" s="13"/>
      <c r="M22087" s="13"/>
    </row>
    <row r="22088">
      <c r="F22088" s="13"/>
      <c r="M22088" s="13"/>
    </row>
    <row r="22089">
      <c r="F22089" s="13"/>
      <c r="M22089" s="13"/>
    </row>
    <row r="22090">
      <c r="F22090" s="13"/>
      <c r="M22090" s="13"/>
    </row>
    <row r="22091">
      <c r="F22091" s="13"/>
      <c r="M22091" s="13"/>
    </row>
    <row r="22092">
      <c r="F22092" s="13"/>
      <c r="M22092" s="13"/>
    </row>
    <row r="22093">
      <c r="F22093" s="13"/>
      <c r="M22093" s="13"/>
    </row>
    <row r="22094">
      <c r="F22094" s="13"/>
      <c r="M22094" s="13"/>
    </row>
    <row r="22095">
      <c r="F22095" s="13"/>
      <c r="M22095" s="13"/>
    </row>
    <row r="22096">
      <c r="F22096" s="13"/>
      <c r="M22096" s="13"/>
    </row>
    <row r="22097">
      <c r="F22097" s="13"/>
      <c r="M22097" s="13"/>
    </row>
    <row r="22098">
      <c r="F22098" s="13"/>
      <c r="M22098" s="13"/>
    </row>
    <row r="22099">
      <c r="F22099" s="13"/>
      <c r="M22099" s="13"/>
    </row>
    <row r="22100">
      <c r="F22100" s="13"/>
      <c r="M22100" s="13"/>
    </row>
    <row r="22101">
      <c r="F22101" s="13"/>
      <c r="M22101" s="13"/>
    </row>
    <row r="22102">
      <c r="F22102" s="13"/>
      <c r="M22102" s="13"/>
    </row>
    <row r="22103">
      <c r="F22103" s="13"/>
      <c r="M22103" s="13"/>
    </row>
    <row r="22104">
      <c r="F22104" s="13"/>
      <c r="M22104" s="13"/>
    </row>
    <row r="22105">
      <c r="F22105" s="13"/>
      <c r="M22105" s="13"/>
    </row>
    <row r="22106">
      <c r="F22106" s="13"/>
      <c r="M22106" s="13"/>
    </row>
    <row r="22107">
      <c r="F22107" s="13"/>
      <c r="M22107" s="13"/>
    </row>
    <row r="22108">
      <c r="F22108" s="13"/>
      <c r="M22108" s="13"/>
    </row>
    <row r="22109">
      <c r="F22109" s="13"/>
      <c r="M22109" s="13"/>
    </row>
    <row r="22110">
      <c r="F22110" s="13"/>
      <c r="M22110" s="13"/>
    </row>
    <row r="22111">
      <c r="F22111" s="13"/>
      <c r="M22111" s="13"/>
    </row>
    <row r="22112">
      <c r="F22112" s="13"/>
      <c r="M22112" s="13"/>
    </row>
    <row r="22113">
      <c r="F22113" s="13"/>
      <c r="M22113" s="13"/>
    </row>
    <row r="22114">
      <c r="F22114" s="13"/>
      <c r="M22114" s="13"/>
    </row>
    <row r="22115">
      <c r="F22115" s="13"/>
      <c r="M22115" s="13"/>
    </row>
    <row r="22116">
      <c r="F22116" s="13"/>
      <c r="M22116" s="13"/>
    </row>
    <row r="22117">
      <c r="F22117" s="13"/>
      <c r="M22117" s="13"/>
    </row>
    <row r="22118">
      <c r="F22118" s="13"/>
      <c r="M22118" s="13"/>
    </row>
    <row r="22119">
      <c r="F22119" s="13"/>
      <c r="M22119" s="13"/>
    </row>
    <row r="22120">
      <c r="F22120" s="13"/>
      <c r="M22120" s="13"/>
    </row>
    <row r="22121">
      <c r="F22121" s="13"/>
      <c r="M22121" s="13"/>
    </row>
    <row r="22122">
      <c r="F22122" s="13"/>
      <c r="M22122" s="13"/>
    </row>
    <row r="22123">
      <c r="F22123" s="13"/>
      <c r="M22123" s="13"/>
    </row>
    <row r="22124">
      <c r="F22124" s="13"/>
      <c r="M22124" s="13"/>
    </row>
    <row r="22125">
      <c r="F22125" s="13"/>
      <c r="M22125" s="13"/>
    </row>
    <row r="22126">
      <c r="F22126" s="13"/>
      <c r="M22126" s="13"/>
    </row>
    <row r="22127">
      <c r="F22127" s="13"/>
      <c r="M22127" s="13"/>
    </row>
    <row r="22128">
      <c r="F22128" s="13"/>
      <c r="M22128" s="13"/>
    </row>
    <row r="22129">
      <c r="F22129" s="13"/>
      <c r="M22129" s="13"/>
    </row>
    <row r="22130">
      <c r="F22130" s="13"/>
      <c r="M22130" s="13"/>
    </row>
    <row r="22131">
      <c r="F22131" s="13"/>
      <c r="M22131" s="13"/>
    </row>
    <row r="22132">
      <c r="F22132" s="13"/>
      <c r="M22132" s="13"/>
    </row>
    <row r="22133">
      <c r="F22133" s="13"/>
      <c r="M22133" s="13"/>
    </row>
    <row r="22134">
      <c r="F22134" s="13"/>
      <c r="M22134" s="13"/>
    </row>
    <row r="22135">
      <c r="F22135" s="13"/>
      <c r="M22135" s="13"/>
    </row>
    <row r="22136">
      <c r="F22136" s="13"/>
      <c r="M22136" s="13"/>
    </row>
    <row r="22137">
      <c r="F22137" s="13"/>
      <c r="M22137" s="13"/>
    </row>
    <row r="22138">
      <c r="F22138" s="13"/>
      <c r="M22138" s="13"/>
    </row>
    <row r="22139">
      <c r="F22139" s="13"/>
      <c r="M22139" s="13"/>
    </row>
    <row r="22140">
      <c r="F22140" s="13"/>
      <c r="M22140" s="13"/>
    </row>
    <row r="22141">
      <c r="F22141" s="13"/>
      <c r="M22141" s="13"/>
    </row>
    <row r="22142">
      <c r="F22142" s="13"/>
      <c r="M22142" s="13"/>
    </row>
    <row r="22143">
      <c r="F22143" s="13"/>
      <c r="M22143" s="13"/>
    </row>
    <row r="22144">
      <c r="F22144" s="13"/>
      <c r="M22144" s="13"/>
    </row>
    <row r="22145">
      <c r="F22145" s="13"/>
      <c r="M22145" s="13"/>
    </row>
    <row r="22146">
      <c r="F22146" s="13"/>
      <c r="M22146" s="13"/>
    </row>
    <row r="22147">
      <c r="F22147" s="13"/>
      <c r="M22147" s="13"/>
    </row>
    <row r="22148">
      <c r="F22148" s="13"/>
      <c r="M22148" s="13"/>
    </row>
    <row r="22149">
      <c r="F22149" s="13"/>
      <c r="M22149" s="13"/>
    </row>
    <row r="22150">
      <c r="F22150" s="13"/>
      <c r="M22150" s="13"/>
    </row>
    <row r="22151">
      <c r="F22151" s="13"/>
      <c r="M22151" s="13"/>
    </row>
    <row r="22152">
      <c r="F22152" s="13"/>
      <c r="M22152" s="13"/>
    </row>
    <row r="22153">
      <c r="F22153" s="13"/>
      <c r="M22153" s="13"/>
    </row>
    <row r="22154">
      <c r="F22154" s="13"/>
      <c r="M22154" s="13"/>
    </row>
    <row r="22155">
      <c r="F22155" s="13"/>
      <c r="M22155" s="13"/>
    </row>
    <row r="22156">
      <c r="F22156" s="13"/>
      <c r="M22156" s="13"/>
    </row>
    <row r="22157">
      <c r="F22157" s="13"/>
      <c r="M22157" s="13"/>
    </row>
    <row r="22158">
      <c r="F22158" s="13"/>
      <c r="M22158" s="13"/>
    </row>
    <row r="22159">
      <c r="F22159" s="13"/>
      <c r="M22159" s="13"/>
    </row>
    <row r="22160">
      <c r="F22160" s="13"/>
      <c r="M22160" s="13"/>
    </row>
    <row r="22161">
      <c r="F22161" s="13"/>
      <c r="M22161" s="13"/>
    </row>
    <row r="22162">
      <c r="F22162" s="13"/>
      <c r="M22162" s="13"/>
    </row>
    <row r="22163">
      <c r="F22163" s="13"/>
      <c r="M22163" s="13"/>
    </row>
    <row r="22164">
      <c r="F22164" s="13"/>
      <c r="M22164" s="13"/>
    </row>
    <row r="22165">
      <c r="F22165" s="13"/>
      <c r="M22165" s="13"/>
    </row>
    <row r="22166">
      <c r="F22166" s="13"/>
      <c r="M22166" s="13"/>
    </row>
    <row r="22167">
      <c r="F22167" s="13"/>
      <c r="M22167" s="13"/>
    </row>
    <row r="22168">
      <c r="F22168" s="13"/>
      <c r="M22168" s="13"/>
    </row>
    <row r="22169">
      <c r="F22169" s="13"/>
      <c r="M22169" s="13"/>
    </row>
    <row r="22170">
      <c r="F22170" s="13"/>
      <c r="M22170" s="13"/>
    </row>
    <row r="22171">
      <c r="F22171" s="13"/>
      <c r="M22171" s="13"/>
    </row>
    <row r="22172">
      <c r="F22172" s="13"/>
      <c r="M22172" s="13"/>
    </row>
    <row r="22173">
      <c r="F22173" s="13"/>
      <c r="M22173" s="13"/>
    </row>
    <row r="22174">
      <c r="F22174" s="13"/>
      <c r="M22174" s="13"/>
    </row>
    <row r="22175">
      <c r="F22175" s="13"/>
      <c r="M22175" s="13"/>
    </row>
    <row r="22176">
      <c r="F22176" s="13"/>
      <c r="M22176" s="13"/>
    </row>
    <row r="22177">
      <c r="F22177" s="13"/>
      <c r="M22177" s="13"/>
    </row>
    <row r="22178">
      <c r="F22178" s="13"/>
      <c r="M22178" s="13"/>
    </row>
    <row r="22179">
      <c r="F22179" s="13"/>
      <c r="M22179" s="13"/>
    </row>
    <row r="22180">
      <c r="F22180" s="13"/>
      <c r="M22180" s="13"/>
    </row>
    <row r="22181">
      <c r="F22181" s="13"/>
      <c r="M22181" s="13"/>
    </row>
    <row r="22182">
      <c r="F22182" s="13"/>
      <c r="M22182" s="13"/>
    </row>
    <row r="22183">
      <c r="F22183" s="13"/>
      <c r="M22183" s="13"/>
    </row>
    <row r="22184">
      <c r="F22184" s="13"/>
      <c r="M22184" s="13"/>
    </row>
    <row r="22185">
      <c r="F22185" s="13"/>
      <c r="M22185" s="13"/>
    </row>
    <row r="22186">
      <c r="F22186" s="13"/>
      <c r="M22186" s="13"/>
    </row>
    <row r="22187">
      <c r="F22187" s="13"/>
      <c r="M22187" s="13"/>
    </row>
    <row r="22188">
      <c r="F22188" s="13"/>
      <c r="M22188" s="13"/>
    </row>
    <row r="22189">
      <c r="F22189" s="13"/>
      <c r="M22189" s="13"/>
    </row>
    <row r="22190">
      <c r="F22190" s="13"/>
      <c r="M22190" s="13"/>
    </row>
    <row r="22191">
      <c r="F22191" s="13"/>
      <c r="M22191" s="13"/>
    </row>
    <row r="22192">
      <c r="F22192" s="13"/>
      <c r="M22192" s="13"/>
    </row>
    <row r="22193">
      <c r="F22193" s="13"/>
      <c r="M22193" s="13"/>
    </row>
    <row r="22194">
      <c r="F22194" s="13"/>
      <c r="M22194" s="13"/>
    </row>
    <row r="22195">
      <c r="F22195" s="13"/>
      <c r="M22195" s="13"/>
    </row>
    <row r="22196">
      <c r="F22196" s="13"/>
      <c r="M22196" s="13"/>
    </row>
    <row r="22197">
      <c r="F22197" s="13"/>
      <c r="M22197" s="13"/>
    </row>
    <row r="22198">
      <c r="F22198" s="13"/>
      <c r="M22198" s="13"/>
    </row>
    <row r="22199">
      <c r="F22199" s="13"/>
      <c r="M22199" s="13"/>
    </row>
    <row r="22200">
      <c r="F22200" s="13"/>
      <c r="M22200" s="13"/>
    </row>
    <row r="22201">
      <c r="F22201" s="13"/>
      <c r="M22201" s="13"/>
    </row>
    <row r="22202">
      <c r="F22202" s="13"/>
      <c r="M22202" s="13"/>
    </row>
    <row r="22203">
      <c r="F22203" s="13"/>
      <c r="M22203" s="13"/>
    </row>
    <row r="22204">
      <c r="F22204" s="13"/>
      <c r="M22204" s="13"/>
    </row>
    <row r="22205">
      <c r="F22205" s="13"/>
      <c r="M22205" s="13"/>
    </row>
    <row r="22206">
      <c r="F22206" s="13"/>
      <c r="M22206" s="13"/>
    </row>
    <row r="22207">
      <c r="F22207" s="13"/>
      <c r="M22207" s="13"/>
    </row>
    <row r="22208">
      <c r="F22208" s="13"/>
      <c r="M22208" s="13"/>
    </row>
    <row r="22209">
      <c r="F22209" s="13"/>
      <c r="M22209" s="13"/>
    </row>
    <row r="22210">
      <c r="F22210" s="13"/>
      <c r="M22210" s="13"/>
    </row>
    <row r="22211">
      <c r="F22211" s="13"/>
      <c r="M22211" s="13"/>
    </row>
    <row r="22212">
      <c r="F22212" s="13"/>
      <c r="M22212" s="13"/>
    </row>
    <row r="22213">
      <c r="F22213" s="13"/>
      <c r="M22213" s="13"/>
    </row>
    <row r="22214">
      <c r="F22214" s="13"/>
      <c r="M22214" s="13"/>
    </row>
    <row r="22215">
      <c r="F22215" s="13"/>
      <c r="M22215" s="13"/>
    </row>
    <row r="22216">
      <c r="F22216" s="13"/>
      <c r="M22216" s="13"/>
    </row>
    <row r="22217">
      <c r="F22217" s="13"/>
      <c r="M22217" s="13"/>
    </row>
    <row r="22218">
      <c r="F22218" s="13"/>
      <c r="M22218" s="13"/>
    </row>
    <row r="22219">
      <c r="F22219" s="13"/>
      <c r="M22219" s="13"/>
    </row>
    <row r="22220">
      <c r="F22220" s="13"/>
      <c r="M22220" s="13"/>
    </row>
    <row r="22221">
      <c r="F22221" s="13"/>
      <c r="M22221" s="13"/>
    </row>
    <row r="22222">
      <c r="F22222" s="13"/>
      <c r="M22222" s="13"/>
    </row>
    <row r="22223">
      <c r="F22223" s="13"/>
      <c r="M22223" s="13"/>
    </row>
    <row r="22224">
      <c r="F22224" s="13"/>
      <c r="M22224" s="13"/>
    </row>
    <row r="22225">
      <c r="F22225" s="13"/>
      <c r="M22225" s="13"/>
    </row>
    <row r="22226">
      <c r="F22226" s="13"/>
      <c r="M22226" s="13"/>
    </row>
    <row r="22227">
      <c r="F22227" s="13"/>
      <c r="M22227" s="13"/>
    </row>
    <row r="22228">
      <c r="F22228" s="13"/>
      <c r="M22228" s="13"/>
    </row>
    <row r="22229">
      <c r="F22229" s="13"/>
      <c r="M22229" s="13"/>
    </row>
    <row r="22230">
      <c r="F22230" s="13"/>
      <c r="M22230" s="13"/>
    </row>
    <row r="22231">
      <c r="F22231" s="13"/>
      <c r="M22231" s="13"/>
    </row>
    <row r="22232">
      <c r="F22232" s="13"/>
      <c r="M22232" s="13"/>
    </row>
    <row r="22233">
      <c r="F22233" s="13"/>
      <c r="M22233" s="13"/>
    </row>
    <row r="22234">
      <c r="F22234" s="13"/>
      <c r="M22234" s="13"/>
    </row>
    <row r="22235">
      <c r="F22235" s="13"/>
      <c r="M22235" s="13"/>
    </row>
    <row r="22236">
      <c r="F22236" s="13"/>
      <c r="M22236" s="13"/>
    </row>
    <row r="22237">
      <c r="F22237" s="13"/>
      <c r="M22237" s="13"/>
    </row>
    <row r="22238">
      <c r="F22238" s="13"/>
      <c r="M22238" s="13"/>
    </row>
    <row r="22239">
      <c r="F22239" s="13"/>
      <c r="M22239" s="13"/>
    </row>
    <row r="22240">
      <c r="F22240" s="13"/>
      <c r="M22240" s="13"/>
    </row>
    <row r="22241">
      <c r="F22241" s="13"/>
      <c r="M22241" s="13"/>
    </row>
    <row r="22242">
      <c r="F22242" s="13"/>
      <c r="M22242" s="13"/>
    </row>
    <row r="22243">
      <c r="F22243" s="13"/>
      <c r="M22243" s="13"/>
    </row>
    <row r="22244">
      <c r="F22244" s="13"/>
      <c r="M22244" s="13"/>
    </row>
    <row r="22245">
      <c r="F22245" s="13"/>
      <c r="M22245" s="13"/>
    </row>
    <row r="22246">
      <c r="F22246" s="13"/>
      <c r="M22246" s="13"/>
    </row>
    <row r="22247">
      <c r="F22247" s="13"/>
      <c r="M22247" s="13"/>
    </row>
    <row r="22248">
      <c r="F22248" s="13"/>
      <c r="M22248" s="13"/>
    </row>
    <row r="22249">
      <c r="F22249" s="13"/>
      <c r="M22249" s="13"/>
    </row>
    <row r="22250">
      <c r="F22250" s="13"/>
      <c r="M22250" s="13"/>
    </row>
    <row r="22251">
      <c r="F22251" s="13"/>
      <c r="M22251" s="13"/>
    </row>
    <row r="22252">
      <c r="F22252" s="13"/>
      <c r="M22252" s="13"/>
    </row>
    <row r="22253">
      <c r="F22253" s="13"/>
      <c r="M22253" s="13"/>
    </row>
    <row r="22254">
      <c r="F22254" s="13"/>
      <c r="M22254" s="13"/>
    </row>
    <row r="22255">
      <c r="F22255" s="13"/>
      <c r="M22255" s="13"/>
    </row>
    <row r="22256">
      <c r="F22256" s="13"/>
      <c r="M22256" s="13"/>
    </row>
    <row r="22257">
      <c r="F22257" s="13"/>
      <c r="M22257" s="13"/>
    </row>
    <row r="22258">
      <c r="F22258" s="13"/>
      <c r="M22258" s="13"/>
    </row>
    <row r="22259">
      <c r="F22259" s="13"/>
      <c r="M22259" s="13"/>
    </row>
    <row r="22260">
      <c r="F22260" s="13"/>
      <c r="M22260" s="13"/>
    </row>
    <row r="22261">
      <c r="F22261" s="13"/>
      <c r="M22261" s="13"/>
    </row>
    <row r="22262">
      <c r="F22262" s="13"/>
      <c r="M22262" s="13"/>
    </row>
    <row r="22263">
      <c r="F22263" s="13"/>
      <c r="M22263" s="13"/>
    </row>
    <row r="22264">
      <c r="F22264" s="13"/>
      <c r="M22264" s="13"/>
    </row>
    <row r="22265">
      <c r="F22265" s="13"/>
      <c r="M22265" s="13"/>
    </row>
    <row r="22266">
      <c r="F22266" s="13"/>
      <c r="M22266" s="13"/>
    </row>
    <row r="22267">
      <c r="F22267" s="13"/>
      <c r="M22267" s="13"/>
    </row>
    <row r="22268">
      <c r="F22268" s="13"/>
      <c r="M22268" s="13"/>
    </row>
    <row r="22269">
      <c r="F22269" s="13"/>
      <c r="M22269" s="13"/>
    </row>
    <row r="22270">
      <c r="F22270" s="13"/>
      <c r="M22270" s="13"/>
    </row>
    <row r="22271">
      <c r="F22271" s="13"/>
      <c r="M22271" s="13"/>
    </row>
    <row r="22272">
      <c r="F22272" s="13"/>
      <c r="M22272" s="13"/>
    </row>
    <row r="22273">
      <c r="F22273" s="13"/>
      <c r="M22273" s="13"/>
    </row>
    <row r="22274">
      <c r="F22274" s="13"/>
      <c r="M22274" s="13"/>
    </row>
    <row r="22275">
      <c r="F22275" s="13"/>
      <c r="M22275" s="13"/>
    </row>
    <row r="22276">
      <c r="F22276" s="13"/>
      <c r="M22276" s="13"/>
    </row>
    <row r="22277">
      <c r="F22277" s="13"/>
      <c r="M22277" s="13"/>
    </row>
    <row r="22278">
      <c r="F22278" s="13"/>
      <c r="M22278" s="13"/>
    </row>
    <row r="22279">
      <c r="F22279" s="13"/>
      <c r="M22279" s="13"/>
    </row>
    <row r="22280">
      <c r="F22280" s="13"/>
      <c r="M22280" s="13"/>
    </row>
    <row r="22281">
      <c r="F22281" s="13"/>
      <c r="M22281" s="13"/>
    </row>
    <row r="22282">
      <c r="F22282" s="13"/>
      <c r="M22282" s="13"/>
    </row>
    <row r="22283">
      <c r="F22283" s="13"/>
      <c r="M22283" s="13"/>
    </row>
    <row r="22284">
      <c r="F22284" s="13"/>
      <c r="M22284" s="13"/>
    </row>
    <row r="22285">
      <c r="F22285" s="13"/>
      <c r="M22285" s="13"/>
    </row>
    <row r="22286">
      <c r="F22286" s="13"/>
      <c r="M22286" s="13"/>
    </row>
    <row r="22287">
      <c r="F22287" s="13"/>
      <c r="M22287" s="13"/>
    </row>
    <row r="22288">
      <c r="F22288" s="13"/>
      <c r="M22288" s="13"/>
    </row>
    <row r="22289">
      <c r="F22289" s="13"/>
      <c r="M22289" s="13"/>
    </row>
    <row r="22290">
      <c r="F22290" s="13"/>
      <c r="M22290" s="13"/>
    </row>
    <row r="22291">
      <c r="F22291" s="13"/>
      <c r="M22291" s="13"/>
    </row>
    <row r="22292">
      <c r="F22292" s="13"/>
      <c r="M22292" s="13"/>
    </row>
    <row r="22293">
      <c r="F22293" s="13"/>
      <c r="M22293" s="13"/>
    </row>
    <row r="22294">
      <c r="F22294" s="13"/>
      <c r="M22294" s="13"/>
    </row>
    <row r="22295">
      <c r="F22295" s="13"/>
      <c r="M22295" s="13"/>
    </row>
    <row r="22296">
      <c r="F22296" s="13"/>
      <c r="M22296" s="13"/>
    </row>
    <row r="22297">
      <c r="F22297" s="13"/>
      <c r="M22297" s="13"/>
    </row>
    <row r="22298">
      <c r="F22298" s="13"/>
      <c r="M22298" s="13"/>
    </row>
    <row r="22299">
      <c r="F22299" s="13"/>
      <c r="M22299" s="13"/>
    </row>
    <row r="22300">
      <c r="F22300" s="13"/>
      <c r="M22300" s="13"/>
    </row>
    <row r="22301">
      <c r="F22301" s="13"/>
      <c r="M22301" s="13"/>
    </row>
    <row r="22302">
      <c r="F22302" s="13"/>
      <c r="M22302" s="13"/>
    </row>
    <row r="22303">
      <c r="F22303" s="13"/>
      <c r="M22303" s="13"/>
    </row>
    <row r="22304">
      <c r="F22304" s="13"/>
      <c r="M22304" s="13"/>
    </row>
    <row r="22305">
      <c r="F22305" s="13"/>
      <c r="M22305" s="13"/>
    </row>
    <row r="22306">
      <c r="F22306" s="13"/>
      <c r="M22306" s="13"/>
    </row>
    <row r="22307">
      <c r="F22307" s="13"/>
      <c r="M22307" s="13"/>
    </row>
    <row r="22308">
      <c r="F22308" s="13"/>
      <c r="M22308" s="13"/>
    </row>
    <row r="22309">
      <c r="F22309" s="13"/>
      <c r="M22309" s="13"/>
    </row>
    <row r="22310">
      <c r="F22310" s="13"/>
      <c r="M22310" s="13"/>
    </row>
    <row r="22311">
      <c r="F22311" s="13"/>
      <c r="M22311" s="13"/>
    </row>
    <row r="22312">
      <c r="F22312" s="13"/>
      <c r="M22312" s="13"/>
    </row>
    <row r="22313">
      <c r="F22313" s="13"/>
      <c r="M22313" s="13"/>
    </row>
    <row r="22314">
      <c r="F22314" s="13"/>
      <c r="M22314" s="13"/>
    </row>
    <row r="22315">
      <c r="F22315" s="13"/>
      <c r="M22315" s="13"/>
    </row>
    <row r="22316">
      <c r="F22316" s="13"/>
      <c r="M22316" s="13"/>
    </row>
    <row r="22317">
      <c r="F22317" s="13"/>
      <c r="M22317" s="13"/>
    </row>
    <row r="22318">
      <c r="F22318" s="13"/>
      <c r="M22318" s="13"/>
    </row>
    <row r="22319">
      <c r="F22319" s="13"/>
      <c r="M22319" s="13"/>
    </row>
    <row r="22320">
      <c r="F22320" s="13"/>
      <c r="M22320" s="13"/>
    </row>
    <row r="22321">
      <c r="F22321" s="13"/>
      <c r="M22321" s="13"/>
    </row>
    <row r="22322">
      <c r="F22322" s="13"/>
      <c r="M22322" s="13"/>
    </row>
    <row r="22323">
      <c r="F22323" s="13"/>
      <c r="M22323" s="13"/>
    </row>
    <row r="22324">
      <c r="F22324" s="13"/>
      <c r="M22324" s="13"/>
    </row>
    <row r="22325">
      <c r="F22325" s="13"/>
      <c r="M22325" s="13"/>
    </row>
    <row r="22326">
      <c r="F22326" s="13"/>
      <c r="M22326" s="13"/>
    </row>
    <row r="22327">
      <c r="F22327" s="13"/>
      <c r="M22327" s="13"/>
    </row>
    <row r="22328">
      <c r="F22328" s="13"/>
      <c r="M22328" s="13"/>
    </row>
    <row r="22329">
      <c r="F22329" s="13"/>
      <c r="M22329" s="13"/>
    </row>
    <row r="22330">
      <c r="F22330" s="13"/>
      <c r="M22330" s="13"/>
    </row>
    <row r="22331">
      <c r="F22331" s="13"/>
      <c r="M22331" s="13"/>
    </row>
    <row r="22332">
      <c r="F22332" s="13"/>
      <c r="M22332" s="13"/>
    </row>
    <row r="22333">
      <c r="F22333" s="13"/>
      <c r="M22333" s="13"/>
    </row>
    <row r="22334">
      <c r="F22334" s="13"/>
      <c r="M22334" s="13"/>
    </row>
    <row r="22335">
      <c r="F22335" s="13"/>
      <c r="M22335" s="13"/>
    </row>
    <row r="22336">
      <c r="F22336" s="13"/>
      <c r="M22336" s="13"/>
    </row>
    <row r="22337">
      <c r="F22337" s="13"/>
      <c r="M22337" s="13"/>
    </row>
    <row r="22338">
      <c r="F22338" s="13"/>
      <c r="M22338" s="13"/>
    </row>
    <row r="22339">
      <c r="F22339" s="13"/>
      <c r="M22339" s="13"/>
    </row>
    <row r="22340">
      <c r="F22340" s="13"/>
      <c r="M22340" s="13"/>
    </row>
    <row r="22341">
      <c r="F22341" s="13"/>
      <c r="M22341" s="13"/>
    </row>
    <row r="22342">
      <c r="F22342" s="13"/>
      <c r="M22342" s="13"/>
    </row>
    <row r="22343">
      <c r="F22343" s="13"/>
      <c r="M22343" s="13"/>
    </row>
    <row r="22344">
      <c r="F22344" s="13"/>
      <c r="M22344" s="13"/>
    </row>
    <row r="22345">
      <c r="F22345" s="13"/>
      <c r="M22345" s="13"/>
    </row>
    <row r="22346">
      <c r="F22346" s="13"/>
      <c r="M22346" s="13"/>
    </row>
    <row r="22347">
      <c r="F22347" s="13"/>
      <c r="M22347" s="13"/>
    </row>
    <row r="22348">
      <c r="F22348" s="13"/>
      <c r="M22348" s="13"/>
    </row>
    <row r="22349">
      <c r="F22349" s="13"/>
      <c r="M22349" s="13"/>
    </row>
    <row r="22350">
      <c r="F22350" s="13"/>
      <c r="M22350" s="13"/>
    </row>
    <row r="22351">
      <c r="F22351" s="13"/>
      <c r="M22351" s="13"/>
    </row>
    <row r="22352">
      <c r="F22352" s="13"/>
      <c r="M22352" s="13"/>
    </row>
    <row r="22353">
      <c r="F22353" s="13"/>
      <c r="M22353" s="13"/>
    </row>
    <row r="22354">
      <c r="F22354" s="13"/>
      <c r="M22354" s="13"/>
    </row>
    <row r="22355">
      <c r="F22355" s="13"/>
      <c r="M22355" s="13"/>
    </row>
    <row r="22356">
      <c r="F22356" s="13"/>
      <c r="M22356" s="13"/>
    </row>
    <row r="22357">
      <c r="F22357" s="13"/>
      <c r="M22357" s="13"/>
    </row>
    <row r="22358">
      <c r="F22358" s="13"/>
      <c r="M22358" s="13"/>
    </row>
    <row r="22359">
      <c r="F22359" s="13"/>
      <c r="M22359" s="13"/>
    </row>
    <row r="22360">
      <c r="F22360" s="13"/>
      <c r="M22360" s="13"/>
    </row>
    <row r="22361">
      <c r="F22361" s="13"/>
      <c r="M22361" s="13"/>
    </row>
    <row r="22362">
      <c r="F22362" s="13"/>
      <c r="M22362" s="13"/>
    </row>
    <row r="22363">
      <c r="F22363" s="13"/>
      <c r="M22363" s="13"/>
    </row>
    <row r="22364">
      <c r="F22364" s="13"/>
      <c r="M22364" s="13"/>
    </row>
    <row r="22365">
      <c r="F22365" s="13"/>
      <c r="M22365" s="13"/>
    </row>
    <row r="22366">
      <c r="F22366" s="13"/>
      <c r="M22366" s="13"/>
    </row>
    <row r="22367">
      <c r="F22367" s="13"/>
      <c r="M22367" s="13"/>
    </row>
    <row r="22368">
      <c r="F22368" s="13"/>
      <c r="M22368" s="13"/>
    </row>
    <row r="22369">
      <c r="F22369" s="13"/>
      <c r="M22369" s="13"/>
    </row>
    <row r="22370">
      <c r="F22370" s="13"/>
      <c r="M22370" s="13"/>
    </row>
    <row r="22371">
      <c r="F22371" s="13"/>
      <c r="M22371" s="13"/>
    </row>
    <row r="22372">
      <c r="F22372" s="13"/>
      <c r="M22372" s="13"/>
    </row>
    <row r="22373">
      <c r="F22373" s="13"/>
      <c r="M22373" s="13"/>
    </row>
    <row r="22374">
      <c r="F22374" s="13"/>
      <c r="M22374" s="13"/>
    </row>
    <row r="22375">
      <c r="F22375" s="13"/>
      <c r="M22375" s="13"/>
    </row>
    <row r="22376">
      <c r="F22376" s="13"/>
      <c r="M22376" s="13"/>
    </row>
    <row r="22377">
      <c r="F22377" s="13"/>
      <c r="M22377" s="13"/>
    </row>
    <row r="22378">
      <c r="F22378" s="13"/>
      <c r="M22378" s="13"/>
    </row>
    <row r="22379">
      <c r="F22379" s="13"/>
      <c r="M22379" s="13"/>
    </row>
    <row r="22380">
      <c r="F22380" s="13"/>
      <c r="M22380" s="13"/>
    </row>
    <row r="22381">
      <c r="F22381" s="13"/>
      <c r="M22381" s="13"/>
    </row>
    <row r="22382">
      <c r="F22382" s="13"/>
      <c r="M22382" s="13"/>
    </row>
    <row r="22383">
      <c r="F22383" s="13"/>
      <c r="M22383" s="13"/>
    </row>
    <row r="22384">
      <c r="F22384" s="13"/>
      <c r="M22384" s="13"/>
    </row>
    <row r="22385">
      <c r="F22385" s="13"/>
      <c r="M22385" s="13"/>
    </row>
    <row r="22386">
      <c r="F22386" s="13"/>
      <c r="M22386" s="13"/>
    </row>
    <row r="22387">
      <c r="F22387" s="13"/>
      <c r="M22387" s="13"/>
    </row>
    <row r="22388">
      <c r="F22388" s="13"/>
      <c r="M22388" s="13"/>
    </row>
    <row r="22389">
      <c r="F22389" s="13"/>
      <c r="M22389" s="13"/>
    </row>
    <row r="22390">
      <c r="F22390" s="13"/>
      <c r="M22390" s="13"/>
    </row>
    <row r="22391">
      <c r="F22391" s="13"/>
      <c r="M22391" s="13"/>
    </row>
    <row r="22392">
      <c r="F22392" s="13"/>
      <c r="M22392" s="13"/>
    </row>
    <row r="22393">
      <c r="F22393" s="13"/>
      <c r="M22393" s="13"/>
    </row>
    <row r="22394">
      <c r="F22394" s="13"/>
      <c r="M22394" s="13"/>
    </row>
    <row r="22395">
      <c r="F22395" s="13"/>
      <c r="M22395" s="13"/>
    </row>
    <row r="22396">
      <c r="F22396" s="13"/>
      <c r="M22396" s="13"/>
    </row>
    <row r="22397">
      <c r="F22397" s="13"/>
      <c r="M22397" s="13"/>
    </row>
    <row r="22398">
      <c r="F22398" s="13"/>
      <c r="M22398" s="13"/>
    </row>
    <row r="22399">
      <c r="F22399" s="13"/>
      <c r="M22399" s="13"/>
    </row>
    <row r="22400">
      <c r="F22400" s="13"/>
      <c r="M22400" s="13"/>
    </row>
    <row r="22401">
      <c r="F22401" s="13"/>
      <c r="M22401" s="13"/>
    </row>
    <row r="22402">
      <c r="F22402" s="13"/>
      <c r="M22402" s="13"/>
    </row>
    <row r="22403">
      <c r="F22403" s="13"/>
      <c r="M22403" s="13"/>
    </row>
    <row r="22404">
      <c r="F22404" s="13"/>
      <c r="M22404" s="13"/>
    </row>
    <row r="22405">
      <c r="F22405" s="13"/>
      <c r="M22405" s="13"/>
    </row>
    <row r="22406">
      <c r="F22406" s="13"/>
      <c r="M22406" s="13"/>
    </row>
    <row r="22407">
      <c r="F22407" s="13"/>
      <c r="M22407" s="13"/>
    </row>
    <row r="22408">
      <c r="F22408" s="13"/>
      <c r="M22408" s="13"/>
    </row>
    <row r="22409">
      <c r="F22409" s="13"/>
      <c r="M22409" s="13"/>
    </row>
    <row r="22410">
      <c r="F22410" s="13"/>
      <c r="M22410" s="13"/>
    </row>
    <row r="22411">
      <c r="F22411" s="13"/>
      <c r="M22411" s="13"/>
    </row>
    <row r="22412">
      <c r="F22412" s="13"/>
      <c r="M22412" s="13"/>
    </row>
    <row r="22413">
      <c r="F22413" s="13"/>
      <c r="M22413" s="13"/>
    </row>
    <row r="22414">
      <c r="F22414" s="13"/>
      <c r="M22414" s="13"/>
    </row>
    <row r="22415">
      <c r="F22415" s="13"/>
      <c r="M22415" s="13"/>
    </row>
    <row r="22416">
      <c r="F22416" s="13"/>
      <c r="M22416" s="13"/>
    </row>
    <row r="22417">
      <c r="F22417" s="13"/>
      <c r="M22417" s="13"/>
    </row>
    <row r="22418">
      <c r="F22418" s="13"/>
      <c r="M22418" s="13"/>
    </row>
    <row r="22419">
      <c r="F22419" s="13"/>
      <c r="M22419" s="13"/>
    </row>
    <row r="22420">
      <c r="F22420" s="13"/>
      <c r="M22420" s="13"/>
    </row>
    <row r="22421">
      <c r="F22421" s="13"/>
      <c r="M22421" s="13"/>
    </row>
    <row r="22422">
      <c r="F22422" s="13"/>
      <c r="M22422" s="13"/>
    </row>
    <row r="22423">
      <c r="F22423" s="13"/>
      <c r="M22423" s="13"/>
    </row>
    <row r="22424">
      <c r="F22424" s="13"/>
      <c r="M22424" s="13"/>
    </row>
    <row r="22425">
      <c r="F22425" s="13"/>
      <c r="M22425" s="13"/>
    </row>
    <row r="22426">
      <c r="F22426" s="13"/>
      <c r="M22426" s="13"/>
    </row>
    <row r="22427">
      <c r="F22427" s="13"/>
      <c r="M22427" s="13"/>
    </row>
    <row r="22428">
      <c r="F22428" s="13"/>
      <c r="M22428" s="13"/>
    </row>
    <row r="22429">
      <c r="F22429" s="13"/>
      <c r="M22429" s="13"/>
    </row>
    <row r="22430">
      <c r="F22430" s="13"/>
      <c r="M22430" s="13"/>
    </row>
    <row r="22431">
      <c r="F22431" s="13"/>
      <c r="M22431" s="13"/>
    </row>
    <row r="22432">
      <c r="F22432" s="13"/>
      <c r="M22432" s="13"/>
    </row>
    <row r="22433">
      <c r="F22433" s="13"/>
      <c r="M22433" s="13"/>
    </row>
    <row r="22434">
      <c r="F22434" s="13"/>
      <c r="M22434" s="13"/>
    </row>
    <row r="22435">
      <c r="F22435" s="13"/>
      <c r="M22435" s="13"/>
    </row>
    <row r="22436">
      <c r="F22436" s="13"/>
      <c r="M22436" s="13"/>
    </row>
    <row r="22437">
      <c r="F22437" s="13"/>
      <c r="M22437" s="13"/>
    </row>
    <row r="22438">
      <c r="F22438" s="13"/>
      <c r="M22438" s="13"/>
    </row>
    <row r="22439">
      <c r="F22439" s="13"/>
      <c r="M22439" s="13"/>
    </row>
    <row r="22440">
      <c r="F22440" s="13"/>
      <c r="M22440" s="13"/>
    </row>
    <row r="22441">
      <c r="F22441" s="13"/>
      <c r="M22441" s="13"/>
    </row>
    <row r="22442">
      <c r="F22442" s="13"/>
      <c r="M22442" s="13"/>
    </row>
    <row r="22443">
      <c r="F22443" s="13"/>
      <c r="M22443" s="13"/>
    </row>
    <row r="22444">
      <c r="F22444" s="13"/>
      <c r="M22444" s="13"/>
    </row>
    <row r="22445">
      <c r="F22445" s="13"/>
      <c r="M22445" s="13"/>
    </row>
    <row r="22446">
      <c r="F22446" s="13"/>
      <c r="M22446" s="13"/>
    </row>
    <row r="22447">
      <c r="F22447" s="13"/>
      <c r="M22447" s="13"/>
    </row>
    <row r="22448">
      <c r="F22448" s="13"/>
      <c r="M22448" s="13"/>
    </row>
    <row r="22449">
      <c r="F22449" s="13"/>
      <c r="M22449" s="13"/>
    </row>
    <row r="22450">
      <c r="F22450" s="13"/>
      <c r="M22450" s="13"/>
    </row>
    <row r="22451">
      <c r="F22451" s="13"/>
      <c r="M22451" s="13"/>
    </row>
    <row r="22452">
      <c r="F22452" s="13"/>
      <c r="M22452" s="13"/>
    </row>
    <row r="22453">
      <c r="F22453" s="13"/>
      <c r="M22453" s="13"/>
    </row>
    <row r="22454">
      <c r="F22454" s="13"/>
      <c r="M22454" s="13"/>
    </row>
    <row r="22455">
      <c r="F22455" s="13"/>
      <c r="M22455" s="13"/>
    </row>
    <row r="22456">
      <c r="F22456" s="13"/>
      <c r="M22456" s="13"/>
    </row>
    <row r="22457">
      <c r="F22457" s="13"/>
      <c r="M22457" s="13"/>
    </row>
    <row r="22458">
      <c r="F22458" s="13"/>
      <c r="M22458" s="13"/>
    </row>
    <row r="22459">
      <c r="F22459" s="13"/>
      <c r="M22459" s="13"/>
    </row>
    <row r="22460">
      <c r="F22460" s="13"/>
      <c r="M22460" s="13"/>
    </row>
    <row r="22461">
      <c r="F22461" s="13"/>
      <c r="M22461" s="13"/>
    </row>
    <row r="22462">
      <c r="F22462" s="13"/>
      <c r="M22462" s="13"/>
    </row>
    <row r="22463">
      <c r="F22463" s="13"/>
      <c r="M22463" s="13"/>
    </row>
    <row r="22464">
      <c r="F22464" s="13"/>
      <c r="M22464" s="13"/>
    </row>
    <row r="22465">
      <c r="F22465" s="13"/>
      <c r="M22465" s="13"/>
    </row>
    <row r="22466">
      <c r="F22466" s="13"/>
      <c r="M22466" s="13"/>
    </row>
    <row r="22467">
      <c r="F22467" s="13"/>
      <c r="M22467" s="13"/>
    </row>
    <row r="22468">
      <c r="F22468" s="13"/>
      <c r="M22468" s="13"/>
    </row>
    <row r="22469">
      <c r="F22469" s="13"/>
      <c r="M22469" s="13"/>
    </row>
    <row r="22470">
      <c r="F22470" s="13"/>
      <c r="M22470" s="13"/>
    </row>
    <row r="22471">
      <c r="F22471" s="13"/>
      <c r="M22471" s="13"/>
    </row>
    <row r="22472">
      <c r="F22472" s="13"/>
      <c r="M22472" s="13"/>
    </row>
    <row r="22473">
      <c r="F22473" s="13"/>
      <c r="M22473" s="13"/>
    </row>
    <row r="22474">
      <c r="F22474" s="13"/>
      <c r="M22474" s="13"/>
    </row>
    <row r="22475">
      <c r="F22475" s="13"/>
      <c r="M22475" s="13"/>
    </row>
    <row r="22476">
      <c r="F22476" s="13"/>
      <c r="M22476" s="13"/>
    </row>
    <row r="22477">
      <c r="F22477" s="13"/>
      <c r="M22477" s="13"/>
    </row>
    <row r="22478">
      <c r="F22478" s="13"/>
      <c r="M22478" s="13"/>
    </row>
    <row r="22479">
      <c r="F22479" s="13"/>
      <c r="M22479" s="13"/>
    </row>
    <row r="22480">
      <c r="F22480" s="13"/>
      <c r="M22480" s="13"/>
    </row>
    <row r="22481">
      <c r="F22481" s="13"/>
      <c r="M22481" s="13"/>
    </row>
    <row r="22482">
      <c r="F22482" s="13"/>
      <c r="M22482" s="13"/>
    </row>
    <row r="22483">
      <c r="F22483" s="13"/>
      <c r="M22483" s="13"/>
    </row>
    <row r="22484">
      <c r="F22484" s="13"/>
      <c r="M22484" s="13"/>
    </row>
    <row r="22485">
      <c r="F22485" s="13"/>
      <c r="M22485" s="13"/>
    </row>
    <row r="22486">
      <c r="F22486" s="13"/>
      <c r="M22486" s="13"/>
    </row>
    <row r="22487">
      <c r="F22487" s="13"/>
      <c r="M22487" s="13"/>
    </row>
    <row r="22488">
      <c r="F22488" s="13"/>
      <c r="M22488" s="13"/>
    </row>
    <row r="22489">
      <c r="F22489" s="13"/>
      <c r="M22489" s="13"/>
    </row>
    <row r="22490">
      <c r="F22490" s="13"/>
      <c r="M22490" s="13"/>
    </row>
    <row r="22491">
      <c r="F22491" s="13"/>
      <c r="M22491" s="13"/>
    </row>
    <row r="22492">
      <c r="F22492" s="13"/>
      <c r="M22492" s="13"/>
    </row>
    <row r="22493">
      <c r="F22493" s="13"/>
      <c r="M22493" s="13"/>
    </row>
    <row r="22494">
      <c r="F22494" s="13"/>
      <c r="M22494" s="13"/>
    </row>
    <row r="22495">
      <c r="F22495" s="13"/>
      <c r="M22495" s="13"/>
    </row>
    <row r="22496">
      <c r="F22496" s="13"/>
      <c r="M22496" s="13"/>
    </row>
    <row r="22497">
      <c r="F22497" s="13"/>
      <c r="M22497" s="13"/>
    </row>
    <row r="22498">
      <c r="F22498" s="13"/>
      <c r="M22498" s="13"/>
    </row>
    <row r="22499">
      <c r="F22499" s="13"/>
      <c r="M22499" s="13"/>
    </row>
    <row r="22500">
      <c r="F22500" s="13"/>
      <c r="M22500" s="13"/>
    </row>
    <row r="22501">
      <c r="F22501" s="13"/>
      <c r="M22501" s="13"/>
    </row>
    <row r="22502">
      <c r="F22502" s="13"/>
      <c r="M22502" s="13"/>
    </row>
    <row r="22503">
      <c r="F22503" s="13"/>
      <c r="M22503" s="13"/>
    </row>
    <row r="22504">
      <c r="F22504" s="13"/>
      <c r="M22504" s="13"/>
    </row>
    <row r="22505">
      <c r="F22505" s="13"/>
      <c r="M22505" s="13"/>
    </row>
    <row r="22506">
      <c r="F22506" s="13"/>
      <c r="M22506" s="13"/>
    </row>
    <row r="22507">
      <c r="F22507" s="13"/>
      <c r="M22507" s="13"/>
    </row>
    <row r="22508">
      <c r="F22508" s="13"/>
      <c r="M22508" s="13"/>
    </row>
    <row r="22509">
      <c r="F22509" s="13"/>
      <c r="M22509" s="13"/>
    </row>
    <row r="22510">
      <c r="F22510" s="13"/>
      <c r="M22510" s="13"/>
    </row>
    <row r="22511">
      <c r="F22511" s="13"/>
      <c r="M22511" s="13"/>
    </row>
    <row r="22512">
      <c r="F22512" s="13"/>
      <c r="M22512" s="13"/>
    </row>
    <row r="22513">
      <c r="F22513" s="13"/>
      <c r="M22513" s="13"/>
    </row>
    <row r="22514">
      <c r="F22514" s="13"/>
      <c r="M22514" s="13"/>
    </row>
    <row r="22515">
      <c r="F22515" s="13"/>
      <c r="M22515" s="13"/>
    </row>
    <row r="22516">
      <c r="F22516" s="13"/>
      <c r="M22516" s="13"/>
    </row>
    <row r="22517">
      <c r="F22517" s="13"/>
      <c r="M22517" s="13"/>
    </row>
    <row r="22518">
      <c r="F22518" s="13"/>
      <c r="M22518" s="13"/>
    </row>
    <row r="22519">
      <c r="F22519" s="13"/>
      <c r="M22519" s="13"/>
    </row>
    <row r="22520">
      <c r="F22520" s="13"/>
      <c r="M22520" s="13"/>
    </row>
    <row r="22521">
      <c r="F22521" s="13"/>
      <c r="M22521" s="13"/>
    </row>
    <row r="22522">
      <c r="F22522" s="13"/>
      <c r="M22522" s="13"/>
    </row>
    <row r="22523">
      <c r="F22523" s="13"/>
      <c r="M22523" s="13"/>
    </row>
    <row r="22524">
      <c r="F22524" s="13"/>
      <c r="M22524" s="13"/>
    </row>
    <row r="22525">
      <c r="F22525" s="13"/>
      <c r="M22525" s="13"/>
    </row>
    <row r="22526">
      <c r="F22526" s="13"/>
      <c r="M22526" s="13"/>
    </row>
    <row r="22527">
      <c r="F22527" s="13"/>
      <c r="M22527" s="13"/>
    </row>
    <row r="22528">
      <c r="F22528" s="13"/>
      <c r="M22528" s="13"/>
    </row>
    <row r="22529">
      <c r="F22529" s="13"/>
      <c r="M22529" s="13"/>
    </row>
    <row r="22530">
      <c r="F22530" s="13"/>
      <c r="M22530" s="13"/>
    </row>
    <row r="22531">
      <c r="F22531" s="13"/>
      <c r="M22531" s="13"/>
    </row>
    <row r="22532">
      <c r="F22532" s="13"/>
      <c r="M22532" s="13"/>
    </row>
    <row r="22533">
      <c r="F22533" s="13"/>
      <c r="M22533" s="13"/>
    </row>
    <row r="22534">
      <c r="F22534" s="13"/>
      <c r="M22534" s="13"/>
    </row>
    <row r="22535">
      <c r="F22535" s="13"/>
      <c r="M22535" s="13"/>
    </row>
    <row r="22536">
      <c r="F22536" s="13"/>
      <c r="M22536" s="13"/>
    </row>
    <row r="22537">
      <c r="F22537" s="13"/>
      <c r="M22537" s="13"/>
    </row>
    <row r="22538">
      <c r="F22538" s="13"/>
      <c r="M22538" s="13"/>
    </row>
    <row r="22539">
      <c r="F22539" s="13"/>
      <c r="M22539" s="13"/>
    </row>
    <row r="22540">
      <c r="F22540" s="13"/>
      <c r="M22540" s="13"/>
    </row>
    <row r="22541">
      <c r="F22541" s="13"/>
      <c r="M22541" s="13"/>
    </row>
    <row r="22542">
      <c r="F22542" s="13"/>
      <c r="M22542" s="13"/>
    </row>
    <row r="22543">
      <c r="F22543" s="13"/>
      <c r="M22543" s="13"/>
    </row>
    <row r="22544">
      <c r="F22544" s="13"/>
      <c r="M22544" s="13"/>
    </row>
    <row r="22545">
      <c r="F22545" s="13"/>
      <c r="M22545" s="13"/>
    </row>
    <row r="22546">
      <c r="F22546" s="13"/>
      <c r="M22546" s="13"/>
    </row>
    <row r="22547">
      <c r="F22547" s="13"/>
      <c r="M22547" s="13"/>
    </row>
    <row r="22548">
      <c r="F22548" s="13"/>
      <c r="M22548" s="13"/>
    </row>
    <row r="22549">
      <c r="F22549" s="13"/>
      <c r="M22549" s="13"/>
    </row>
    <row r="22550">
      <c r="F22550" s="13"/>
      <c r="M22550" s="13"/>
    </row>
    <row r="22551">
      <c r="F22551" s="13"/>
      <c r="M22551" s="13"/>
    </row>
    <row r="22552">
      <c r="F22552" s="13"/>
      <c r="M22552" s="13"/>
    </row>
    <row r="22553">
      <c r="F22553" s="13"/>
      <c r="M22553" s="13"/>
    </row>
    <row r="22554">
      <c r="F22554" s="13"/>
      <c r="M22554" s="13"/>
    </row>
    <row r="22555">
      <c r="F22555" s="13"/>
      <c r="M22555" s="13"/>
    </row>
    <row r="22556">
      <c r="F22556" s="13"/>
      <c r="M22556" s="13"/>
    </row>
    <row r="22557">
      <c r="F22557" s="13"/>
      <c r="M22557" s="13"/>
    </row>
    <row r="22558">
      <c r="F22558" s="13"/>
      <c r="M22558" s="13"/>
    </row>
    <row r="22559">
      <c r="F22559" s="13"/>
      <c r="M22559" s="13"/>
    </row>
    <row r="22560">
      <c r="F22560" s="13"/>
      <c r="M22560" s="13"/>
    </row>
    <row r="22561">
      <c r="F22561" s="13"/>
      <c r="M22561" s="13"/>
    </row>
    <row r="22562">
      <c r="F22562" s="13"/>
      <c r="M22562" s="13"/>
    </row>
    <row r="22563">
      <c r="F22563" s="13"/>
      <c r="M22563" s="13"/>
    </row>
    <row r="22564">
      <c r="F22564" s="13"/>
      <c r="M22564" s="13"/>
    </row>
    <row r="22565">
      <c r="F22565" s="13"/>
      <c r="M22565" s="13"/>
    </row>
    <row r="22566">
      <c r="F22566" s="13"/>
      <c r="M22566" s="13"/>
    </row>
    <row r="22567">
      <c r="F22567" s="13"/>
      <c r="M22567" s="13"/>
    </row>
    <row r="22568">
      <c r="F22568" s="13"/>
      <c r="M22568" s="13"/>
    </row>
    <row r="22569">
      <c r="F22569" s="13"/>
      <c r="M22569" s="13"/>
    </row>
    <row r="22570">
      <c r="F22570" s="13"/>
      <c r="M22570" s="13"/>
    </row>
    <row r="22571">
      <c r="F22571" s="13"/>
      <c r="M22571" s="13"/>
    </row>
    <row r="22572">
      <c r="F22572" s="13"/>
      <c r="M22572" s="13"/>
    </row>
    <row r="22573">
      <c r="F22573" s="13"/>
      <c r="M22573" s="13"/>
    </row>
    <row r="22574">
      <c r="F22574" s="13"/>
      <c r="M22574" s="13"/>
    </row>
    <row r="22575">
      <c r="F22575" s="13"/>
      <c r="M22575" s="13"/>
    </row>
    <row r="22576">
      <c r="F22576" s="13"/>
      <c r="M22576" s="13"/>
    </row>
    <row r="22577">
      <c r="F22577" s="13"/>
      <c r="M22577" s="13"/>
    </row>
    <row r="22578">
      <c r="F22578" s="13"/>
      <c r="M22578" s="13"/>
    </row>
    <row r="22579">
      <c r="F22579" s="13"/>
      <c r="M22579" s="13"/>
    </row>
    <row r="22580">
      <c r="F22580" s="13"/>
      <c r="M22580" s="13"/>
    </row>
    <row r="22581">
      <c r="F22581" s="13"/>
      <c r="M22581" s="13"/>
    </row>
    <row r="22582">
      <c r="F22582" s="13"/>
      <c r="M22582" s="13"/>
    </row>
    <row r="22583">
      <c r="F22583" s="13"/>
      <c r="M22583" s="13"/>
    </row>
    <row r="22584">
      <c r="F22584" s="13"/>
      <c r="M22584" s="13"/>
    </row>
    <row r="22585">
      <c r="F22585" s="13"/>
      <c r="M22585" s="13"/>
    </row>
    <row r="22586">
      <c r="F22586" s="13"/>
      <c r="M22586" s="13"/>
    </row>
    <row r="22587">
      <c r="F22587" s="13"/>
      <c r="M22587" s="13"/>
    </row>
    <row r="22588">
      <c r="F22588" s="13"/>
      <c r="M22588" s="13"/>
    </row>
    <row r="22589">
      <c r="F22589" s="13"/>
      <c r="M22589" s="13"/>
    </row>
    <row r="22590">
      <c r="F22590" s="13"/>
      <c r="M22590" s="13"/>
    </row>
    <row r="22591">
      <c r="F22591" s="13"/>
      <c r="M22591" s="13"/>
    </row>
    <row r="22592">
      <c r="F22592" s="13"/>
      <c r="M22592" s="13"/>
    </row>
    <row r="22593">
      <c r="F22593" s="13"/>
      <c r="M22593" s="13"/>
    </row>
    <row r="22594">
      <c r="F22594" s="13"/>
      <c r="M22594" s="13"/>
    </row>
    <row r="22595">
      <c r="F22595" s="13"/>
      <c r="M22595" s="13"/>
    </row>
    <row r="22596">
      <c r="F22596" s="13"/>
      <c r="M22596" s="13"/>
    </row>
    <row r="22597">
      <c r="F22597" s="13"/>
      <c r="M22597" s="13"/>
    </row>
    <row r="22598">
      <c r="F22598" s="13"/>
      <c r="M22598" s="13"/>
    </row>
    <row r="22599">
      <c r="F22599" s="13"/>
      <c r="M22599" s="13"/>
    </row>
    <row r="22600">
      <c r="F22600" s="13"/>
      <c r="M22600" s="13"/>
    </row>
    <row r="22601">
      <c r="F22601" s="13"/>
      <c r="M22601" s="13"/>
    </row>
    <row r="22602">
      <c r="F22602" s="13"/>
      <c r="M22602" s="13"/>
    </row>
    <row r="22603">
      <c r="F22603" s="13"/>
      <c r="M22603" s="13"/>
    </row>
    <row r="22604">
      <c r="F22604" s="13"/>
      <c r="M22604" s="13"/>
    </row>
    <row r="22605">
      <c r="F22605" s="13"/>
      <c r="M22605" s="13"/>
    </row>
    <row r="22606">
      <c r="F22606" s="13"/>
      <c r="M22606" s="13"/>
    </row>
    <row r="22607">
      <c r="F22607" s="13"/>
      <c r="M22607" s="13"/>
    </row>
    <row r="22608">
      <c r="F22608" s="13"/>
      <c r="M22608" s="13"/>
    </row>
    <row r="22609">
      <c r="F22609" s="13"/>
      <c r="M22609" s="13"/>
    </row>
    <row r="22610">
      <c r="F22610" s="13"/>
      <c r="M22610" s="13"/>
    </row>
    <row r="22611">
      <c r="F22611" s="13"/>
      <c r="M22611" s="13"/>
    </row>
    <row r="22612">
      <c r="F22612" s="13"/>
      <c r="M22612" s="13"/>
    </row>
    <row r="22613">
      <c r="F22613" s="13"/>
      <c r="M22613" s="13"/>
    </row>
    <row r="22614">
      <c r="F22614" s="13"/>
      <c r="M22614" s="13"/>
    </row>
    <row r="22615">
      <c r="F22615" s="13"/>
      <c r="M22615" s="13"/>
    </row>
    <row r="22616">
      <c r="F22616" s="13"/>
      <c r="M22616" s="13"/>
    </row>
    <row r="22617">
      <c r="F22617" s="13"/>
      <c r="M22617" s="13"/>
    </row>
    <row r="22618">
      <c r="F22618" s="13"/>
      <c r="M22618" s="13"/>
    </row>
    <row r="22619">
      <c r="F22619" s="13"/>
      <c r="M22619" s="13"/>
    </row>
    <row r="22620">
      <c r="F22620" s="13"/>
      <c r="M22620" s="13"/>
    </row>
    <row r="22621">
      <c r="F22621" s="13"/>
      <c r="M22621" s="13"/>
    </row>
    <row r="22622">
      <c r="F22622" s="13"/>
      <c r="M22622" s="13"/>
    </row>
    <row r="22623">
      <c r="F22623" s="13"/>
      <c r="M22623" s="13"/>
    </row>
    <row r="22624">
      <c r="F22624" s="13"/>
      <c r="M22624" s="13"/>
    </row>
    <row r="22625">
      <c r="F22625" s="13"/>
      <c r="M22625" s="13"/>
    </row>
    <row r="22626">
      <c r="F22626" s="13"/>
      <c r="M22626" s="13"/>
    </row>
    <row r="22627">
      <c r="F22627" s="13"/>
      <c r="M22627" s="13"/>
    </row>
    <row r="22628">
      <c r="F22628" s="13"/>
      <c r="M22628" s="13"/>
    </row>
    <row r="22629">
      <c r="F22629" s="13"/>
      <c r="M22629" s="13"/>
    </row>
    <row r="22630">
      <c r="F22630" s="13"/>
      <c r="M22630" s="13"/>
    </row>
    <row r="22631">
      <c r="F22631" s="13"/>
      <c r="M22631" s="13"/>
    </row>
    <row r="22632">
      <c r="F22632" s="13"/>
      <c r="M22632" s="13"/>
    </row>
    <row r="22633">
      <c r="F22633" s="13"/>
      <c r="M22633" s="13"/>
    </row>
    <row r="22634">
      <c r="F22634" s="13"/>
      <c r="M22634" s="13"/>
    </row>
    <row r="22635">
      <c r="F22635" s="13"/>
      <c r="M22635" s="13"/>
    </row>
    <row r="22636">
      <c r="F22636" s="13"/>
      <c r="M22636" s="13"/>
    </row>
    <row r="22637">
      <c r="F22637" s="13"/>
      <c r="M22637" s="13"/>
    </row>
    <row r="22638">
      <c r="F22638" s="13"/>
      <c r="M22638" s="13"/>
    </row>
    <row r="22639">
      <c r="F22639" s="13"/>
      <c r="M22639" s="13"/>
    </row>
    <row r="22640">
      <c r="F22640" s="13"/>
      <c r="M22640" s="13"/>
    </row>
    <row r="22641">
      <c r="F22641" s="13"/>
      <c r="M22641" s="13"/>
    </row>
    <row r="22642">
      <c r="F22642" s="13"/>
      <c r="M22642" s="13"/>
    </row>
    <row r="22643">
      <c r="F22643" s="13"/>
      <c r="M22643" s="13"/>
    </row>
    <row r="22644">
      <c r="F22644" s="13"/>
      <c r="M22644" s="13"/>
    </row>
    <row r="22645">
      <c r="F22645" s="13"/>
      <c r="M22645" s="13"/>
    </row>
    <row r="22646">
      <c r="F22646" s="13"/>
      <c r="M22646" s="13"/>
    </row>
    <row r="22647">
      <c r="F22647" s="13"/>
      <c r="M22647" s="13"/>
    </row>
    <row r="22648">
      <c r="F22648" s="13"/>
      <c r="M22648" s="13"/>
    </row>
    <row r="22649">
      <c r="F22649" s="13"/>
      <c r="M22649" s="13"/>
    </row>
    <row r="22650">
      <c r="F22650" s="13"/>
      <c r="M22650" s="13"/>
    </row>
    <row r="22651">
      <c r="F22651" s="13"/>
      <c r="M22651" s="13"/>
    </row>
    <row r="22652">
      <c r="F22652" s="13"/>
      <c r="M22652" s="13"/>
    </row>
    <row r="22653">
      <c r="F22653" s="13"/>
      <c r="M22653" s="13"/>
    </row>
    <row r="22654">
      <c r="F22654" s="13"/>
      <c r="M22654" s="13"/>
    </row>
    <row r="22655">
      <c r="F22655" s="13"/>
      <c r="M22655" s="13"/>
    </row>
    <row r="22656">
      <c r="F22656" s="13"/>
      <c r="M22656" s="13"/>
    </row>
    <row r="22657">
      <c r="F22657" s="13"/>
      <c r="M22657" s="13"/>
    </row>
    <row r="22658">
      <c r="F22658" s="13"/>
      <c r="M22658" s="13"/>
    </row>
    <row r="22659">
      <c r="F22659" s="13"/>
      <c r="M22659" s="13"/>
    </row>
    <row r="22660">
      <c r="F22660" s="13"/>
      <c r="M22660" s="13"/>
    </row>
    <row r="22661">
      <c r="F22661" s="13"/>
      <c r="M22661" s="13"/>
    </row>
    <row r="22662">
      <c r="F22662" s="13"/>
      <c r="M22662" s="13"/>
    </row>
    <row r="22663">
      <c r="F22663" s="13"/>
      <c r="M22663" s="13"/>
    </row>
    <row r="22664">
      <c r="F22664" s="13"/>
      <c r="M22664" s="13"/>
    </row>
    <row r="22665">
      <c r="F22665" s="13"/>
      <c r="M22665" s="13"/>
    </row>
    <row r="22666">
      <c r="F22666" s="13"/>
      <c r="M22666" s="13"/>
    </row>
    <row r="22667">
      <c r="F22667" s="13"/>
      <c r="M22667" s="13"/>
    </row>
    <row r="22668">
      <c r="F22668" s="13"/>
      <c r="M22668" s="13"/>
    </row>
    <row r="22669">
      <c r="F22669" s="13"/>
      <c r="M22669" s="13"/>
    </row>
    <row r="22670">
      <c r="F22670" s="13"/>
      <c r="M22670" s="13"/>
    </row>
    <row r="22671">
      <c r="F22671" s="13"/>
      <c r="M22671" s="13"/>
    </row>
    <row r="22672">
      <c r="F22672" s="13"/>
      <c r="M22672" s="13"/>
    </row>
    <row r="22673">
      <c r="F22673" s="13"/>
      <c r="M22673" s="13"/>
    </row>
    <row r="22674">
      <c r="F22674" s="13"/>
      <c r="M22674" s="13"/>
    </row>
    <row r="22675">
      <c r="F22675" s="13"/>
      <c r="M22675" s="13"/>
    </row>
    <row r="22676">
      <c r="F22676" s="13"/>
      <c r="M22676" s="13"/>
    </row>
    <row r="22677">
      <c r="F22677" s="13"/>
      <c r="M22677" s="13"/>
    </row>
    <row r="22678">
      <c r="F22678" s="13"/>
      <c r="M22678" s="13"/>
    </row>
    <row r="22679">
      <c r="F22679" s="13"/>
      <c r="M22679" s="13"/>
    </row>
    <row r="22680">
      <c r="F22680" s="13"/>
      <c r="M22680" s="13"/>
    </row>
    <row r="22681">
      <c r="F22681" s="13"/>
      <c r="M22681" s="13"/>
    </row>
    <row r="22682">
      <c r="F22682" s="13"/>
      <c r="M22682" s="13"/>
    </row>
    <row r="22683">
      <c r="F22683" s="13"/>
      <c r="M22683" s="13"/>
    </row>
    <row r="22684">
      <c r="F22684" s="13"/>
      <c r="M22684" s="13"/>
    </row>
    <row r="22685">
      <c r="F22685" s="13"/>
      <c r="M22685" s="13"/>
    </row>
    <row r="22686">
      <c r="F22686" s="13"/>
      <c r="M22686" s="13"/>
    </row>
    <row r="22687">
      <c r="F22687" s="13"/>
      <c r="M22687" s="13"/>
    </row>
    <row r="22688">
      <c r="F22688" s="13"/>
      <c r="M22688" s="13"/>
    </row>
    <row r="22689">
      <c r="F22689" s="13"/>
      <c r="M22689" s="13"/>
    </row>
    <row r="22690">
      <c r="F22690" s="13"/>
      <c r="M22690" s="13"/>
    </row>
    <row r="22691">
      <c r="F22691" s="13"/>
      <c r="M22691" s="13"/>
    </row>
    <row r="22692">
      <c r="F22692" s="13"/>
      <c r="M22692" s="13"/>
    </row>
    <row r="22693">
      <c r="F22693" s="13"/>
      <c r="M22693" s="13"/>
    </row>
    <row r="22694">
      <c r="F22694" s="13"/>
      <c r="M22694" s="13"/>
    </row>
    <row r="22695">
      <c r="F22695" s="13"/>
      <c r="M22695" s="13"/>
    </row>
    <row r="22696">
      <c r="F22696" s="13"/>
      <c r="M22696" s="13"/>
    </row>
    <row r="22697">
      <c r="F22697" s="13"/>
      <c r="M22697" s="13"/>
    </row>
    <row r="22698">
      <c r="F22698" s="13"/>
      <c r="M22698" s="13"/>
    </row>
    <row r="22699">
      <c r="F22699" s="13"/>
      <c r="M22699" s="13"/>
    </row>
    <row r="22700">
      <c r="F22700" s="13"/>
      <c r="M22700" s="13"/>
    </row>
    <row r="22701">
      <c r="F22701" s="13"/>
      <c r="M22701" s="13"/>
    </row>
    <row r="22702">
      <c r="F22702" s="13"/>
      <c r="M22702" s="13"/>
    </row>
    <row r="22703">
      <c r="F22703" s="13"/>
      <c r="M22703" s="13"/>
    </row>
    <row r="22704">
      <c r="F22704" s="13"/>
      <c r="M22704" s="13"/>
    </row>
    <row r="22705">
      <c r="F22705" s="13"/>
      <c r="M22705" s="13"/>
    </row>
    <row r="22706">
      <c r="F22706" s="13"/>
      <c r="M22706" s="13"/>
    </row>
    <row r="22707">
      <c r="F22707" s="13"/>
      <c r="M22707" s="13"/>
    </row>
    <row r="22708">
      <c r="F22708" s="13"/>
      <c r="M22708" s="13"/>
    </row>
    <row r="22709">
      <c r="F22709" s="13"/>
      <c r="M22709" s="13"/>
    </row>
    <row r="22710">
      <c r="F22710" s="13"/>
      <c r="M22710" s="13"/>
    </row>
    <row r="22711">
      <c r="F22711" s="13"/>
      <c r="M22711" s="13"/>
    </row>
    <row r="22712">
      <c r="F22712" s="13"/>
      <c r="M22712" s="13"/>
    </row>
    <row r="22713">
      <c r="F22713" s="13"/>
      <c r="M22713" s="13"/>
    </row>
    <row r="22714">
      <c r="F22714" s="13"/>
      <c r="M22714" s="13"/>
    </row>
    <row r="22715">
      <c r="F22715" s="13"/>
      <c r="M22715" s="13"/>
    </row>
    <row r="22716">
      <c r="F22716" s="13"/>
      <c r="M22716" s="13"/>
    </row>
    <row r="22717">
      <c r="F22717" s="13"/>
      <c r="M22717" s="13"/>
    </row>
    <row r="22718">
      <c r="F22718" s="13"/>
      <c r="M22718" s="13"/>
    </row>
    <row r="22719">
      <c r="F22719" s="13"/>
      <c r="M22719" s="13"/>
    </row>
    <row r="22720">
      <c r="F22720" s="13"/>
      <c r="M22720" s="13"/>
    </row>
    <row r="22721">
      <c r="F22721" s="13"/>
      <c r="M22721" s="13"/>
    </row>
    <row r="22722">
      <c r="F22722" s="13"/>
      <c r="M22722" s="13"/>
    </row>
    <row r="22723">
      <c r="F22723" s="13"/>
      <c r="M22723" s="13"/>
    </row>
    <row r="22724">
      <c r="F22724" s="13"/>
      <c r="M22724" s="13"/>
    </row>
    <row r="22725">
      <c r="F22725" s="13"/>
      <c r="M22725" s="13"/>
    </row>
    <row r="22726">
      <c r="F22726" s="13"/>
      <c r="M22726" s="13"/>
    </row>
    <row r="22727">
      <c r="F22727" s="13"/>
      <c r="M22727" s="13"/>
    </row>
    <row r="22728">
      <c r="F22728" s="13"/>
      <c r="M22728" s="13"/>
    </row>
    <row r="22729">
      <c r="F22729" s="13"/>
      <c r="M22729" s="13"/>
    </row>
    <row r="22730">
      <c r="F22730" s="13"/>
      <c r="M22730" s="13"/>
    </row>
    <row r="22731">
      <c r="F22731" s="13"/>
      <c r="M22731" s="13"/>
    </row>
    <row r="22732">
      <c r="F22732" s="13"/>
      <c r="M22732" s="13"/>
    </row>
    <row r="22733">
      <c r="F22733" s="13"/>
      <c r="M22733" s="13"/>
    </row>
    <row r="22734">
      <c r="F22734" s="13"/>
      <c r="M22734" s="13"/>
    </row>
    <row r="22735">
      <c r="F22735" s="13"/>
      <c r="M22735" s="13"/>
    </row>
    <row r="22736">
      <c r="F22736" s="13"/>
      <c r="M22736" s="13"/>
    </row>
    <row r="22737">
      <c r="F22737" s="13"/>
      <c r="M22737" s="13"/>
    </row>
    <row r="22738">
      <c r="F22738" s="13"/>
      <c r="M22738" s="13"/>
    </row>
    <row r="22739">
      <c r="F22739" s="13"/>
      <c r="M22739" s="13"/>
    </row>
    <row r="22740">
      <c r="F22740" s="13"/>
      <c r="M22740" s="13"/>
    </row>
    <row r="22741">
      <c r="F22741" s="13"/>
      <c r="M22741" s="13"/>
    </row>
    <row r="22742">
      <c r="F22742" s="13"/>
      <c r="M22742" s="13"/>
    </row>
    <row r="22743">
      <c r="F22743" s="13"/>
      <c r="M22743" s="13"/>
    </row>
    <row r="22744">
      <c r="F22744" s="13"/>
      <c r="M22744" s="13"/>
    </row>
    <row r="22745">
      <c r="F22745" s="13"/>
      <c r="M22745" s="13"/>
    </row>
    <row r="22746">
      <c r="F22746" s="13"/>
      <c r="M22746" s="13"/>
    </row>
    <row r="22747">
      <c r="F22747" s="13"/>
      <c r="M22747" s="13"/>
    </row>
    <row r="22748">
      <c r="F22748" s="13"/>
      <c r="M22748" s="13"/>
    </row>
    <row r="22749">
      <c r="F22749" s="13"/>
      <c r="M22749" s="13"/>
    </row>
    <row r="22750">
      <c r="F22750" s="13"/>
      <c r="M22750" s="13"/>
    </row>
    <row r="22751">
      <c r="F22751" s="13"/>
      <c r="M22751" s="13"/>
    </row>
    <row r="22752">
      <c r="F22752" s="13"/>
      <c r="M22752" s="13"/>
    </row>
    <row r="22753">
      <c r="F22753" s="13"/>
      <c r="M22753" s="13"/>
    </row>
    <row r="22754">
      <c r="F22754" s="13"/>
      <c r="M22754" s="13"/>
    </row>
    <row r="22755">
      <c r="F22755" s="13"/>
      <c r="M22755" s="13"/>
    </row>
    <row r="22756">
      <c r="F22756" s="13"/>
      <c r="M22756" s="13"/>
    </row>
    <row r="22757">
      <c r="F22757" s="13"/>
      <c r="M22757" s="13"/>
    </row>
    <row r="22758">
      <c r="F22758" s="13"/>
      <c r="M22758" s="13"/>
    </row>
    <row r="22759">
      <c r="F22759" s="13"/>
      <c r="M22759" s="13"/>
    </row>
    <row r="22760">
      <c r="F22760" s="13"/>
      <c r="M22760" s="13"/>
    </row>
    <row r="22761">
      <c r="F22761" s="13"/>
      <c r="M22761" s="13"/>
    </row>
    <row r="22762">
      <c r="F22762" s="13"/>
      <c r="M22762" s="13"/>
    </row>
    <row r="22763">
      <c r="F22763" s="13"/>
      <c r="M22763" s="13"/>
    </row>
    <row r="22764">
      <c r="F22764" s="13"/>
      <c r="M22764" s="13"/>
    </row>
    <row r="22765">
      <c r="F22765" s="13"/>
      <c r="M22765" s="13"/>
    </row>
    <row r="22766">
      <c r="F22766" s="13"/>
      <c r="M22766" s="13"/>
    </row>
    <row r="22767">
      <c r="F22767" s="13"/>
      <c r="M22767" s="13"/>
    </row>
    <row r="22768">
      <c r="F22768" s="13"/>
      <c r="M22768" s="13"/>
    </row>
    <row r="22769">
      <c r="F22769" s="13"/>
      <c r="M22769" s="13"/>
    </row>
    <row r="22770">
      <c r="F22770" s="13"/>
      <c r="M22770" s="13"/>
    </row>
    <row r="22771">
      <c r="F22771" s="13"/>
      <c r="M22771" s="13"/>
    </row>
    <row r="22772">
      <c r="F22772" s="13"/>
      <c r="M22772" s="13"/>
    </row>
    <row r="22773">
      <c r="F22773" s="13"/>
      <c r="M22773" s="13"/>
    </row>
    <row r="22774">
      <c r="F22774" s="13"/>
      <c r="M22774" s="13"/>
    </row>
    <row r="22775">
      <c r="F22775" s="13"/>
      <c r="M22775" s="13"/>
    </row>
    <row r="22776">
      <c r="F22776" s="13"/>
      <c r="M22776" s="13"/>
    </row>
    <row r="22777">
      <c r="F22777" s="13"/>
      <c r="M22777" s="13"/>
    </row>
    <row r="22778">
      <c r="F22778" s="13"/>
      <c r="M22778" s="13"/>
    </row>
    <row r="22779">
      <c r="F22779" s="13"/>
      <c r="M22779" s="13"/>
    </row>
    <row r="22780">
      <c r="F22780" s="13"/>
      <c r="M22780" s="13"/>
    </row>
    <row r="22781">
      <c r="F22781" s="13"/>
      <c r="M22781" s="13"/>
    </row>
    <row r="22782">
      <c r="F22782" s="13"/>
      <c r="M22782" s="13"/>
    </row>
    <row r="22783">
      <c r="F22783" s="13"/>
      <c r="M22783" s="13"/>
    </row>
    <row r="22784">
      <c r="F22784" s="13"/>
      <c r="M22784" s="13"/>
    </row>
    <row r="22785">
      <c r="F22785" s="13"/>
      <c r="M22785" s="13"/>
    </row>
    <row r="22786">
      <c r="F22786" s="13"/>
      <c r="M22786" s="13"/>
    </row>
    <row r="22787">
      <c r="F22787" s="13"/>
      <c r="M22787" s="13"/>
    </row>
    <row r="22788">
      <c r="F22788" s="13"/>
      <c r="M22788" s="13"/>
    </row>
    <row r="22789">
      <c r="F22789" s="13"/>
      <c r="M22789" s="13"/>
    </row>
    <row r="22790">
      <c r="F22790" s="13"/>
      <c r="M22790" s="13"/>
    </row>
    <row r="22791">
      <c r="F22791" s="13"/>
      <c r="M22791" s="13"/>
    </row>
    <row r="22792">
      <c r="F22792" s="13"/>
      <c r="M22792" s="13"/>
    </row>
    <row r="22793">
      <c r="F22793" s="13"/>
      <c r="M22793" s="13"/>
    </row>
    <row r="22794">
      <c r="F22794" s="13"/>
      <c r="M22794" s="13"/>
    </row>
    <row r="22795">
      <c r="F22795" s="13"/>
      <c r="M22795" s="13"/>
    </row>
    <row r="22796">
      <c r="F22796" s="13"/>
      <c r="M22796" s="13"/>
    </row>
    <row r="22797">
      <c r="F22797" s="13"/>
      <c r="M22797" s="13"/>
    </row>
    <row r="22798">
      <c r="F22798" s="13"/>
      <c r="M22798" s="13"/>
    </row>
    <row r="22799">
      <c r="F22799" s="13"/>
      <c r="M22799" s="13"/>
    </row>
    <row r="22800">
      <c r="F22800" s="13"/>
      <c r="M22800" s="13"/>
    </row>
    <row r="22801">
      <c r="F22801" s="13"/>
      <c r="M22801" s="13"/>
    </row>
    <row r="22802">
      <c r="F22802" s="13"/>
      <c r="M22802" s="13"/>
    </row>
    <row r="22803">
      <c r="F22803" s="13"/>
      <c r="M22803" s="13"/>
    </row>
    <row r="22804">
      <c r="F22804" s="13"/>
      <c r="M22804" s="13"/>
    </row>
    <row r="22805">
      <c r="F22805" s="13"/>
      <c r="M22805" s="13"/>
    </row>
    <row r="22806">
      <c r="F22806" s="13"/>
      <c r="M22806" s="13"/>
    </row>
    <row r="22807">
      <c r="F22807" s="13"/>
      <c r="M22807" s="13"/>
    </row>
    <row r="22808">
      <c r="F22808" s="13"/>
      <c r="M22808" s="13"/>
    </row>
    <row r="22809">
      <c r="F22809" s="13"/>
      <c r="M22809" s="13"/>
    </row>
    <row r="22810">
      <c r="F22810" s="13"/>
      <c r="M22810" s="13"/>
    </row>
    <row r="22811">
      <c r="F22811" s="13"/>
      <c r="M22811" s="13"/>
    </row>
    <row r="22812">
      <c r="F22812" s="13"/>
      <c r="M22812" s="13"/>
    </row>
    <row r="22813">
      <c r="F22813" s="13"/>
      <c r="M22813" s="13"/>
    </row>
    <row r="22814">
      <c r="F22814" s="13"/>
      <c r="M22814" s="13"/>
    </row>
    <row r="22815">
      <c r="F22815" s="13"/>
      <c r="M22815" s="13"/>
    </row>
    <row r="22816">
      <c r="F22816" s="13"/>
      <c r="M22816" s="13"/>
    </row>
    <row r="22817">
      <c r="F22817" s="13"/>
      <c r="M22817" s="13"/>
    </row>
    <row r="22818">
      <c r="F22818" s="13"/>
      <c r="M22818" s="13"/>
    </row>
    <row r="22819">
      <c r="F22819" s="13"/>
      <c r="M22819" s="13"/>
    </row>
    <row r="22820">
      <c r="F22820" s="13"/>
      <c r="M22820" s="13"/>
    </row>
    <row r="22821">
      <c r="F22821" s="13"/>
      <c r="M22821" s="13"/>
    </row>
    <row r="22822">
      <c r="F22822" s="13"/>
      <c r="M22822" s="13"/>
    </row>
    <row r="22823">
      <c r="F22823" s="13"/>
      <c r="M22823" s="13"/>
    </row>
    <row r="22824">
      <c r="F22824" s="13"/>
      <c r="M22824" s="13"/>
    </row>
    <row r="22825">
      <c r="F22825" s="13"/>
      <c r="M22825" s="13"/>
    </row>
    <row r="22826">
      <c r="F22826" s="13"/>
      <c r="M22826" s="13"/>
    </row>
    <row r="22827">
      <c r="F22827" s="13"/>
      <c r="M22827" s="13"/>
    </row>
    <row r="22828">
      <c r="F22828" s="13"/>
      <c r="M22828" s="13"/>
    </row>
    <row r="22829">
      <c r="F22829" s="13"/>
      <c r="M22829" s="13"/>
    </row>
    <row r="22830">
      <c r="F22830" s="13"/>
      <c r="M22830" s="13"/>
    </row>
    <row r="22831">
      <c r="F22831" s="13"/>
      <c r="M22831" s="13"/>
    </row>
    <row r="22832">
      <c r="F22832" s="13"/>
      <c r="M22832" s="13"/>
    </row>
    <row r="22833">
      <c r="F22833" s="13"/>
      <c r="M22833" s="13"/>
    </row>
    <row r="22834">
      <c r="F22834" s="13"/>
      <c r="M22834" s="13"/>
    </row>
    <row r="22835">
      <c r="F22835" s="13"/>
      <c r="M22835" s="13"/>
    </row>
    <row r="22836">
      <c r="F22836" s="13"/>
      <c r="M22836" s="13"/>
    </row>
    <row r="22837">
      <c r="F22837" s="13"/>
      <c r="M22837" s="13"/>
    </row>
    <row r="22838">
      <c r="F22838" s="13"/>
      <c r="M22838" s="13"/>
    </row>
    <row r="22839">
      <c r="F22839" s="13"/>
      <c r="M22839" s="13"/>
    </row>
    <row r="22840">
      <c r="F22840" s="13"/>
      <c r="M22840" s="13"/>
    </row>
    <row r="22841">
      <c r="F22841" s="13"/>
      <c r="M22841" s="13"/>
    </row>
    <row r="22842">
      <c r="F22842" s="13"/>
      <c r="M22842" s="13"/>
    </row>
    <row r="22843">
      <c r="F22843" s="13"/>
      <c r="M22843" s="13"/>
    </row>
    <row r="22844">
      <c r="F22844" s="13"/>
      <c r="M22844" s="13"/>
    </row>
    <row r="22845">
      <c r="F22845" s="13"/>
      <c r="M22845" s="13"/>
    </row>
    <row r="22846">
      <c r="F22846" s="13"/>
      <c r="M22846" s="13"/>
    </row>
    <row r="22847">
      <c r="F22847" s="13"/>
      <c r="M22847" s="13"/>
    </row>
    <row r="22848">
      <c r="F22848" s="13"/>
      <c r="M22848" s="13"/>
    </row>
    <row r="22849">
      <c r="F22849" s="13"/>
      <c r="M22849" s="13"/>
    </row>
    <row r="22850">
      <c r="F22850" s="13"/>
      <c r="M22850" s="13"/>
    </row>
    <row r="22851">
      <c r="F22851" s="13"/>
      <c r="M22851" s="13"/>
    </row>
    <row r="22852">
      <c r="F22852" s="13"/>
      <c r="M22852" s="13"/>
    </row>
    <row r="22853">
      <c r="F22853" s="13"/>
      <c r="M22853" s="13"/>
    </row>
    <row r="22854">
      <c r="F22854" s="13"/>
      <c r="M22854" s="13"/>
    </row>
    <row r="22855">
      <c r="F22855" s="13"/>
      <c r="M22855" s="13"/>
    </row>
    <row r="22856">
      <c r="F22856" s="13"/>
      <c r="M22856" s="13"/>
    </row>
    <row r="22857">
      <c r="F22857" s="13"/>
      <c r="M22857" s="13"/>
    </row>
    <row r="22858">
      <c r="F22858" s="13"/>
      <c r="M22858" s="13"/>
    </row>
    <row r="22859">
      <c r="F22859" s="13"/>
      <c r="M22859" s="13"/>
    </row>
    <row r="22860">
      <c r="F22860" s="13"/>
      <c r="M22860" s="13"/>
    </row>
    <row r="22861">
      <c r="F22861" s="13"/>
      <c r="M22861" s="13"/>
    </row>
    <row r="22862">
      <c r="F22862" s="13"/>
      <c r="M22862" s="13"/>
    </row>
    <row r="22863">
      <c r="F22863" s="13"/>
      <c r="M22863" s="13"/>
    </row>
    <row r="22864">
      <c r="F22864" s="13"/>
      <c r="M22864" s="13"/>
    </row>
    <row r="22865">
      <c r="F22865" s="13"/>
      <c r="M22865" s="13"/>
    </row>
    <row r="22866">
      <c r="F22866" s="13"/>
      <c r="M22866" s="13"/>
    </row>
    <row r="22867">
      <c r="F22867" s="13"/>
      <c r="M22867" s="13"/>
    </row>
    <row r="22868">
      <c r="F22868" s="13"/>
      <c r="M22868" s="13"/>
    </row>
    <row r="22869">
      <c r="F22869" s="13"/>
      <c r="M22869" s="13"/>
    </row>
    <row r="22870">
      <c r="F22870" s="13"/>
      <c r="M22870" s="13"/>
    </row>
    <row r="22871">
      <c r="F22871" s="13"/>
      <c r="M22871" s="13"/>
    </row>
    <row r="22872">
      <c r="F22872" s="13"/>
      <c r="M22872" s="13"/>
    </row>
    <row r="22873">
      <c r="F22873" s="13"/>
      <c r="M22873" s="13"/>
    </row>
    <row r="22874">
      <c r="F22874" s="13"/>
      <c r="M22874" s="13"/>
    </row>
    <row r="22875">
      <c r="F22875" s="13"/>
      <c r="M22875" s="13"/>
    </row>
    <row r="22876">
      <c r="F22876" s="13"/>
      <c r="M22876" s="13"/>
    </row>
    <row r="22877">
      <c r="F22877" s="13"/>
      <c r="M22877" s="13"/>
    </row>
    <row r="22878">
      <c r="F22878" s="13"/>
      <c r="M22878" s="13"/>
    </row>
    <row r="22879">
      <c r="F22879" s="13"/>
      <c r="M22879" s="13"/>
    </row>
    <row r="22880">
      <c r="F22880" s="13"/>
      <c r="M22880" s="13"/>
    </row>
    <row r="22881">
      <c r="F22881" s="13"/>
      <c r="M22881" s="13"/>
    </row>
    <row r="22882">
      <c r="F22882" s="13"/>
      <c r="M22882" s="13"/>
    </row>
    <row r="22883">
      <c r="F22883" s="13"/>
      <c r="M22883" s="13"/>
    </row>
    <row r="22884">
      <c r="F22884" s="13"/>
      <c r="M22884" s="13"/>
    </row>
    <row r="22885">
      <c r="F22885" s="13"/>
      <c r="M22885" s="13"/>
    </row>
    <row r="22886">
      <c r="F22886" s="13"/>
      <c r="M22886" s="13"/>
    </row>
    <row r="22887">
      <c r="F22887" s="13"/>
      <c r="M22887" s="13"/>
    </row>
    <row r="22888">
      <c r="F22888" s="13"/>
      <c r="M22888" s="13"/>
    </row>
    <row r="22889">
      <c r="F22889" s="13"/>
      <c r="M22889" s="13"/>
    </row>
    <row r="22890">
      <c r="F22890" s="13"/>
      <c r="M22890" s="13"/>
    </row>
    <row r="22891">
      <c r="F22891" s="13"/>
      <c r="M22891" s="13"/>
    </row>
    <row r="22892">
      <c r="F22892" s="13"/>
      <c r="M22892" s="13"/>
    </row>
    <row r="22893">
      <c r="F22893" s="13"/>
      <c r="M22893" s="13"/>
    </row>
    <row r="22894">
      <c r="F22894" s="13"/>
      <c r="M22894" s="13"/>
    </row>
    <row r="22895">
      <c r="F22895" s="13"/>
      <c r="M22895" s="13"/>
    </row>
    <row r="22896">
      <c r="F22896" s="13"/>
      <c r="M22896" s="13"/>
    </row>
    <row r="22897">
      <c r="F22897" s="13"/>
      <c r="M22897" s="13"/>
    </row>
    <row r="22898">
      <c r="F22898" s="13"/>
      <c r="M22898" s="13"/>
    </row>
    <row r="22899">
      <c r="F22899" s="13"/>
      <c r="M22899" s="13"/>
    </row>
    <row r="22900">
      <c r="F22900" s="13"/>
      <c r="M22900" s="13"/>
    </row>
    <row r="22901">
      <c r="F22901" s="13"/>
      <c r="M22901" s="13"/>
    </row>
    <row r="22902">
      <c r="F22902" s="13"/>
      <c r="M22902" s="13"/>
    </row>
    <row r="22903">
      <c r="F22903" s="13"/>
      <c r="M22903" s="13"/>
    </row>
    <row r="22904">
      <c r="F22904" s="13"/>
      <c r="M22904" s="13"/>
    </row>
    <row r="22905">
      <c r="F22905" s="13"/>
      <c r="M22905" s="13"/>
    </row>
    <row r="22906">
      <c r="F22906" s="13"/>
      <c r="M22906" s="13"/>
    </row>
    <row r="22907">
      <c r="F22907" s="13"/>
      <c r="M22907" s="13"/>
    </row>
    <row r="22908">
      <c r="F22908" s="13"/>
      <c r="M22908" s="13"/>
    </row>
    <row r="22909">
      <c r="F22909" s="13"/>
      <c r="M22909" s="13"/>
    </row>
    <row r="22910">
      <c r="F22910" s="13"/>
      <c r="M22910" s="13"/>
    </row>
    <row r="22911">
      <c r="F22911" s="13"/>
      <c r="M22911" s="13"/>
    </row>
    <row r="22912">
      <c r="F22912" s="13"/>
      <c r="M22912" s="13"/>
    </row>
    <row r="22913">
      <c r="F22913" s="13"/>
      <c r="M22913" s="13"/>
    </row>
    <row r="22914">
      <c r="F22914" s="13"/>
      <c r="M22914" s="13"/>
    </row>
    <row r="22915">
      <c r="F22915" s="13"/>
      <c r="M22915" s="13"/>
    </row>
    <row r="22916">
      <c r="F22916" s="13"/>
      <c r="M22916" s="13"/>
    </row>
    <row r="22917">
      <c r="F22917" s="13"/>
      <c r="M22917" s="13"/>
    </row>
    <row r="22918">
      <c r="F22918" s="13"/>
      <c r="M22918" s="13"/>
    </row>
    <row r="22919">
      <c r="F22919" s="13"/>
      <c r="M22919" s="13"/>
    </row>
    <row r="22920">
      <c r="F22920" s="13"/>
      <c r="M22920" s="13"/>
    </row>
    <row r="22921">
      <c r="F22921" s="13"/>
      <c r="M22921" s="13"/>
    </row>
    <row r="22922">
      <c r="F22922" s="13"/>
      <c r="M22922" s="13"/>
    </row>
    <row r="22923">
      <c r="F22923" s="13"/>
      <c r="M22923" s="13"/>
    </row>
    <row r="22924">
      <c r="F22924" s="13"/>
      <c r="M22924" s="13"/>
    </row>
    <row r="22925">
      <c r="F22925" s="13"/>
      <c r="M22925" s="13"/>
    </row>
    <row r="22926">
      <c r="F22926" s="13"/>
      <c r="M22926" s="13"/>
    </row>
    <row r="22927">
      <c r="F22927" s="13"/>
      <c r="M22927" s="13"/>
    </row>
    <row r="22928">
      <c r="F22928" s="13"/>
      <c r="M22928" s="13"/>
    </row>
    <row r="22929">
      <c r="F22929" s="13"/>
      <c r="M22929" s="13"/>
    </row>
    <row r="22930">
      <c r="F22930" s="13"/>
      <c r="M22930" s="13"/>
    </row>
    <row r="22931">
      <c r="F22931" s="13"/>
      <c r="M22931" s="13"/>
    </row>
    <row r="22932">
      <c r="F22932" s="13"/>
      <c r="M22932" s="13"/>
    </row>
    <row r="22933">
      <c r="F22933" s="13"/>
      <c r="M22933" s="13"/>
    </row>
    <row r="22934">
      <c r="F22934" s="13"/>
      <c r="M22934" s="13"/>
    </row>
    <row r="22935">
      <c r="F22935" s="13"/>
      <c r="M22935" s="13"/>
    </row>
    <row r="22936">
      <c r="F22936" s="13"/>
      <c r="M22936" s="13"/>
    </row>
    <row r="22937">
      <c r="F22937" s="13"/>
      <c r="M22937" s="13"/>
    </row>
    <row r="22938">
      <c r="F22938" s="13"/>
      <c r="M22938" s="13"/>
    </row>
    <row r="22939">
      <c r="F22939" s="13"/>
      <c r="M22939" s="13"/>
    </row>
    <row r="22940">
      <c r="F22940" s="13"/>
      <c r="M22940" s="13"/>
    </row>
    <row r="22941">
      <c r="F22941" s="13"/>
      <c r="M22941" s="13"/>
    </row>
    <row r="22942">
      <c r="F22942" s="13"/>
      <c r="M22942" s="13"/>
    </row>
    <row r="22943">
      <c r="F22943" s="13"/>
      <c r="M22943" s="13"/>
    </row>
    <row r="22944">
      <c r="F22944" s="13"/>
      <c r="M22944" s="13"/>
    </row>
    <row r="22945">
      <c r="F22945" s="13"/>
      <c r="M22945" s="13"/>
    </row>
    <row r="22946">
      <c r="F22946" s="13"/>
      <c r="M22946" s="13"/>
    </row>
    <row r="22947">
      <c r="F22947" s="13"/>
      <c r="M22947" s="13"/>
    </row>
    <row r="22948">
      <c r="F22948" s="13"/>
      <c r="M22948" s="13"/>
    </row>
    <row r="22949">
      <c r="F22949" s="13"/>
      <c r="M22949" s="13"/>
    </row>
    <row r="22950">
      <c r="F22950" s="13"/>
      <c r="M22950" s="13"/>
    </row>
    <row r="22951">
      <c r="F22951" s="13"/>
      <c r="M22951" s="13"/>
    </row>
    <row r="22952">
      <c r="F22952" s="13"/>
      <c r="M22952" s="13"/>
    </row>
    <row r="22953">
      <c r="F22953" s="13"/>
      <c r="M22953" s="13"/>
    </row>
    <row r="22954">
      <c r="F22954" s="13"/>
      <c r="M22954" s="13"/>
    </row>
    <row r="22955">
      <c r="F22955" s="13"/>
      <c r="M22955" s="13"/>
    </row>
    <row r="22956">
      <c r="F22956" s="13"/>
      <c r="M22956" s="13"/>
    </row>
    <row r="22957">
      <c r="F22957" s="13"/>
      <c r="M22957" s="13"/>
    </row>
    <row r="22958">
      <c r="F22958" s="13"/>
      <c r="M22958" s="13"/>
    </row>
    <row r="22959">
      <c r="F22959" s="13"/>
      <c r="M22959" s="13"/>
    </row>
    <row r="22960">
      <c r="F22960" s="13"/>
      <c r="M22960" s="13"/>
    </row>
    <row r="22961">
      <c r="F22961" s="13"/>
      <c r="M22961" s="13"/>
    </row>
    <row r="22962">
      <c r="F22962" s="13"/>
      <c r="M22962" s="13"/>
    </row>
    <row r="22963">
      <c r="F22963" s="13"/>
      <c r="M22963" s="13"/>
    </row>
    <row r="22964">
      <c r="F22964" s="13"/>
      <c r="M22964" s="13"/>
    </row>
    <row r="22965">
      <c r="F22965" s="13"/>
      <c r="M22965" s="13"/>
    </row>
    <row r="22966">
      <c r="F22966" s="13"/>
      <c r="M22966" s="13"/>
    </row>
    <row r="22967">
      <c r="F22967" s="13"/>
      <c r="M22967" s="13"/>
    </row>
    <row r="22968">
      <c r="F22968" s="13"/>
      <c r="M22968" s="13"/>
    </row>
    <row r="22969">
      <c r="F22969" s="13"/>
      <c r="M22969" s="13"/>
    </row>
    <row r="22970">
      <c r="F22970" s="13"/>
      <c r="M22970" s="13"/>
    </row>
    <row r="22971">
      <c r="F22971" s="13"/>
      <c r="M22971" s="13"/>
    </row>
    <row r="22972">
      <c r="F22972" s="13"/>
      <c r="M22972" s="13"/>
    </row>
    <row r="22973">
      <c r="F22973" s="13"/>
      <c r="M22973" s="13"/>
    </row>
    <row r="22974">
      <c r="F22974" s="13"/>
      <c r="M22974" s="13"/>
    </row>
    <row r="22975">
      <c r="F22975" s="13"/>
      <c r="M22975" s="13"/>
    </row>
    <row r="22976">
      <c r="F22976" s="13"/>
      <c r="M22976" s="13"/>
    </row>
    <row r="22977">
      <c r="F22977" s="13"/>
      <c r="M22977" s="13"/>
    </row>
    <row r="22978">
      <c r="F22978" s="13"/>
      <c r="M22978" s="13"/>
    </row>
    <row r="22979">
      <c r="F22979" s="13"/>
      <c r="M22979" s="13"/>
    </row>
    <row r="22980">
      <c r="F22980" s="13"/>
      <c r="M22980" s="13"/>
    </row>
    <row r="22981">
      <c r="F22981" s="13"/>
      <c r="M22981" s="13"/>
    </row>
    <row r="22982">
      <c r="F22982" s="13"/>
      <c r="M22982" s="13"/>
    </row>
    <row r="22983">
      <c r="F22983" s="13"/>
      <c r="M22983" s="13"/>
    </row>
    <row r="22984">
      <c r="F22984" s="13"/>
      <c r="M22984" s="13"/>
    </row>
    <row r="22985">
      <c r="F22985" s="13"/>
      <c r="M22985" s="13"/>
    </row>
    <row r="22986">
      <c r="F22986" s="13"/>
      <c r="M22986" s="13"/>
    </row>
    <row r="22987">
      <c r="F22987" s="13"/>
      <c r="M22987" s="13"/>
    </row>
    <row r="22988">
      <c r="F22988" s="13"/>
      <c r="M22988" s="13"/>
    </row>
    <row r="22989">
      <c r="F22989" s="13"/>
      <c r="M22989" s="13"/>
    </row>
    <row r="22990">
      <c r="F22990" s="13"/>
      <c r="M22990" s="13"/>
    </row>
    <row r="22991">
      <c r="F22991" s="13"/>
      <c r="M22991" s="13"/>
    </row>
    <row r="22992">
      <c r="F22992" s="13"/>
      <c r="M22992" s="13"/>
    </row>
    <row r="22993">
      <c r="F22993" s="13"/>
      <c r="M22993" s="13"/>
    </row>
    <row r="22994">
      <c r="F22994" s="13"/>
      <c r="M22994" s="13"/>
    </row>
    <row r="22995">
      <c r="F22995" s="13"/>
      <c r="M22995" s="13"/>
    </row>
    <row r="22996">
      <c r="F22996" s="13"/>
      <c r="M22996" s="13"/>
    </row>
    <row r="22997">
      <c r="F22997" s="13"/>
      <c r="M22997" s="13"/>
    </row>
    <row r="22998">
      <c r="F22998" s="13"/>
      <c r="M22998" s="13"/>
    </row>
    <row r="22999">
      <c r="F22999" s="13"/>
      <c r="M22999" s="13"/>
    </row>
    <row r="23000">
      <c r="F23000" s="13"/>
      <c r="M23000" s="13"/>
    </row>
    <row r="23001">
      <c r="F23001" s="13"/>
      <c r="M23001" s="13"/>
    </row>
    <row r="23002">
      <c r="F23002" s="13"/>
      <c r="M23002" s="13"/>
    </row>
    <row r="23003">
      <c r="F23003" s="13"/>
      <c r="M23003" s="13"/>
    </row>
    <row r="23004">
      <c r="F23004" s="13"/>
      <c r="M23004" s="13"/>
    </row>
    <row r="23005">
      <c r="F23005" s="13"/>
      <c r="M23005" s="13"/>
    </row>
    <row r="23006">
      <c r="F23006" s="13"/>
      <c r="M23006" s="13"/>
    </row>
    <row r="23007">
      <c r="F23007" s="13"/>
      <c r="M23007" s="13"/>
    </row>
    <row r="23008">
      <c r="F23008" s="13"/>
      <c r="M23008" s="13"/>
    </row>
    <row r="23009">
      <c r="F23009" s="13"/>
      <c r="M23009" s="13"/>
    </row>
    <row r="23010">
      <c r="F23010" s="13"/>
      <c r="M23010" s="13"/>
    </row>
    <row r="23011">
      <c r="F23011" s="13"/>
      <c r="M23011" s="13"/>
    </row>
    <row r="23012">
      <c r="F23012" s="13"/>
      <c r="M23012" s="13"/>
    </row>
    <row r="23013">
      <c r="F23013" s="13"/>
      <c r="M23013" s="13"/>
    </row>
    <row r="23014">
      <c r="F23014" s="13"/>
      <c r="M23014" s="13"/>
    </row>
    <row r="23015">
      <c r="F23015" s="13"/>
      <c r="M23015" s="13"/>
    </row>
    <row r="23016">
      <c r="F23016" s="13"/>
      <c r="M23016" s="13"/>
    </row>
    <row r="23017">
      <c r="F23017" s="13"/>
      <c r="M23017" s="13"/>
    </row>
    <row r="23018">
      <c r="F23018" s="13"/>
      <c r="M23018" s="13"/>
    </row>
    <row r="23019">
      <c r="F23019" s="13"/>
      <c r="M23019" s="13"/>
    </row>
    <row r="23020">
      <c r="F23020" s="13"/>
      <c r="M23020" s="13"/>
    </row>
    <row r="23021">
      <c r="F23021" s="13"/>
      <c r="M23021" s="13"/>
    </row>
    <row r="23022">
      <c r="F23022" s="13"/>
      <c r="M23022" s="13"/>
    </row>
    <row r="23023">
      <c r="F23023" s="13"/>
      <c r="M23023" s="13"/>
    </row>
    <row r="23024">
      <c r="F23024" s="13"/>
      <c r="M23024" s="13"/>
    </row>
    <row r="23025">
      <c r="F23025" s="13"/>
      <c r="M23025" s="13"/>
    </row>
    <row r="23026">
      <c r="F23026" s="13"/>
      <c r="M23026" s="13"/>
    </row>
    <row r="23027">
      <c r="F23027" s="13"/>
      <c r="M23027" s="13"/>
    </row>
    <row r="23028">
      <c r="F23028" s="13"/>
      <c r="M23028" s="13"/>
    </row>
    <row r="23029">
      <c r="F23029" s="13"/>
      <c r="M23029" s="13"/>
    </row>
    <row r="23030">
      <c r="F23030" s="13"/>
      <c r="M23030" s="13"/>
    </row>
    <row r="23031">
      <c r="F23031" s="13"/>
      <c r="M23031" s="13"/>
    </row>
    <row r="23032">
      <c r="F23032" s="13"/>
      <c r="M23032" s="13"/>
    </row>
    <row r="23033">
      <c r="F23033" s="13"/>
      <c r="M23033" s="13"/>
    </row>
    <row r="23034">
      <c r="F23034" s="13"/>
      <c r="M23034" s="13"/>
    </row>
    <row r="23035">
      <c r="F23035" s="13"/>
      <c r="M23035" s="13"/>
    </row>
    <row r="23036">
      <c r="F23036" s="13"/>
      <c r="M23036" s="13"/>
    </row>
    <row r="23037">
      <c r="F23037" s="13"/>
      <c r="M23037" s="13"/>
    </row>
    <row r="23038">
      <c r="F23038" s="13"/>
      <c r="M23038" s="13"/>
    </row>
    <row r="23039">
      <c r="F23039" s="13"/>
      <c r="M23039" s="13"/>
    </row>
    <row r="23040">
      <c r="F23040" s="13"/>
      <c r="M23040" s="13"/>
    </row>
    <row r="23041">
      <c r="F23041" s="13"/>
      <c r="M23041" s="13"/>
    </row>
    <row r="23042">
      <c r="F23042" s="13"/>
      <c r="M23042" s="13"/>
    </row>
    <row r="23043">
      <c r="F23043" s="13"/>
      <c r="M23043" s="13"/>
    </row>
    <row r="23044">
      <c r="F23044" s="13"/>
      <c r="M23044" s="13"/>
    </row>
    <row r="23045">
      <c r="F23045" s="13"/>
      <c r="M23045" s="13"/>
    </row>
    <row r="23046">
      <c r="F23046" s="13"/>
      <c r="M23046" s="13"/>
    </row>
    <row r="23047">
      <c r="F23047" s="13"/>
      <c r="M23047" s="13"/>
    </row>
    <row r="23048">
      <c r="F23048" s="13"/>
      <c r="M23048" s="13"/>
    </row>
    <row r="23049">
      <c r="F23049" s="13"/>
      <c r="M23049" s="13"/>
    </row>
    <row r="23050">
      <c r="F23050" s="13"/>
      <c r="M23050" s="13"/>
    </row>
    <row r="23051">
      <c r="F23051" s="13"/>
      <c r="M23051" s="13"/>
    </row>
    <row r="23052">
      <c r="F23052" s="13"/>
      <c r="M23052" s="13"/>
    </row>
    <row r="23053">
      <c r="F23053" s="13"/>
      <c r="M23053" s="13"/>
    </row>
    <row r="23054">
      <c r="F23054" s="13"/>
      <c r="M23054" s="13"/>
    </row>
    <row r="23055">
      <c r="F23055" s="13"/>
      <c r="M23055" s="13"/>
    </row>
    <row r="23056">
      <c r="F23056" s="13"/>
      <c r="M23056" s="13"/>
    </row>
    <row r="23057">
      <c r="F23057" s="13"/>
      <c r="M23057" s="13"/>
    </row>
    <row r="23058">
      <c r="F23058" s="13"/>
      <c r="M23058" s="13"/>
    </row>
    <row r="23059">
      <c r="F23059" s="13"/>
      <c r="M23059" s="13"/>
    </row>
    <row r="23060">
      <c r="F23060" s="13"/>
      <c r="M23060" s="13"/>
    </row>
    <row r="23061">
      <c r="F23061" s="13"/>
      <c r="M23061" s="13"/>
    </row>
    <row r="23062">
      <c r="F23062" s="13"/>
      <c r="M23062" s="13"/>
    </row>
    <row r="23063">
      <c r="F23063" s="13"/>
      <c r="M23063" s="13"/>
    </row>
    <row r="23064">
      <c r="F23064" s="13"/>
      <c r="M23064" s="13"/>
    </row>
    <row r="23065">
      <c r="F23065" s="13"/>
      <c r="M23065" s="13"/>
    </row>
    <row r="23066">
      <c r="F23066" s="13"/>
      <c r="M23066" s="13"/>
    </row>
    <row r="23067">
      <c r="F23067" s="13"/>
      <c r="M23067" s="13"/>
    </row>
    <row r="23068">
      <c r="F23068" s="13"/>
      <c r="M23068" s="13"/>
    </row>
    <row r="23069">
      <c r="F23069" s="13"/>
      <c r="M23069" s="13"/>
    </row>
    <row r="23070">
      <c r="F23070" s="13"/>
      <c r="M23070" s="13"/>
    </row>
    <row r="23071">
      <c r="F23071" s="13"/>
      <c r="M23071" s="13"/>
    </row>
    <row r="23072">
      <c r="F23072" s="13"/>
      <c r="M23072" s="13"/>
    </row>
    <row r="23073">
      <c r="F23073" s="13"/>
      <c r="M23073" s="13"/>
    </row>
    <row r="23074">
      <c r="F23074" s="13"/>
      <c r="M23074" s="13"/>
    </row>
    <row r="23075">
      <c r="F23075" s="13"/>
      <c r="M23075" s="13"/>
    </row>
    <row r="23076">
      <c r="F23076" s="13"/>
      <c r="M23076" s="13"/>
    </row>
    <row r="23077">
      <c r="F23077" s="13"/>
      <c r="M23077" s="13"/>
    </row>
    <row r="23078">
      <c r="F23078" s="13"/>
      <c r="M23078" s="13"/>
    </row>
    <row r="23079">
      <c r="F23079" s="13"/>
      <c r="M23079" s="13"/>
    </row>
    <row r="23080">
      <c r="F23080" s="13"/>
      <c r="M23080" s="13"/>
    </row>
    <row r="23081">
      <c r="F23081" s="13"/>
      <c r="M23081" s="13"/>
    </row>
    <row r="23082">
      <c r="F23082" s="13"/>
      <c r="M23082" s="13"/>
    </row>
    <row r="23083">
      <c r="F23083" s="13"/>
      <c r="M23083" s="13"/>
    </row>
    <row r="23084">
      <c r="F23084" s="13"/>
      <c r="M23084" s="13"/>
    </row>
    <row r="23085">
      <c r="F23085" s="13"/>
      <c r="M23085" s="13"/>
    </row>
    <row r="23086">
      <c r="F23086" s="13"/>
      <c r="M23086" s="13"/>
    </row>
    <row r="23087">
      <c r="F23087" s="13"/>
      <c r="M23087" s="13"/>
    </row>
    <row r="23088">
      <c r="F23088" s="13"/>
      <c r="M23088" s="13"/>
    </row>
    <row r="23089">
      <c r="F23089" s="13"/>
      <c r="M23089" s="13"/>
    </row>
    <row r="23090">
      <c r="F23090" s="13"/>
      <c r="M23090" s="13"/>
    </row>
    <row r="23091">
      <c r="F23091" s="13"/>
      <c r="M23091" s="13"/>
    </row>
    <row r="23092">
      <c r="F23092" s="13"/>
      <c r="M23092" s="13"/>
    </row>
    <row r="23093">
      <c r="F23093" s="13"/>
      <c r="M23093" s="13"/>
    </row>
    <row r="23094">
      <c r="F23094" s="13"/>
      <c r="M23094" s="13"/>
    </row>
    <row r="23095">
      <c r="F23095" s="13"/>
      <c r="M23095" s="13"/>
    </row>
    <row r="23096">
      <c r="F23096" s="13"/>
      <c r="M23096" s="13"/>
    </row>
    <row r="23097">
      <c r="F23097" s="13"/>
      <c r="M23097" s="13"/>
    </row>
    <row r="23098">
      <c r="F23098" s="13"/>
      <c r="M23098" s="13"/>
    </row>
    <row r="23099">
      <c r="F23099" s="13"/>
      <c r="M23099" s="13"/>
    </row>
    <row r="23100">
      <c r="F23100" s="13"/>
      <c r="M23100" s="13"/>
    </row>
    <row r="23101">
      <c r="F23101" s="13"/>
      <c r="M23101" s="13"/>
    </row>
    <row r="23102">
      <c r="F23102" s="13"/>
      <c r="M23102" s="13"/>
    </row>
    <row r="23103">
      <c r="F23103" s="13"/>
      <c r="M23103" s="13"/>
    </row>
    <row r="23104">
      <c r="F23104" s="13"/>
      <c r="M23104" s="13"/>
    </row>
    <row r="23105">
      <c r="F23105" s="13"/>
      <c r="M23105" s="13"/>
    </row>
    <row r="23106">
      <c r="F23106" s="13"/>
      <c r="M23106" s="13"/>
    </row>
    <row r="23107">
      <c r="F23107" s="13"/>
      <c r="M23107" s="13"/>
    </row>
    <row r="23108">
      <c r="F23108" s="13"/>
      <c r="M23108" s="13"/>
    </row>
    <row r="23109">
      <c r="F23109" s="13"/>
      <c r="M23109" s="13"/>
    </row>
    <row r="23110">
      <c r="F23110" s="13"/>
      <c r="M23110" s="13"/>
    </row>
    <row r="23111">
      <c r="F23111" s="13"/>
      <c r="M23111" s="13"/>
    </row>
    <row r="23112">
      <c r="F23112" s="13"/>
      <c r="M23112" s="13"/>
    </row>
    <row r="23113">
      <c r="F23113" s="13"/>
      <c r="M23113" s="13"/>
    </row>
    <row r="23114">
      <c r="F23114" s="13"/>
      <c r="M23114" s="13"/>
    </row>
    <row r="23115">
      <c r="F23115" s="13"/>
      <c r="M23115" s="13"/>
    </row>
    <row r="23116">
      <c r="F23116" s="13"/>
      <c r="M23116" s="13"/>
    </row>
    <row r="23117">
      <c r="F23117" s="13"/>
      <c r="M23117" s="13"/>
    </row>
    <row r="23118">
      <c r="F23118" s="13"/>
      <c r="M23118" s="13"/>
    </row>
    <row r="23119">
      <c r="F23119" s="13"/>
      <c r="M23119" s="13"/>
    </row>
    <row r="23120">
      <c r="F23120" s="13"/>
      <c r="M23120" s="13"/>
    </row>
    <row r="23121">
      <c r="F23121" s="13"/>
      <c r="M23121" s="13"/>
    </row>
    <row r="23122">
      <c r="F23122" s="13"/>
      <c r="M23122" s="13"/>
    </row>
    <row r="23123">
      <c r="F23123" s="13"/>
      <c r="M23123" s="13"/>
    </row>
    <row r="23124">
      <c r="F23124" s="13"/>
      <c r="M23124" s="13"/>
    </row>
    <row r="23125">
      <c r="F23125" s="13"/>
      <c r="M23125" s="13"/>
    </row>
    <row r="23126">
      <c r="F23126" s="13"/>
      <c r="M23126" s="13"/>
    </row>
    <row r="23127">
      <c r="F23127" s="13"/>
      <c r="M23127" s="13"/>
    </row>
    <row r="23128">
      <c r="F23128" s="13"/>
      <c r="M23128" s="13"/>
    </row>
    <row r="23129">
      <c r="F23129" s="13"/>
      <c r="M23129" s="13"/>
    </row>
    <row r="23130">
      <c r="F23130" s="13"/>
      <c r="M23130" s="13"/>
    </row>
    <row r="23131">
      <c r="F23131" s="13"/>
      <c r="M23131" s="13"/>
    </row>
    <row r="23132">
      <c r="F23132" s="13"/>
      <c r="M23132" s="13"/>
    </row>
    <row r="23133">
      <c r="F23133" s="13"/>
      <c r="M23133" s="13"/>
    </row>
    <row r="23134">
      <c r="F23134" s="13"/>
      <c r="M23134" s="13"/>
    </row>
    <row r="23135">
      <c r="F23135" s="13"/>
      <c r="M23135" s="13"/>
    </row>
    <row r="23136">
      <c r="F23136" s="13"/>
      <c r="M23136" s="13"/>
    </row>
    <row r="23137">
      <c r="F23137" s="13"/>
      <c r="M23137" s="13"/>
    </row>
    <row r="23138">
      <c r="F23138" s="13"/>
      <c r="M23138" s="13"/>
    </row>
    <row r="23139">
      <c r="F23139" s="13"/>
      <c r="M23139" s="13"/>
    </row>
    <row r="23140">
      <c r="F23140" s="13"/>
      <c r="M23140" s="13"/>
    </row>
    <row r="23141">
      <c r="F23141" s="13"/>
      <c r="M23141" s="13"/>
    </row>
    <row r="23142">
      <c r="F23142" s="13"/>
      <c r="M23142" s="13"/>
    </row>
    <row r="23143">
      <c r="F23143" s="13"/>
      <c r="M23143" s="13"/>
    </row>
    <row r="23144">
      <c r="F23144" s="13"/>
      <c r="M23144" s="13"/>
    </row>
    <row r="23145">
      <c r="F23145" s="13"/>
      <c r="M23145" s="13"/>
    </row>
    <row r="23146">
      <c r="F23146" s="13"/>
      <c r="M23146" s="13"/>
    </row>
    <row r="23147">
      <c r="F23147" s="13"/>
      <c r="M23147" s="13"/>
    </row>
    <row r="23148">
      <c r="F23148" s="13"/>
      <c r="M23148" s="13"/>
    </row>
    <row r="23149">
      <c r="F23149" s="13"/>
      <c r="M23149" s="13"/>
    </row>
    <row r="23150">
      <c r="F23150" s="13"/>
      <c r="M23150" s="13"/>
    </row>
    <row r="23151">
      <c r="F23151" s="13"/>
      <c r="M23151" s="13"/>
    </row>
    <row r="23152">
      <c r="F23152" s="13"/>
      <c r="M23152" s="13"/>
    </row>
    <row r="23153">
      <c r="F23153" s="13"/>
      <c r="M23153" s="13"/>
    </row>
    <row r="23154">
      <c r="F23154" s="13"/>
      <c r="M23154" s="13"/>
    </row>
    <row r="23155">
      <c r="F23155" s="13"/>
      <c r="M23155" s="13"/>
    </row>
    <row r="23156">
      <c r="F23156" s="13"/>
      <c r="M23156" s="13"/>
    </row>
    <row r="23157">
      <c r="F23157" s="13"/>
      <c r="M23157" s="13"/>
    </row>
    <row r="23158">
      <c r="F23158" s="13"/>
      <c r="M23158" s="13"/>
    </row>
    <row r="23159">
      <c r="F23159" s="13"/>
      <c r="M23159" s="13"/>
    </row>
    <row r="23160">
      <c r="F23160" s="13"/>
      <c r="M23160" s="13"/>
    </row>
    <row r="23161">
      <c r="F23161" s="13"/>
      <c r="M23161" s="13"/>
    </row>
    <row r="23162">
      <c r="F23162" s="13"/>
      <c r="M23162" s="13"/>
    </row>
    <row r="23163">
      <c r="F23163" s="13"/>
      <c r="M23163" s="13"/>
    </row>
    <row r="23164">
      <c r="F23164" s="13"/>
      <c r="M23164" s="13"/>
    </row>
    <row r="23165">
      <c r="F23165" s="13"/>
      <c r="M23165" s="13"/>
    </row>
    <row r="23166">
      <c r="F23166" s="13"/>
      <c r="M23166" s="13"/>
    </row>
    <row r="23167">
      <c r="F23167" s="13"/>
      <c r="M23167" s="13"/>
    </row>
    <row r="23168">
      <c r="F23168" s="13"/>
      <c r="M23168" s="13"/>
    </row>
    <row r="23169">
      <c r="F23169" s="13"/>
      <c r="M23169" s="13"/>
    </row>
    <row r="23170">
      <c r="F23170" s="13"/>
      <c r="M23170" s="13"/>
    </row>
    <row r="23171">
      <c r="F23171" s="13"/>
      <c r="M23171" s="13"/>
    </row>
    <row r="23172">
      <c r="F23172" s="13"/>
      <c r="M23172" s="13"/>
    </row>
    <row r="23173">
      <c r="F23173" s="13"/>
      <c r="M23173" s="13"/>
    </row>
    <row r="23174">
      <c r="F23174" s="13"/>
      <c r="M23174" s="13"/>
    </row>
    <row r="23175">
      <c r="F23175" s="13"/>
      <c r="M23175" s="13"/>
    </row>
    <row r="23176">
      <c r="F23176" s="13"/>
      <c r="M23176" s="13"/>
    </row>
    <row r="23177">
      <c r="F23177" s="13"/>
      <c r="M23177" s="13"/>
    </row>
    <row r="23178">
      <c r="F23178" s="13"/>
      <c r="M23178" s="13"/>
    </row>
    <row r="23179">
      <c r="F23179" s="13"/>
      <c r="M23179" s="13"/>
    </row>
    <row r="23180">
      <c r="F23180" s="13"/>
      <c r="M23180" s="13"/>
    </row>
    <row r="23181">
      <c r="F23181" s="13"/>
      <c r="M23181" s="13"/>
    </row>
    <row r="23182">
      <c r="F23182" s="13"/>
      <c r="M23182" s="13"/>
    </row>
    <row r="23183">
      <c r="F23183" s="13"/>
      <c r="M23183" s="13"/>
    </row>
    <row r="23184">
      <c r="F23184" s="13"/>
      <c r="M23184" s="13"/>
    </row>
    <row r="23185">
      <c r="F23185" s="13"/>
      <c r="M23185" s="13"/>
    </row>
    <row r="23186">
      <c r="F23186" s="13"/>
      <c r="M23186" s="13"/>
    </row>
    <row r="23187">
      <c r="F23187" s="13"/>
      <c r="M23187" s="13"/>
    </row>
    <row r="23188">
      <c r="F23188" s="13"/>
      <c r="M23188" s="13"/>
    </row>
    <row r="23189">
      <c r="F23189" s="13"/>
      <c r="M23189" s="13"/>
    </row>
    <row r="23190">
      <c r="F23190" s="13"/>
      <c r="M23190" s="13"/>
    </row>
    <row r="23191">
      <c r="F23191" s="13"/>
      <c r="M23191" s="13"/>
    </row>
    <row r="23192">
      <c r="F23192" s="13"/>
      <c r="M23192" s="13"/>
    </row>
    <row r="23193">
      <c r="F23193" s="13"/>
      <c r="M23193" s="13"/>
    </row>
    <row r="23194">
      <c r="F23194" s="13"/>
      <c r="M23194" s="13"/>
    </row>
    <row r="23195">
      <c r="F23195" s="13"/>
      <c r="M23195" s="13"/>
    </row>
    <row r="23196">
      <c r="F23196" s="13"/>
      <c r="M23196" s="13"/>
    </row>
    <row r="23197">
      <c r="F23197" s="13"/>
      <c r="M23197" s="13"/>
    </row>
    <row r="23198">
      <c r="F23198" s="13"/>
      <c r="M23198" s="13"/>
    </row>
    <row r="23199">
      <c r="F23199" s="13"/>
      <c r="M23199" s="13"/>
    </row>
    <row r="23200">
      <c r="F23200" s="13"/>
      <c r="M23200" s="13"/>
    </row>
    <row r="23201">
      <c r="F23201" s="13"/>
      <c r="M23201" s="13"/>
    </row>
    <row r="23202">
      <c r="F23202" s="13"/>
      <c r="M23202" s="13"/>
    </row>
    <row r="23203">
      <c r="F23203" s="13"/>
      <c r="M23203" s="13"/>
    </row>
    <row r="23204">
      <c r="F23204" s="13"/>
      <c r="M23204" s="13"/>
    </row>
    <row r="23205">
      <c r="F23205" s="13"/>
      <c r="M23205" s="13"/>
    </row>
    <row r="23206">
      <c r="F23206" s="13"/>
      <c r="M23206" s="13"/>
    </row>
    <row r="23207">
      <c r="F23207" s="13"/>
      <c r="M23207" s="13"/>
    </row>
    <row r="23208">
      <c r="F23208" s="13"/>
      <c r="M23208" s="13"/>
    </row>
    <row r="23209">
      <c r="F23209" s="13"/>
      <c r="M23209" s="13"/>
    </row>
    <row r="23210">
      <c r="F23210" s="13"/>
      <c r="M23210" s="13"/>
    </row>
    <row r="23211">
      <c r="F23211" s="13"/>
      <c r="M23211" s="13"/>
    </row>
    <row r="23212">
      <c r="F23212" s="13"/>
      <c r="M23212" s="13"/>
    </row>
    <row r="23213">
      <c r="F23213" s="13"/>
      <c r="M23213" s="13"/>
    </row>
    <row r="23214">
      <c r="F23214" s="13"/>
      <c r="M23214" s="13"/>
    </row>
    <row r="23215">
      <c r="F23215" s="13"/>
      <c r="M23215" s="13"/>
    </row>
    <row r="23216">
      <c r="F23216" s="13"/>
      <c r="M23216" s="13"/>
    </row>
    <row r="23217">
      <c r="F23217" s="13"/>
      <c r="M23217" s="13"/>
    </row>
    <row r="23218">
      <c r="F23218" s="13"/>
      <c r="M23218" s="13"/>
    </row>
    <row r="23219">
      <c r="F23219" s="13"/>
      <c r="M23219" s="13"/>
    </row>
    <row r="23220">
      <c r="F23220" s="13"/>
      <c r="M23220" s="13"/>
    </row>
    <row r="23221">
      <c r="F23221" s="13"/>
      <c r="M23221" s="13"/>
    </row>
    <row r="23222">
      <c r="F23222" s="13"/>
      <c r="M23222" s="13"/>
    </row>
    <row r="23223">
      <c r="F23223" s="13"/>
      <c r="M23223" s="13"/>
    </row>
    <row r="23224">
      <c r="F23224" s="13"/>
      <c r="M23224" s="13"/>
    </row>
    <row r="23225">
      <c r="F23225" s="13"/>
      <c r="M23225" s="13"/>
    </row>
    <row r="23226">
      <c r="F23226" s="13"/>
      <c r="M23226" s="13"/>
    </row>
    <row r="23227">
      <c r="F23227" s="13"/>
      <c r="M23227" s="13"/>
    </row>
    <row r="23228">
      <c r="F23228" s="13"/>
      <c r="M23228" s="13"/>
    </row>
    <row r="23229">
      <c r="F23229" s="13"/>
      <c r="M23229" s="13"/>
    </row>
    <row r="23230">
      <c r="F23230" s="13"/>
      <c r="M23230" s="13"/>
    </row>
    <row r="23231">
      <c r="F23231" s="13"/>
      <c r="M23231" s="13"/>
    </row>
    <row r="23232">
      <c r="F23232" s="13"/>
      <c r="M23232" s="13"/>
    </row>
    <row r="23233">
      <c r="F23233" s="13"/>
      <c r="M23233" s="13"/>
    </row>
    <row r="23234">
      <c r="F23234" s="13"/>
      <c r="M23234" s="13"/>
    </row>
    <row r="23235">
      <c r="F23235" s="13"/>
      <c r="M23235" s="13"/>
    </row>
    <row r="23236">
      <c r="F23236" s="13"/>
      <c r="M23236" s="13"/>
    </row>
    <row r="23237">
      <c r="F23237" s="13"/>
      <c r="M23237" s="13"/>
    </row>
    <row r="23238">
      <c r="F23238" s="13"/>
      <c r="M23238" s="13"/>
    </row>
    <row r="23239">
      <c r="F23239" s="13"/>
      <c r="M23239" s="13"/>
    </row>
    <row r="23240">
      <c r="F23240" s="13"/>
      <c r="M23240" s="13"/>
    </row>
    <row r="23241">
      <c r="F23241" s="13"/>
      <c r="M23241" s="13"/>
    </row>
    <row r="23242">
      <c r="F23242" s="13"/>
      <c r="M23242" s="13"/>
    </row>
    <row r="23243">
      <c r="F23243" s="13"/>
      <c r="M23243" s="13"/>
    </row>
    <row r="23244">
      <c r="F23244" s="13"/>
      <c r="M23244" s="13"/>
    </row>
    <row r="23245">
      <c r="F23245" s="13"/>
      <c r="M23245" s="13"/>
    </row>
    <row r="23246">
      <c r="F23246" s="13"/>
      <c r="M23246" s="13"/>
    </row>
    <row r="23247">
      <c r="F23247" s="13"/>
      <c r="M23247" s="13"/>
    </row>
    <row r="23248">
      <c r="F23248" s="13"/>
      <c r="M23248" s="13"/>
    </row>
    <row r="23249">
      <c r="F23249" s="13"/>
      <c r="M23249" s="13"/>
    </row>
    <row r="23250">
      <c r="F23250" s="13"/>
      <c r="M23250" s="13"/>
    </row>
    <row r="23251">
      <c r="F23251" s="13"/>
      <c r="M23251" s="13"/>
    </row>
    <row r="23252">
      <c r="F23252" s="13"/>
      <c r="M23252" s="13"/>
    </row>
    <row r="23253">
      <c r="F23253" s="13"/>
      <c r="M23253" s="13"/>
    </row>
    <row r="23254">
      <c r="F23254" s="13"/>
      <c r="M23254" s="13"/>
    </row>
    <row r="23255">
      <c r="F23255" s="13"/>
      <c r="M23255" s="13"/>
    </row>
    <row r="23256">
      <c r="F23256" s="13"/>
      <c r="M23256" s="13"/>
    </row>
    <row r="23257">
      <c r="F23257" s="13"/>
      <c r="M23257" s="13"/>
    </row>
    <row r="23258">
      <c r="F23258" s="13"/>
      <c r="M23258" s="13"/>
    </row>
    <row r="23259">
      <c r="F23259" s="13"/>
      <c r="M23259" s="13"/>
    </row>
    <row r="23260">
      <c r="F23260" s="13"/>
      <c r="M23260" s="13"/>
    </row>
    <row r="23261">
      <c r="F23261" s="13"/>
      <c r="M23261" s="13"/>
    </row>
    <row r="23262">
      <c r="F23262" s="13"/>
      <c r="M23262" s="13"/>
    </row>
    <row r="23263">
      <c r="F23263" s="13"/>
      <c r="M23263" s="13"/>
    </row>
    <row r="23264">
      <c r="F23264" s="13"/>
      <c r="M23264" s="13"/>
    </row>
    <row r="23265">
      <c r="F23265" s="13"/>
      <c r="M23265" s="13"/>
    </row>
    <row r="23266">
      <c r="F23266" s="13"/>
      <c r="M23266" s="13"/>
    </row>
    <row r="23267">
      <c r="F23267" s="13"/>
      <c r="M23267" s="13"/>
    </row>
    <row r="23268">
      <c r="F23268" s="13"/>
      <c r="M23268" s="13"/>
    </row>
    <row r="23269">
      <c r="F23269" s="13"/>
      <c r="M23269" s="13"/>
    </row>
    <row r="23270">
      <c r="F23270" s="13"/>
      <c r="M23270" s="13"/>
    </row>
    <row r="23271">
      <c r="F23271" s="13"/>
      <c r="M23271" s="13"/>
    </row>
    <row r="23272">
      <c r="F23272" s="13"/>
      <c r="M23272" s="13"/>
    </row>
    <row r="23273">
      <c r="F23273" s="13"/>
      <c r="M23273" s="13"/>
    </row>
    <row r="23274">
      <c r="F23274" s="13"/>
      <c r="M23274" s="13"/>
    </row>
    <row r="23275">
      <c r="F23275" s="13"/>
      <c r="M23275" s="13"/>
    </row>
    <row r="23276">
      <c r="F23276" s="13"/>
      <c r="M23276" s="13"/>
    </row>
    <row r="23277">
      <c r="F23277" s="13"/>
      <c r="M23277" s="13"/>
    </row>
    <row r="23278">
      <c r="F23278" s="13"/>
      <c r="M23278" s="13"/>
    </row>
    <row r="23279">
      <c r="F23279" s="13"/>
      <c r="M23279" s="13"/>
    </row>
    <row r="23280">
      <c r="F23280" s="13"/>
      <c r="M23280" s="13"/>
    </row>
    <row r="23281">
      <c r="F23281" s="13"/>
      <c r="M23281" s="13"/>
    </row>
    <row r="23282">
      <c r="F23282" s="13"/>
      <c r="M23282" s="13"/>
    </row>
    <row r="23283">
      <c r="F23283" s="13"/>
      <c r="M23283" s="13"/>
    </row>
    <row r="23284">
      <c r="F23284" s="13"/>
      <c r="M23284" s="13"/>
    </row>
    <row r="23285">
      <c r="F23285" s="13"/>
      <c r="M23285" s="13"/>
    </row>
    <row r="23286">
      <c r="F23286" s="13"/>
      <c r="M23286" s="13"/>
    </row>
    <row r="23287">
      <c r="F23287" s="13"/>
      <c r="M23287" s="13"/>
    </row>
    <row r="23288">
      <c r="F23288" s="13"/>
      <c r="M23288" s="13"/>
    </row>
    <row r="23289">
      <c r="F23289" s="13"/>
      <c r="M23289" s="13"/>
    </row>
    <row r="23290">
      <c r="F23290" s="13"/>
      <c r="M23290" s="13"/>
    </row>
    <row r="23291">
      <c r="F23291" s="13"/>
      <c r="M23291" s="13"/>
    </row>
    <row r="23292">
      <c r="F23292" s="13"/>
      <c r="M23292" s="13"/>
    </row>
    <row r="23293">
      <c r="F23293" s="13"/>
      <c r="M23293" s="13"/>
    </row>
    <row r="23294">
      <c r="F23294" s="13"/>
      <c r="M23294" s="13"/>
    </row>
    <row r="23295">
      <c r="F23295" s="13"/>
      <c r="M23295" s="13"/>
    </row>
    <row r="23296">
      <c r="F23296" s="13"/>
      <c r="M23296" s="13"/>
    </row>
    <row r="23297">
      <c r="F23297" s="13"/>
      <c r="M23297" s="13"/>
    </row>
    <row r="23298">
      <c r="F23298" s="13"/>
      <c r="M23298" s="13"/>
    </row>
    <row r="23299">
      <c r="F23299" s="13"/>
      <c r="M23299" s="13"/>
    </row>
    <row r="23300">
      <c r="F23300" s="13"/>
      <c r="M23300" s="13"/>
    </row>
    <row r="23301">
      <c r="F23301" s="13"/>
      <c r="M23301" s="13"/>
    </row>
    <row r="23302">
      <c r="F23302" s="13"/>
      <c r="M23302" s="13"/>
    </row>
    <row r="23303">
      <c r="F23303" s="13"/>
      <c r="M23303" s="13"/>
    </row>
    <row r="23304">
      <c r="F23304" s="13"/>
      <c r="M23304" s="13"/>
    </row>
    <row r="23305">
      <c r="F23305" s="13"/>
      <c r="M23305" s="13"/>
    </row>
    <row r="23306">
      <c r="F23306" s="13"/>
      <c r="M23306" s="13"/>
    </row>
    <row r="23307">
      <c r="F23307" s="13"/>
      <c r="M23307" s="13"/>
    </row>
    <row r="23308">
      <c r="F23308" s="13"/>
      <c r="M23308" s="13"/>
    </row>
    <row r="23309">
      <c r="F23309" s="13"/>
      <c r="M23309" s="13"/>
    </row>
    <row r="23310">
      <c r="F23310" s="13"/>
      <c r="M23310" s="13"/>
    </row>
    <row r="23311">
      <c r="F23311" s="13"/>
      <c r="M23311" s="13"/>
    </row>
    <row r="23312">
      <c r="F23312" s="13"/>
      <c r="M23312" s="13"/>
    </row>
    <row r="23313">
      <c r="F23313" s="13"/>
      <c r="M23313" s="13"/>
    </row>
    <row r="23314">
      <c r="F23314" s="13"/>
      <c r="M23314" s="13"/>
    </row>
    <row r="23315">
      <c r="F23315" s="13"/>
      <c r="M23315" s="13"/>
    </row>
    <row r="23316">
      <c r="F23316" s="13"/>
      <c r="M23316" s="13"/>
    </row>
    <row r="23317">
      <c r="F23317" s="13"/>
      <c r="M23317" s="13"/>
    </row>
    <row r="23318">
      <c r="F23318" s="13"/>
      <c r="M23318" s="13"/>
    </row>
    <row r="23319">
      <c r="F23319" s="13"/>
      <c r="M23319" s="13"/>
    </row>
    <row r="23320">
      <c r="F23320" s="13"/>
      <c r="M23320" s="13"/>
    </row>
    <row r="23321">
      <c r="F23321" s="13"/>
      <c r="M23321" s="13"/>
    </row>
    <row r="23322">
      <c r="F23322" s="13"/>
      <c r="M23322" s="13"/>
    </row>
    <row r="23323">
      <c r="F23323" s="13"/>
      <c r="M23323" s="13"/>
    </row>
    <row r="23324">
      <c r="F23324" s="13"/>
      <c r="M23324" s="13"/>
    </row>
    <row r="23325">
      <c r="F23325" s="13"/>
      <c r="M23325" s="13"/>
    </row>
    <row r="23326">
      <c r="F23326" s="13"/>
      <c r="M23326" s="13"/>
    </row>
    <row r="23327">
      <c r="F23327" s="13"/>
      <c r="M23327" s="13"/>
    </row>
    <row r="23328">
      <c r="F23328" s="13"/>
      <c r="M23328" s="13"/>
    </row>
    <row r="23329">
      <c r="F23329" s="13"/>
      <c r="M23329" s="13"/>
    </row>
    <row r="23330">
      <c r="F23330" s="13"/>
      <c r="M23330" s="13"/>
    </row>
    <row r="23331">
      <c r="F23331" s="13"/>
      <c r="M23331" s="13"/>
    </row>
    <row r="23332">
      <c r="F23332" s="13"/>
      <c r="M23332" s="13"/>
    </row>
    <row r="23333">
      <c r="F23333" s="13"/>
      <c r="M23333" s="13"/>
    </row>
    <row r="23334">
      <c r="F23334" s="13"/>
      <c r="M23334" s="13"/>
    </row>
    <row r="23335">
      <c r="F23335" s="13"/>
      <c r="M23335" s="13"/>
    </row>
    <row r="23336">
      <c r="F23336" s="13"/>
      <c r="M23336" s="13"/>
    </row>
    <row r="23337">
      <c r="F23337" s="13"/>
      <c r="M23337" s="13"/>
    </row>
    <row r="23338">
      <c r="F23338" s="13"/>
      <c r="M23338" s="13"/>
    </row>
    <row r="23339">
      <c r="F23339" s="13"/>
      <c r="M23339" s="13"/>
    </row>
    <row r="23340">
      <c r="F23340" s="13"/>
      <c r="M23340" s="13"/>
    </row>
    <row r="23341">
      <c r="F23341" s="13"/>
      <c r="M23341" s="13"/>
    </row>
    <row r="23342">
      <c r="F23342" s="13"/>
      <c r="M23342" s="13"/>
    </row>
    <row r="23343">
      <c r="F23343" s="13"/>
      <c r="M23343" s="13"/>
    </row>
    <row r="23344">
      <c r="F23344" s="13"/>
      <c r="M23344" s="13"/>
    </row>
    <row r="23345">
      <c r="F23345" s="13"/>
      <c r="M23345" s="13"/>
    </row>
    <row r="23346">
      <c r="F23346" s="13"/>
      <c r="M23346" s="13"/>
    </row>
    <row r="23347">
      <c r="F23347" s="13"/>
      <c r="M23347" s="13"/>
    </row>
    <row r="23348">
      <c r="F23348" s="13"/>
      <c r="M23348" s="13"/>
    </row>
    <row r="23349">
      <c r="F23349" s="13"/>
      <c r="M23349" s="13"/>
    </row>
    <row r="23350">
      <c r="F23350" s="13"/>
      <c r="M23350" s="13"/>
    </row>
    <row r="23351">
      <c r="F23351" s="13"/>
      <c r="M23351" s="13"/>
    </row>
    <row r="23352">
      <c r="F23352" s="13"/>
      <c r="M23352" s="13"/>
    </row>
    <row r="23353">
      <c r="F23353" s="13"/>
      <c r="M23353" s="13"/>
    </row>
    <row r="23354">
      <c r="F23354" s="13"/>
      <c r="M23354" s="13"/>
    </row>
    <row r="23355">
      <c r="F23355" s="13"/>
      <c r="M23355" s="13"/>
    </row>
    <row r="23356">
      <c r="F23356" s="13"/>
      <c r="M23356" s="13"/>
    </row>
    <row r="23357">
      <c r="F23357" s="13"/>
      <c r="M23357" s="13"/>
    </row>
    <row r="23358">
      <c r="F23358" s="13"/>
      <c r="M23358" s="13"/>
    </row>
    <row r="23359">
      <c r="F23359" s="13"/>
      <c r="M23359" s="13"/>
    </row>
    <row r="23360">
      <c r="F23360" s="13"/>
      <c r="M23360" s="13"/>
    </row>
    <row r="23361">
      <c r="F23361" s="13"/>
      <c r="M23361" s="13"/>
    </row>
    <row r="23362">
      <c r="F23362" s="13"/>
      <c r="M23362" s="13"/>
    </row>
    <row r="23363">
      <c r="F23363" s="13"/>
      <c r="M23363" s="13"/>
    </row>
    <row r="23364">
      <c r="F23364" s="13"/>
      <c r="M23364" s="13"/>
    </row>
    <row r="23365">
      <c r="F23365" s="13"/>
      <c r="M23365" s="13"/>
    </row>
    <row r="23366">
      <c r="F23366" s="13"/>
      <c r="M23366" s="13"/>
    </row>
    <row r="23367">
      <c r="F23367" s="13"/>
      <c r="M23367" s="13"/>
    </row>
    <row r="23368">
      <c r="F23368" s="13"/>
      <c r="M23368" s="13"/>
    </row>
    <row r="23369">
      <c r="F23369" s="13"/>
      <c r="M23369" s="13"/>
    </row>
    <row r="23370">
      <c r="F23370" s="13"/>
      <c r="M23370" s="13"/>
    </row>
    <row r="23371">
      <c r="F23371" s="13"/>
      <c r="M23371" s="13"/>
    </row>
    <row r="23372">
      <c r="F23372" s="13"/>
      <c r="M23372" s="13"/>
    </row>
    <row r="23373">
      <c r="F23373" s="13"/>
      <c r="M23373" s="13"/>
    </row>
    <row r="23374">
      <c r="F23374" s="13"/>
      <c r="M23374" s="13"/>
    </row>
    <row r="23375">
      <c r="F23375" s="13"/>
      <c r="M23375" s="13"/>
    </row>
    <row r="23376">
      <c r="F23376" s="13"/>
      <c r="M23376" s="13"/>
    </row>
    <row r="23377">
      <c r="F23377" s="13"/>
      <c r="M23377" s="13"/>
    </row>
    <row r="23378">
      <c r="F23378" s="13"/>
      <c r="M23378" s="13"/>
    </row>
    <row r="23379">
      <c r="F23379" s="13"/>
      <c r="M23379" s="13"/>
    </row>
    <row r="23380">
      <c r="F23380" s="13"/>
      <c r="M23380" s="13"/>
    </row>
    <row r="23381">
      <c r="F23381" s="13"/>
      <c r="M23381" s="13"/>
    </row>
    <row r="23382">
      <c r="F23382" s="13"/>
      <c r="M23382" s="13"/>
    </row>
    <row r="23383">
      <c r="F23383" s="13"/>
      <c r="M23383" s="13"/>
    </row>
    <row r="23384">
      <c r="F23384" s="13"/>
      <c r="M23384" s="13"/>
    </row>
    <row r="23385">
      <c r="F23385" s="13"/>
      <c r="M23385" s="13"/>
    </row>
    <row r="23386">
      <c r="F23386" s="13"/>
      <c r="M23386" s="13"/>
    </row>
    <row r="23387">
      <c r="F23387" s="13"/>
      <c r="M23387" s="13"/>
    </row>
    <row r="23388">
      <c r="F23388" s="13"/>
      <c r="M23388" s="13"/>
    </row>
    <row r="23389">
      <c r="F23389" s="13"/>
      <c r="M23389" s="13"/>
    </row>
    <row r="23390">
      <c r="F23390" s="13"/>
      <c r="M23390" s="13"/>
    </row>
    <row r="23391">
      <c r="F23391" s="13"/>
      <c r="M23391" s="13"/>
    </row>
    <row r="23392">
      <c r="F23392" s="13"/>
      <c r="M23392" s="13"/>
    </row>
    <row r="23393">
      <c r="F23393" s="13"/>
      <c r="M23393" s="13"/>
    </row>
    <row r="23394">
      <c r="F23394" s="13"/>
      <c r="M23394" s="13"/>
    </row>
    <row r="23395">
      <c r="F23395" s="13"/>
      <c r="M23395" s="13"/>
    </row>
    <row r="23396">
      <c r="F23396" s="13"/>
      <c r="M23396" s="13"/>
    </row>
    <row r="23397">
      <c r="F23397" s="13"/>
      <c r="M23397" s="13"/>
    </row>
    <row r="23398">
      <c r="F23398" s="13"/>
      <c r="M23398" s="13"/>
    </row>
    <row r="23399">
      <c r="F23399" s="13"/>
      <c r="M23399" s="13"/>
    </row>
    <row r="23400">
      <c r="F23400" s="13"/>
      <c r="M23400" s="13"/>
    </row>
    <row r="23401">
      <c r="F23401" s="13"/>
      <c r="M23401" s="13"/>
    </row>
    <row r="23402">
      <c r="F23402" s="13"/>
      <c r="M23402" s="13"/>
    </row>
    <row r="23403">
      <c r="F23403" s="13"/>
      <c r="M23403" s="13"/>
    </row>
    <row r="23404">
      <c r="F23404" s="13"/>
      <c r="M23404" s="13"/>
    </row>
    <row r="23405">
      <c r="F23405" s="13"/>
      <c r="M23405" s="13"/>
    </row>
    <row r="23406">
      <c r="F23406" s="13"/>
      <c r="M23406" s="13"/>
    </row>
    <row r="23407">
      <c r="F23407" s="13"/>
      <c r="M23407" s="13"/>
    </row>
    <row r="23408">
      <c r="F23408" s="13"/>
      <c r="M23408" s="13"/>
    </row>
    <row r="23409">
      <c r="F23409" s="13"/>
      <c r="M23409" s="13"/>
    </row>
    <row r="23410">
      <c r="F23410" s="13"/>
      <c r="M23410" s="13"/>
    </row>
    <row r="23411">
      <c r="F23411" s="13"/>
      <c r="M23411" s="13"/>
    </row>
    <row r="23412">
      <c r="F23412" s="13"/>
      <c r="M23412" s="13"/>
    </row>
    <row r="23413">
      <c r="F23413" s="13"/>
      <c r="M23413" s="13"/>
    </row>
    <row r="23414">
      <c r="F23414" s="13"/>
      <c r="M23414" s="13"/>
    </row>
    <row r="23415">
      <c r="F23415" s="13"/>
      <c r="M23415" s="13"/>
    </row>
    <row r="23416">
      <c r="F23416" s="13"/>
      <c r="M23416" s="13"/>
    </row>
    <row r="23417">
      <c r="F23417" s="13"/>
      <c r="M23417" s="13"/>
    </row>
    <row r="23418">
      <c r="F23418" s="13"/>
      <c r="M23418" s="13"/>
    </row>
    <row r="23419">
      <c r="F23419" s="13"/>
      <c r="M23419" s="13"/>
    </row>
    <row r="23420">
      <c r="F23420" s="13"/>
      <c r="M23420" s="13"/>
    </row>
    <row r="23421">
      <c r="F23421" s="13"/>
      <c r="M23421" s="13"/>
    </row>
    <row r="23422">
      <c r="F23422" s="13"/>
      <c r="M23422" s="13"/>
    </row>
    <row r="23423">
      <c r="F23423" s="13"/>
      <c r="M23423" s="13"/>
    </row>
    <row r="23424">
      <c r="F23424" s="13"/>
      <c r="M23424" s="13"/>
    </row>
    <row r="23425">
      <c r="F23425" s="13"/>
      <c r="M23425" s="13"/>
    </row>
    <row r="23426">
      <c r="F23426" s="13"/>
      <c r="M23426" s="13"/>
    </row>
    <row r="23427">
      <c r="F23427" s="13"/>
      <c r="M23427" s="13"/>
    </row>
    <row r="23428">
      <c r="F23428" s="13"/>
      <c r="M23428" s="13"/>
    </row>
    <row r="23429">
      <c r="F23429" s="13"/>
      <c r="M23429" s="13"/>
    </row>
    <row r="23430">
      <c r="F23430" s="13"/>
      <c r="M23430" s="13"/>
    </row>
    <row r="23431">
      <c r="F23431" s="13"/>
      <c r="M23431" s="13"/>
    </row>
    <row r="23432">
      <c r="F23432" s="13"/>
      <c r="M23432" s="13"/>
    </row>
    <row r="23433">
      <c r="F23433" s="13"/>
      <c r="M23433" s="13"/>
    </row>
    <row r="23434">
      <c r="F23434" s="13"/>
      <c r="M23434" s="13"/>
    </row>
    <row r="23435">
      <c r="F23435" s="13"/>
      <c r="M23435" s="13"/>
    </row>
    <row r="23436">
      <c r="F23436" s="13"/>
      <c r="M23436" s="13"/>
    </row>
    <row r="23437">
      <c r="F23437" s="13"/>
      <c r="M23437" s="13"/>
    </row>
    <row r="23438">
      <c r="F23438" s="13"/>
      <c r="M23438" s="13"/>
    </row>
    <row r="23439">
      <c r="F23439" s="13"/>
      <c r="M23439" s="13"/>
    </row>
    <row r="23440">
      <c r="F23440" s="13"/>
      <c r="M23440" s="13"/>
    </row>
    <row r="23441">
      <c r="F23441" s="13"/>
      <c r="M23441" s="13"/>
    </row>
    <row r="23442">
      <c r="F23442" s="13"/>
      <c r="M23442" s="13"/>
    </row>
    <row r="23443">
      <c r="F23443" s="13"/>
      <c r="M23443" s="13"/>
    </row>
    <row r="23444">
      <c r="F23444" s="13"/>
      <c r="M23444" s="13"/>
    </row>
    <row r="23445">
      <c r="F23445" s="13"/>
      <c r="M23445" s="13"/>
    </row>
    <row r="23446">
      <c r="F23446" s="13"/>
      <c r="M23446" s="13"/>
    </row>
    <row r="23447">
      <c r="F23447" s="13"/>
      <c r="M23447" s="13"/>
    </row>
    <row r="23448">
      <c r="F23448" s="13"/>
      <c r="M23448" s="13"/>
    </row>
    <row r="23449">
      <c r="F23449" s="13"/>
      <c r="M23449" s="13"/>
    </row>
    <row r="23450">
      <c r="F23450" s="13"/>
      <c r="M23450" s="13"/>
    </row>
    <row r="23451">
      <c r="F23451" s="13"/>
      <c r="M23451" s="13"/>
    </row>
    <row r="23452">
      <c r="F23452" s="13"/>
      <c r="M23452" s="13"/>
    </row>
    <row r="23453">
      <c r="F23453" s="13"/>
      <c r="M23453" s="13"/>
    </row>
    <row r="23454">
      <c r="F23454" s="13"/>
      <c r="M23454" s="13"/>
    </row>
    <row r="23455">
      <c r="F23455" s="13"/>
      <c r="M23455" s="13"/>
    </row>
    <row r="23456">
      <c r="F23456" s="13"/>
      <c r="M23456" s="13"/>
    </row>
    <row r="23457">
      <c r="F23457" s="13"/>
      <c r="M23457" s="13"/>
    </row>
    <row r="23458">
      <c r="F23458" s="13"/>
      <c r="M23458" s="13"/>
    </row>
    <row r="23459">
      <c r="F23459" s="13"/>
      <c r="M23459" s="13"/>
    </row>
    <row r="23460">
      <c r="F23460" s="13"/>
      <c r="M23460" s="13"/>
    </row>
    <row r="23461">
      <c r="F23461" s="13"/>
      <c r="M23461" s="13"/>
    </row>
    <row r="23462">
      <c r="F23462" s="13"/>
      <c r="M23462" s="13"/>
    </row>
    <row r="23463">
      <c r="F23463" s="13"/>
      <c r="M23463" s="13"/>
    </row>
    <row r="23464">
      <c r="F23464" s="13"/>
      <c r="M23464" s="13"/>
    </row>
    <row r="23465">
      <c r="F23465" s="13"/>
      <c r="M23465" s="13"/>
    </row>
    <row r="23466">
      <c r="F23466" s="13"/>
      <c r="M23466" s="13"/>
    </row>
    <row r="23467">
      <c r="F23467" s="13"/>
      <c r="M23467" s="13"/>
    </row>
    <row r="23468">
      <c r="F23468" s="13"/>
      <c r="M23468" s="13"/>
    </row>
    <row r="23469">
      <c r="F23469" s="13"/>
      <c r="M23469" s="13"/>
    </row>
    <row r="23470">
      <c r="F23470" s="13"/>
      <c r="M23470" s="13"/>
    </row>
    <row r="23471">
      <c r="F23471" s="13"/>
      <c r="M23471" s="13"/>
    </row>
    <row r="23472">
      <c r="F23472" s="13"/>
      <c r="M23472" s="13"/>
    </row>
    <row r="23473">
      <c r="F23473" s="13"/>
      <c r="M23473" s="13"/>
    </row>
    <row r="23474">
      <c r="F23474" s="13"/>
      <c r="M23474" s="13"/>
    </row>
    <row r="23475">
      <c r="F23475" s="13"/>
      <c r="M23475" s="13"/>
    </row>
    <row r="23476">
      <c r="F23476" s="13"/>
      <c r="M23476" s="13"/>
    </row>
    <row r="23477">
      <c r="F23477" s="13"/>
      <c r="M23477" s="13"/>
    </row>
    <row r="23478">
      <c r="F23478" s="13"/>
      <c r="M23478" s="13"/>
    </row>
    <row r="23479">
      <c r="F23479" s="13"/>
      <c r="M23479" s="13"/>
    </row>
    <row r="23480">
      <c r="F23480" s="13"/>
      <c r="M23480" s="13"/>
    </row>
    <row r="23481">
      <c r="F23481" s="13"/>
      <c r="M23481" s="13"/>
    </row>
    <row r="23482">
      <c r="F23482" s="13"/>
      <c r="M23482" s="13"/>
    </row>
    <row r="23483">
      <c r="F23483" s="13"/>
      <c r="M23483" s="13"/>
    </row>
    <row r="23484">
      <c r="F23484" s="13"/>
      <c r="M23484" s="13"/>
    </row>
    <row r="23485">
      <c r="F23485" s="13"/>
      <c r="M23485" s="13"/>
    </row>
    <row r="23486">
      <c r="F23486" s="13"/>
      <c r="M23486" s="13"/>
    </row>
    <row r="23487">
      <c r="F23487" s="13"/>
      <c r="M23487" s="13"/>
    </row>
    <row r="23488">
      <c r="F23488" s="13"/>
      <c r="M23488" s="13"/>
    </row>
    <row r="23489">
      <c r="F23489" s="13"/>
      <c r="M23489" s="13"/>
    </row>
    <row r="23490">
      <c r="F23490" s="13"/>
      <c r="M23490" s="13"/>
    </row>
    <row r="23491">
      <c r="F23491" s="13"/>
      <c r="M23491" s="13"/>
    </row>
    <row r="23492">
      <c r="F23492" s="13"/>
      <c r="M23492" s="13"/>
    </row>
    <row r="23493">
      <c r="F23493" s="13"/>
      <c r="M23493" s="13"/>
    </row>
    <row r="23494">
      <c r="F23494" s="13"/>
      <c r="M23494" s="13"/>
    </row>
    <row r="23495">
      <c r="F23495" s="13"/>
      <c r="M23495" s="13"/>
    </row>
    <row r="23496">
      <c r="F23496" s="13"/>
      <c r="M23496" s="13"/>
    </row>
    <row r="23497">
      <c r="F23497" s="13"/>
      <c r="M23497" s="13"/>
    </row>
    <row r="23498">
      <c r="F23498" s="13"/>
      <c r="M23498" s="13"/>
    </row>
    <row r="23499">
      <c r="F23499" s="13"/>
      <c r="M23499" s="13"/>
    </row>
    <row r="23500">
      <c r="F23500" s="13"/>
      <c r="M23500" s="13"/>
    </row>
    <row r="23501">
      <c r="F23501" s="13"/>
      <c r="M23501" s="13"/>
    </row>
    <row r="23502">
      <c r="F23502" s="13"/>
      <c r="M23502" s="13"/>
    </row>
    <row r="23503">
      <c r="F23503" s="13"/>
      <c r="M23503" s="13"/>
    </row>
    <row r="23504">
      <c r="F23504" s="13"/>
      <c r="M23504" s="13"/>
    </row>
    <row r="23505">
      <c r="F23505" s="13"/>
      <c r="M23505" s="13"/>
    </row>
    <row r="23506">
      <c r="F23506" s="13"/>
      <c r="M23506" s="13"/>
    </row>
    <row r="23507">
      <c r="F23507" s="13"/>
      <c r="M23507" s="13"/>
    </row>
    <row r="23508">
      <c r="F23508" s="13"/>
      <c r="M23508" s="13"/>
    </row>
    <row r="23509">
      <c r="F23509" s="13"/>
      <c r="M23509" s="13"/>
    </row>
    <row r="23510">
      <c r="F23510" s="13"/>
      <c r="M23510" s="13"/>
    </row>
    <row r="23511">
      <c r="F23511" s="13"/>
      <c r="M23511" s="13"/>
    </row>
    <row r="23512">
      <c r="F23512" s="13"/>
      <c r="M23512" s="13"/>
    </row>
    <row r="23513">
      <c r="F23513" s="13"/>
      <c r="M23513" s="13"/>
    </row>
    <row r="23514">
      <c r="F23514" s="13"/>
      <c r="M23514" s="13"/>
    </row>
    <row r="23515">
      <c r="F23515" s="13"/>
      <c r="M23515" s="13"/>
    </row>
    <row r="23516">
      <c r="F23516" s="13"/>
      <c r="M23516" s="13"/>
    </row>
    <row r="23517">
      <c r="F23517" s="13"/>
      <c r="M23517" s="13"/>
    </row>
    <row r="23518">
      <c r="F23518" s="13"/>
      <c r="M23518" s="13"/>
    </row>
    <row r="23519">
      <c r="F23519" s="13"/>
      <c r="M23519" s="13"/>
    </row>
    <row r="23520">
      <c r="F23520" s="13"/>
      <c r="M23520" s="13"/>
    </row>
    <row r="23521">
      <c r="F23521" s="13"/>
      <c r="M23521" s="13"/>
    </row>
    <row r="23522">
      <c r="F23522" s="13"/>
      <c r="M23522" s="13"/>
    </row>
    <row r="23523">
      <c r="F23523" s="13"/>
      <c r="M23523" s="13"/>
    </row>
    <row r="23524">
      <c r="F23524" s="13"/>
      <c r="M23524" s="13"/>
    </row>
    <row r="23525">
      <c r="F23525" s="13"/>
      <c r="M23525" s="13"/>
    </row>
    <row r="23526">
      <c r="F23526" s="13"/>
      <c r="M23526" s="13"/>
    </row>
    <row r="23527">
      <c r="F23527" s="13"/>
      <c r="M23527" s="13"/>
    </row>
    <row r="23528">
      <c r="F23528" s="13"/>
      <c r="M23528" s="13"/>
    </row>
    <row r="23529">
      <c r="F23529" s="13"/>
      <c r="M23529" s="13"/>
    </row>
    <row r="23530">
      <c r="F23530" s="13"/>
      <c r="M23530" s="13"/>
    </row>
    <row r="23531">
      <c r="F23531" s="13"/>
      <c r="M23531" s="13"/>
    </row>
    <row r="23532">
      <c r="F23532" s="13"/>
      <c r="M23532" s="13"/>
    </row>
    <row r="23533">
      <c r="F23533" s="13"/>
      <c r="M23533" s="13"/>
    </row>
    <row r="23534">
      <c r="F23534" s="13"/>
      <c r="M23534" s="13"/>
    </row>
    <row r="23535">
      <c r="F23535" s="13"/>
      <c r="M23535" s="13"/>
    </row>
    <row r="23536">
      <c r="F23536" s="13"/>
      <c r="M23536" s="13"/>
    </row>
    <row r="23537">
      <c r="F23537" s="13"/>
      <c r="M23537" s="13"/>
    </row>
    <row r="23538">
      <c r="F23538" s="13"/>
      <c r="M23538" s="13"/>
    </row>
    <row r="23539">
      <c r="F23539" s="13"/>
      <c r="M23539" s="13"/>
    </row>
    <row r="23540">
      <c r="F23540" s="13"/>
      <c r="M23540" s="13"/>
    </row>
    <row r="23541">
      <c r="F23541" s="13"/>
      <c r="M23541" s="13"/>
    </row>
    <row r="23542">
      <c r="F23542" s="13"/>
      <c r="M23542" s="13"/>
    </row>
    <row r="23543">
      <c r="F23543" s="13"/>
      <c r="M23543" s="13"/>
    </row>
    <row r="23544">
      <c r="F23544" s="13"/>
      <c r="M23544" s="13"/>
    </row>
    <row r="23545">
      <c r="F23545" s="13"/>
      <c r="M23545" s="13"/>
    </row>
    <row r="23546">
      <c r="F23546" s="13"/>
      <c r="M23546" s="13"/>
    </row>
    <row r="23547">
      <c r="F23547" s="13"/>
      <c r="M23547" s="13"/>
    </row>
    <row r="23548">
      <c r="F23548" s="13"/>
      <c r="M23548" s="13"/>
    </row>
    <row r="23549">
      <c r="F23549" s="13"/>
      <c r="M23549" s="13"/>
    </row>
    <row r="23550">
      <c r="F23550" s="13"/>
      <c r="M23550" s="13"/>
    </row>
    <row r="23551">
      <c r="F23551" s="13"/>
      <c r="M23551" s="13"/>
    </row>
    <row r="23552">
      <c r="F23552" s="13"/>
      <c r="M23552" s="13"/>
    </row>
    <row r="23553">
      <c r="F23553" s="13"/>
      <c r="M23553" s="13"/>
    </row>
    <row r="23554">
      <c r="F23554" s="13"/>
      <c r="M23554" s="13"/>
    </row>
    <row r="23555">
      <c r="F23555" s="13"/>
      <c r="M23555" s="13"/>
    </row>
    <row r="23556">
      <c r="F23556" s="13"/>
      <c r="M23556" s="13"/>
    </row>
    <row r="23557">
      <c r="F23557" s="13"/>
      <c r="M23557" s="13"/>
    </row>
    <row r="23558">
      <c r="F23558" s="13"/>
      <c r="M23558" s="13"/>
    </row>
    <row r="23559">
      <c r="F23559" s="13"/>
      <c r="M23559" s="13"/>
    </row>
    <row r="23560">
      <c r="F23560" s="13"/>
      <c r="M23560" s="13"/>
    </row>
    <row r="23561">
      <c r="F23561" s="13"/>
      <c r="M23561" s="13"/>
    </row>
    <row r="23562">
      <c r="F23562" s="13"/>
      <c r="M23562" s="13"/>
    </row>
    <row r="23563">
      <c r="F23563" s="13"/>
      <c r="M23563" s="13"/>
    </row>
    <row r="23564">
      <c r="F23564" s="13"/>
      <c r="M23564" s="13"/>
    </row>
    <row r="23565">
      <c r="F23565" s="13"/>
      <c r="M23565" s="13"/>
    </row>
    <row r="23566">
      <c r="F23566" s="13"/>
      <c r="M23566" s="13"/>
    </row>
    <row r="23567">
      <c r="F23567" s="13"/>
      <c r="M23567" s="13"/>
    </row>
    <row r="23568">
      <c r="F23568" s="13"/>
      <c r="M23568" s="13"/>
    </row>
    <row r="23569">
      <c r="F23569" s="13"/>
      <c r="M23569" s="13"/>
    </row>
    <row r="23570">
      <c r="F23570" s="13"/>
      <c r="M23570" s="13"/>
    </row>
    <row r="23571">
      <c r="F23571" s="13"/>
      <c r="M23571" s="13"/>
    </row>
    <row r="23572">
      <c r="F23572" s="13"/>
      <c r="M23572" s="13"/>
    </row>
    <row r="23573">
      <c r="F23573" s="13"/>
      <c r="M23573" s="13"/>
    </row>
    <row r="23574">
      <c r="F23574" s="13"/>
      <c r="M23574" s="13"/>
    </row>
    <row r="23575">
      <c r="F23575" s="13"/>
      <c r="M23575" s="13"/>
    </row>
    <row r="23576">
      <c r="F23576" s="13"/>
      <c r="M23576" s="13"/>
    </row>
    <row r="23577">
      <c r="F23577" s="13"/>
      <c r="M23577" s="13"/>
    </row>
    <row r="23578">
      <c r="F23578" s="13"/>
      <c r="M23578" s="13"/>
    </row>
    <row r="23579">
      <c r="F23579" s="13"/>
      <c r="M23579" s="13"/>
    </row>
    <row r="23580">
      <c r="F23580" s="13"/>
      <c r="M23580" s="13"/>
    </row>
    <row r="23581">
      <c r="F23581" s="13"/>
      <c r="M23581" s="13"/>
    </row>
    <row r="23582">
      <c r="F23582" s="13"/>
      <c r="M23582" s="13"/>
    </row>
    <row r="23583">
      <c r="F23583" s="13"/>
      <c r="M23583" s="13"/>
    </row>
    <row r="23584">
      <c r="F23584" s="13"/>
      <c r="M23584" s="13"/>
    </row>
    <row r="23585">
      <c r="F23585" s="13"/>
      <c r="M23585" s="13"/>
    </row>
    <row r="23586">
      <c r="F23586" s="13"/>
      <c r="M23586" s="13"/>
    </row>
    <row r="23587">
      <c r="F23587" s="13"/>
      <c r="M23587" s="13"/>
    </row>
    <row r="23588">
      <c r="F23588" s="13"/>
      <c r="M23588" s="13"/>
    </row>
    <row r="23589">
      <c r="F23589" s="13"/>
      <c r="M23589" s="13"/>
    </row>
    <row r="23590">
      <c r="F23590" s="13"/>
      <c r="M23590" s="13"/>
    </row>
    <row r="23591">
      <c r="F23591" s="13"/>
      <c r="M23591" s="13"/>
    </row>
    <row r="23592">
      <c r="F23592" s="13"/>
      <c r="M23592" s="13"/>
    </row>
    <row r="23593">
      <c r="F23593" s="13"/>
      <c r="M23593" s="13"/>
    </row>
    <row r="23594">
      <c r="F23594" s="13"/>
      <c r="M23594" s="13"/>
    </row>
    <row r="23595">
      <c r="F23595" s="13"/>
      <c r="M23595" s="13"/>
    </row>
    <row r="23596">
      <c r="F23596" s="13"/>
      <c r="M23596" s="13"/>
    </row>
    <row r="23597">
      <c r="F23597" s="13"/>
      <c r="M23597" s="13"/>
    </row>
    <row r="23598">
      <c r="F23598" s="13"/>
      <c r="M23598" s="13"/>
    </row>
    <row r="23599">
      <c r="F23599" s="13"/>
      <c r="M23599" s="13"/>
    </row>
    <row r="23600">
      <c r="F23600" s="13"/>
      <c r="M23600" s="13"/>
    </row>
    <row r="23601">
      <c r="F23601" s="13"/>
      <c r="M23601" s="13"/>
    </row>
    <row r="23602">
      <c r="F23602" s="13"/>
      <c r="M23602" s="13"/>
    </row>
    <row r="23603">
      <c r="F23603" s="13"/>
      <c r="M23603" s="13"/>
    </row>
    <row r="23604">
      <c r="F23604" s="13"/>
      <c r="M23604" s="13"/>
    </row>
    <row r="23605">
      <c r="F23605" s="13"/>
      <c r="M23605" s="13"/>
    </row>
    <row r="23606">
      <c r="F23606" s="13"/>
      <c r="M23606" s="13"/>
    </row>
    <row r="23607">
      <c r="F23607" s="13"/>
      <c r="M23607" s="13"/>
    </row>
    <row r="23608">
      <c r="F23608" s="13"/>
      <c r="M23608" s="13"/>
    </row>
    <row r="23609">
      <c r="F23609" s="13"/>
      <c r="M23609" s="13"/>
    </row>
    <row r="23610">
      <c r="F23610" s="13"/>
      <c r="M23610" s="13"/>
    </row>
    <row r="23611">
      <c r="F23611" s="13"/>
      <c r="M23611" s="13"/>
    </row>
    <row r="23612">
      <c r="F23612" s="13"/>
      <c r="M23612" s="13"/>
    </row>
    <row r="23613">
      <c r="F23613" s="13"/>
      <c r="M23613" s="13"/>
    </row>
    <row r="23614">
      <c r="F23614" s="13"/>
      <c r="M23614" s="13"/>
    </row>
    <row r="23615">
      <c r="F23615" s="13"/>
      <c r="M23615" s="13"/>
    </row>
    <row r="23616">
      <c r="F23616" s="13"/>
      <c r="M23616" s="13"/>
    </row>
    <row r="23617">
      <c r="F23617" s="13"/>
      <c r="M23617" s="13"/>
    </row>
    <row r="23618">
      <c r="F23618" s="13"/>
      <c r="M23618" s="13"/>
    </row>
    <row r="23619">
      <c r="F23619" s="13"/>
      <c r="M23619" s="13"/>
    </row>
    <row r="23620">
      <c r="F23620" s="13"/>
      <c r="M23620" s="13"/>
    </row>
    <row r="23621">
      <c r="F23621" s="13"/>
      <c r="M23621" s="13"/>
    </row>
    <row r="23622">
      <c r="F23622" s="13"/>
      <c r="M23622" s="13"/>
    </row>
    <row r="23623">
      <c r="F23623" s="13"/>
      <c r="M23623" s="13"/>
    </row>
    <row r="23624">
      <c r="F23624" s="13"/>
      <c r="M23624" s="13"/>
    </row>
    <row r="23625">
      <c r="F23625" s="13"/>
      <c r="M23625" s="13"/>
    </row>
    <row r="23626">
      <c r="F23626" s="13"/>
      <c r="M23626" s="13"/>
    </row>
    <row r="23627">
      <c r="F23627" s="13"/>
      <c r="M23627" s="13"/>
    </row>
    <row r="23628">
      <c r="F23628" s="13"/>
      <c r="M23628" s="13"/>
    </row>
    <row r="23629">
      <c r="F23629" s="13"/>
      <c r="M23629" s="13"/>
    </row>
    <row r="23630">
      <c r="F23630" s="13"/>
      <c r="M23630" s="13"/>
    </row>
    <row r="23631">
      <c r="F23631" s="13"/>
      <c r="M23631" s="13"/>
    </row>
    <row r="23632">
      <c r="F23632" s="13"/>
      <c r="M23632" s="13"/>
    </row>
    <row r="23633">
      <c r="F23633" s="13"/>
      <c r="M23633" s="13"/>
    </row>
    <row r="23634">
      <c r="F23634" s="13"/>
      <c r="M23634" s="13"/>
    </row>
    <row r="23635">
      <c r="F23635" s="13"/>
      <c r="M23635" s="13"/>
    </row>
    <row r="23636">
      <c r="F23636" s="13"/>
      <c r="M23636" s="13"/>
    </row>
    <row r="23637">
      <c r="F23637" s="13"/>
      <c r="M23637" s="13"/>
    </row>
    <row r="23638">
      <c r="F23638" s="13"/>
      <c r="M23638" s="13"/>
    </row>
    <row r="23639">
      <c r="F23639" s="13"/>
      <c r="M23639" s="13"/>
    </row>
    <row r="23640">
      <c r="F23640" s="13"/>
      <c r="M23640" s="13"/>
    </row>
    <row r="23641">
      <c r="F23641" s="13"/>
      <c r="M23641" s="13"/>
    </row>
    <row r="23642">
      <c r="F23642" s="13"/>
      <c r="M23642" s="13"/>
    </row>
    <row r="23643">
      <c r="F23643" s="13"/>
      <c r="M23643" s="13"/>
    </row>
    <row r="23644">
      <c r="F23644" s="13"/>
      <c r="M23644" s="13"/>
    </row>
    <row r="23645">
      <c r="F23645" s="13"/>
      <c r="M23645" s="13"/>
    </row>
    <row r="23646">
      <c r="F23646" s="13"/>
      <c r="M23646" s="13"/>
    </row>
    <row r="23647">
      <c r="F23647" s="13"/>
      <c r="M23647" s="13"/>
    </row>
    <row r="23648">
      <c r="F23648" s="13"/>
      <c r="M23648" s="13"/>
    </row>
    <row r="23649">
      <c r="F23649" s="13"/>
      <c r="M23649" s="13"/>
    </row>
    <row r="23650">
      <c r="F23650" s="13"/>
      <c r="M23650" s="13"/>
    </row>
    <row r="23651">
      <c r="F23651" s="13"/>
      <c r="M23651" s="13"/>
    </row>
    <row r="23652">
      <c r="F23652" s="13"/>
      <c r="M23652" s="13"/>
    </row>
    <row r="23653">
      <c r="F23653" s="13"/>
      <c r="M23653" s="13"/>
    </row>
    <row r="23654">
      <c r="F23654" s="13"/>
      <c r="M23654" s="13"/>
    </row>
    <row r="23655">
      <c r="F23655" s="13"/>
      <c r="M23655" s="13"/>
    </row>
    <row r="23656">
      <c r="F23656" s="13"/>
      <c r="M23656" s="13"/>
    </row>
    <row r="23657">
      <c r="F23657" s="13"/>
      <c r="M23657" s="13"/>
    </row>
    <row r="23658">
      <c r="F23658" s="13"/>
      <c r="M23658" s="13"/>
    </row>
    <row r="23659">
      <c r="F23659" s="13"/>
      <c r="M23659" s="13"/>
    </row>
    <row r="23660">
      <c r="F23660" s="13"/>
      <c r="M23660" s="13"/>
    </row>
    <row r="23661">
      <c r="F23661" s="13"/>
      <c r="M23661" s="13"/>
    </row>
    <row r="23662">
      <c r="F23662" s="13"/>
      <c r="M23662" s="13"/>
    </row>
    <row r="23663">
      <c r="F23663" s="13"/>
      <c r="M23663" s="13"/>
    </row>
    <row r="23664">
      <c r="F23664" s="13"/>
      <c r="M23664" s="13"/>
    </row>
    <row r="23665">
      <c r="F23665" s="13"/>
      <c r="M23665" s="13"/>
    </row>
    <row r="23666">
      <c r="F23666" s="13"/>
      <c r="M23666" s="13"/>
    </row>
    <row r="23667">
      <c r="F23667" s="13"/>
      <c r="M23667" s="13"/>
    </row>
    <row r="23668">
      <c r="F23668" s="13"/>
      <c r="M23668" s="13"/>
    </row>
    <row r="23669">
      <c r="F23669" s="13"/>
      <c r="M23669" s="13"/>
    </row>
    <row r="23670">
      <c r="F23670" s="13"/>
      <c r="M23670" s="13"/>
    </row>
    <row r="23671">
      <c r="F23671" s="13"/>
      <c r="M23671" s="13"/>
    </row>
    <row r="23672">
      <c r="F23672" s="13"/>
      <c r="M23672" s="13"/>
    </row>
    <row r="23673">
      <c r="F23673" s="13"/>
      <c r="M23673" s="13"/>
    </row>
    <row r="23674">
      <c r="F23674" s="13"/>
      <c r="M23674" s="13"/>
    </row>
    <row r="23675">
      <c r="F23675" s="13"/>
      <c r="M23675" s="13"/>
    </row>
    <row r="23676">
      <c r="F23676" s="13"/>
      <c r="M23676" s="13"/>
    </row>
    <row r="23677">
      <c r="F23677" s="13"/>
      <c r="M23677" s="13"/>
    </row>
    <row r="23678">
      <c r="F23678" s="13"/>
      <c r="M23678" s="13"/>
    </row>
    <row r="23679">
      <c r="F23679" s="13"/>
      <c r="M23679" s="13"/>
    </row>
    <row r="23680">
      <c r="F23680" s="13"/>
      <c r="M23680" s="13"/>
    </row>
    <row r="23681">
      <c r="F23681" s="13"/>
      <c r="M23681" s="13"/>
    </row>
    <row r="23682">
      <c r="F23682" s="13"/>
      <c r="M23682" s="13"/>
    </row>
    <row r="23683">
      <c r="F23683" s="13"/>
      <c r="M23683" s="13"/>
    </row>
    <row r="23684">
      <c r="F23684" s="13"/>
      <c r="M23684" s="13"/>
    </row>
    <row r="23685">
      <c r="F23685" s="13"/>
      <c r="M23685" s="13"/>
    </row>
    <row r="23686">
      <c r="F23686" s="13"/>
      <c r="M23686" s="13"/>
    </row>
    <row r="23687">
      <c r="F23687" s="13"/>
      <c r="M23687" s="13"/>
    </row>
    <row r="23688">
      <c r="F23688" s="13"/>
      <c r="M23688" s="13"/>
    </row>
    <row r="23689">
      <c r="F23689" s="13"/>
      <c r="M23689" s="13"/>
    </row>
    <row r="23690">
      <c r="F23690" s="13"/>
      <c r="M23690" s="13"/>
    </row>
    <row r="23691">
      <c r="F23691" s="13"/>
      <c r="M23691" s="13"/>
    </row>
    <row r="23692">
      <c r="F23692" s="13"/>
      <c r="M23692" s="13"/>
    </row>
    <row r="23693">
      <c r="F23693" s="13"/>
      <c r="M23693" s="13"/>
    </row>
    <row r="23694">
      <c r="F23694" s="13"/>
      <c r="M23694" s="13"/>
    </row>
    <row r="23695">
      <c r="F23695" s="13"/>
      <c r="M23695" s="13"/>
    </row>
    <row r="23696">
      <c r="F23696" s="13"/>
      <c r="M23696" s="13"/>
    </row>
    <row r="23697">
      <c r="F23697" s="13"/>
      <c r="M23697" s="13"/>
    </row>
    <row r="23698">
      <c r="F23698" s="13"/>
      <c r="M23698" s="13"/>
    </row>
    <row r="23699">
      <c r="F23699" s="13"/>
      <c r="M23699" s="13"/>
    </row>
    <row r="23700">
      <c r="F23700" s="13"/>
      <c r="M23700" s="13"/>
    </row>
    <row r="23701">
      <c r="F23701" s="13"/>
      <c r="M23701" s="13"/>
    </row>
    <row r="23702">
      <c r="F23702" s="13"/>
      <c r="M23702" s="13"/>
    </row>
    <row r="23703">
      <c r="F23703" s="13"/>
      <c r="M23703" s="13"/>
    </row>
    <row r="23704">
      <c r="F23704" s="13"/>
      <c r="M23704" s="13"/>
    </row>
    <row r="23705">
      <c r="F23705" s="13"/>
      <c r="M23705" s="13"/>
    </row>
    <row r="23706">
      <c r="F23706" s="13"/>
      <c r="M23706" s="13"/>
    </row>
    <row r="23707">
      <c r="F23707" s="13"/>
      <c r="M23707" s="13"/>
    </row>
    <row r="23708">
      <c r="F23708" s="13"/>
      <c r="M23708" s="13"/>
    </row>
    <row r="23709">
      <c r="F23709" s="13"/>
      <c r="M23709" s="13"/>
    </row>
    <row r="23710">
      <c r="F23710" s="13"/>
      <c r="M23710" s="13"/>
    </row>
    <row r="23711">
      <c r="F23711" s="13"/>
      <c r="M23711" s="13"/>
    </row>
    <row r="23712">
      <c r="F23712" s="13"/>
      <c r="M23712" s="13"/>
    </row>
    <row r="23713">
      <c r="F23713" s="13"/>
      <c r="M23713" s="13"/>
    </row>
    <row r="23714">
      <c r="F23714" s="13"/>
      <c r="M23714" s="13"/>
    </row>
    <row r="23715">
      <c r="F23715" s="13"/>
      <c r="M23715" s="13"/>
    </row>
    <row r="23716">
      <c r="F23716" s="13"/>
      <c r="M23716" s="13"/>
    </row>
    <row r="23717">
      <c r="F23717" s="13"/>
      <c r="M23717" s="13"/>
    </row>
    <row r="23718">
      <c r="F23718" s="13"/>
      <c r="M23718" s="13"/>
    </row>
    <row r="23719">
      <c r="F23719" s="13"/>
      <c r="M23719" s="13"/>
    </row>
    <row r="23720">
      <c r="F23720" s="13"/>
      <c r="M23720" s="13"/>
    </row>
    <row r="23721">
      <c r="F23721" s="13"/>
      <c r="M23721" s="13"/>
    </row>
    <row r="23722">
      <c r="F23722" s="13"/>
      <c r="M23722" s="13"/>
    </row>
    <row r="23723">
      <c r="F23723" s="13"/>
      <c r="M23723" s="13"/>
    </row>
    <row r="23724">
      <c r="F23724" s="13"/>
      <c r="M23724" s="13"/>
    </row>
    <row r="23725">
      <c r="F23725" s="13"/>
      <c r="M23725" s="13"/>
    </row>
    <row r="23726">
      <c r="F23726" s="13"/>
      <c r="M23726" s="13"/>
    </row>
    <row r="23727">
      <c r="F23727" s="13"/>
      <c r="M23727" s="13"/>
    </row>
    <row r="23728">
      <c r="F23728" s="13"/>
      <c r="M23728" s="13"/>
    </row>
    <row r="23729">
      <c r="F23729" s="13"/>
      <c r="M23729" s="13"/>
    </row>
    <row r="23730">
      <c r="F23730" s="13"/>
      <c r="M23730" s="13"/>
    </row>
    <row r="23731">
      <c r="F23731" s="13"/>
      <c r="M23731" s="13"/>
    </row>
    <row r="23732">
      <c r="F23732" s="13"/>
      <c r="M23732" s="13"/>
    </row>
    <row r="23733">
      <c r="F23733" s="13"/>
      <c r="M23733" s="13"/>
    </row>
    <row r="23734">
      <c r="F23734" s="13"/>
      <c r="M23734" s="13"/>
    </row>
    <row r="23735">
      <c r="F23735" s="13"/>
      <c r="M23735" s="13"/>
    </row>
    <row r="23736">
      <c r="F23736" s="13"/>
      <c r="M23736" s="13"/>
    </row>
    <row r="23737">
      <c r="F23737" s="13"/>
      <c r="M23737" s="13"/>
    </row>
    <row r="23738">
      <c r="F23738" s="13"/>
      <c r="M23738" s="13"/>
    </row>
    <row r="23739">
      <c r="F23739" s="13"/>
      <c r="M23739" s="13"/>
    </row>
    <row r="23740">
      <c r="F23740" s="13"/>
      <c r="M23740" s="13"/>
    </row>
    <row r="23741">
      <c r="F23741" s="13"/>
      <c r="M23741" s="13"/>
    </row>
    <row r="23742">
      <c r="F23742" s="13"/>
      <c r="M23742" s="13"/>
    </row>
    <row r="23743">
      <c r="F23743" s="13"/>
      <c r="M23743" s="13"/>
    </row>
    <row r="23744">
      <c r="F23744" s="13"/>
      <c r="M23744" s="13"/>
    </row>
    <row r="23745">
      <c r="F23745" s="13"/>
      <c r="M23745" s="13"/>
    </row>
    <row r="23746">
      <c r="F23746" s="13"/>
      <c r="M23746" s="13"/>
    </row>
    <row r="23747">
      <c r="F23747" s="13"/>
      <c r="M23747" s="13"/>
    </row>
    <row r="23748">
      <c r="F23748" s="13"/>
      <c r="M23748" s="13"/>
    </row>
    <row r="23749">
      <c r="F23749" s="13"/>
      <c r="M23749" s="13"/>
    </row>
    <row r="23750">
      <c r="F23750" s="13"/>
      <c r="M23750" s="13"/>
    </row>
    <row r="23751">
      <c r="F23751" s="13"/>
      <c r="M23751" s="13"/>
    </row>
    <row r="23752">
      <c r="F23752" s="13"/>
      <c r="M23752" s="13"/>
    </row>
    <row r="23753">
      <c r="F23753" s="13"/>
      <c r="M23753" s="13"/>
    </row>
    <row r="23754">
      <c r="F23754" s="13"/>
      <c r="M23754" s="13"/>
    </row>
    <row r="23755">
      <c r="F23755" s="13"/>
      <c r="M23755" s="13"/>
    </row>
    <row r="23756">
      <c r="F23756" s="13"/>
      <c r="M23756" s="13"/>
    </row>
    <row r="23757">
      <c r="F23757" s="13"/>
      <c r="M23757" s="13"/>
    </row>
    <row r="23758">
      <c r="F23758" s="13"/>
      <c r="M23758" s="13"/>
    </row>
    <row r="23759">
      <c r="F23759" s="13"/>
      <c r="M23759" s="13"/>
    </row>
    <row r="23760">
      <c r="F23760" s="13"/>
      <c r="M23760" s="13"/>
    </row>
    <row r="23761">
      <c r="F23761" s="13"/>
      <c r="M23761" s="13"/>
    </row>
    <row r="23762">
      <c r="F23762" s="13"/>
      <c r="M23762" s="13"/>
    </row>
    <row r="23763">
      <c r="F23763" s="13"/>
      <c r="M23763" s="13"/>
    </row>
    <row r="23764">
      <c r="F23764" s="13"/>
      <c r="M23764" s="13"/>
    </row>
    <row r="23765">
      <c r="F23765" s="13"/>
      <c r="M23765" s="13"/>
    </row>
    <row r="23766">
      <c r="F23766" s="13"/>
      <c r="M23766" s="13"/>
    </row>
    <row r="23767">
      <c r="F23767" s="13"/>
      <c r="M23767" s="13"/>
    </row>
    <row r="23768">
      <c r="F23768" s="13"/>
      <c r="M23768" s="13"/>
    </row>
    <row r="23769">
      <c r="F23769" s="13"/>
      <c r="M23769" s="13"/>
    </row>
    <row r="23770">
      <c r="F23770" s="13"/>
      <c r="M23770" s="13"/>
    </row>
    <row r="23771">
      <c r="F23771" s="13"/>
      <c r="M23771" s="13"/>
    </row>
    <row r="23772">
      <c r="F23772" s="13"/>
      <c r="M23772" s="13"/>
    </row>
    <row r="23773">
      <c r="F23773" s="13"/>
      <c r="M23773" s="13"/>
    </row>
    <row r="23774">
      <c r="F23774" s="13"/>
      <c r="M23774" s="13"/>
    </row>
    <row r="23775">
      <c r="F23775" s="13"/>
      <c r="M23775" s="13"/>
    </row>
    <row r="23776">
      <c r="F23776" s="13"/>
      <c r="M23776" s="13"/>
    </row>
    <row r="23777">
      <c r="F23777" s="13"/>
      <c r="M23777" s="13"/>
    </row>
    <row r="23778">
      <c r="F23778" s="13"/>
      <c r="M23778" s="13"/>
    </row>
    <row r="23779">
      <c r="F23779" s="13"/>
      <c r="M23779" s="13"/>
    </row>
    <row r="23780">
      <c r="F23780" s="13"/>
      <c r="M23780" s="13"/>
    </row>
    <row r="23781">
      <c r="F23781" s="13"/>
      <c r="M23781" s="13"/>
    </row>
    <row r="23782">
      <c r="F23782" s="13"/>
      <c r="M23782" s="13"/>
    </row>
    <row r="23783">
      <c r="F23783" s="13"/>
      <c r="M23783" s="13"/>
    </row>
    <row r="23784">
      <c r="F23784" s="13"/>
      <c r="M23784" s="13"/>
    </row>
    <row r="23785">
      <c r="F23785" s="13"/>
      <c r="M23785" s="13"/>
    </row>
    <row r="23786">
      <c r="F23786" s="13"/>
      <c r="M23786" s="13"/>
    </row>
    <row r="23787">
      <c r="F23787" s="13"/>
      <c r="M23787" s="13"/>
    </row>
    <row r="23788">
      <c r="F23788" s="13"/>
      <c r="M23788" s="13"/>
    </row>
    <row r="23789">
      <c r="F23789" s="13"/>
      <c r="M23789" s="13"/>
    </row>
    <row r="23790">
      <c r="F23790" s="13"/>
      <c r="M23790" s="13"/>
    </row>
    <row r="23791">
      <c r="F23791" s="13"/>
      <c r="M23791" s="13"/>
    </row>
    <row r="23792">
      <c r="F23792" s="13"/>
      <c r="M23792" s="13"/>
    </row>
    <row r="23793">
      <c r="F23793" s="13"/>
      <c r="M23793" s="13"/>
    </row>
    <row r="23794">
      <c r="F23794" s="13"/>
      <c r="M23794" s="13"/>
    </row>
    <row r="23795">
      <c r="F23795" s="13"/>
      <c r="M23795" s="13"/>
    </row>
    <row r="23796">
      <c r="F23796" s="13"/>
      <c r="M23796" s="13"/>
    </row>
    <row r="23797">
      <c r="F23797" s="13"/>
      <c r="M23797" s="13"/>
    </row>
    <row r="23798">
      <c r="F23798" s="13"/>
      <c r="M23798" s="13"/>
    </row>
    <row r="23799">
      <c r="F23799" s="13"/>
      <c r="M23799" s="13"/>
    </row>
    <row r="23800">
      <c r="F23800" s="13"/>
      <c r="M23800" s="13"/>
    </row>
    <row r="23801">
      <c r="F23801" s="13"/>
      <c r="M23801" s="13"/>
    </row>
    <row r="23802">
      <c r="F23802" s="13"/>
      <c r="M23802" s="13"/>
    </row>
    <row r="23803">
      <c r="F23803" s="13"/>
      <c r="M23803" s="13"/>
    </row>
    <row r="23804">
      <c r="F23804" s="13"/>
      <c r="M23804" s="13"/>
    </row>
    <row r="23805">
      <c r="F23805" s="13"/>
      <c r="M23805" s="13"/>
    </row>
    <row r="23806">
      <c r="F23806" s="13"/>
      <c r="M23806" s="13"/>
    </row>
    <row r="23807">
      <c r="F23807" s="13"/>
      <c r="M23807" s="13"/>
    </row>
    <row r="23808">
      <c r="F23808" s="13"/>
      <c r="M23808" s="13"/>
    </row>
    <row r="23809">
      <c r="F23809" s="13"/>
      <c r="M23809" s="13"/>
    </row>
    <row r="23810">
      <c r="F23810" s="13"/>
      <c r="M23810" s="13"/>
    </row>
    <row r="23811">
      <c r="F23811" s="13"/>
      <c r="M23811" s="13"/>
    </row>
    <row r="23812">
      <c r="F23812" s="13"/>
      <c r="M23812" s="13"/>
    </row>
    <row r="23813">
      <c r="F23813" s="13"/>
      <c r="M23813" s="13"/>
    </row>
    <row r="23814">
      <c r="F23814" s="13"/>
      <c r="M23814" s="13"/>
    </row>
    <row r="23815">
      <c r="F23815" s="13"/>
      <c r="M23815" s="13"/>
    </row>
    <row r="23816">
      <c r="F23816" s="13"/>
      <c r="M23816" s="13"/>
    </row>
    <row r="23817">
      <c r="F23817" s="13"/>
      <c r="M23817" s="13"/>
    </row>
    <row r="23818">
      <c r="F23818" s="13"/>
      <c r="M23818" s="13"/>
    </row>
    <row r="23819">
      <c r="F23819" s="13"/>
      <c r="M23819" s="13"/>
    </row>
    <row r="23820">
      <c r="F23820" s="13"/>
      <c r="M23820" s="13"/>
    </row>
    <row r="23821">
      <c r="F23821" s="13"/>
      <c r="M23821" s="13"/>
    </row>
    <row r="23822">
      <c r="F23822" s="13"/>
      <c r="M23822" s="13"/>
    </row>
    <row r="23823">
      <c r="F23823" s="13"/>
      <c r="M23823" s="13"/>
    </row>
    <row r="23824">
      <c r="F23824" s="13"/>
      <c r="M23824" s="13"/>
    </row>
    <row r="23825">
      <c r="F23825" s="13"/>
      <c r="M23825" s="13"/>
    </row>
    <row r="23826">
      <c r="F23826" s="13"/>
      <c r="M23826" s="13"/>
    </row>
    <row r="23827">
      <c r="F23827" s="13"/>
      <c r="M23827" s="13"/>
    </row>
    <row r="23828">
      <c r="F23828" s="13"/>
      <c r="M23828" s="13"/>
    </row>
    <row r="23829">
      <c r="F23829" s="13"/>
      <c r="M23829" s="13"/>
    </row>
    <row r="23830">
      <c r="F23830" s="13"/>
      <c r="M23830" s="13"/>
    </row>
    <row r="23831">
      <c r="F23831" s="13"/>
      <c r="M23831" s="13"/>
    </row>
    <row r="23832">
      <c r="F23832" s="13"/>
      <c r="M23832" s="13"/>
    </row>
    <row r="23833">
      <c r="F23833" s="13"/>
      <c r="M23833" s="13"/>
    </row>
    <row r="23834">
      <c r="F23834" s="13"/>
      <c r="M23834" s="13"/>
    </row>
    <row r="23835">
      <c r="F23835" s="13"/>
      <c r="M23835" s="13"/>
    </row>
    <row r="23836">
      <c r="F23836" s="13"/>
      <c r="M23836" s="13"/>
    </row>
    <row r="23837">
      <c r="F23837" s="13"/>
      <c r="M23837" s="13"/>
    </row>
    <row r="23838">
      <c r="F23838" s="13"/>
      <c r="M23838" s="13"/>
    </row>
    <row r="23839">
      <c r="F23839" s="13"/>
      <c r="M23839" s="13"/>
    </row>
    <row r="23840">
      <c r="F23840" s="13"/>
      <c r="M23840" s="13"/>
    </row>
    <row r="23841">
      <c r="F23841" s="13"/>
      <c r="M23841" s="13"/>
    </row>
    <row r="23842">
      <c r="F23842" s="13"/>
      <c r="M23842" s="13"/>
    </row>
    <row r="23843">
      <c r="F23843" s="13"/>
      <c r="M23843" s="13"/>
    </row>
    <row r="23844">
      <c r="F23844" s="13"/>
      <c r="M23844" s="13"/>
    </row>
    <row r="23845">
      <c r="F23845" s="13"/>
      <c r="M23845" s="13"/>
    </row>
    <row r="23846">
      <c r="F23846" s="13"/>
      <c r="M23846" s="13"/>
    </row>
    <row r="23847">
      <c r="F23847" s="13"/>
      <c r="M23847" s="13"/>
    </row>
    <row r="23848">
      <c r="F23848" s="13"/>
      <c r="M23848" s="13"/>
    </row>
    <row r="23849">
      <c r="F23849" s="13"/>
      <c r="M23849" s="13"/>
    </row>
    <row r="23850">
      <c r="F23850" s="13"/>
      <c r="M23850" s="13"/>
    </row>
    <row r="23851">
      <c r="F23851" s="13"/>
      <c r="M23851" s="13"/>
    </row>
    <row r="23852">
      <c r="F23852" s="13"/>
      <c r="M23852" s="13"/>
    </row>
    <row r="23853">
      <c r="F23853" s="13"/>
      <c r="M23853" s="13"/>
    </row>
    <row r="23854">
      <c r="F23854" s="13"/>
      <c r="M23854" s="13"/>
    </row>
    <row r="23855">
      <c r="F23855" s="13"/>
      <c r="M23855" s="13"/>
    </row>
    <row r="23856">
      <c r="F23856" s="13"/>
      <c r="M23856" s="13"/>
    </row>
    <row r="23857">
      <c r="F23857" s="13"/>
      <c r="M23857" s="13"/>
    </row>
    <row r="23858">
      <c r="F23858" s="13"/>
      <c r="M23858" s="13"/>
    </row>
    <row r="23859">
      <c r="F23859" s="13"/>
      <c r="M23859" s="13"/>
    </row>
    <row r="23860">
      <c r="F23860" s="13"/>
      <c r="M23860" s="13"/>
    </row>
    <row r="23861">
      <c r="F23861" s="13"/>
      <c r="M23861" s="13"/>
    </row>
    <row r="23862">
      <c r="F23862" s="13"/>
      <c r="M23862" s="13"/>
    </row>
    <row r="23863">
      <c r="F23863" s="13"/>
      <c r="M23863" s="13"/>
    </row>
    <row r="23864">
      <c r="F23864" s="13"/>
      <c r="M23864" s="13"/>
    </row>
    <row r="23865">
      <c r="F23865" s="13"/>
      <c r="M23865" s="13"/>
    </row>
    <row r="23866">
      <c r="F23866" s="13"/>
      <c r="M23866" s="13"/>
    </row>
    <row r="23867">
      <c r="F23867" s="13"/>
      <c r="M23867" s="13"/>
    </row>
    <row r="23868">
      <c r="F23868" s="13"/>
      <c r="M23868" s="13"/>
    </row>
    <row r="23869">
      <c r="F23869" s="13"/>
      <c r="M23869" s="13"/>
    </row>
    <row r="23870">
      <c r="F23870" s="13"/>
      <c r="M23870" s="13"/>
    </row>
    <row r="23871">
      <c r="F23871" s="13"/>
      <c r="M23871" s="13"/>
    </row>
    <row r="23872">
      <c r="F23872" s="13"/>
      <c r="M23872" s="13"/>
    </row>
    <row r="23873">
      <c r="F23873" s="13"/>
      <c r="M23873" s="13"/>
    </row>
    <row r="23874">
      <c r="F23874" s="13"/>
      <c r="M23874" s="13"/>
    </row>
    <row r="23875">
      <c r="F23875" s="13"/>
      <c r="M23875" s="13"/>
    </row>
    <row r="23876">
      <c r="F23876" s="13"/>
      <c r="M23876" s="13"/>
    </row>
    <row r="23877">
      <c r="F23877" s="13"/>
      <c r="M23877" s="13"/>
    </row>
    <row r="23878">
      <c r="F23878" s="13"/>
      <c r="M23878" s="13"/>
    </row>
    <row r="23879">
      <c r="F23879" s="13"/>
      <c r="M23879" s="13"/>
    </row>
    <row r="23880">
      <c r="F23880" s="13"/>
      <c r="M23880" s="13"/>
    </row>
    <row r="23881">
      <c r="F23881" s="13"/>
      <c r="M23881" s="13"/>
    </row>
    <row r="23882">
      <c r="F23882" s="13"/>
      <c r="M23882" s="13"/>
    </row>
    <row r="23883">
      <c r="F23883" s="13"/>
      <c r="M23883" s="13"/>
    </row>
    <row r="23884">
      <c r="F23884" s="13"/>
      <c r="M23884" s="13"/>
    </row>
    <row r="23885">
      <c r="F23885" s="13"/>
      <c r="M23885" s="13"/>
    </row>
    <row r="23886">
      <c r="F23886" s="13"/>
      <c r="M23886" s="13"/>
    </row>
    <row r="23887">
      <c r="F23887" s="13"/>
      <c r="M23887" s="13"/>
    </row>
    <row r="23888">
      <c r="F23888" s="13"/>
      <c r="M23888" s="13"/>
    </row>
    <row r="23889">
      <c r="F23889" s="13"/>
      <c r="M23889" s="13"/>
    </row>
    <row r="23890">
      <c r="F23890" s="13"/>
      <c r="M23890" s="13"/>
    </row>
    <row r="23891">
      <c r="F23891" s="13"/>
      <c r="M23891" s="13"/>
    </row>
    <row r="23892">
      <c r="F23892" s="13"/>
      <c r="M23892" s="13"/>
    </row>
    <row r="23893">
      <c r="F23893" s="13"/>
      <c r="M23893" s="13"/>
    </row>
    <row r="23894">
      <c r="F23894" s="13"/>
      <c r="M23894" s="13"/>
    </row>
    <row r="23895">
      <c r="F23895" s="13"/>
      <c r="M23895" s="13"/>
    </row>
    <row r="23896">
      <c r="F23896" s="13"/>
      <c r="M23896" s="13"/>
    </row>
    <row r="23897">
      <c r="F23897" s="13"/>
      <c r="M23897" s="13"/>
    </row>
    <row r="23898">
      <c r="F23898" s="13"/>
      <c r="M23898" s="13"/>
    </row>
    <row r="23899">
      <c r="F23899" s="13"/>
      <c r="M23899" s="13"/>
    </row>
    <row r="23900">
      <c r="F23900" s="13"/>
      <c r="M23900" s="13"/>
    </row>
    <row r="23901">
      <c r="F23901" s="13"/>
      <c r="M23901" s="13"/>
    </row>
    <row r="23902">
      <c r="F23902" s="13"/>
      <c r="M23902" s="13"/>
    </row>
    <row r="23903">
      <c r="F23903" s="13"/>
      <c r="M23903" s="13"/>
    </row>
    <row r="23904">
      <c r="F23904" s="13"/>
      <c r="M23904" s="13"/>
    </row>
    <row r="23905">
      <c r="F23905" s="13"/>
      <c r="M23905" s="13"/>
    </row>
    <row r="23906">
      <c r="F23906" s="13"/>
      <c r="M23906" s="13"/>
    </row>
    <row r="23907">
      <c r="F23907" s="13"/>
      <c r="M23907" s="13"/>
    </row>
    <row r="23908">
      <c r="F23908" s="13"/>
      <c r="M23908" s="13"/>
    </row>
    <row r="23909">
      <c r="F23909" s="13"/>
      <c r="M23909" s="13"/>
    </row>
    <row r="23910">
      <c r="F23910" s="13"/>
      <c r="M23910" s="13"/>
    </row>
    <row r="23911">
      <c r="F23911" s="13"/>
      <c r="M23911" s="13"/>
    </row>
    <row r="23912">
      <c r="F23912" s="13"/>
      <c r="M23912" s="13"/>
    </row>
    <row r="23913">
      <c r="F23913" s="13"/>
      <c r="M23913" s="13"/>
    </row>
    <row r="23914">
      <c r="F23914" s="13"/>
      <c r="M23914" s="13"/>
    </row>
    <row r="23915">
      <c r="F23915" s="13"/>
      <c r="M23915" s="13"/>
    </row>
    <row r="23916">
      <c r="F23916" s="13"/>
      <c r="M23916" s="13"/>
    </row>
    <row r="23917">
      <c r="F23917" s="13"/>
      <c r="M23917" s="13"/>
    </row>
    <row r="23918">
      <c r="F23918" s="13"/>
      <c r="M23918" s="13"/>
    </row>
    <row r="23919">
      <c r="F23919" s="13"/>
      <c r="M23919" s="13"/>
    </row>
    <row r="23920">
      <c r="F23920" s="13"/>
      <c r="M23920" s="13"/>
    </row>
    <row r="23921">
      <c r="F23921" s="13"/>
      <c r="M23921" s="13"/>
    </row>
    <row r="23922">
      <c r="F23922" s="13"/>
      <c r="M23922" s="13"/>
    </row>
    <row r="23923">
      <c r="F23923" s="13"/>
      <c r="M23923" s="13"/>
    </row>
    <row r="23924">
      <c r="F23924" s="13"/>
      <c r="M23924" s="13"/>
    </row>
    <row r="23925">
      <c r="F23925" s="13"/>
      <c r="M23925" s="13"/>
    </row>
    <row r="23926">
      <c r="F23926" s="13"/>
      <c r="M23926" s="13"/>
    </row>
    <row r="23927">
      <c r="F23927" s="13"/>
      <c r="M23927" s="13"/>
    </row>
    <row r="23928">
      <c r="F23928" s="13"/>
      <c r="M23928" s="13"/>
    </row>
    <row r="23929">
      <c r="F23929" s="13"/>
      <c r="M23929" s="13"/>
    </row>
    <row r="23930">
      <c r="F23930" s="13"/>
      <c r="M23930" s="13"/>
    </row>
    <row r="23931">
      <c r="F23931" s="13"/>
      <c r="M23931" s="13"/>
    </row>
    <row r="23932">
      <c r="F23932" s="13"/>
      <c r="M23932" s="13"/>
    </row>
    <row r="23933">
      <c r="F23933" s="13"/>
      <c r="M23933" s="13"/>
    </row>
    <row r="23934">
      <c r="F23934" s="13"/>
      <c r="M23934" s="13"/>
    </row>
    <row r="23935">
      <c r="F23935" s="13"/>
      <c r="M23935" s="13"/>
    </row>
    <row r="23936">
      <c r="F23936" s="13"/>
      <c r="M23936" s="13"/>
    </row>
    <row r="23937">
      <c r="F23937" s="13"/>
      <c r="M23937" s="13"/>
    </row>
    <row r="23938">
      <c r="F23938" s="13"/>
      <c r="M23938" s="13"/>
    </row>
    <row r="23939">
      <c r="F23939" s="13"/>
      <c r="M23939" s="13"/>
    </row>
    <row r="23940">
      <c r="F23940" s="13"/>
      <c r="M23940" s="13"/>
    </row>
    <row r="23941">
      <c r="F23941" s="13"/>
      <c r="M23941" s="13"/>
    </row>
    <row r="23942">
      <c r="F23942" s="13"/>
      <c r="M23942" s="13"/>
    </row>
    <row r="23943">
      <c r="F23943" s="13"/>
      <c r="M23943" s="13"/>
    </row>
    <row r="23944">
      <c r="F23944" s="13"/>
      <c r="M23944" s="13"/>
    </row>
    <row r="23945">
      <c r="F23945" s="13"/>
      <c r="M23945" s="13"/>
    </row>
    <row r="23946">
      <c r="F23946" s="13"/>
      <c r="M23946" s="13"/>
    </row>
    <row r="23947">
      <c r="F23947" s="13"/>
      <c r="M23947" s="13"/>
    </row>
    <row r="23948">
      <c r="F23948" s="13"/>
      <c r="M23948" s="13"/>
    </row>
    <row r="23949">
      <c r="F23949" s="13"/>
      <c r="M23949" s="13"/>
    </row>
    <row r="23950">
      <c r="F23950" s="13"/>
      <c r="M23950" s="13"/>
    </row>
    <row r="23951">
      <c r="F23951" s="13"/>
      <c r="M23951" s="13"/>
    </row>
    <row r="23952">
      <c r="F23952" s="13"/>
      <c r="M23952" s="13"/>
    </row>
    <row r="23953">
      <c r="F23953" s="13"/>
      <c r="M23953" s="13"/>
    </row>
    <row r="23954">
      <c r="F23954" s="13"/>
      <c r="M23954" s="13"/>
    </row>
    <row r="23955">
      <c r="F23955" s="13"/>
      <c r="M23955" s="13"/>
    </row>
    <row r="23956">
      <c r="F23956" s="13"/>
      <c r="M23956" s="13"/>
    </row>
    <row r="23957">
      <c r="F23957" s="13"/>
      <c r="M23957" s="13"/>
    </row>
    <row r="23958">
      <c r="F23958" s="13"/>
      <c r="M23958" s="13"/>
    </row>
    <row r="23959">
      <c r="F23959" s="13"/>
      <c r="M23959" s="13"/>
    </row>
    <row r="23960">
      <c r="F23960" s="13"/>
      <c r="M23960" s="13"/>
    </row>
    <row r="23961">
      <c r="F23961" s="13"/>
      <c r="M23961" s="13"/>
    </row>
    <row r="23962">
      <c r="F23962" s="13"/>
      <c r="M23962" s="13"/>
    </row>
    <row r="23963">
      <c r="F23963" s="13"/>
      <c r="M23963" s="13"/>
    </row>
    <row r="23964">
      <c r="F23964" s="13"/>
      <c r="M23964" s="13"/>
    </row>
    <row r="23965">
      <c r="F23965" s="13"/>
      <c r="M23965" s="13"/>
    </row>
    <row r="23966">
      <c r="F23966" s="13"/>
      <c r="M23966" s="13"/>
    </row>
    <row r="23967">
      <c r="F23967" s="13"/>
      <c r="M23967" s="13"/>
    </row>
    <row r="23968">
      <c r="F23968" s="13"/>
      <c r="M23968" s="13"/>
    </row>
    <row r="23969">
      <c r="F23969" s="13"/>
      <c r="M23969" s="13"/>
    </row>
    <row r="23970">
      <c r="F23970" s="13"/>
      <c r="M23970" s="13"/>
    </row>
    <row r="23971">
      <c r="F23971" s="13"/>
      <c r="M23971" s="13"/>
    </row>
    <row r="23972">
      <c r="F23972" s="13"/>
      <c r="M23972" s="13"/>
    </row>
    <row r="23973">
      <c r="F23973" s="13"/>
      <c r="M23973" s="13"/>
    </row>
    <row r="23974">
      <c r="F23974" s="13"/>
      <c r="M23974" s="13"/>
    </row>
    <row r="23975">
      <c r="F23975" s="13"/>
      <c r="M23975" s="13"/>
    </row>
    <row r="23976">
      <c r="F23976" s="13"/>
      <c r="M23976" s="13"/>
    </row>
    <row r="23977">
      <c r="F23977" s="13"/>
      <c r="M23977" s="13"/>
    </row>
    <row r="23978">
      <c r="F23978" s="13"/>
      <c r="M23978" s="13"/>
    </row>
    <row r="23979">
      <c r="F23979" s="13"/>
      <c r="M23979" s="13"/>
    </row>
    <row r="23980">
      <c r="F23980" s="13"/>
      <c r="M23980" s="13"/>
    </row>
    <row r="23981">
      <c r="F23981" s="13"/>
      <c r="M23981" s="13"/>
    </row>
    <row r="23982">
      <c r="F23982" s="13"/>
      <c r="M23982" s="13"/>
    </row>
    <row r="23983">
      <c r="F23983" s="13"/>
      <c r="M23983" s="13"/>
    </row>
    <row r="23984">
      <c r="F23984" s="13"/>
      <c r="M23984" s="13"/>
    </row>
    <row r="23985">
      <c r="F23985" s="13"/>
      <c r="M23985" s="13"/>
    </row>
    <row r="23986">
      <c r="F23986" s="13"/>
      <c r="M23986" s="13"/>
    </row>
    <row r="23987">
      <c r="F23987" s="13"/>
      <c r="M23987" s="13"/>
    </row>
    <row r="23988">
      <c r="F23988" s="13"/>
      <c r="M23988" s="13"/>
    </row>
    <row r="23989">
      <c r="F23989" s="13"/>
      <c r="M23989" s="13"/>
    </row>
    <row r="23990">
      <c r="F23990" s="13"/>
      <c r="M23990" s="13"/>
    </row>
    <row r="23991">
      <c r="F23991" s="13"/>
      <c r="M23991" s="13"/>
    </row>
    <row r="23992">
      <c r="F23992" s="13"/>
      <c r="M23992" s="13"/>
    </row>
    <row r="23993">
      <c r="F23993" s="13"/>
      <c r="M23993" s="13"/>
    </row>
    <row r="23994">
      <c r="F23994" s="13"/>
      <c r="M23994" s="13"/>
    </row>
    <row r="23995">
      <c r="F23995" s="13"/>
      <c r="M23995" s="13"/>
    </row>
    <row r="23996">
      <c r="F23996" s="13"/>
      <c r="M23996" s="13"/>
    </row>
    <row r="23997">
      <c r="F23997" s="13"/>
      <c r="M23997" s="13"/>
    </row>
    <row r="23998">
      <c r="F23998" s="13"/>
      <c r="M23998" s="13"/>
    </row>
    <row r="23999">
      <c r="F23999" s="13"/>
      <c r="M23999" s="13"/>
    </row>
    <row r="24000">
      <c r="F24000" s="13"/>
      <c r="M24000" s="13"/>
    </row>
    <row r="24001">
      <c r="F24001" s="13"/>
      <c r="M24001" s="13"/>
    </row>
    <row r="24002">
      <c r="F24002" s="13"/>
      <c r="M24002" s="13"/>
    </row>
    <row r="24003">
      <c r="F24003" s="13"/>
      <c r="M24003" s="13"/>
    </row>
    <row r="24004">
      <c r="F24004" s="13"/>
      <c r="M24004" s="13"/>
    </row>
    <row r="24005">
      <c r="F24005" s="13"/>
      <c r="M24005" s="13"/>
    </row>
    <row r="24006">
      <c r="F24006" s="13"/>
      <c r="M24006" s="13"/>
    </row>
    <row r="24007">
      <c r="F24007" s="13"/>
      <c r="M24007" s="13"/>
    </row>
    <row r="24008">
      <c r="F24008" s="13"/>
      <c r="M24008" s="13"/>
    </row>
    <row r="24009">
      <c r="F24009" s="13"/>
      <c r="M24009" s="13"/>
    </row>
    <row r="24010">
      <c r="F24010" s="13"/>
      <c r="M24010" s="13"/>
    </row>
    <row r="24011">
      <c r="F24011" s="13"/>
      <c r="M24011" s="13"/>
    </row>
    <row r="24012">
      <c r="F24012" s="13"/>
      <c r="M24012" s="13"/>
    </row>
    <row r="24013">
      <c r="F24013" s="13"/>
      <c r="M24013" s="13"/>
    </row>
    <row r="24014">
      <c r="F24014" s="13"/>
      <c r="M24014" s="13"/>
    </row>
    <row r="24015">
      <c r="F24015" s="13"/>
      <c r="M24015" s="13"/>
    </row>
    <row r="24016">
      <c r="F24016" s="13"/>
      <c r="M24016" s="13"/>
    </row>
    <row r="24017">
      <c r="F24017" s="13"/>
      <c r="M24017" s="13"/>
    </row>
    <row r="24018">
      <c r="F24018" s="13"/>
      <c r="M24018" s="13"/>
    </row>
    <row r="24019">
      <c r="F24019" s="13"/>
      <c r="M24019" s="13"/>
    </row>
    <row r="24020">
      <c r="F24020" s="13"/>
      <c r="M24020" s="13"/>
    </row>
    <row r="24021">
      <c r="F24021" s="13"/>
      <c r="M24021" s="13"/>
    </row>
    <row r="24022">
      <c r="F24022" s="13"/>
      <c r="M24022" s="13"/>
    </row>
    <row r="24023">
      <c r="F24023" s="13"/>
      <c r="M24023" s="13"/>
    </row>
    <row r="24024">
      <c r="F24024" s="13"/>
      <c r="M24024" s="13"/>
    </row>
    <row r="24025">
      <c r="F24025" s="13"/>
      <c r="M24025" s="13"/>
    </row>
    <row r="24026">
      <c r="F24026" s="13"/>
      <c r="M24026" s="13"/>
    </row>
    <row r="24027">
      <c r="F24027" s="13"/>
      <c r="M24027" s="13"/>
    </row>
    <row r="24028">
      <c r="F24028" s="13"/>
      <c r="M24028" s="13"/>
    </row>
    <row r="24029">
      <c r="F24029" s="13"/>
      <c r="M24029" s="13"/>
    </row>
    <row r="24030">
      <c r="F24030" s="13"/>
      <c r="M24030" s="13"/>
    </row>
    <row r="24031">
      <c r="F24031" s="13"/>
      <c r="M24031" s="13"/>
    </row>
    <row r="24032">
      <c r="F24032" s="13"/>
      <c r="M24032" s="13"/>
    </row>
    <row r="24033">
      <c r="F24033" s="13"/>
      <c r="M24033" s="13"/>
    </row>
    <row r="24034">
      <c r="F24034" s="13"/>
      <c r="M24034" s="13"/>
    </row>
    <row r="24035">
      <c r="F24035" s="13"/>
      <c r="M24035" s="13"/>
    </row>
    <row r="24036">
      <c r="F24036" s="13"/>
      <c r="M24036" s="13"/>
    </row>
    <row r="24037">
      <c r="F24037" s="13"/>
      <c r="M24037" s="13"/>
    </row>
    <row r="24038">
      <c r="F24038" s="13"/>
      <c r="M24038" s="13"/>
    </row>
    <row r="24039">
      <c r="F24039" s="13"/>
      <c r="M24039" s="13"/>
    </row>
    <row r="24040">
      <c r="F24040" s="13"/>
      <c r="M24040" s="13"/>
    </row>
    <row r="24041">
      <c r="F24041" s="13"/>
      <c r="M24041" s="13"/>
    </row>
    <row r="24042">
      <c r="F24042" s="13"/>
      <c r="M24042" s="13"/>
    </row>
    <row r="24043">
      <c r="F24043" s="13"/>
      <c r="M24043" s="13"/>
    </row>
    <row r="24044">
      <c r="F24044" s="13"/>
      <c r="M24044" s="13"/>
    </row>
    <row r="24045">
      <c r="F24045" s="13"/>
      <c r="M24045" s="13"/>
    </row>
    <row r="24046">
      <c r="F24046" s="13"/>
      <c r="M24046" s="13"/>
    </row>
    <row r="24047">
      <c r="F24047" s="13"/>
      <c r="M24047" s="13"/>
    </row>
    <row r="24048">
      <c r="F24048" s="13"/>
      <c r="M24048" s="13"/>
    </row>
    <row r="24049">
      <c r="F24049" s="13"/>
      <c r="M24049" s="13"/>
    </row>
    <row r="24050">
      <c r="F24050" s="13"/>
      <c r="M24050" s="13"/>
    </row>
    <row r="24051">
      <c r="F24051" s="13"/>
      <c r="M24051" s="13"/>
    </row>
    <row r="24052">
      <c r="F24052" s="13"/>
      <c r="M24052" s="13"/>
    </row>
    <row r="24053">
      <c r="F24053" s="13"/>
      <c r="M24053" s="13"/>
    </row>
    <row r="24054">
      <c r="F24054" s="13"/>
      <c r="M24054" s="13"/>
    </row>
    <row r="24055">
      <c r="F24055" s="13"/>
      <c r="M24055" s="13"/>
    </row>
    <row r="24056">
      <c r="F24056" s="13"/>
      <c r="M24056" s="13"/>
    </row>
    <row r="24057">
      <c r="F24057" s="13"/>
      <c r="M24057" s="13"/>
    </row>
    <row r="24058">
      <c r="F24058" s="13"/>
      <c r="M24058" s="13"/>
    </row>
    <row r="24059">
      <c r="F24059" s="13"/>
      <c r="M24059" s="13"/>
    </row>
    <row r="24060">
      <c r="F24060" s="13"/>
      <c r="M24060" s="13"/>
    </row>
    <row r="24061">
      <c r="F24061" s="13"/>
      <c r="M24061" s="13"/>
    </row>
    <row r="24062">
      <c r="F24062" s="13"/>
      <c r="M24062" s="13"/>
    </row>
    <row r="24063">
      <c r="F24063" s="13"/>
      <c r="M24063" s="13"/>
    </row>
    <row r="24064">
      <c r="F24064" s="13"/>
      <c r="M24064" s="13"/>
    </row>
    <row r="24065">
      <c r="F24065" s="13"/>
      <c r="M24065" s="13"/>
    </row>
    <row r="24066">
      <c r="F24066" s="13"/>
      <c r="M24066" s="13"/>
    </row>
    <row r="24067">
      <c r="F24067" s="13"/>
      <c r="M24067" s="13"/>
    </row>
    <row r="24068">
      <c r="F24068" s="13"/>
      <c r="M24068" s="13"/>
    </row>
    <row r="24069">
      <c r="F24069" s="13"/>
      <c r="M24069" s="13"/>
    </row>
    <row r="24070">
      <c r="F24070" s="13"/>
      <c r="M24070" s="13"/>
    </row>
    <row r="24071">
      <c r="F24071" s="13"/>
      <c r="M24071" s="13"/>
    </row>
    <row r="24072">
      <c r="F24072" s="13"/>
      <c r="M24072" s="13"/>
    </row>
    <row r="24073">
      <c r="F24073" s="13"/>
      <c r="M24073" s="13"/>
    </row>
    <row r="24074">
      <c r="F24074" s="13"/>
      <c r="M24074" s="13"/>
    </row>
    <row r="24075">
      <c r="F24075" s="13"/>
      <c r="M24075" s="13"/>
    </row>
    <row r="24076">
      <c r="F24076" s="13"/>
      <c r="M24076" s="13"/>
    </row>
    <row r="24077">
      <c r="F24077" s="13"/>
      <c r="M24077" s="13"/>
    </row>
    <row r="24078">
      <c r="F24078" s="13"/>
      <c r="M24078" s="13"/>
    </row>
    <row r="24079">
      <c r="F24079" s="13"/>
      <c r="M24079" s="13"/>
    </row>
    <row r="24080">
      <c r="F24080" s="13"/>
      <c r="M24080" s="13"/>
    </row>
    <row r="24081">
      <c r="F24081" s="13"/>
      <c r="M24081" s="13"/>
    </row>
    <row r="24082">
      <c r="F24082" s="13"/>
      <c r="M24082" s="13"/>
    </row>
    <row r="24083">
      <c r="F24083" s="13"/>
      <c r="M24083" s="13"/>
    </row>
    <row r="24084">
      <c r="F24084" s="13"/>
      <c r="M24084" s="13"/>
    </row>
    <row r="24085">
      <c r="F24085" s="13"/>
      <c r="M24085" s="13"/>
    </row>
    <row r="24086">
      <c r="F24086" s="13"/>
      <c r="M24086" s="13"/>
    </row>
    <row r="24087">
      <c r="F24087" s="13"/>
      <c r="M24087" s="13"/>
    </row>
    <row r="24088">
      <c r="F24088" s="13"/>
      <c r="M24088" s="13"/>
    </row>
    <row r="24089">
      <c r="F24089" s="13"/>
      <c r="M24089" s="13"/>
    </row>
    <row r="24090">
      <c r="F24090" s="13"/>
      <c r="M24090" s="13"/>
    </row>
    <row r="24091">
      <c r="F24091" s="13"/>
      <c r="M24091" s="13"/>
    </row>
    <row r="24092">
      <c r="F24092" s="13"/>
      <c r="M24092" s="13"/>
    </row>
    <row r="24093">
      <c r="F24093" s="13"/>
      <c r="M24093" s="13"/>
    </row>
    <row r="24094">
      <c r="F24094" s="13"/>
      <c r="M24094" s="13"/>
    </row>
    <row r="24095">
      <c r="F24095" s="13"/>
      <c r="M24095" s="13"/>
    </row>
    <row r="24096">
      <c r="F24096" s="13"/>
      <c r="M24096" s="13"/>
    </row>
    <row r="24097">
      <c r="F24097" s="13"/>
      <c r="M24097" s="13"/>
    </row>
    <row r="24098">
      <c r="F24098" s="13"/>
      <c r="M24098" s="13"/>
    </row>
    <row r="24099">
      <c r="F24099" s="13"/>
      <c r="M24099" s="13"/>
    </row>
    <row r="24100">
      <c r="F24100" s="13"/>
      <c r="M24100" s="13"/>
    </row>
    <row r="24101">
      <c r="F24101" s="13"/>
      <c r="M24101" s="13"/>
    </row>
    <row r="24102">
      <c r="F24102" s="13"/>
      <c r="M24102" s="13"/>
    </row>
    <row r="24103">
      <c r="F24103" s="13"/>
      <c r="M24103" s="13"/>
    </row>
    <row r="24104">
      <c r="F24104" s="13"/>
      <c r="M24104" s="13"/>
    </row>
    <row r="24105">
      <c r="F24105" s="13"/>
      <c r="M24105" s="13"/>
    </row>
    <row r="24106">
      <c r="F24106" s="13"/>
      <c r="M24106" s="13"/>
    </row>
    <row r="24107">
      <c r="F24107" s="13"/>
      <c r="M24107" s="13"/>
    </row>
    <row r="24108">
      <c r="F24108" s="13"/>
      <c r="M24108" s="13"/>
    </row>
    <row r="24109">
      <c r="F24109" s="13"/>
      <c r="M24109" s="13"/>
    </row>
    <row r="24110">
      <c r="F24110" s="13"/>
      <c r="M24110" s="13"/>
    </row>
    <row r="24111">
      <c r="F24111" s="13"/>
      <c r="M24111" s="13"/>
    </row>
    <row r="24112">
      <c r="F24112" s="13"/>
      <c r="M24112" s="13"/>
    </row>
    <row r="24113">
      <c r="F24113" s="13"/>
      <c r="M24113" s="13"/>
    </row>
    <row r="24114">
      <c r="F24114" s="13"/>
      <c r="M24114" s="13"/>
    </row>
    <row r="24115">
      <c r="F24115" s="13"/>
      <c r="M24115" s="13"/>
    </row>
    <row r="24116">
      <c r="F24116" s="13"/>
      <c r="M24116" s="13"/>
    </row>
    <row r="24117">
      <c r="F24117" s="13"/>
      <c r="M24117" s="13"/>
    </row>
    <row r="24118">
      <c r="F24118" s="13"/>
      <c r="M24118" s="13"/>
    </row>
    <row r="24119">
      <c r="F24119" s="13"/>
      <c r="M24119" s="13"/>
    </row>
    <row r="24120">
      <c r="F24120" s="13"/>
      <c r="M24120" s="13"/>
    </row>
    <row r="24121">
      <c r="F24121" s="13"/>
      <c r="M24121" s="13"/>
    </row>
    <row r="24122">
      <c r="F24122" s="13"/>
      <c r="M24122" s="13"/>
    </row>
    <row r="24123">
      <c r="F24123" s="13"/>
      <c r="M24123" s="13"/>
    </row>
    <row r="24124">
      <c r="F24124" s="13"/>
      <c r="M24124" s="13"/>
    </row>
    <row r="24125">
      <c r="F24125" s="13"/>
      <c r="M24125" s="13"/>
    </row>
    <row r="24126">
      <c r="F24126" s="13"/>
      <c r="M24126" s="13"/>
    </row>
    <row r="24127">
      <c r="F24127" s="13"/>
      <c r="M24127" s="13"/>
    </row>
    <row r="24128">
      <c r="F24128" s="13"/>
      <c r="M24128" s="13"/>
    </row>
    <row r="24129">
      <c r="F24129" s="13"/>
      <c r="M24129" s="13"/>
    </row>
    <row r="24130">
      <c r="F24130" s="13"/>
      <c r="M24130" s="13"/>
    </row>
    <row r="24131">
      <c r="F24131" s="13"/>
      <c r="M24131" s="13"/>
    </row>
    <row r="24132">
      <c r="F24132" s="13"/>
      <c r="M24132" s="13"/>
    </row>
    <row r="24133">
      <c r="F24133" s="13"/>
      <c r="M24133" s="13"/>
    </row>
    <row r="24134">
      <c r="F24134" s="13"/>
      <c r="M24134" s="13"/>
    </row>
    <row r="24135">
      <c r="F24135" s="13"/>
      <c r="M24135" s="13"/>
    </row>
    <row r="24136">
      <c r="F24136" s="13"/>
      <c r="M24136" s="13"/>
    </row>
    <row r="24137">
      <c r="F24137" s="13"/>
      <c r="M24137" s="13"/>
    </row>
    <row r="24138">
      <c r="F24138" s="13"/>
      <c r="M24138" s="13"/>
    </row>
    <row r="24139">
      <c r="F24139" s="13"/>
      <c r="M24139" s="13"/>
    </row>
    <row r="24140">
      <c r="F24140" s="13"/>
      <c r="M24140" s="13"/>
    </row>
    <row r="24141">
      <c r="F24141" s="13"/>
      <c r="M24141" s="13"/>
    </row>
    <row r="24142">
      <c r="F24142" s="13"/>
      <c r="M24142" s="13"/>
    </row>
    <row r="24143">
      <c r="F24143" s="13"/>
      <c r="M24143" s="13"/>
    </row>
    <row r="24144">
      <c r="F24144" s="13"/>
      <c r="M24144" s="13"/>
    </row>
    <row r="24145">
      <c r="F24145" s="13"/>
      <c r="M24145" s="13"/>
    </row>
    <row r="24146">
      <c r="F24146" s="13"/>
      <c r="M24146" s="13"/>
    </row>
    <row r="24147">
      <c r="F24147" s="13"/>
      <c r="M24147" s="13"/>
    </row>
    <row r="24148">
      <c r="F24148" s="13"/>
      <c r="M24148" s="13"/>
    </row>
    <row r="24149">
      <c r="F24149" s="13"/>
      <c r="M24149" s="13"/>
    </row>
    <row r="24150">
      <c r="F24150" s="13"/>
      <c r="M24150" s="13"/>
    </row>
    <row r="24151">
      <c r="F24151" s="13"/>
      <c r="M24151" s="13"/>
    </row>
    <row r="24152">
      <c r="F24152" s="13"/>
      <c r="M24152" s="13"/>
    </row>
    <row r="24153">
      <c r="F24153" s="13"/>
      <c r="M24153" s="13"/>
    </row>
    <row r="24154">
      <c r="F24154" s="13"/>
      <c r="M24154" s="13"/>
    </row>
    <row r="24155">
      <c r="F24155" s="13"/>
      <c r="M24155" s="13"/>
    </row>
    <row r="24156">
      <c r="F24156" s="13"/>
      <c r="M24156" s="13"/>
    </row>
    <row r="24157">
      <c r="F24157" s="13"/>
      <c r="M24157" s="13"/>
    </row>
    <row r="24158">
      <c r="F24158" s="13"/>
      <c r="M24158" s="13"/>
    </row>
    <row r="24159">
      <c r="F24159" s="13"/>
      <c r="M24159" s="13"/>
    </row>
    <row r="24160">
      <c r="F24160" s="13"/>
      <c r="M24160" s="13"/>
    </row>
    <row r="24161">
      <c r="F24161" s="13"/>
      <c r="M24161" s="13"/>
    </row>
    <row r="24162">
      <c r="F24162" s="13"/>
      <c r="M24162" s="13"/>
    </row>
    <row r="24163">
      <c r="F24163" s="13"/>
      <c r="M24163" s="13"/>
    </row>
    <row r="24164">
      <c r="F24164" s="13"/>
      <c r="M24164" s="13"/>
    </row>
    <row r="24165">
      <c r="F24165" s="13"/>
      <c r="M24165" s="13"/>
    </row>
    <row r="24166">
      <c r="F24166" s="13"/>
      <c r="M24166" s="13"/>
    </row>
    <row r="24167">
      <c r="F24167" s="13"/>
      <c r="M24167" s="13"/>
    </row>
    <row r="24168">
      <c r="F24168" s="13"/>
      <c r="M24168" s="13"/>
    </row>
    <row r="24169">
      <c r="F24169" s="13"/>
      <c r="M24169" s="13"/>
    </row>
    <row r="24170">
      <c r="F24170" s="13"/>
      <c r="M24170" s="13"/>
    </row>
    <row r="24171">
      <c r="F24171" s="13"/>
      <c r="M24171" s="13"/>
    </row>
    <row r="24172">
      <c r="F24172" s="13"/>
      <c r="M24172" s="13"/>
    </row>
    <row r="24173">
      <c r="F24173" s="13"/>
      <c r="M24173" s="13"/>
    </row>
    <row r="24174">
      <c r="F24174" s="13"/>
      <c r="M24174" s="13"/>
    </row>
    <row r="24175">
      <c r="F24175" s="13"/>
      <c r="M24175" s="13"/>
    </row>
    <row r="24176">
      <c r="F24176" s="13"/>
      <c r="M24176" s="13"/>
    </row>
    <row r="24177">
      <c r="F24177" s="13"/>
      <c r="M24177" s="13"/>
    </row>
    <row r="24178">
      <c r="F24178" s="13"/>
      <c r="M24178" s="13"/>
    </row>
    <row r="24179">
      <c r="F24179" s="13"/>
      <c r="M24179" s="13"/>
    </row>
    <row r="24180">
      <c r="F24180" s="13"/>
      <c r="M24180" s="13"/>
    </row>
    <row r="24181">
      <c r="F24181" s="13"/>
      <c r="M24181" s="13"/>
    </row>
    <row r="24182">
      <c r="F24182" s="13"/>
      <c r="M24182" s="13"/>
    </row>
    <row r="24183">
      <c r="F24183" s="13"/>
      <c r="M24183" s="13"/>
    </row>
    <row r="24184">
      <c r="F24184" s="13"/>
      <c r="M24184" s="13"/>
    </row>
    <row r="24185">
      <c r="F24185" s="13"/>
      <c r="M24185" s="13"/>
    </row>
    <row r="24186">
      <c r="F24186" s="13"/>
      <c r="M24186" s="13"/>
    </row>
    <row r="24187">
      <c r="F24187" s="13"/>
      <c r="M24187" s="13"/>
    </row>
    <row r="24188">
      <c r="F24188" s="13"/>
      <c r="M24188" s="13"/>
    </row>
    <row r="24189">
      <c r="F24189" s="13"/>
      <c r="M24189" s="13"/>
    </row>
    <row r="24190">
      <c r="F24190" s="13"/>
      <c r="M24190" s="13"/>
    </row>
    <row r="24191">
      <c r="F24191" s="13"/>
      <c r="M24191" s="13"/>
    </row>
    <row r="24192">
      <c r="F24192" s="13"/>
      <c r="M24192" s="13"/>
    </row>
    <row r="24193">
      <c r="F24193" s="13"/>
      <c r="M24193" s="13"/>
    </row>
    <row r="24194">
      <c r="F24194" s="13"/>
      <c r="M24194" s="13"/>
    </row>
    <row r="24195">
      <c r="F24195" s="13"/>
      <c r="M24195" s="13"/>
    </row>
    <row r="24196">
      <c r="F24196" s="13"/>
      <c r="M24196" s="13"/>
    </row>
    <row r="24197">
      <c r="F24197" s="13"/>
      <c r="M24197" s="13"/>
    </row>
    <row r="24198">
      <c r="F24198" s="13"/>
      <c r="M24198" s="13"/>
    </row>
    <row r="24199">
      <c r="F24199" s="13"/>
      <c r="M24199" s="13"/>
    </row>
    <row r="24200">
      <c r="F24200" s="13"/>
      <c r="M24200" s="13"/>
    </row>
    <row r="24201">
      <c r="F24201" s="13"/>
      <c r="M24201" s="13"/>
    </row>
    <row r="24202">
      <c r="F24202" s="13"/>
      <c r="M24202" s="13"/>
    </row>
    <row r="24203">
      <c r="F24203" s="13"/>
      <c r="M24203" s="13"/>
    </row>
    <row r="24204">
      <c r="F24204" s="13"/>
      <c r="M24204" s="13"/>
    </row>
    <row r="24205">
      <c r="F24205" s="13"/>
      <c r="M24205" s="13"/>
    </row>
    <row r="24206">
      <c r="F24206" s="13"/>
      <c r="M24206" s="13"/>
    </row>
    <row r="24207">
      <c r="F24207" s="13"/>
      <c r="M24207" s="13"/>
    </row>
    <row r="24208">
      <c r="F24208" s="13"/>
      <c r="M24208" s="13"/>
    </row>
    <row r="24209">
      <c r="F24209" s="13"/>
      <c r="M24209" s="13"/>
    </row>
    <row r="24210">
      <c r="F24210" s="13"/>
      <c r="M24210" s="13"/>
    </row>
    <row r="24211">
      <c r="F24211" s="13"/>
      <c r="M24211" s="13"/>
    </row>
    <row r="24212">
      <c r="F24212" s="13"/>
      <c r="M24212" s="13"/>
    </row>
    <row r="24213">
      <c r="F24213" s="13"/>
      <c r="M24213" s="13"/>
    </row>
    <row r="24214">
      <c r="F24214" s="13"/>
      <c r="M24214" s="13"/>
    </row>
    <row r="24215">
      <c r="F24215" s="13"/>
      <c r="M24215" s="13"/>
    </row>
    <row r="24216">
      <c r="F24216" s="13"/>
      <c r="M24216" s="13"/>
    </row>
    <row r="24217">
      <c r="F24217" s="13"/>
      <c r="M24217" s="13"/>
    </row>
    <row r="24218">
      <c r="F24218" s="13"/>
      <c r="M24218" s="13"/>
    </row>
    <row r="24219">
      <c r="F24219" s="13"/>
      <c r="M24219" s="13"/>
    </row>
    <row r="24220">
      <c r="F24220" s="13"/>
      <c r="M24220" s="13"/>
    </row>
    <row r="24221">
      <c r="F24221" s="13"/>
      <c r="M24221" s="13"/>
    </row>
    <row r="24222">
      <c r="F24222" s="13"/>
      <c r="M24222" s="13"/>
    </row>
    <row r="24223">
      <c r="F24223" s="13"/>
      <c r="M24223" s="13"/>
    </row>
    <row r="24224">
      <c r="F24224" s="13"/>
      <c r="M24224" s="13"/>
    </row>
    <row r="24225">
      <c r="F24225" s="13"/>
      <c r="M24225" s="13"/>
    </row>
    <row r="24226">
      <c r="F24226" s="13"/>
      <c r="M24226" s="13"/>
    </row>
    <row r="24227">
      <c r="F24227" s="13"/>
      <c r="M24227" s="13"/>
    </row>
    <row r="24228">
      <c r="F24228" s="13"/>
      <c r="M24228" s="13"/>
    </row>
    <row r="24229">
      <c r="F24229" s="13"/>
      <c r="M24229" s="13"/>
    </row>
    <row r="24230">
      <c r="F24230" s="13"/>
      <c r="M24230" s="13"/>
    </row>
    <row r="24231">
      <c r="F24231" s="13"/>
      <c r="M24231" s="13"/>
    </row>
    <row r="24232">
      <c r="F24232" s="13"/>
      <c r="M24232" s="13"/>
    </row>
    <row r="24233">
      <c r="F24233" s="13"/>
      <c r="M24233" s="13"/>
    </row>
    <row r="24234">
      <c r="F24234" s="13"/>
      <c r="M24234" s="13"/>
    </row>
    <row r="24235">
      <c r="F24235" s="13"/>
      <c r="M24235" s="13"/>
    </row>
    <row r="24236">
      <c r="F24236" s="13"/>
      <c r="M24236" s="13"/>
    </row>
    <row r="24237">
      <c r="F24237" s="13"/>
      <c r="M24237" s="13"/>
    </row>
    <row r="24238">
      <c r="F24238" s="13"/>
      <c r="M24238" s="13"/>
    </row>
    <row r="24239">
      <c r="F24239" s="13"/>
      <c r="M24239" s="13"/>
    </row>
    <row r="24240">
      <c r="F24240" s="13"/>
      <c r="M24240" s="13"/>
    </row>
    <row r="24241">
      <c r="F24241" s="13"/>
      <c r="M24241" s="13"/>
    </row>
    <row r="24242">
      <c r="F24242" s="13"/>
      <c r="M24242" s="13"/>
    </row>
    <row r="24243">
      <c r="F24243" s="13"/>
      <c r="M24243" s="13"/>
    </row>
    <row r="24244">
      <c r="F24244" s="13"/>
      <c r="M24244" s="13"/>
    </row>
    <row r="24245">
      <c r="F24245" s="13"/>
      <c r="M24245" s="13"/>
    </row>
    <row r="24246">
      <c r="F24246" s="13"/>
      <c r="M24246" s="13"/>
    </row>
    <row r="24247">
      <c r="F24247" s="13"/>
      <c r="M24247" s="13"/>
    </row>
    <row r="24248">
      <c r="F24248" s="13"/>
      <c r="M24248" s="13"/>
    </row>
    <row r="24249">
      <c r="F24249" s="13"/>
      <c r="M24249" s="13"/>
    </row>
    <row r="24250">
      <c r="F24250" s="13"/>
      <c r="M24250" s="13"/>
    </row>
    <row r="24251">
      <c r="F24251" s="13"/>
      <c r="M24251" s="13"/>
    </row>
    <row r="24252">
      <c r="F24252" s="13"/>
      <c r="M24252" s="13"/>
    </row>
    <row r="24253">
      <c r="F24253" s="13"/>
      <c r="M24253" s="13"/>
    </row>
    <row r="24254">
      <c r="F24254" s="13"/>
      <c r="M24254" s="13"/>
    </row>
    <row r="24255">
      <c r="F24255" s="13"/>
      <c r="M24255" s="13"/>
    </row>
    <row r="24256">
      <c r="F24256" s="13"/>
      <c r="M24256" s="13"/>
    </row>
    <row r="24257">
      <c r="F24257" s="13"/>
      <c r="M24257" s="13"/>
    </row>
    <row r="24258">
      <c r="F24258" s="13"/>
      <c r="M24258" s="13"/>
    </row>
    <row r="24259">
      <c r="F24259" s="13"/>
      <c r="M24259" s="13"/>
    </row>
    <row r="24260">
      <c r="F24260" s="13"/>
      <c r="M24260" s="13"/>
    </row>
    <row r="24261">
      <c r="F24261" s="13"/>
      <c r="M24261" s="13"/>
    </row>
    <row r="24262">
      <c r="F24262" s="13"/>
      <c r="M24262" s="13"/>
    </row>
    <row r="24263">
      <c r="F24263" s="13"/>
      <c r="M24263" s="13"/>
    </row>
    <row r="24264">
      <c r="F24264" s="13"/>
      <c r="M24264" s="13"/>
    </row>
    <row r="24265">
      <c r="F24265" s="13"/>
      <c r="M24265" s="13"/>
    </row>
    <row r="24266">
      <c r="F24266" s="13"/>
      <c r="M24266" s="13"/>
    </row>
    <row r="24267">
      <c r="F24267" s="13"/>
      <c r="M24267" s="13"/>
    </row>
    <row r="24268">
      <c r="F24268" s="13"/>
      <c r="M24268" s="13"/>
    </row>
    <row r="24269">
      <c r="F24269" s="13"/>
      <c r="M24269" s="13"/>
    </row>
    <row r="24270">
      <c r="F24270" s="13"/>
      <c r="M24270" s="13"/>
    </row>
    <row r="24271">
      <c r="F24271" s="13"/>
      <c r="M24271" s="13"/>
    </row>
    <row r="24272">
      <c r="F24272" s="13"/>
      <c r="M24272" s="13"/>
    </row>
    <row r="24273">
      <c r="F24273" s="13"/>
      <c r="M24273" s="13"/>
    </row>
    <row r="24274">
      <c r="F24274" s="13"/>
      <c r="M24274" s="13"/>
    </row>
    <row r="24275">
      <c r="F24275" s="13"/>
      <c r="M24275" s="13"/>
    </row>
    <row r="24276">
      <c r="F24276" s="13"/>
      <c r="M24276" s="13"/>
    </row>
    <row r="24277">
      <c r="F24277" s="13"/>
      <c r="M24277" s="13"/>
    </row>
    <row r="24278">
      <c r="F24278" s="13"/>
      <c r="M24278" s="13"/>
    </row>
    <row r="24279">
      <c r="F24279" s="13"/>
      <c r="M24279" s="13"/>
    </row>
    <row r="24280">
      <c r="F24280" s="13"/>
      <c r="M24280" s="13"/>
    </row>
    <row r="24281">
      <c r="F24281" s="13"/>
      <c r="M24281" s="13"/>
    </row>
    <row r="24282">
      <c r="F24282" s="13"/>
      <c r="M24282" s="13"/>
    </row>
    <row r="24283">
      <c r="F24283" s="13"/>
      <c r="M24283" s="13"/>
    </row>
    <row r="24284">
      <c r="F24284" s="13"/>
      <c r="M24284" s="13"/>
    </row>
    <row r="24285">
      <c r="F24285" s="13"/>
      <c r="M24285" s="13"/>
    </row>
    <row r="24286">
      <c r="F24286" s="13"/>
      <c r="M24286" s="13"/>
    </row>
    <row r="24287">
      <c r="F24287" s="13"/>
      <c r="M24287" s="13"/>
    </row>
    <row r="24288">
      <c r="F24288" s="13"/>
      <c r="M24288" s="13"/>
    </row>
    <row r="24289">
      <c r="F24289" s="13"/>
      <c r="M24289" s="13"/>
    </row>
    <row r="24290">
      <c r="F24290" s="13"/>
      <c r="M24290" s="13"/>
    </row>
    <row r="24291">
      <c r="F24291" s="13"/>
      <c r="M24291" s="13"/>
    </row>
    <row r="24292">
      <c r="F24292" s="13"/>
      <c r="M24292" s="13"/>
    </row>
    <row r="24293">
      <c r="F24293" s="13"/>
      <c r="M24293" s="13"/>
    </row>
    <row r="24294">
      <c r="F24294" s="13"/>
      <c r="M24294" s="13"/>
    </row>
    <row r="24295">
      <c r="F24295" s="13"/>
      <c r="M24295" s="13"/>
    </row>
    <row r="24296">
      <c r="F24296" s="13"/>
      <c r="M24296" s="13"/>
    </row>
    <row r="24297">
      <c r="F24297" s="13"/>
      <c r="M24297" s="13"/>
    </row>
    <row r="24298">
      <c r="F24298" s="13"/>
      <c r="M24298" s="13"/>
    </row>
    <row r="24299">
      <c r="F24299" s="13"/>
      <c r="M24299" s="13"/>
    </row>
    <row r="24300">
      <c r="F24300" s="13"/>
      <c r="M24300" s="13"/>
    </row>
    <row r="24301">
      <c r="F24301" s="13"/>
      <c r="M24301" s="13"/>
    </row>
    <row r="24302">
      <c r="F24302" s="13"/>
      <c r="M24302" s="13"/>
    </row>
    <row r="24303">
      <c r="F24303" s="13"/>
      <c r="M24303" s="13"/>
    </row>
    <row r="24304">
      <c r="F24304" s="13"/>
      <c r="M24304" s="13"/>
    </row>
    <row r="24305">
      <c r="F24305" s="13"/>
      <c r="M24305" s="13"/>
    </row>
    <row r="24306">
      <c r="F24306" s="13"/>
      <c r="M24306" s="13"/>
    </row>
    <row r="24307">
      <c r="F24307" s="13"/>
      <c r="M24307" s="13"/>
    </row>
    <row r="24308">
      <c r="F24308" s="13"/>
      <c r="M24308" s="13"/>
    </row>
    <row r="24309">
      <c r="F24309" s="13"/>
      <c r="M24309" s="13"/>
    </row>
    <row r="24310">
      <c r="F24310" s="13"/>
      <c r="M24310" s="13"/>
    </row>
    <row r="24311">
      <c r="F24311" s="13"/>
      <c r="M24311" s="13"/>
    </row>
    <row r="24312">
      <c r="F24312" s="13"/>
      <c r="M24312" s="13"/>
    </row>
    <row r="24313">
      <c r="F24313" s="13"/>
      <c r="M24313" s="13"/>
    </row>
    <row r="24314">
      <c r="F24314" s="13"/>
      <c r="M24314" s="13"/>
    </row>
    <row r="24315">
      <c r="F24315" s="13"/>
      <c r="M24315" s="13"/>
    </row>
    <row r="24316">
      <c r="F24316" s="13"/>
      <c r="M24316" s="13"/>
    </row>
    <row r="24317">
      <c r="F24317" s="13"/>
      <c r="M24317" s="13"/>
    </row>
    <row r="24318">
      <c r="F24318" s="13"/>
      <c r="M24318" s="13"/>
    </row>
    <row r="24319">
      <c r="F24319" s="13"/>
      <c r="M24319" s="13"/>
    </row>
    <row r="24320">
      <c r="F24320" s="13"/>
      <c r="M24320" s="13"/>
    </row>
    <row r="24321">
      <c r="F24321" s="13"/>
      <c r="M24321" s="13"/>
    </row>
    <row r="24322">
      <c r="F24322" s="13"/>
      <c r="M24322" s="13"/>
    </row>
    <row r="24323">
      <c r="F24323" s="13"/>
      <c r="M24323" s="13"/>
    </row>
    <row r="24324">
      <c r="F24324" s="13"/>
      <c r="M24324" s="13"/>
    </row>
    <row r="24325">
      <c r="F24325" s="13"/>
      <c r="M24325" s="13"/>
    </row>
    <row r="24326">
      <c r="F24326" s="13"/>
      <c r="M24326" s="13"/>
    </row>
    <row r="24327">
      <c r="F24327" s="13"/>
      <c r="M24327" s="13"/>
    </row>
    <row r="24328">
      <c r="F24328" s="13"/>
      <c r="M24328" s="13"/>
    </row>
    <row r="24329">
      <c r="F24329" s="13"/>
      <c r="M24329" s="13"/>
    </row>
    <row r="24330">
      <c r="F24330" s="13"/>
      <c r="M24330" s="13"/>
    </row>
    <row r="24331">
      <c r="F24331" s="13"/>
      <c r="M24331" s="13"/>
    </row>
    <row r="24332">
      <c r="F24332" s="13"/>
      <c r="M24332" s="13"/>
    </row>
    <row r="24333">
      <c r="F24333" s="13"/>
      <c r="M24333" s="13"/>
    </row>
    <row r="24334">
      <c r="F24334" s="13"/>
      <c r="M24334" s="13"/>
    </row>
    <row r="24335">
      <c r="F24335" s="13"/>
      <c r="M24335" s="13"/>
    </row>
    <row r="24336">
      <c r="F24336" s="13"/>
      <c r="M24336" s="13"/>
    </row>
    <row r="24337">
      <c r="F24337" s="13"/>
      <c r="M24337" s="13"/>
    </row>
    <row r="24338">
      <c r="F24338" s="13"/>
      <c r="M24338" s="13"/>
    </row>
    <row r="24339">
      <c r="F24339" s="13"/>
      <c r="M24339" s="13"/>
    </row>
    <row r="24340">
      <c r="F24340" s="13"/>
      <c r="M24340" s="13"/>
    </row>
    <row r="24341">
      <c r="F24341" s="13"/>
      <c r="M24341" s="13"/>
    </row>
    <row r="24342">
      <c r="F24342" s="13"/>
      <c r="M24342" s="13"/>
    </row>
    <row r="24343">
      <c r="F24343" s="13"/>
      <c r="M24343" s="13"/>
    </row>
    <row r="24344">
      <c r="F24344" s="13"/>
      <c r="M24344" s="13"/>
    </row>
    <row r="24345">
      <c r="F24345" s="13"/>
      <c r="M24345" s="13"/>
    </row>
    <row r="24346">
      <c r="F24346" s="13"/>
      <c r="M24346" s="13"/>
    </row>
    <row r="24347">
      <c r="F24347" s="13"/>
      <c r="M24347" s="13"/>
    </row>
    <row r="24348">
      <c r="F24348" s="13"/>
      <c r="M24348" s="13"/>
    </row>
    <row r="24349">
      <c r="F24349" s="13"/>
      <c r="M24349" s="13"/>
    </row>
    <row r="24350">
      <c r="F24350" s="13"/>
      <c r="M24350" s="13"/>
    </row>
    <row r="24351">
      <c r="F24351" s="13"/>
      <c r="M24351" s="13"/>
    </row>
    <row r="24352">
      <c r="F24352" s="13"/>
      <c r="M24352" s="13"/>
    </row>
    <row r="24353">
      <c r="F24353" s="13"/>
      <c r="M24353" s="13"/>
    </row>
    <row r="24354">
      <c r="F24354" s="13"/>
      <c r="M24354" s="13"/>
    </row>
    <row r="24355">
      <c r="F24355" s="13"/>
      <c r="M24355" s="13"/>
    </row>
    <row r="24356">
      <c r="F24356" s="13"/>
      <c r="M24356" s="13"/>
    </row>
    <row r="24357">
      <c r="F24357" s="13"/>
      <c r="M24357" s="13"/>
    </row>
    <row r="24358">
      <c r="F24358" s="13"/>
      <c r="M24358" s="13"/>
    </row>
    <row r="24359">
      <c r="F24359" s="13"/>
      <c r="M24359" s="13"/>
    </row>
    <row r="24360">
      <c r="F24360" s="13"/>
      <c r="M24360" s="13"/>
    </row>
    <row r="24361">
      <c r="F24361" s="13"/>
      <c r="M24361" s="13"/>
    </row>
    <row r="24362">
      <c r="F24362" s="13"/>
      <c r="M24362" s="13"/>
    </row>
    <row r="24363">
      <c r="F24363" s="13"/>
      <c r="M24363" s="13"/>
    </row>
    <row r="24364">
      <c r="F24364" s="13"/>
      <c r="M24364" s="13"/>
    </row>
    <row r="24365">
      <c r="F24365" s="13"/>
      <c r="M24365" s="13"/>
    </row>
    <row r="24366">
      <c r="F24366" s="13"/>
      <c r="M24366" s="13"/>
    </row>
    <row r="24367">
      <c r="F24367" s="13"/>
      <c r="M24367" s="13"/>
    </row>
    <row r="24368">
      <c r="F24368" s="13"/>
      <c r="M24368" s="13"/>
    </row>
    <row r="24369">
      <c r="F24369" s="13"/>
      <c r="M24369" s="13"/>
    </row>
    <row r="24370">
      <c r="F24370" s="13"/>
      <c r="M24370" s="13"/>
    </row>
    <row r="24371">
      <c r="F24371" s="13"/>
      <c r="M24371" s="13"/>
    </row>
    <row r="24372">
      <c r="F24372" s="13"/>
      <c r="M24372" s="13"/>
    </row>
    <row r="24373">
      <c r="F24373" s="13"/>
      <c r="M24373" s="13"/>
    </row>
    <row r="24374">
      <c r="F24374" s="13"/>
      <c r="M24374" s="13"/>
    </row>
    <row r="24375">
      <c r="F24375" s="13"/>
      <c r="M24375" s="13"/>
    </row>
    <row r="24376">
      <c r="F24376" s="13"/>
      <c r="M24376" s="13"/>
    </row>
    <row r="24377">
      <c r="F24377" s="13"/>
      <c r="M24377" s="13"/>
    </row>
    <row r="24378">
      <c r="F24378" s="13"/>
      <c r="M24378" s="13"/>
    </row>
    <row r="24379">
      <c r="F24379" s="13"/>
      <c r="M24379" s="13"/>
    </row>
    <row r="24380">
      <c r="F24380" s="13"/>
      <c r="M24380" s="13"/>
    </row>
    <row r="24381">
      <c r="F24381" s="13"/>
      <c r="M24381" s="13"/>
    </row>
    <row r="24382">
      <c r="F24382" s="13"/>
      <c r="M24382" s="13"/>
    </row>
    <row r="24383">
      <c r="F24383" s="13"/>
      <c r="M24383" s="13"/>
    </row>
    <row r="24384">
      <c r="F24384" s="13"/>
      <c r="M24384" s="13"/>
    </row>
    <row r="24385">
      <c r="F24385" s="13"/>
      <c r="M24385" s="13"/>
    </row>
    <row r="24386">
      <c r="F24386" s="13"/>
      <c r="M24386" s="13"/>
    </row>
    <row r="24387">
      <c r="F24387" s="13"/>
      <c r="M24387" s="13"/>
    </row>
    <row r="24388">
      <c r="F24388" s="13"/>
      <c r="M24388" s="13"/>
    </row>
    <row r="24389">
      <c r="F24389" s="13"/>
      <c r="M24389" s="13"/>
    </row>
    <row r="24390">
      <c r="F24390" s="13"/>
      <c r="M24390" s="13"/>
    </row>
    <row r="24391">
      <c r="F24391" s="13"/>
      <c r="M24391" s="13"/>
    </row>
    <row r="24392">
      <c r="F24392" s="13"/>
      <c r="M24392" s="13"/>
    </row>
    <row r="24393">
      <c r="F24393" s="13"/>
      <c r="M24393" s="13"/>
    </row>
    <row r="24394">
      <c r="F24394" s="13"/>
      <c r="M24394" s="13"/>
    </row>
    <row r="24395">
      <c r="F24395" s="13"/>
      <c r="M24395" s="13"/>
    </row>
    <row r="24396">
      <c r="F24396" s="13"/>
      <c r="M24396" s="13"/>
    </row>
    <row r="24397">
      <c r="F24397" s="13"/>
      <c r="M24397" s="13"/>
    </row>
    <row r="24398">
      <c r="F24398" s="13"/>
      <c r="M24398" s="13"/>
    </row>
    <row r="24399">
      <c r="F24399" s="13"/>
      <c r="M24399" s="13"/>
    </row>
    <row r="24400">
      <c r="F24400" s="13"/>
      <c r="M24400" s="13"/>
    </row>
    <row r="24401">
      <c r="F24401" s="13"/>
      <c r="M24401" s="13"/>
    </row>
    <row r="24402">
      <c r="F24402" s="13"/>
      <c r="M24402" s="13"/>
    </row>
    <row r="24403">
      <c r="F24403" s="13"/>
      <c r="M24403" s="13"/>
    </row>
    <row r="24404">
      <c r="F24404" s="13"/>
      <c r="M24404" s="13"/>
    </row>
    <row r="24405">
      <c r="F24405" s="13"/>
      <c r="M24405" s="13"/>
    </row>
    <row r="24406">
      <c r="F24406" s="13"/>
      <c r="M24406" s="13"/>
    </row>
    <row r="24407">
      <c r="F24407" s="13"/>
      <c r="M24407" s="13"/>
    </row>
    <row r="24408">
      <c r="F24408" s="13"/>
      <c r="M24408" s="13"/>
    </row>
    <row r="24409">
      <c r="F24409" s="13"/>
      <c r="M24409" s="13"/>
    </row>
    <row r="24410">
      <c r="F24410" s="13"/>
      <c r="M24410" s="13"/>
    </row>
    <row r="24411">
      <c r="F24411" s="13"/>
      <c r="M24411" s="13"/>
    </row>
    <row r="24412">
      <c r="F24412" s="13"/>
      <c r="M24412" s="13"/>
    </row>
    <row r="24413">
      <c r="F24413" s="13"/>
      <c r="M24413" s="13"/>
    </row>
    <row r="24414">
      <c r="F24414" s="13"/>
      <c r="M24414" s="13"/>
    </row>
    <row r="24415">
      <c r="F24415" s="13"/>
      <c r="M24415" s="13"/>
    </row>
    <row r="24416">
      <c r="F24416" s="13"/>
      <c r="M24416" s="13"/>
    </row>
    <row r="24417">
      <c r="F24417" s="13"/>
      <c r="M24417" s="13"/>
    </row>
    <row r="24418">
      <c r="F24418" s="13"/>
      <c r="M24418" s="13"/>
    </row>
    <row r="24419">
      <c r="F24419" s="13"/>
      <c r="M24419" s="13"/>
    </row>
    <row r="24420">
      <c r="F24420" s="13"/>
      <c r="M24420" s="13"/>
    </row>
    <row r="24421">
      <c r="F24421" s="13"/>
      <c r="M24421" s="13"/>
    </row>
    <row r="24422">
      <c r="F24422" s="13"/>
      <c r="M24422" s="13"/>
    </row>
    <row r="24423">
      <c r="F24423" s="13"/>
      <c r="M24423" s="13"/>
    </row>
    <row r="24424">
      <c r="F24424" s="13"/>
      <c r="M24424" s="13"/>
    </row>
    <row r="24425">
      <c r="F24425" s="13"/>
      <c r="M24425" s="13"/>
    </row>
    <row r="24426">
      <c r="F24426" s="13"/>
      <c r="M24426" s="13"/>
    </row>
    <row r="24427">
      <c r="F24427" s="13"/>
      <c r="M24427" s="13"/>
    </row>
    <row r="24428">
      <c r="F24428" s="13"/>
      <c r="M24428" s="13"/>
    </row>
    <row r="24429">
      <c r="F24429" s="13"/>
      <c r="M24429" s="13"/>
    </row>
    <row r="24430">
      <c r="F24430" s="13"/>
      <c r="M24430" s="13"/>
    </row>
    <row r="24431">
      <c r="F24431" s="13"/>
      <c r="M24431" s="13"/>
    </row>
    <row r="24432">
      <c r="F24432" s="13"/>
      <c r="M24432" s="13"/>
    </row>
    <row r="24433">
      <c r="F24433" s="13"/>
      <c r="M24433" s="13"/>
    </row>
    <row r="24434">
      <c r="F24434" s="13"/>
      <c r="M24434" s="13"/>
    </row>
    <row r="24435">
      <c r="F24435" s="13"/>
      <c r="M24435" s="13"/>
    </row>
    <row r="24436">
      <c r="F24436" s="13"/>
      <c r="M24436" s="13"/>
    </row>
    <row r="24437">
      <c r="F24437" s="13"/>
      <c r="M24437" s="13"/>
    </row>
    <row r="24438">
      <c r="F24438" s="13"/>
      <c r="M24438" s="13"/>
    </row>
    <row r="24439">
      <c r="F24439" s="13"/>
      <c r="M24439" s="13"/>
    </row>
    <row r="24440">
      <c r="F24440" s="13"/>
      <c r="M24440" s="13"/>
    </row>
    <row r="24441">
      <c r="F24441" s="13"/>
      <c r="M24441" s="13"/>
    </row>
    <row r="24442">
      <c r="F24442" s="13"/>
      <c r="M24442" s="13"/>
    </row>
    <row r="24443">
      <c r="F24443" s="13"/>
      <c r="M24443" s="13"/>
    </row>
    <row r="24444">
      <c r="F24444" s="13"/>
      <c r="M24444" s="13"/>
    </row>
    <row r="24445">
      <c r="F24445" s="13"/>
      <c r="M24445" s="13"/>
    </row>
    <row r="24446">
      <c r="F24446" s="13"/>
      <c r="M24446" s="13"/>
    </row>
    <row r="24447">
      <c r="F24447" s="13"/>
      <c r="M24447" s="13"/>
    </row>
    <row r="24448">
      <c r="F24448" s="13"/>
      <c r="M24448" s="13"/>
    </row>
    <row r="24449">
      <c r="F24449" s="13"/>
      <c r="M24449" s="13"/>
    </row>
    <row r="24450">
      <c r="F24450" s="13"/>
      <c r="M24450" s="13"/>
    </row>
    <row r="24451">
      <c r="F24451" s="13"/>
      <c r="M24451" s="13"/>
    </row>
    <row r="24452">
      <c r="F24452" s="13"/>
      <c r="M24452" s="13"/>
    </row>
    <row r="24453">
      <c r="F24453" s="13"/>
      <c r="M24453" s="13"/>
    </row>
    <row r="24454">
      <c r="F24454" s="13"/>
      <c r="M24454" s="13"/>
    </row>
    <row r="24455">
      <c r="F24455" s="13"/>
      <c r="M24455" s="13"/>
    </row>
    <row r="24456">
      <c r="F24456" s="13"/>
      <c r="M24456" s="13"/>
    </row>
    <row r="24457">
      <c r="F24457" s="13"/>
      <c r="M24457" s="13"/>
    </row>
    <row r="24458">
      <c r="F24458" s="13"/>
      <c r="M24458" s="13"/>
    </row>
    <row r="24459">
      <c r="F24459" s="13"/>
      <c r="M24459" s="13"/>
    </row>
    <row r="24460">
      <c r="F24460" s="13"/>
      <c r="M24460" s="13"/>
    </row>
    <row r="24461">
      <c r="F24461" s="13"/>
      <c r="M24461" s="13"/>
    </row>
    <row r="24462">
      <c r="F24462" s="13"/>
      <c r="M24462" s="13"/>
    </row>
    <row r="24463">
      <c r="F24463" s="13"/>
      <c r="M24463" s="13"/>
    </row>
    <row r="24464">
      <c r="F24464" s="13"/>
      <c r="M24464" s="13"/>
    </row>
    <row r="24465">
      <c r="F24465" s="13"/>
      <c r="M24465" s="13"/>
    </row>
    <row r="24466">
      <c r="F24466" s="13"/>
      <c r="M24466" s="13"/>
    </row>
    <row r="24467">
      <c r="F24467" s="13"/>
      <c r="M24467" s="13"/>
    </row>
    <row r="24468">
      <c r="F24468" s="13"/>
      <c r="M24468" s="13"/>
    </row>
    <row r="24469">
      <c r="F24469" s="13"/>
      <c r="M24469" s="13"/>
    </row>
    <row r="24470">
      <c r="F24470" s="13"/>
      <c r="M24470" s="13"/>
    </row>
    <row r="24471">
      <c r="F24471" s="13"/>
      <c r="M24471" s="13"/>
    </row>
    <row r="24472">
      <c r="F24472" s="13"/>
      <c r="M24472" s="13"/>
    </row>
    <row r="24473">
      <c r="F24473" s="13"/>
      <c r="M24473" s="13"/>
    </row>
    <row r="24474">
      <c r="F24474" s="13"/>
      <c r="M24474" s="13"/>
    </row>
    <row r="24475">
      <c r="F24475" s="13"/>
      <c r="M24475" s="13"/>
    </row>
    <row r="24476">
      <c r="F24476" s="13"/>
      <c r="M24476" s="13"/>
    </row>
    <row r="24477">
      <c r="F24477" s="13"/>
      <c r="M24477" s="13"/>
    </row>
    <row r="24478">
      <c r="F24478" s="13"/>
      <c r="M24478" s="13"/>
    </row>
    <row r="24479">
      <c r="F24479" s="13"/>
      <c r="M24479" s="13"/>
    </row>
    <row r="24480">
      <c r="F24480" s="13"/>
      <c r="M24480" s="13"/>
    </row>
    <row r="24481">
      <c r="F24481" s="13"/>
      <c r="M24481" s="13"/>
    </row>
    <row r="24482">
      <c r="F24482" s="13"/>
      <c r="M24482" s="13"/>
    </row>
    <row r="24483">
      <c r="F24483" s="13"/>
      <c r="M24483" s="13"/>
    </row>
    <row r="24484">
      <c r="F24484" s="13"/>
      <c r="M24484" s="13"/>
    </row>
    <row r="24485">
      <c r="F24485" s="13"/>
      <c r="M24485" s="13"/>
    </row>
    <row r="24486">
      <c r="F24486" s="13"/>
      <c r="M24486" s="13"/>
    </row>
    <row r="24487">
      <c r="F24487" s="13"/>
      <c r="M24487" s="13"/>
    </row>
    <row r="24488">
      <c r="F24488" s="13"/>
      <c r="M24488" s="13"/>
    </row>
    <row r="24489">
      <c r="F24489" s="13"/>
      <c r="M24489" s="13"/>
    </row>
    <row r="24490">
      <c r="F24490" s="13"/>
      <c r="M24490" s="13"/>
    </row>
    <row r="24491">
      <c r="F24491" s="13"/>
      <c r="M24491" s="13"/>
    </row>
    <row r="24492">
      <c r="F24492" s="13"/>
      <c r="M24492" s="13"/>
    </row>
    <row r="24493">
      <c r="F24493" s="13"/>
      <c r="M24493" s="13"/>
    </row>
    <row r="24494">
      <c r="F24494" s="13"/>
      <c r="M24494" s="13"/>
    </row>
    <row r="24495">
      <c r="F24495" s="13"/>
      <c r="M24495" s="13"/>
    </row>
    <row r="24496">
      <c r="F24496" s="13"/>
      <c r="M24496" s="13"/>
    </row>
    <row r="24497">
      <c r="F24497" s="13"/>
      <c r="M24497" s="13"/>
    </row>
    <row r="24498">
      <c r="F24498" s="13"/>
      <c r="M24498" s="13"/>
    </row>
    <row r="24499">
      <c r="F24499" s="13"/>
      <c r="M24499" s="13"/>
    </row>
    <row r="24500">
      <c r="F24500" s="13"/>
      <c r="M24500" s="13"/>
    </row>
    <row r="24501">
      <c r="F24501" s="13"/>
      <c r="M24501" s="13"/>
    </row>
    <row r="24502">
      <c r="F24502" s="13"/>
      <c r="M24502" s="13"/>
    </row>
    <row r="24503">
      <c r="F24503" s="13"/>
      <c r="M24503" s="13"/>
    </row>
    <row r="24504">
      <c r="F24504" s="13"/>
      <c r="M24504" s="13"/>
    </row>
    <row r="24505">
      <c r="F24505" s="13"/>
      <c r="M24505" s="13"/>
    </row>
    <row r="24506">
      <c r="F24506" s="13"/>
      <c r="M24506" s="13"/>
    </row>
    <row r="24507">
      <c r="F24507" s="13"/>
      <c r="M24507" s="13"/>
    </row>
    <row r="24508">
      <c r="F24508" s="13"/>
      <c r="M24508" s="13"/>
    </row>
    <row r="24509">
      <c r="F24509" s="13"/>
      <c r="M24509" s="13"/>
    </row>
    <row r="24510">
      <c r="F24510" s="13"/>
      <c r="M24510" s="13"/>
    </row>
    <row r="24511">
      <c r="F24511" s="13"/>
      <c r="M24511" s="13"/>
    </row>
    <row r="24512">
      <c r="F24512" s="13"/>
      <c r="M24512" s="13"/>
    </row>
    <row r="24513">
      <c r="F24513" s="13"/>
      <c r="M24513" s="13"/>
    </row>
    <row r="24514">
      <c r="F24514" s="13"/>
      <c r="M24514" s="13"/>
    </row>
    <row r="24515">
      <c r="F24515" s="13"/>
      <c r="M24515" s="13"/>
    </row>
    <row r="24516">
      <c r="F24516" s="13"/>
      <c r="M24516" s="13"/>
    </row>
    <row r="24517">
      <c r="F24517" s="13"/>
      <c r="M24517" s="13"/>
    </row>
    <row r="24518">
      <c r="F24518" s="13"/>
      <c r="M24518" s="13"/>
    </row>
    <row r="24519">
      <c r="F24519" s="13"/>
      <c r="M24519" s="13"/>
    </row>
    <row r="24520">
      <c r="F24520" s="13"/>
      <c r="M24520" s="13"/>
    </row>
    <row r="24521">
      <c r="F24521" s="13"/>
      <c r="M24521" s="13"/>
    </row>
    <row r="24522">
      <c r="F24522" s="13"/>
      <c r="M24522" s="13"/>
    </row>
    <row r="24523">
      <c r="F24523" s="13"/>
      <c r="M24523" s="13"/>
    </row>
    <row r="24524">
      <c r="F24524" s="13"/>
      <c r="M24524" s="13"/>
    </row>
    <row r="24525">
      <c r="F24525" s="13"/>
      <c r="M24525" s="13"/>
    </row>
    <row r="24526">
      <c r="F24526" s="13"/>
      <c r="M24526" s="13"/>
    </row>
    <row r="24527">
      <c r="F24527" s="13"/>
      <c r="M24527" s="13"/>
    </row>
    <row r="24528">
      <c r="F24528" s="13"/>
      <c r="M24528" s="13"/>
    </row>
    <row r="24529">
      <c r="F24529" s="13"/>
      <c r="M24529" s="13"/>
    </row>
    <row r="24530">
      <c r="F24530" s="13"/>
      <c r="M24530" s="13"/>
    </row>
    <row r="24531">
      <c r="F24531" s="13"/>
      <c r="M24531" s="13"/>
    </row>
    <row r="24532">
      <c r="F24532" s="13"/>
      <c r="M24532" s="13"/>
    </row>
    <row r="24533">
      <c r="F24533" s="13"/>
      <c r="M24533" s="13"/>
    </row>
    <row r="24534">
      <c r="F24534" s="13"/>
      <c r="M24534" s="13"/>
    </row>
    <row r="24535">
      <c r="F24535" s="13"/>
      <c r="M24535" s="13"/>
    </row>
    <row r="24536">
      <c r="F24536" s="13"/>
      <c r="M24536" s="13"/>
    </row>
    <row r="24537">
      <c r="F24537" s="13"/>
      <c r="M24537" s="13"/>
    </row>
    <row r="24538">
      <c r="F24538" s="13"/>
      <c r="M24538" s="13"/>
    </row>
    <row r="24539">
      <c r="F24539" s="13"/>
      <c r="M24539" s="13"/>
    </row>
    <row r="24540">
      <c r="F24540" s="13"/>
      <c r="M24540" s="13"/>
    </row>
    <row r="24541">
      <c r="F24541" s="13"/>
      <c r="M24541" s="13"/>
    </row>
    <row r="24542">
      <c r="F24542" s="13"/>
      <c r="M24542" s="13"/>
    </row>
    <row r="24543">
      <c r="F24543" s="13"/>
      <c r="M24543" s="13"/>
    </row>
    <row r="24544">
      <c r="F24544" s="13"/>
      <c r="M24544" s="13"/>
    </row>
    <row r="24545">
      <c r="F24545" s="13"/>
      <c r="M24545" s="13"/>
    </row>
    <row r="24546">
      <c r="F24546" s="13"/>
      <c r="M24546" s="13"/>
    </row>
    <row r="24547">
      <c r="F24547" s="13"/>
      <c r="M24547" s="13"/>
    </row>
    <row r="24548">
      <c r="F24548" s="13"/>
      <c r="M24548" s="13"/>
    </row>
    <row r="24549">
      <c r="F24549" s="13"/>
      <c r="M24549" s="13"/>
    </row>
    <row r="24550">
      <c r="F24550" s="13"/>
      <c r="M24550" s="13"/>
    </row>
    <row r="24551">
      <c r="F24551" s="13"/>
      <c r="M24551" s="13"/>
    </row>
    <row r="24552">
      <c r="F24552" s="13"/>
      <c r="M24552" s="13"/>
    </row>
    <row r="24553">
      <c r="F24553" s="13"/>
      <c r="M24553" s="13"/>
    </row>
    <row r="24554">
      <c r="F24554" s="13"/>
      <c r="M24554" s="13"/>
    </row>
    <row r="24555">
      <c r="F24555" s="13"/>
      <c r="M24555" s="13"/>
    </row>
    <row r="24556">
      <c r="F24556" s="13"/>
      <c r="M24556" s="13"/>
    </row>
    <row r="24557">
      <c r="F24557" s="13"/>
      <c r="M24557" s="13"/>
    </row>
    <row r="24558">
      <c r="F24558" s="13"/>
      <c r="M24558" s="13"/>
    </row>
    <row r="24559">
      <c r="F24559" s="13"/>
      <c r="M24559" s="13"/>
    </row>
    <row r="24560">
      <c r="F24560" s="13"/>
      <c r="M24560" s="13"/>
    </row>
    <row r="24561">
      <c r="F24561" s="13"/>
      <c r="M24561" s="13"/>
    </row>
    <row r="24562">
      <c r="F24562" s="13"/>
      <c r="M24562" s="13"/>
    </row>
    <row r="24563">
      <c r="F24563" s="13"/>
      <c r="M24563" s="13"/>
    </row>
    <row r="24564">
      <c r="F24564" s="13"/>
      <c r="M24564" s="13"/>
    </row>
    <row r="24565">
      <c r="F24565" s="13"/>
      <c r="M24565" s="13"/>
    </row>
    <row r="24566">
      <c r="F24566" s="13"/>
      <c r="M24566" s="13"/>
    </row>
    <row r="24567">
      <c r="F24567" s="13"/>
      <c r="M24567" s="13"/>
    </row>
    <row r="24568">
      <c r="F24568" s="13"/>
      <c r="M24568" s="13"/>
    </row>
    <row r="24569">
      <c r="F24569" s="13"/>
      <c r="M24569" s="13"/>
    </row>
    <row r="24570">
      <c r="F24570" s="13"/>
      <c r="M24570" s="13"/>
    </row>
    <row r="24571">
      <c r="F24571" s="13"/>
      <c r="M24571" s="13"/>
    </row>
    <row r="24572">
      <c r="F24572" s="13"/>
      <c r="M24572" s="13"/>
    </row>
    <row r="24573">
      <c r="F24573" s="13"/>
      <c r="M24573" s="13"/>
    </row>
    <row r="24574">
      <c r="F24574" s="13"/>
      <c r="M24574" s="13"/>
    </row>
    <row r="24575">
      <c r="F24575" s="13"/>
      <c r="M24575" s="13"/>
    </row>
    <row r="24576">
      <c r="F24576" s="13"/>
      <c r="M24576" s="13"/>
    </row>
    <row r="24577">
      <c r="F24577" s="13"/>
      <c r="M24577" s="13"/>
    </row>
    <row r="24578">
      <c r="F24578" s="13"/>
      <c r="M24578" s="13"/>
    </row>
    <row r="24579">
      <c r="F24579" s="13"/>
      <c r="M24579" s="13"/>
    </row>
    <row r="24580">
      <c r="F24580" s="13"/>
      <c r="M24580" s="13"/>
    </row>
    <row r="24581">
      <c r="F24581" s="13"/>
      <c r="M24581" s="13"/>
    </row>
    <row r="24582">
      <c r="F24582" s="13"/>
      <c r="M24582" s="13"/>
    </row>
    <row r="24583">
      <c r="F24583" s="13"/>
      <c r="M24583" s="13"/>
    </row>
    <row r="24584">
      <c r="F24584" s="13"/>
      <c r="M24584" s="13"/>
    </row>
    <row r="24585">
      <c r="F24585" s="13"/>
      <c r="M24585" s="13"/>
    </row>
    <row r="24586">
      <c r="F24586" s="13"/>
      <c r="M24586" s="13"/>
    </row>
    <row r="24587">
      <c r="F24587" s="13"/>
      <c r="M24587" s="13"/>
    </row>
    <row r="24588">
      <c r="F24588" s="13"/>
      <c r="M24588" s="13"/>
    </row>
    <row r="24589">
      <c r="F24589" s="13"/>
      <c r="M24589" s="13"/>
    </row>
    <row r="24590">
      <c r="F24590" s="13"/>
      <c r="M24590" s="13"/>
    </row>
    <row r="24591">
      <c r="F24591" s="13"/>
      <c r="M24591" s="13"/>
    </row>
    <row r="24592">
      <c r="F24592" s="13"/>
      <c r="M24592" s="13"/>
    </row>
    <row r="24593">
      <c r="F24593" s="13"/>
      <c r="M24593" s="13"/>
    </row>
    <row r="24594">
      <c r="F24594" s="13"/>
      <c r="M24594" s="13"/>
    </row>
    <row r="24595">
      <c r="F24595" s="13"/>
      <c r="M24595" s="13"/>
    </row>
    <row r="24596">
      <c r="F24596" s="13"/>
      <c r="M24596" s="13"/>
    </row>
    <row r="24597">
      <c r="F24597" s="13"/>
      <c r="M24597" s="13"/>
    </row>
    <row r="24598">
      <c r="F24598" s="13"/>
      <c r="M24598" s="13"/>
    </row>
    <row r="24599">
      <c r="F24599" s="13"/>
      <c r="M24599" s="13"/>
    </row>
    <row r="24600">
      <c r="F24600" s="13"/>
      <c r="M24600" s="13"/>
    </row>
    <row r="24601">
      <c r="F24601" s="13"/>
      <c r="M24601" s="13"/>
    </row>
    <row r="24602">
      <c r="F24602" s="13"/>
      <c r="M24602" s="13"/>
    </row>
    <row r="24603">
      <c r="F24603" s="13"/>
      <c r="M24603" s="13"/>
    </row>
    <row r="24604">
      <c r="F24604" s="13"/>
      <c r="M24604" s="13"/>
    </row>
    <row r="24605">
      <c r="F24605" s="13"/>
      <c r="M24605" s="13"/>
    </row>
    <row r="24606">
      <c r="F24606" s="13"/>
      <c r="M24606" s="13"/>
    </row>
    <row r="24607">
      <c r="F24607" s="13"/>
      <c r="M24607" s="13"/>
    </row>
    <row r="24608">
      <c r="F24608" s="13"/>
      <c r="M24608" s="13"/>
    </row>
    <row r="24609">
      <c r="F24609" s="13"/>
      <c r="M24609" s="13"/>
    </row>
    <row r="24610">
      <c r="F24610" s="13"/>
      <c r="M24610" s="13"/>
    </row>
    <row r="24611">
      <c r="F24611" s="13"/>
      <c r="M24611" s="13"/>
    </row>
    <row r="24612">
      <c r="F24612" s="13"/>
      <c r="M24612" s="13"/>
    </row>
    <row r="24613">
      <c r="F24613" s="13"/>
      <c r="M24613" s="13"/>
    </row>
    <row r="24614">
      <c r="F24614" s="13"/>
      <c r="M24614" s="13"/>
    </row>
    <row r="24615">
      <c r="F24615" s="13"/>
      <c r="M24615" s="13"/>
    </row>
    <row r="24616">
      <c r="F24616" s="13"/>
      <c r="M24616" s="13"/>
    </row>
    <row r="24617">
      <c r="F24617" s="13"/>
      <c r="M24617" s="13"/>
    </row>
    <row r="24618">
      <c r="F24618" s="13"/>
      <c r="M24618" s="13"/>
    </row>
    <row r="24619">
      <c r="F24619" s="13"/>
      <c r="M24619" s="13"/>
    </row>
    <row r="24620">
      <c r="F24620" s="13"/>
      <c r="M24620" s="13"/>
    </row>
    <row r="24621">
      <c r="F24621" s="13"/>
      <c r="M24621" s="13"/>
    </row>
    <row r="24622">
      <c r="F24622" s="13"/>
      <c r="M24622" s="13"/>
    </row>
    <row r="24623">
      <c r="F24623" s="13"/>
      <c r="M24623" s="13"/>
    </row>
    <row r="24624">
      <c r="F24624" s="13"/>
      <c r="M24624" s="13"/>
    </row>
    <row r="24625">
      <c r="F24625" s="13"/>
      <c r="M24625" s="13"/>
    </row>
    <row r="24626">
      <c r="F24626" s="13"/>
      <c r="M24626" s="13"/>
    </row>
    <row r="24627">
      <c r="F24627" s="13"/>
      <c r="M24627" s="13"/>
    </row>
    <row r="24628">
      <c r="F24628" s="13"/>
      <c r="M24628" s="13"/>
    </row>
    <row r="24629">
      <c r="F24629" s="13"/>
      <c r="M24629" s="13"/>
    </row>
    <row r="24630">
      <c r="F24630" s="13"/>
      <c r="M24630" s="13"/>
    </row>
    <row r="24631">
      <c r="F24631" s="13"/>
      <c r="M24631" s="13"/>
    </row>
    <row r="24632">
      <c r="F24632" s="13"/>
      <c r="M24632" s="13"/>
    </row>
    <row r="24633">
      <c r="F24633" s="13"/>
      <c r="M24633" s="13"/>
    </row>
    <row r="24634">
      <c r="F24634" s="13"/>
      <c r="M24634" s="13"/>
    </row>
    <row r="24635">
      <c r="F24635" s="13"/>
      <c r="M24635" s="13"/>
    </row>
    <row r="24636">
      <c r="F24636" s="13"/>
      <c r="M24636" s="13"/>
    </row>
    <row r="24637">
      <c r="F24637" s="13"/>
      <c r="M24637" s="13"/>
    </row>
    <row r="24638">
      <c r="F24638" s="13"/>
      <c r="M24638" s="13"/>
    </row>
    <row r="24639">
      <c r="F24639" s="13"/>
      <c r="M24639" s="13"/>
    </row>
    <row r="24640">
      <c r="F24640" s="13"/>
      <c r="M24640" s="13"/>
    </row>
    <row r="24641">
      <c r="F24641" s="13"/>
      <c r="M24641" s="13"/>
    </row>
    <row r="24642">
      <c r="F24642" s="13"/>
      <c r="M24642" s="13"/>
    </row>
    <row r="24643">
      <c r="F24643" s="13"/>
      <c r="M24643" s="13"/>
    </row>
    <row r="24644">
      <c r="F24644" s="13"/>
      <c r="M24644" s="13"/>
    </row>
    <row r="24645">
      <c r="F24645" s="13"/>
      <c r="M24645" s="13"/>
    </row>
    <row r="24646">
      <c r="F24646" s="13"/>
      <c r="M24646" s="13"/>
    </row>
    <row r="24647">
      <c r="F24647" s="13"/>
      <c r="M24647" s="13"/>
    </row>
    <row r="24648">
      <c r="F24648" s="13"/>
      <c r="M24648" s="13"/>
    </row>
    <row r="24649">
      <c r="F24649" s="13"/>
      <c r="M24649" s="13"/>
    </row>
    <row r="24650">
      <c r="F24650" s="13"/>
      <c r="M24650" s="13"/>
    </row>
    <row r="24651">
      <c r="F24651" s="13"/>
      <c r="M24651" s="13"/>
    </row>
    <row r="24652">
      <c r="F24652" s="13"/>
      <c r="M24652" s="13"/>
    </row>
    <row r="24653">
      <c r="F24653" s="13"/>
      <c r="M24653" s="13"/>
    </row>
    <row r="24654">
      <c r="F24654" s="13"/>
      <c r="M24654" s="13"/>
    </row>
    <row r="24655">
      <c r="F24655" s="13"/>
      <c r="M24655" s="13"/>
    </row>
    <row r="24656">
      <c r="F24656" s="13"/>
      <c r="M24656" s="13"/>
    </row>
    <row r="24657">
      <c r="F24657" s="13"/>
      <c r="M24657" s="13"/>
    </row>
    <row r="24658">
      <c r="F24658" s="13"/>
      <c r="M24658" s="13"/>
    </row>
    <row r="24659">
      <c r="F24659" s="13"/>
      <c r="M24659" s="13"/>
    </row>
    <row r="24660">
      <c r="F24660" s="13"/>
      <c r="M24660" s="13"/>
    </row>
    <row r="24661">
      <c r="F24661" s="13"/>
      <c r="M24661" s="13"/>
    </row>
    <row r="24662">
      <c r="F24662" s="13"/>
      <c r="M24662" s="13"/>
    </row>
    <row r="24663">
      <c r="F24663" s="13"/>
      <c r="M24663" s="13"/>
    </row>
    <row r="24664">
      <c r="F24664" s="13"/>
      <c r="M24664" s="13"/>
    </row>
    <row r="24665">
      <c r="F24665" s="13"/>
      <c r="M24665" s="13"/>
    </row>
    <row r="24666">
      <c r="F24666" s="13"/>
      <c r="M24666" s="13"/>
    </row>
    <row r="24667">
      <c r="F24667" s="13"/>
      <c r="M24667" s="13"/>
    </row>
    <row r="24668">
      <c r="F24668" s="13"/>
      <c r="M24668" s="13"/>
    </row>
    <row r="24669">
      <c r="F24669" s="13"/>
      <c r="M24669" s="13"/>
    </row>
    <row r="24670">
      <c r="F24670" s="13"/>
      <c r="M24670" s="13"/>
    </row>
    <row r="24671">
      <c r="F24671" s="13"/>
      <c r="M24671" s="13"/>
    </row>
    <row r="24672">
      <c r="F24672" s="13"/>
      <c r="M24672" s="13"/>
    </row>
    <row r="24673">
      <c r="F24673" s="13"/>
      <c r="M24673" s="13"/>
    </row>
    <row r="24674">
      <c r="F24674" s="13"/>
      <c r="M24674" s="13"/>
    </row>
    <row r="24675">
      <c r="F24675" s="13"/>
      <c r="M24675" s="13"/>
    </row>
    <row r="24676">
      <c r="F24676" s="13"/>
      <c r="M24676" s="13"/>
    </row>
    <row r="24677">
      <c r="F24677" s="13"/>
      <c r="M24677" s="13"/>
    </row>
    <row r="24678">
      <c r="F24678" s="13"/>
      <c r="M24678" s="13"/>
    </row>
    <row r="24679">
      <c r="F24679" s="13"/>
      <c r="M24679" s="13"/>
    </row>
    <row r="24680">
      <c r="F24680" s="13"/>
      <c r="M24680" s="13"/>
    </row>
    <row r="24681">
      <c r="F24681" s="13"/>
      <c r="M24681" s="13"/>
    </row>
    <row r="24682">
      <c r="F24682" s="13"/>
      <c r="M24682" s="13"/>
    </row>
    <row r="24683">
      <c r="F24683" s="13"/>
      <c r="M24683" s="13"/>
    </row>
    <row r="24684">
      <c r="F24684" s="13"/>
      <c r="M24684" s="13"/>
    </row>
    <row r="24685">
      <c r="F24685" s="13"/>
      <c r="M24685" s="13"/>
    </row>
    <row r="24686">
      <c r="F24686" s="13"/>
      <c r="M24686" s="13"/>
    </row>
    <row r="24687">
      <c r="F24687" s="13"/>
      <c r="M24687" s="13"/>
    </row>
    <row r="24688">
      <c r="F24688" s="13"/>
      <c r="M24688" s="13"/>
    </row>
    <row r="24689">
      <c r="F24689" s="13"/>
      <c r="M24689" s="13"/>
    </row>
    <row r="24690">
      <c r="F24690" s="13"/>
      <c r="M24690" s="13"/>
    </row>
    <row r="24691">
      <c r="F24691" s="13"/>
      <c r="M24691" s="13"/>
    </row>
    <row r="24692">
      <c r="F24692" s="13"/>
      <c r="M24692" s="13"/>
    </row>
    <row r="24693">
      <c r="F24693" s="13"/>
      <c r="M24693" s="13"/>
    </row>
    <row r="24694">
      <c r="F24694" s="13"/>
      <c r="M24694" s="13"/>
    </row>
    <row r="24695">
      <c r="F24695" s="13"/>
      <c r="M24695" s="13"/>
    </row>
    <row r="24696">
      <c r="F24696" s="13"/>
      <c r="M24696" s="13"/>
    </row>
    <row r="24697">
      <c r="F24697" s="13"/>
      <c r="M24697" s="13"/>
    </row>
    <row r="24698">
      <c r="F24698" s="13"/>
      <c r="M24698" s="13"/>
    </row>
    <row r="24699">
      <c r="F24699" s="13"/>
      <c r="M24699" s="13"/>
    </row>
    <row r="24700">
      <c r="F24700" s="13"/>
      <c r="M24700" s="13"/>
    </row>
    <row r="24701">
      <c r="F24701" s="13"/>
      <c r="M24701" s="13"/>
    </row>
    <row r="24702">
      <c r="F24702" s="13"/>
      <c r="M24702" s="13"/>
    </row>
    <row r="24703">
      <c r="F24703" s="13"/>
      <c r="M24703" s="13"/>
    </row>
    <row r="24704">
      <c r="F24704" s="13"/>
      <c r="M24704" s="13"/>
    </row>
    <row r="24705">
      <c r="F24705" s="13"/>
      <c r="M24705" s="13"/>
    </row>
    <row r="24706">
      <c r="F24706" s="13"/>
      <c r="M24706" s="13"/>
    </row>
    <row r="24707">
      <c r="F24707" s="13"/>
      <c r="M24707" s="13"/>
    </row>
    <row r="24708">
      <c r="F24708" s="13"/>
      <c r="M24708" s="13"/>
    </row>
    <row r="24709">
      <c r="F24709" s="13"/>
      <c r="M24709" s="13"/>
    </row>
    <row r="24710">
      <c r="F24710" s="13"/>
      <c r="M24710" s="13"/>
    </row>
    <row r="24711">
      <c r="F24711" s="13"/>
      <c r="M24711" s="13"/>
    </row>
    <row r="24712">
      <c r="F24712" s="13"/>
      <c r="M24712" s="13"/>
    </row>
    <row r="24713">
      <c r="F24713" s="13"/>
      <c r="M24713" s="13"/>
    </row>
    <row r="24714">
      <c r="F24714" s="13"/>
      <c r="M24714" s="13"/>
    </row>
    <row r="24715">
      <c r="F24715" s="13"/>
      <c r="M24715" s="13"/>
    </row>
    <row r="24716">
      <c r="F24716" s="13"/>
      <c r="M24716" s="13"/>
    </row>
    <row r="24717">
      <c r="F24717" s="13"/>
      <c r="M24717" s="13"/>
    </row>
    <row r="24718">
      <c r="F24718" s="13"/>
      <c r="M24718" s="13"/>
    </row>
    <row r="24719">
      <c r="F24719" s="13"/>
      <c r="M24719" s="13"/>
    </row>
    <row r="24720">
      <c r="F24720" s="13"/>
      <c r="M24720" s="13"/>
    </row>
    <row r="24721">
      <c r="F24721" s="13"/>
      <c r="M24721" s="13"/>
    </row>
    <row r="24722">
      <c r="F24722" s="13"/>
      <c r="M24722" s="13"/>
    </row>
    <row r="24723">
      <c r="F24723" s="13"/>
      <c r="M24723" s="13"/>
    </row>
    <row r="24724">
      <c r="F24724" s="13"/>
      <c r="M24724" s="13"/>
    </row>
    <row r="24725">
      <c r="F24725" s="13"/>
      <c r="M24725" s="13"/>
    </row>
    <row r="24726">
      <c r="F24726" s="13"/>
      <c r="M24726" s="13"/>
    </row>
    <row r="24727">
      <c r="F24727" s="13"/>
      <c r="M24727" s="13"/>
    </row>
    <row r="24728">
      <c r="F24728" s="13"/>
      <c r="M24728" s="13"/>
    </row>
    <row r="24729">
      <c r="F24729" s="13"/>
      <c r="M24729" s="13"/>
    </row>
    <row r="24730">
      <c r="F24730" s="13"/>
      <c r="M24730" s="13"/>
    </row>
    <row r="24731">
      <c r="F24731" s="13"/>
      <c r="M24731" s="13"/>
    </row>
    <row r="24732">
      <c r="F24732" s="13"/>
      <c r="M24732" s="13"/>
    </row>
    <row r="24733">
      <c r="F24733" s="13"/>
      <c r="M24733" s="13"/>
    </row>
    <row r="24734">
      <c r="F24734" s="13"/>
      <c r="M24734" s="13"/>
    </row>
    <row r="24735">
      <c r="F24735" s="13"/>
      <c r="M24735" s="13"/>
    </row>
    <row r="24736">
      <c r="F24736" s="13"/>
      <c r="M24736" s="13"/>
    </row>
    <row r="24737">
      <c r="F24737" s="13"/>
      <c r="M24737" s="13"/>
    </row>
    <row r="24738">
      <c r="F24738" s="13"/>
      <c r="M24738" s="13"/>
    </row>
    <row r="24739">
      <c r="F24739" s="13"/>
      <c r="M24739" s="13"/>
    </row>
    <row r="24740">
      <c r="F24740" s="13"/>
      <c r="M24740" s="13"/>
    </row>
    <row r="24741">
      <c r="F24741" s="13"/>
      <c r="M24741" s="13"/>
    </row>
    <row r="24742">
      <c r="F24742" s="13"/>
      <c r="M24742" s="13"/>
    </row>
    <row r="24743">
      <c r="F24743" s="13"/>
      <c r="M24743" s="13"/>
    </row>
    <row r="24744">
      <c r="F24744" s="13"/>
      <c r="M24744" s="13"/>
    </row>
    <row r="24745">
      <c r="F24745" s="13"/>
      <c r="M24745" s="13"/>
    </row>
    <row r="24746">
      <c r="F24746" s="13"/>
      <c r="M24746" s="13"/>
    </row>
    <row r="24747">
      <c r="F24747" s="13"/>
      <c r="M24747" s="13"/>
    </row>
    <row r="24748">
      <c r="F24748" s="13"/>
      <c r="M24748" s="13"/>
    </row>
    <row r="24749">
      <c r="F24749" s="13"/>
      <c r="M24749" s="13"/>
    </row>
    <row r="24750">
      <c r="F24750" s="13"/>
      <c r="M24750" s="13"/>
    </row>
    <row r="24751">
      <c r="F24751" s="13"/>
      <c r="M24751" s="13"/>
    </row>
    <row r="24752">
      <c r="F24752" s="13"/>
      <c r="M24752" s="13"/>
    </row>
    <row r="24753">
      <c r="F24753" s="13"/>
      <c r="M24753" s="13"/>
    </row>
    <row r="24754">
      <c r="F24754" s="13"/>
      <c r="M24754" s="13"/>
    </row>
    <row r="24755">
      <c r="F24755" s="13"/>
      <c r="M24755" s="13"/>
    </row>
    <row r="24756">
      <c r="F24756" s="13"/>
      <c r="M24756" s="13"/>
    </row>
    <row r="24757">
      <c r="F24757" s="13"/>
      <c r="M24757" s="13"/>
    </row>
    <row r="24758">
      <c r="F24758" s="13"/>
      <c r="M24758" s="13"/>
    </row>
    <row r="24759">
      <c r="F24759" s="13"/>
      <c r="M24759" s="13"/>
    </row>
    <row r="24760">
      <c r="F24760" s="13"/>
      <c r="M24760" s="13"/>
    </row>
    <row r="24761">
      <c r="F24761" s="13"/>
      <c r="M24761" s="13"/>
    </row>
    <row r="24762">
      <c r="F24762" s="13"/>
      <c r="M24762" s="13"/>
    </row>
    <row r="24763">
      <c r="F24763" s="13"/>
      <c r="M24763" s="13"/>
    </row>
    <row r="24764">
      <c r="F24764" s="13"/>
      <c r="M24764" s="13"/>
    </row>
    <row r="24765">
      <c r="F24765" s="13"/>
      <c r="M24765" s="13"/>
    </row>
    <row r="24766">
      <c r="F24766" s="13"/>
      <c r="M24766" s="13"/>
    </row>
    <row r="24767">
      <c r="F24767" s="13"/>
      <c r="M24767" s="13"/>
    </row>
    <row r="24768">
      <c r="F24768" s="13"/>
      <c r="M24768" s="13"/>
    </row>
    <row r="24769">
      <c r="F24769" s="13"/>
      <c r="M24769" s="13"/>
    </row>
    <row r="24770">
      <c r="F24770" s="13"/>
      <c r="M24770" s="13"/>
    </row>
    <row r="24771">
      <c r="F24771" s="13"/>
      <c r="M24771" s="13"/>
    </row>
    <row r="24772">
      <c r="F24772" s="13"/>
      <c r="M24772" s="13"/>
    </row>
    <row r="24773">
      <c r="F24773" s="13"/>
      <c r="M24773" s="13"/>
    </row>
    <row r="24774">
      <c r="F24774" s="13"/>
      <c r="M24774" s="13"/>
    </row>
    <row r="24775">
      <c r="F24775" s="13"/>
      <c r="M24775" s="13"/>
    </row>
    <row r="24776">
      <c r="F24776" s="13"/>
      <c r="M24776" s="13"/>
    </row>
    <row r="24777">
      <c r="F24777" s="13"/>
      <c r="M24777" s="13"/>
    </row>
    <row r="24778">
      <c r="F24778" s="13"/>
      <c r="M24778" s="13"/>
    </row>
    <row r="24779">
      <c r="F24779" s="13"/>
      <c r="M24779" s="13"/>
    </row>
    <row r="24780">
      <c r="F24780" s="13"/>
      <c r="M24780" s="13"/>
    </row>
    <row r="24781">
      <c r="F24781" s="13"/>
      <c r="M24781" s="13"/>
    </row>
    <row r="24782">
      <c r="F24782" s="13"/>
      <c r="M24782" s="13"/>
    </row>
    <row r="24783">
      <c r="F24783" s="13"/>
      <c r="M24783" s="13"/>
    </row>
    <row r="24784">
      <c r="F24784" s="13"/>
      <c r="M24784" s="13"/>
    </row>
    <row r="24785">
      <c r="F24785" s="13"/>
      <c r="M24785" s="13"/>
    </row>
    <row r="24786">
      <c r="F24786" s="13"/>
      <c r="M24786" s="13"/>
    </row>
    <row r="24787">
      <c r="F24787" s="13"/>
      <c r="M24787" s="13"/>
    </row>
    <row r="24788">
      <c r="F24788" s="13"/>
      <c r="M24788" s="13"/>
    </row>
    <row r="24789">
      <c r="F24789" s="13"/>
      <c r="M24789" s="13"/>
    </row>
    <row r="24790">
      <c r="F24790" s="13"/>
      <c r="M24790" s="13"/>
    </row>
    <row r="24791">
      <c r="F24791" s="13"/>
      <c r="M24791" s="13"/>
    </row>
    <row r="24792">
      <c r="F24792" s="13"/>
      <c r="M24792" s="13"/>
    </row>
    <row r="24793">
      <c r="F24793" s="13"/>
      <c r="M24793" s="13"/>
    </row>
    <row r="24794">
      <c r="F24794" s="13"/>
      <c r="M24794" s="13"/>
    </row>
    <row r="24795">
      <c r="F24795" s="13"/>
      <c r="M24795" s="13"/>
    </row>
    <row r="24796">
      <c r="F24796" s="13"/>
      <c r="M24796" s="13"/>
    </row>
    <row r="24797">
      <c r="F24797" s="13"/>
      <c r="M24797" s="13"/>
    </row>
    <row r="24798">
      <c r="F24798" s="13"/>
      <c r="M24798" s="13"/>
    </row>
    <row r="24799">
      <c r="F24799" s="13"/>
      <c r="M24799" s="13"/>
    </row>
    <row r="24800">
      <c r="F24800" s="13"/>
      <c r="M24800" s="13"/>
    </row>
    <row r="24801">
      <c r="F24801" s="13"/>
      <c r="M24801" s="13"/>
    </row>
    <row r="24802">
      <c r="F24802" s="13"/>
      <c r="M24802" s="13"/>
    </row>
    <row r="24803">
      <c r="F24803" s="13"/>
      <c r="M24803" s="13"/>
    </row>
    <row r="24804">
      <c r="F24804" s="13"/>
      <c r="M24804" s="13"/>
    </row>
    <row r="24805">
      <c r="F24805" s="13"/>
      <c r="M24805" s="13"/>
    </row>
    <row r="24806">
      <c r="F24806" s="13"/>
      <c r="M24806" s="13"/>
    </row>
    <row r="24807">
      <c r="F24807" s="13"/>
      <c r="M24807" s="13"/>
    </row>
    <row r="24808">
      <c r="F24808" s="13"/>
      <c r="M24808" s="13"/>
    </row>
    <row r="24809">
      <c r="F24809" s="13"/>
      <c r="M24809" s="13"/>
    </row>
    <row r="24810">
      <c r="F24810" s="13"/>
      <c r="M24810" s="13"/>
    </row>
    <row r="24811">
      <c r="F24811" s="13"/>
      <c r="M24811" s="13"/>
    </row>
    <row r="24812">
      <c r="F24812" s="13"/>
      <c r="M24812" s="13"/>
    </row>
    <row r="24813">
      <c r="F24813" s="13"/>
      <c r="M24813" s="13"/>
    </row>
    <row r="24814">
      <c r="F24814" s="13"/>
      <c r="M24814" s="13"/>
    </row>
    <row r="24815">
      <c r="F24815" s="13"/>
      <c r="M24815" s="13"/>
    </row>
    <row r="24816">
      <c r="F24816" s="13"/>
      <c r="M24816" s="13"/>
    </row>
    <row r="24817">
      <c r="F24817" s="13"/>
      <c r="M24817" s="13"/>
    </row>
    <row r="24818">
      <c r="F24818" s="13"/>
      <c r="M24818" s="13"/>
    </row>
    <row r="24819">
      <c r="F24819" s="13"/>
      <c r="M24819" s="13"/>
    </row>
    <row r="24820">
      <c r="F24820" s="13"/>
      <c r="M24820" s="13"/>
    </row>
    <row r="24821">
      <c r="F24821" s="13"/>
      <c r="M24821" s="13"/>
    </row>
    <row r="24822">
      <c r="F24822" s="13"/>
      <c r="M24822" s="13"/>
    </row>
    <row r="24823">
      <c r="F24823" s="13"/>
      <c r="M24823" s="13"/>
    </row>
    <row r="24824">
      <c r="F24824" s="13"/>
      <c r="M24824" s="13"/>
    </row>
    <row r="24825">
      <c r="F24825" s="13"/>
      <c r="M24825" s="13"/>
    </row>
    <row r="24826">
      <c r="F24826" s="13"/>
      <c r="M24826" s="13"/>
    </row>
    <row r="24827">
      <c r="F24827" s="13"/>
      <c r="M24827" s="13"/>
    </row>
    <row r="24828">
      <c r="F24828" s="13"/>
      <c r="M24828" s="13"/>
    </row>
    <row r="24829">
      <c r="F24829" s="13"/>
      <c r="M24829" s="13"/>
    </row>
    <row r="24830">
      <c r="F24830" s="13"/>
      <c r="M24830" s="13"/>
    </row>
    <row r="24831">
      <c r="F24831" s="13"/>
      <c r="M24831" s="13"/>
    </row>
    <row r="24832">
      <c r="F24832" s="13"/>
      <c r="M24832" s="13"/>
    </row>
    <row r="24833">
      <c r="F24833" s="13"/>
      <c r="M24833" s="13"/>
    </row>
    <row r="24834">
      <c r="F24834" s="13"/>
      <c r="M24834" s="13"/>
    </row>
    <row r="24835">
      <c r="F24835" s="13"/>
      <c r="M24835" s="13"/>
    </row>
    <row r="24836">
      <c r="F24836" s="13"/>
      <c r="M24836" s="13"/>
    </row>
    <row r="24837">
      <c r="F24837" s="13"/>
      <c r="M24837" s="13"/>
    </row>
    <row r="24838">
      <c r="F24838" s="13"/>
      <c r="M24838" s="13"/>
    </row>
    <row r="24839">
      <c r="F24839" s="13"/>
      <c r="M24839" s="13"/>
    </row>
    <row r="24840">
      <c r="F24840" s="13"/>
      <c r="M24840" s="13"/>
    </row>
    <row r="24841">
      <c r="F24841" s="13"/>
      <c r="M24841" s="13"/>
    </row>
    <row r="24842">
      <c r="F24842" s="13"/>
      <c r="M24842" s="13"/>
    </row>
    <row r="24843">
      <c r="F24843" s="13"/>
      <c r="M24843" s="13"/>
    </row>
    <row r="24844">
      <c r="F24844" s="13"/>
      <c r="M24844" s="13"/>
    </row>
    <row r="24845">
      <c r="F24845" s="13"/>
      <c r="M24845" s="13"/>
    </row>
    <row r="24846">
      <c r="F24846" s="13"/>
      <c r="M24846" s="13"/>
    </row>
    <row r="24847">
      <c r="F24847" s="13"/>
      <c r="M24847" s="13"/>
    </row>
    <row r="24848">
      <c r="F24848" s="13"/>
      <c r="M24848" s="13"/>
    </row>
    <row r="24849">
      <c r="F24849" s="13"/>
      <c r="M24849" s="13"/>
    </row>
    <row r="24850">
      <c r="F24850" s="13"/>
      <c r="M24850" s="13"/>
    </row>
    <row r="24851">
      <c r="F24851" s="13"/>
      <c r="M24851" s="13"/>
    </row>
    <row r="24852">
      <c r="F24852" s="13"/>
      <c r="M24852" s="13"/>
    </row>
    <row r="24853">
      <c r="F24853" s="13"/>
      <c r="M24853" s="13"/>
    </row>
    <row r="24854">
      <c r="F24854" s="13"/>
      <c r="M24854" s="13"/>
    </row>
    <row r="24855">
      <c r="F24855" s="13"/>
      <c r="M24855" s="13"/>
    </row>
    <row r="24856">
      <c r="F24856" s="13"/>
      <c r="M24856" s="13"/>
    </row>
    <row r="24857">
      <c r="F24857" s="13"/>
      <c r="M24857" s="13"/>
    </row>
    <row r="24858">
      <c r="F24858" s="13"/>
      <c r="M24858" s="13"/>
    </row>
    <row r="24859">
      <c r="F24859" s="13"/>
      <c r="M24859" s="13"/>
    </row>
    <row r="24860">
      <c r="F24860" s="13"/>
      <c r="M24860" s="13"/>
    </row>
    <row r="24861">
      <c r="F24861" s="13"/>
      <c r="M24861" s="13"/>
    </row>
    <row r="24862">
      <c r="F24862" s="13"/>
      <c r="M24862" s="13"/>
    </row>
    <row r="24863">
      <c r="F24863" s="13"/>
      <c r="M24863" s="13"/>
    </row>
    <row r="24864">
      <c r="F24864" s="13"/>
      <c r="M24864" s="13"/>
    </row>
    <row r="24865">
      <c r="F24865" s="13"/>
      <c r="M24865" s="13"/>
    </row>
    <row r="24866">
      <c r="F24866" s="13"/>
      <c r="M24866" s="13"/>
    </row>
    <row r="24867">
      <c r="F24867" s="13"/>
      <c r="M24867" s="13"/>
    </row>
    <row r="24868">
      <c r="F24868" s="13"/>
      <c r="M24868" s="13"/>
    </row>
    <row r="24869">
      <c r="F24869" s="13"/>
      <c r="M24869" s="13"/>
    </row>
    <row r="24870">
      <c r="F24870" s="13"/>
      <c r="M24870" s="13"/>
    </row>
    <row r="24871">
      <c r="F24871" s="13"/>
      <c r="M24871" s="13"/>
    </row>
    <row r="24872">
      <c r="F24872" s="13"/>
      <c r="M24872" s="13"/>
    </row>
    <row r="24873">
      <c r="F24873" s="13"/>
      <c r="M24873" s="13"/>
    </row>
    <row r="24874">
      <c r="F24874" s="13"/>
      <c r="M24874" s="13"/>
    </row>
    <row r="24875">
      <c r="F24875" s="13"/>
      <c r="M24875" s="13"/>
    </row>
    <row r="24876">
      <c r="F24876" s="13"/>
      <c r="M24876" s="13"/>
    </row>
    <row r="24877">
      <c r="F24877" s="13"/>
      <c r="M24877" s="13"/>
    </row>
    <row r="24878">
      <c r="F24878" s="13"/>
      <c r="M24878" s="13"/>
    </row>
    <row r="24879">
      <c r="F24879" s="13"/>
      <c r="M24879" s="13"/>
    </row>
    <row r="24880">
      <c r="F24880" s="13"/>
      <c r="M24880" s="13"/>
    </row>
    <row r="24881">
      <c r="F24881" s="13"/>
      <c r="M24881" s="13"/>
    </row>
    <row r="24882">
      <c r="F24882" s="13"/>
      <c r="M24882" s="13"/>
    </row>
    <row r="24883">
      <c r="F24883" s="13"/>
      <c r="M24883" s="13"/>
    </row>
    <row r="24884">
      <c r="F24884" s="13"/>
      <c r="M24884" s="13"/>
    </row>
    <row r="24885">
      <c r="F24885" s="13"/>
      <c r="M24885" s="13"/>
    </row>
    <row r="24886">
      <c r="F24886" s="13"/>
      <c r="M24886" s="13"/>
    </row>
    <row r="24887">
      <c r="F24887" s="13"/>
      <c r="M24887" s="13"/>
    </row>
    <row r="24888">
      <c r="F24888" s="13"/>
      <c r="M24888" s="13"/>
    </row>
    <row r="24889">
      <c r="F24889" s="13"/>
      <c r="M24889" s="13"/>
    </row>
    <row r="24890">
      <c r="F24890" s="13"/>
      <c r="M24890" s="13"/>
    </row>
    <row r="24891">
      <c r="F24891" s="13"/>
      <c r="M24891" s="13"/>
    </row>
    <row r="24892">
      <c r="F24892" s="13"/>
      <c r="M24892" s="13"/>
    </row>
    <row r="24893">
      <c r="F24893" s="13"/>
      <c r="M24893" s="13"/>
    </row>
    <row r="24894">
      <c r="F24894" s="13"/>
      <c r="M24894" s="13"/>
    </row>
    <row r="24895">
      <c r="F24895" s="13"/>
      <c r="M24895" s="13"/>
    </row>
    <row r="24896">
      <c r="F24896" s="13"/>
      <c r="M24896" s="13"/>
    </row>
    <row r="24897">
      <c r="F24897" s="13"/>
      <c r="M24897" s="13"/>
    </row>
    <row r="24898">
      <c r="F24898" s="13"/>
      <c r="M24898" s="13"/>
    </row>
    <row r="24899">
      <c r="F24899" s="13"/>
      <c r="M24899" s="13"/>
    </row>
    <row r="24900">
      <c r="F24900" s="13"/>
      <c r="M24900" s="13"/>
    </row>
    <row r="24901">
      <c r="F24901" s="13"/>
      <c r="M24901" s="13"/>
    </row>
    <row r="24902">
      <c r="F24902" s="13"/>
      <c r="M24902" s="13"/>
    </row>
    <row r="24903">
      <c r="F24903" s="13"/>
      <c r="M24903" s="13"/>
    </row>
    <row r="24904">
      <c r="F24904" s="13"/>
      <c r="M24904" s="13"/>
    </row>
    <row r="24905">
      <c r="F24905" s="13"/>
      <c r="M24905" s="13"/>
    </row>
    <row r="24906">
      <c r="F24906" s="13"/>
      <c r="M24906" s="13"/>
    </row>
    <row r="24907">
      <c r="F24907" s="13"/>
      <c r="M24907" s="13"/>
    </row>
    <row r="24908">
      <c r="F24908" s="13"/>
      <c r="M24908" s="13"/>
    </row>
    <row r="24909">
      <c r="F24909" s="13"/>
      <c r="M24909" s="13"/>
    </row>
    <row r="24910">
      <c r="F24910" s="13"/>
      <c r="M24910" s="13"/>
    </row>
    <row r="24911">
      <c r="F24911" s="13"/>
      <c r="M24911" s="13"/>
    </row>
    <row r="24912">
      <c r="F24912" s="13"/>
      <c r="M24912" s="13"/>
    </row>
    <row r="24913">
      <c r="F24913" s="13"/>
      <c r="M24913" s="13"/>
    </row>
    <row r="24914">
      <c r="F24914" s="13"/>
      <c r="M24914" s="13"/>
    </row>
    <row r="24915">
      <c r="F24915" s="13"/>
      <c r="M24915" s="13"/>
    </row>
    <row r="24916">
      <c r="F24916" s="13"/>
      <c r="M24916" s="13"/>
    </row>
    <row r="24917">
      <c r="F24917" s="13"/>
      <c r="M24917" s="13"/>
    </row>
    <row r="24918">
      <c r="F24918" s="13"/>
      <c r="M24918" s="13"/>
    </row>
    <row r="24919">
      <c r="F24919" s="13"/>
      <c r="M24919" s="13"/>
    </row>
    <row r="24920">
      <c r="F24920" s="13"/>
      <c r="M24920" s="13"/>
    </row>
    <row r="24921">
      <c r="F24921" s="13"/>
      <c r="M24921" s="13"/>
    </row>
    <row r="24922">
      <c r="F24922" s="13"/>
      <c r="M24922" s="13"/>
    </row>
    <row r="24923">
      <c r="F24923" s="13"/>
      <c r="M24923" s="13"/>
    </row>
    <row r="24924">
      <c r="F24924" s="13"/>
      <c r="M24924" s="13"/>
    </row>
    <row r="24925">
      <c r="F24925" s="13"/>
      <c r="M24925" s="13"/>
    </row>
    <row r="24926">
      <c r="F24926" s="13"/>
      <c r="M24926" s="13"/>
    </row>
    <row r="24927">
      <c r="F24927" s="13"/>
      <c r="M24927" s="13"/>
    </row>
    <row r="24928">
      <c r="F24928" s="13"/>
      <c r="M24928" s="13"/>
    </row>
    <row r="24929">
      <c r="F24929" s="13"/>
      <c r="M24929" s="13"/>
    </row>
    <row r="24930">
      <c r="F24930" s="13"/>
      <c r="M24930" s="13"/>
    </row>
    <row r="24931">
      <c r="F24931" s="13"/>
      <c r="M24931" s="13"/>
    </row>
    <row r="24932">
      <c r="F24932" s="13"/>
      <c r="M24932" s="13"/>
    </row>
    <row r="24933">
      <c r="F24933" s="13"/>
      <c r="M24933" s="13"/>
    </row>
    <row r="24934">
      <c r="F24934" s="13"/>
      <c r="M24934" s="13"/>
    </row>
    <row r="24935">
      <c r="F24935" s="13"/>
      <c r="M24935" s="13"/>
    </row>
    <row r="24936">
      <c r="F24936" s="13"/>
      <c r="M24936" s="13"/>
    </row>
    <row r="24937">
      <c r="F24937" s="13"/>
      <c r="M24937" s="13"/>
    </row>
    <row r="24938">
      <c r="F24938" s="13"/>
      <c r="M24938" s="13"/>
    </row>
    <row r="24939">
      <c r="F24939" s="13"/>
      <c r="M24939" s="13"/>
    </row>
    <row r="24940">
      <c r="F24940" s="13"/>
      <c r="M24940" s="13"/>
    </row>
    <row r="24941">
      <c r="F24941" s="13"/>
      <c r="M24941" s="13"/>
    </row>
    <row r="24942">
      <c r="F24942" s="13"/>
      <c r="M24942" s="13"/>
    </row>
    <row r="24943">
      <c r="F24943" s="13"/>
      <c r="M24943" s="13"/>
    </row>
    <row r="24944">
      <c r="F24944" s="13"/>
      <c r="M24944" s="13"/>
    </row>
    <row r="24945">
      <c r="F24945" s="13"/>
      <c r="M24945" s="13"/>
    </row>
    <row r="24946">
      <c r="F24946" s="13"/>
      <c r="M24946" s="13"/>
    </row>
    <row r="24947">
      <c r="F24947" s="13"/>
      <c r="M24947" s="13"/>
    </row>
    <row r="24948">
      <c r="F24948" s="13"/>
      <c r="M24948" s="13"/>
    </row>
    <row r="24949">
      <c r="F24949" s="13"/>
      <c r="M24949" s="13"/>
    </row>
    <row r="24950">
      <c r="F24950" s="13"/>
      <c r="M24950" s="13"/>
    </row>
    <row r="24951">
      <c r="F24951" s="13"/>
      <c r="M24951" s="13"/>
    </row>
    <row r="24952">
      <c r="F24952" s="13"/>
      <c r="M24952" s="13"/>
    </row>
    <row r="24953">
      <c r="F24953" s="13"/>
      <c r="M24953" s="13"/>
    </row>
    <row r="24954">
      <c r="F24954" s="13"/>
      <c r="M24954" s="13"/>
    </row>
    <row r="24955">
      <c r="F24955" s="13"/>
      <c r="M24955" s="13"/>
    </row>
    <row r="24956">
      <c r="F24956" s="13"/>
      <c r="M24956" s="13"/>
    </row>
    <row r="24957">
      <c r="F24957" s="13"/>
      <c r="M24957" s="13"/>
    </row>
    <row r="24958">
      <c r="F24958" s="13"/>
      <c r="M24958" s="13"/>
    </row>
    <row r="24959">
      <c r="F24959" s="13"/>
      <c r="M24959" s="13"/>
    </row>
    <row r="24960">
      <c r="F24960" s="13"/>
      <c r="M24960" s="13"/>
    </row>
    <row r="24961">
      <c r="F24961" s="13"/>
      <c r="M24961" s="13"/>
    </row>
    <row r="24962">
      <c r="F24962" s="13"/>
      <c r="M24962" s="13"/>
    </row>
    <row r="24963">
      <c r="F24963" s="13"/>
      <c r="M24963" s="13"/>
    </row>
    <row r="24964">
      <c r="F24964" s="13"/>
      <c r="M24964" s="13"/>
    </row>
    <row r="24965">
      <c r="F24965" s="13"/>
      <c r="M24965" s="13"/>
    </row>
    <row r="24966">
      <c r="F24966" s="13"/>
      <c r="M24966" s="13"/>
    </row>
    <row r="24967">
      <c r="F24967" s="13"/>
      <c r="M24967" s="13"/>
    </row>
    <row r="24968">
      <c r="F24968" s="13"/>
      <c r="M24968" s="13"/>
    </row>
    <row r="24969">
      <c r="F24969" s="13"/>
      <c r="M24969" s="13"/>
    </row>
    <row r="24970">
      <c r="F24970" s="13"/>
      <c r="M24970" s="13"/>
    </row>
    <row r="24971">
      <c r="F24971" s="13"/>
      <c r="M24971" s="13"/>
    </row>
    <row r="24972">
      <c r="F24972" s="13"/>
      <c r="M24972" s="13"/>
    </row>
    <row r="24973">
      <c r="F24973" s="13"/>
      <c r="M24973" s="13"/>
    </row>
    <row r="24974">
      <c r="F24974" s="13"/>
      <c r="M24974" s="13"/>
    </row>
    <row r="24975">
      <c r="F24975" s="13"/>
      <c r="M24975" s="13"/>
    </row>
    <row r="24976">
      <c r="F24976" s="13"/>
      <c r="M24976" s="13"/>
    </row>
    <row r="24977">
      <c r="F24977" s="13"/>
      <c r="M24977" s="13"/>
    </row>
    <row r="24978">
      <c r="F24978" s="13"/>
      <c r="M24978" s="13"/>
    </row>
    <row r="24979">
      <c r="F24979" s="13"/>
      <c r="M24979" s="13"/>
    </row>
    <row r="24980">
      <c r="F24980" s="13"/>
      <c r="M24980" s="13"/>
    </row>
    <row r="24981">
      <c r="F24981" s="13"/>
      <c r="M24981" s="13"/>
    </row>
    <row r="24982">
      <c r="F24982" s="13"/>
      <c r="M24982" s="13"/>
    </row>
    <row r="24983">
      <c r="F24983" s="13"/>
      <c r="M24983" s="13"/>
    </row>
    <row r="24984">
      <c r="F24984" s="13"/>
      <c r="M24984" s="13"/>
    </row>
    <row r="24985">
      <c r="F24985" s="13"/>
      <c r="M24985" s="13"/>
    </row>
    <row r="24986">
      <c r="F24986" s="13"/>
      <c r="M24986" s="13"/>
    </row>
    <row r="24987">
      <c r="F24987" s="13"/>
      <c r="M24987" s="13"/>
    </row>
    <row r="24988">
      <c r="F24988" s="13"/>
      <c r="M24988" s="13"/>
    </row>
    <row r="24989">
      <c r="F24989" s="13"/>
      <c r="M24989" s="13"/>
    </row>
    <row r="24990">
      <c r="F24990" s="13"/>
      <c r="M24990" s="13"/>
    </row>
    <row r="24991">
      <c r="F24991" s="13"/>
      <c r="M24991" s="13"/>
    </row>
    <row r="24992">
      <c r="F24992" s="13"/>
      <c r="M24992" s="13"/>
    </row>
    <row r="24993">
      <c r="F24993" s="13"/>
      <c r="M24993" s="13"/>
    </row>
    <row r="24994">
      <c r="F24994" s="13"/>
      <c r="M24994" s="13"/>
    </row>
    <row r="24995">
      <c r="F24995" s="13"/>
      <c r="M24995" s="13"/>
    </row>
    <row r="24996">
      <c r="F24996" s="13"/>
      <c r="M24996" s="13"/>
    </row>
    <row r="24997">
      <c r="F24997" s="13"/>
      <c r="M24997" s="13"/>
    </row>
    <row r="24998">
      <c r="F24998" s="13"/>
      <c r="M24998" s="13"/>
    </row>
    <row r="24999">
      <c r="F24999" s="13"/>
      <c r="M24999" s="13"/>
    </row>
    <row r="25000">
      <c r="F25000" s="13"/>
      <c r="M25000" s="13"/>
    </row>
    <row r="25001">
      <c r="F25001" s="13"/>
      <c r="M25001" s="13"/>
    </row>
    <row r="25002">
      <c r="F25002" s="13"/>
      <c r="M25002" s="13"/>
    </row>
    <row r="25003">
      <c r="F25003" s="13"/>
      <c r="M25003" s="13"/>
    </row>
    <row r="25004">
      <c r="F25004" s="13"/>
      <c r="M25004" s="13"/>
    </row>
    <row r="25005">
      <c r="F25005" s="13"/>
      <c r="M25005" s="13"/>
    </row>
    <row r="25006">
      <c r="F25006" s="13"/>
      <c r="M25006" s="13"/>
    </row>
    <row r="25007">
      <c r="F25007" s="13"/>
      <c r="M25007" s="13"/>
    </row>
    <row r="25008">
      <c r="F25008" s="13"/>
      <c r="M25008" s="13"/>
    </row>
    <row r="25009">
      <c r="F25009" s="13"/>
      <c r="M25009" s="13"/>
    </row>
    <row r="25010">
      <c r="F25010" s="13"/>
      <c r="M25010" s="13"/>
    </row>
    <row r="25011">
      <c r="F25011" s="13"/>
      <c r="M25011" s="13"/>
    </row>
    <row r="25012">
      <c r="F25012" s="13"/>
      <c r="M25012" s="13"/>
    </row>
    <row r="25013">
      <c r="F25013" s="13"/>
      <c r="M25013" s="13"/>
    </row>
    <row r="25014">
      <c r="F25014" s="13"/>
      <c r="M25014" s="13"/>
    </row>
    <row r="25015">
      <c r="F25015" s="13"/>
      <c r="M25015" s="13"/>
    </row>
    <row r="25016">
      <c r="F25016" s="13"/>
      <c r="M25016" s="13"/>
    </row>
    <row r="25017">
      <c r="F25017" s="13"/>
      <c r="M25017" s="13"/>
    </row>
    <row r="25018">
      <c r="F25018" s="13"/>
      <c r="M25018" s="13"/>
    </row>
    <row r="25019">
      <c r="F25019" s="13"/>
      <c r="M25019" s="13"/>
    </row>
    <row r="25020">
      <c r="F25020" s="13"/>
      <c r="M25020" s="13"/>
    </row>
    <row r="25021">
      <c r="F25021" s="13"/>
      <c r="M25021" s="13"/>
    </row>
    <row r="25022">
      <c r="F25022" s="13"/>
      <c r="M25022" s="13"/>
    </row>
    <row r="25023">
      <c r="F25023" s="13"/>
      <c r="M25023" s="13"/>
    </row>
    <row r="25024">
      <c r="F25024" s="13"/>
      <c r="M25024" s="13"/>
    </row>
    <row r="25025">
      <c r="F25025" s="13"/>
      <c r="M25025" s="13"/>
    </row>
    <row r="25026">
      <c r="F25026" s="13"/>
      <c r="M25026" s="13"/>
    </row>
    <row r="25027">
      <c r="F25027" s="13"/>
      <c r="M25027" s="13"/>
    </row>
    <row r="25028">
      <c r="F25028" s="13"/>
      <c r="M25028" s="13"/>
    </row>
    <row r="25029">
      <c r="F25029" s="13"/>
      <c r="M25029" s="13"/>
    </row>
    <row r="25030">
      <c r="F25030" s="13"/>
      <c r="M25030" s="13"/>
    </row>
    <row r="25031">
      <c r="F25031" s="13"/>
      <c r="M25031" s="13"/>
    </row>
    <row r="25032">
      <c r="F25032" s="13"/>
      <c r="M25032" s="13"/>
    </row>
    <row r="25033">
      <c r="F25033" s="13"/>
      <c r="M25033" s="13"/>
    </row>
    <row r="25034">
      <c r="F25034" s="13"/>
      <c r="M25034" s="13"/>
    </row>
    <row r="25035">
      <c r="F25035" s="13"/>
      <c r="M25035" s="13"/>
    </row>
    <row r="25036">
      <c r="F25036" s="13"/>
      <c r="M25036" s="13"/>
    </row>
    <row r="25037">
      <c r="F25037" s="13"/>
      <c r="M25037" s="13"/>
    </row>
    <row r="25038">
      <c r="F25038" s="13"/>
      <c r="M25038" s="13"/>
    </row>
    <row r="25039">
      <c r="F25039" s="13"/>
      <c r="M25039" s="13"/>
    </row>
    <row r="25040">
      <c r="F25040" s="13"/>
      <c r="M25040" s="13"/>
    </row>
    <row r="25041">
      <c r="F25041" s="13"/>
      <c r="M25041" s="13"/>
    </row>
    <row r="25042">
      <c r="F25042" s="13"/>
      <c r="M25042" s="13"/>
    </row>
    <row r="25043">
      <c r="F25043" s="13"/>
      <c r="M25043" s="13"/>
    </row>
    <row r="25044">
      <c r="F25044" s="13"/>
      <c r="M25044" s="13"/>
    </row>
    <row r="25045">
      <c r="F25045" s="13"/>
      <c r="M25045" s="13"/>
    </row>
    <row r="25046">
      <c r="F25046" s="13"/>
      <c r="M25046" s="13"/>
    </row>
    <row r="25047">
      <c r="F25047" s="13"/>
      <c r="M25047" s="13"/>
    </row>
    <row r="25048">
      <c r="F25048" s="13"/>
      <c r="M25048" s="13"/>
    </row>
    <row r="25049">
      <c r="F25049" s="13"/>
      <c r="M25049" s="13"/>
    </row>
    <row r="25050">
      <c r="F25050" s="13"/>
      <c r="M25050" s="13"/>
    </row>
    <row r="25051">
      <c r="F25051" s="13"/>
      <c r="M25051" s="13"/>
    </row>
    <row r="25052">
      <c r="F25052" s="13"/>
      <c r="M25052" s="13"/>
    </row>
    <row r="25053">
      <c r="F25053" s="13"/>
      <c r="M25053" s="13"/>
    </row>
    <row r="25054">
      <c r="F25054" s="13"/>
      <c r="M25054" s="13"/>
    </row>
    <row r="25055">
      <c r="F25055" s="13"/>
      <c r="M25055" s="13"/>
    </row>
    <row r="25056">
      <c r="F25056" s="13"/>
      <c r="M25056" s="13"/>
    </row>
    <row r="25057">
      <c r="F25057" s="13"/>
      <c r="M25057" s="13"/>
    </row>
    <row r="25058">
      <c r="F25058" s="13"/>
      <c r="M25058" s="13"/>
    </row>
    <row r="25059">
      <c r="F25059" s="13"/>
      <c r="M25059" s="13"/>
    </row>
    <row r="25060">
      <c r="F25060" s="13"/>
      <c r="M25060" s="13"/>
    </row>
    <row r="25061">
      <c r="F25061" s="13"/>
      <c r="M25061" s="13"/>
    </row>
    <row r="25062">
      <c r="F25062" s="13"/>
      <c r="M25062" s="13"/>
    </row>
    <row r="25063">
      <c r="F25063" s="13"/>
      <c r="M25063" s="13"/>
    </row>
    <row r="25064">
      <c r="F25064" s="13"/>
      <c r="M25064" s="13"/>
    </row>
    <row r="25065">
      <c r="F25065" s="13"/>
      <c r="M25065" s="13"/>
    </row>
    <row r="25066">
      <c r="F25066" s="13"/>
      <c r="M25066" s="13"/>
    </row>
    <row r="25067">
      <c r="F25067" s="13"/>
      <c r="M25067" s="13"/>
    </row>
    <row r="25068">
      <c r="F25068" s="13"/>
      <c r="M25068" s="13"/>
    </row>
    <row r="25069">
      <c r="F25069" s="13"/>
      <c r="M25069" s="13"/>
    </row>
    <row r="25070">
      <c r="F25070" s="13"/>
      <c r="M25070" s="13"/>
    </row>
    <row r="25071">
      <c r="F25071" s="13"/>
      <c r="M25071" s="13"/>
    </row>
    <row r="25072">
      <c r="F25072" s="13"/>
      <c r="M25072" s="13"/>
    </row>
    <row r="25073">
      <c r="F25073" s="13"/>
      <c r="M25073" s="13"/>
    </row>
    <row r="25074">
      <c r="F25074" s="13"/>
      <c r="M25074" s="13"/>
    </row>
    <row r="25075">
      <c r="F25075" s="13"/>
      <c r="M25075" s="13"/>
    </row>
    <row r="25076">
      <c r="F25076" s="13"/>
      <c r="M25076" s="13"/>
    </row>
    <row r="25077">
      <c r="F25077" s="13"/>
      <c r="M25077" s="13"/>
    </row>
    <row r="25078">
      <c r="F25078" s="13"/>
      <c r="M25078" s="13"/>
    </row>
    <row r="25079">
      <c r="F25079" s="13"/>
      <c r="M25079" s="13"/>
    </row>
    <row r="25080">
      <c r="F25080" s="13"/>
      <c r="M25080" s="13"/>
    </row>
    <row r="25081">
      <c r="F25081" s="13"/>
      <c r="M25081" s="13"/>
    </row>
    <row r="25082">
      <c r="F25082" s="13"/>
      <c r="M25082" s="13"/>
    </row>
    <row r="25083">
      <c r="F25083" s="13"/>
      <c r="M25083" s="13"/>
    </row>
    <row r="25084">
      <c r="F25084" s="13"/>
      <c r="M25084" s="13"/>
    </row>
    <row r="25085">
      <c r="F25085" s="13"/>
      <c r="M25085" s="13"/>
    </row>
    <row r="25086">
      <c r="F25086" s="13"/>
      <c r="M25086" s="13"/>
    </row>
    <row r="25087">
      <c r="F25087" s="13"/>
      <c r="M25087" s="13"/>
    </row>
    <row r="25088">
      <c r="F25088" s="13"/>
      <c r="M25088" s="13"/>
    </row>
    <row r="25089">
      <c r="F25089" s="13"/>
      <c r="M25089" s="13"/>
    </row>
    <row r="25090">
      <c r="F25090" s="13"/>
      <c r="M25090" s="13"/>
    </row>
    <row r="25091">
      <c r="F25091" s="13"/>
      <c r="M25091" s="13"/>
    </row>
    <row r="25092">
      <c r="F25092" s="13"/>
      <c r="M25092" s="13"/>
    </row>
    <row r="25093">
      <c r="F25093" s="13"/>
      <c r="M25093" s="13"/>
    </row>
    <row r="25094">
      <c r="F25094" s="13"/>
      <c r="M25094" s="13"/>
    </row>
    <row r="25095">
      <c r="F25095" s="13"/>
      <c r="M25095" s="13"/>
    </row>
    <row r="25096">
      <c r="F25096" s="13"/>
      <c r="M25096" s="13"/>
    </row>
    <row r="25097">
      <c r="F25097" s="13"/>
      <c r="M25097" s="13"/>
    </row>
    <row r="25098">
      <c r="F25098" s="13"/>
      <c r="M25098" s="13"/>
    </row>
    <row r="25099">
      <c r="F25099" s="13"/>
      <c r="M25099" s="13"/>
    </row>
    <row r="25100">
      <c r="F25100" s="13"/>
      <c r="M25100" s="13"/>
    </row>
    <row r="25101">
      <c r="F25101" s="13"/>
      <c r="M25101" s="13"/>
    </row>
    <row r="25102">
      <c r="F25102" s="13"/>
      <c r="M25102" s="13"/>
    </row>
    <row r="25103">
      <c r="F25103" s="13"/>
      <c r="M25103" s="13"/>
    </row>
    <row r="25104">
      <c r="F25104" s="13"/>
      <c r="M25104" s="13"/>
    </row>
    <row r="25105">
      <c r="F25105" s="13"/>
      <c r="M25105" s="13"/>
    </row>
    <row r="25106">
      <c r="F25106" s="13"/>
      <c r="M25106" s="13"/>
    </row>
    <row r="25107">
      <c r="F25107" s="13"/>
      <c r="M25107" s="13"/>
    </row>
    <row r="25108">
      <c r="F25108" s="13"/>
      <c r="M25108" s="13"/>
    </row>
    <row r="25109">
      <c r="F25109" s="13"/>
      <c r="M25109" s="13"/>
    </row>
    <row r="25110">
      <c r="F25110" s="13"/>
      <c r="M25110" s="13"/>
    </row>
    <row r="25111">
      <c r="F25111" s="13"/>
      <c r="M25111" s="13"/>
    </row>
    <row r="25112">
      <c r="F25112" s="13"/>
      <c r="M25112" s="13"/>
    </row>
    <row r="25113">
      <c r="F25113" s="13"/>
      <c r="M25113" s="13"/>
    </row>
    <row r="25114">
      <c r="F25114" s="13"/>
      <c r="M25114" s="13"/>
    </row>
    <row r="25115">
      <c r="F25115" s="13"/>
      <c r="M25115" s="13"/>
    </row>
    <row r="25116">
      <c r="F25116" s="13"/>
      <c r="M25116" s="13"/>
    </row>
    <row r="25117">
      <c r="F25117" s="13"/>
      <c r="M25117" s="13"/>
    </row>
    <row r="25118">
      <c r="F25118" s="13"/>
      <c r="M25118" s="13"/>
    </row>
    <row r="25119">
      <c r="F25119" s="13"/>
      <c r="M25119" s="13"/>
    </row>
    <row r="25120">
      <c r="F25120" s="13"/>
      <c r="M25120" s="13"/>
    </row>
    <row r="25121">
      <c r="F25121" s="13"/>
      <c r="M25121" s="13"/>
    </row>
    <row r="25122">
      <c r="F25122" s="13"/>
      <c r="M25122" s="13"/>
    </row>
    <row r="25123">
      <c r="F25123" s="13"/>
      <c r="M25123" s="13"/>
    </row>
    <row r="25124">
      <c r="F25124" s="13"/>
      <c r="M25124" s="13"/>
    </row>
    <row r="25125">
      <c r="F25125" s="13"/>
      <c r="M25125" s="13"/>
    </row>
    <row r="25126">
      <c r="F25126" s="13"/>
      <c r="M25126" s="13"/>
    </row>
    <row r="25127">
      <c r="F25127" s="13"/>
      <c r="M25127" s="13"/>
    </row>
    <row r="25128">
      <c r="F25128" s="13"/>
      <c r="M25128" s="13"/>
    </row>
    <row r="25129">
      <c r="F25129" s="13"/>
      <c r="M25129" s="13"/>
    </row>
    <row r="25130">
      <c r="F25130" s="13"/>
      <c r="M25130" s="13"/>
    </row>
    <row r="25131">
      <c r="F25131" s="13"/>
      <c r="M25131" s="13"/>
    </row>
    <row r="25132">
      <c r="F25132" s="13"/>
      <c r="M25132" s="13"/>
    </row>
    <row r="25133">
      <c r="F25133" s="13"/>
      <c r="M25133" s="13"/>
    </row>
    <row r="25134">
      <c r="F25134" s="13"/>
      <c r="M25134" s="13"/>
    </row>
    <row r="25135">
      <c r="F25135" s="13"/>
      <c r="M25135" s="13"/>
    </row>
    <row r="25136">
      <c r="F25136" s="13"/>
      <c r="M25136" s="13"/>
    </row>
    <row r="25137">
      <c r="F25137" s="13"/>
      <c r="M25137" s="13"/>
    </row>
    <row r="25138">
      <c r="F25138" s="13"/>
      <c r="M25138" s="13"/>
    </row>
    <row r="25139">
      <c r="F25139" s="13"/>
      <c r="M25139" s="13"/>
    </row>
    <row r="25140">
      <c r="F25140" s="13"/>
      <c r="M25140" s="13"/>
    </row>
    <row r="25141">
      <c r="F25141" s="13"/>
      <c r="M25141" s="13"/>
    </row>
    <row r="25142">
      <c r="F25142" s="13"/>
      <c r="M25142" s="13"/>
    </row>
    <row r="25143">
      <c r="F25143" s="13"/>
      <c r="M25143" s="13"/>
    </row>
    <row r="25144">
      <c r="F25144" s="13"/>
      <c r="M25144" s="13"/>
    </row>
    <row r="25145">
      <c r="F25145" s="13"/>
      <c r="M25145" s="13"/>
    </row>
    <row r="25146">
      <c r="F25146" s="13"/>
      <c r="M25146" s="13"/>
    </row>
    <row r="25147">
      <c r="F25147" s="13"/>
      <c r="M25147" s="13"/>
    </row>
    <row r="25148">
      <c r="F25148" s="13"/>
      <c r="M25148" s="13"/>
    </row>
    <row r="25149">
      <c r="F25149" s="13"/>
      <c r="M25149" s="13"/>
    </row>
    <row r="25150">
      <c r="F25150" s="13"/>
      <c r="M25150" s="13"/>
    </row>
    <row r="25151">
      <c r="F25151" s="13"/>
      <c r="M25151" s="13"/>
    </row>
    <row r="25152">
      <c r="F25152" s="13"/>
      <c r="M25152" s="13"/>
    </row>
    <row r="25153">
      <c r="F25153" s="13"/>
      <c r="M25153" s="13"/>
    </row>
    <row r="25154">
      <c r="F25154" s="13"/>
      <c r="M25154" s="13"/>
    </row>
    <row r="25155">
      <c r="F25155" s="13"/>
      <c r="M25155" s="13"/>
    </row>
    <row r="25156">
      <c r="F25156" s="13"/>
      <c r="M25156" s="13"/>
    </row>
    <row r="25157">
      <c r="F25157" s="13"/>
      <c r="M25157" s="13"/>
    </row>
    <row r="25158">
      <c r="F25158" s="13"/>
      <c r="M25158" s="13"/>
    </row>
    <row r="25159">
      <c r="F25159" s="13"/>
      <c r="M25159" s="13"/>
    </row>
    <row r="25160">
      <c r="F25160" s="13"/>
      <c r="M25160" s="13"/>
    </row>
    <row r="25161">
      <c r="F25161" s="13"/>
      <c r="M25161" s="13"/>
    </row>
    <row r="25162">
      <c r="F25162" s="13"/>
      <c r="M25162" s="13"/>
    </row>
    <row r="25163">
      <c r="F25163" s="13"/>
      <c r="M25163" s="13"/>
    </row>
    <row r="25164">
      <c r="F25164" s="13"/>
      <c r="M25164" s="13"/>
    </row>
    <row r="25165">
      <c r="F25165" s="13"/>
      <c r="M25165" s="13"/>
    </row>
    <row r="25166">
      <c r="F25166" s="13"/>
      <c r="M25166" s="13"/>
    </row>
    <row r="25167">
      <c r="F25167" s="13"/>
      <c r="M25167" s="13"/>
    </row>
    <row r="25168">
      <c r="F25168" s="13"/>
      <c r="M25168" s="13"/>
    </row>
    <row r="25169">
      <c r="F25169" s="13"/>
      <c r="M25169" s="13"/>
    </row>
    <row r="25170">
      <c r="F25170" s="13"/>
      <c r="M25170" s="13"/>
    </row>
    <row r="25171">
      <c r="F25171" s="13"/>
      <c r="M25171" s="13"/>
    </row>
    <row r="25172">
      <c r="F25172" s="13"/>
      <c r="M25172" s="13"/>
    </row>
    <row r="25173">
      <c r="F25173" s="13"/>
      <c r="M25173" s="13"/>
    </row>
    <row r="25174">
      <c r="F25174" s="13"/>
      <c r="M25174" s="13"/>
    </row>
    <row r="25175">
      <c r="F25175" s="13"/>
      <c r="M25175" s="13"/>
    </row>
    <row r="25176">
      <c r="F25176" s="13"/>
      <c r="M25176" s="13"/>
    </row>
    <row r="25177">
      <c r="F25177" s="13"/>
      <c r="M25177" s="13"/>
    </row>
    <row r="25178">
      <c r="F25178" s="13"/>
      <c r="M25178" s="13"/>
    </row>
    <row r="25179">
      <c r="F25179" s="13"/>
      <c r="M25179" s="13"/>
    </row>
    <row r="25180">
      <c r="F25180" s="13"/>
      <c r="M25180" s="13"/>
    </row>
    <row r="25181">
      <c r="F25181" s="13"/>
      <c r="M25181" s="13"/>
    </row>
    <row r="25182">
      <c r="F25182" s="13"/>
      <c r="M25182" s="13"/>
    </row>
    <row r="25183">
      <c r="F25183" s="13"/>
      <c r="M25183" s="13"/>
    </row>
    <row r="25184">
      <c r="F25184" s="13"/>
      <c r="M25184" s="13"/>
    </row>
    <row r="25185">
      <c r="F25185" s="13"/>
      <c r="M25185" s="13"/>
    </row>
    <row r="25186">
      <c r="F25186" s="13"/>
      <c r="M25186" s="13"/>
    </row>
    <row r="25187">
      <c r="F25187" s="13"/>
      <c r="M25187" s="13"/>
    </row>
    <row r="25188">
      <c r="F25188" s="13"/>
      <c r="M25188" s="13"/>
    </row>
    <row r="25189">
      <c r="F25189" s="13"/>
      <c r="M25189" s="13"/>
    </row>
    <row r="25190">
      <c r="F25190" s="13"/>
      <c r="M25190" s="13"/>
    </row>
    <row r="25191">
      <c r="F25191" s="13"/>
      <c r="M25191" s="13"/>
    </row>
    <row r="25192">
      <c r="F25192" s="13"/>
      <c r="M25192" s="13"/>
    </row>
    <row r="25193">
      <c r="F25193" s="13"/>
      <c r="M25193" s="13"/>
    </row>
    <row r="25194">
      <c r="F25194" s="13"/>
      <c r="M25194" s="13"/>
    </row>
    <row r="25195">
      <c r="F25195" s="13"/>
      <c r="M25195" s="13"/>
    </row>
    <row r="25196">
      <c r="F25196" s="13"/>
      <c r="M25196" s="13"/>
    </row>
    <row r="25197">
      <c r="F25197" s="13"/>
      <c r="M25197" s="13"/>
    </row>
    <row r="25198">
      <c r="F25198" s="13"/>
      <c r="M25198" s="13"/>
    </row>
    <row r="25199">
      <c r="F25199" s="13"/>
      <c r="M25199" s="13"/>
    </row>
    <row r="25200">
      <c r="F25200" s="13"/>
      <c r="M25200" s="13"/>
    </row>
    <row r="25201">
      <c r="F25201" s="13"/>
      <c r="M25201" s="13"/>
    </row>
    <row r="25202">
      <c r="F25202" s="13"/>
      <c r="M25202" s="13"/>
    </row>
    <row r="25203">
      <c r="F25203" s="13"/>
      <c r="M25203" s="13"/>
    </row>
    <row r="25204">
      <c r="F25204" s="13"/>
      <c r="M25204" s="13"/>
    </row>
    <row r="25205">
      <c r="F25205" s="13"/>
      <c r="M25205" s="13"/>
    </row>
    <row r="25206">
      <c r="F25206" s="13"/>
      <c r="M25206" s="13"/>
    </row>
    <row r="25207">
      <c r="F25207" s="13"/>
      <c r="M25207" s="13"/>
    </row>
    <row r="25208">
      <c r="F25208" s="13"/>
      <c r="M25208" s="13"/>
    </row>
    <row r="25209">
      <c r="F25209" s="13"/>
      <c r="M25209" s="13"/>
    </row>
    <row r="25210">
      <c r="F25210" s="13"/>
      <c r="M25210" s="13"/>
    </row>
    <row r="25211">
      <c r="F25211" s="13"/>
      <c r="M25211" s="13"/>
    </row>
    <row r="25212">
      <c r="F25212" s="13"/>
      <c r="M25212" s="13"/>
    </row>
    <row r="25213">
      <c r="F25213" s="13"/>
      <c r="M25213" s="13"/>
    </row>
    <row r="25214">
      <c r="F25214" s="13"/>
      <c r="M25214" s="13"/>
    </row>
    <row r="25215">
      <c r="F25215" s="13"/>
      <c r="M25215" s="13"/>
    </row>
    <row r="25216">
      <c r="F25216" s="13"/>
      <c r="M25216" s="13"/>
    </row>
    <row r="25217">
      <c r="F25217" s="13"/>
      <c r="M25217" s="13"/>
    </row>
    <row r="25218">
      <c r="F25218" s="13"/>
      <c r="M25218" s="13"/>
    </row>
    <row r="25219">
      <c r="F25219" s="13"/>
      <c r="M25219" s="13"/>
    </row>
    <row r="25220">
      <c r="F25220" s="13"/>
      <c r="M25220" s="13"/>
    </row>
    <row r="25221">
      <c r="F25221" s="13"/>
      <c r="M25221" s="13"/>
    </row>
    <row r="25222">
      <c r="F25222" s="13"/>
      <c r="M25222" s="13"/>
    </row>
    <row r="25223">
      <c r="F25223" s="13"/>
      <c r="M25223" s="13"/>
    </row>
    <row r="25224">
      <c r="F25224" s="13"/>
      <c r="M25224" s="13"/>
    </row>
    <row r="25225">
      <c r="F25225" s="13"/>
      <c r="M25225" s="13"/>
    </row>
    <row r="25226">
      <c r="F25226" s="13"/>
      <c r="M25226" s="13"/>
    </row>
    <row r="25227">
      <c r="F25227" s="13"/>
      <c r="M25227" s="13"/>
    </row>
    <row r="25228">
      <c r="F25228" s="13"/>
      <c r="M25228" s="13"/>
    </row>
    <row r="25229">
      <c r="F25229" s="13"/>
      <c r="M25229" s="13"/>
    </row>
    <row r="25230">
      <c r="F25230" s="13"/>
      <c r="M25230" s="13"/>
    </row>
    <row r="25231">
      <c r="F25231" s="13"/>
      <c r="M25231" s="13"/>
    </row>
    <row r="25232">
      <c r="F25232" s="13"/>
      <c r="M25232" s="13"/>
    </row>
    <row r="25233">
      <c r="F25233" s="13"/>
      <c r="M25233" s="13"/>
    </row>
    <row r="25234">
      <c r="F25234" s="13"/>
      <c r="M25234" s="13"/>
    </row>
    <row r="25235">
      <c r="F25235" s="13"/>
      <c r="M25235" s="13"/>
    </row>
    <row r="25236">
      <c r="F25236" s="13"/>
      <c r="M25236" s="13"/>
    </row>
    <row r="25237">
      <c r="F25237" s="13"/>
      <c r="M25237" s="13"/>
    </row>
    <row r="25238">
      <c r="F25238" s="13"/>
      <c r="M25238" s="13"/>
    </row>
    <row r="25239">
      <c r="F25239" s="13"/>
      <c r="M25239" s="13"/>
    </row>
    <row r="25240">
      <c r="F25240" s="13"/>
      <c r="M25240" s="13"/>
    </row>
    <row r="25241">
      <c r="F25241" s="13"/>
      <c r="M25241" s="13"/>
    </row>
    <row r="25242">
      <c r="F25242" s="13"/>
      <c r="M25242" s="13"/>
    </row>
    <row r="25243">
      <c r="F25243" s="13"/>
      <c r="M25243" s="13"/>
    </row>
    <row r="25244">
      <c r="F25244" s="13"/>
      <c r="M25244" s="13"/>
    </row>
    <row r="25245">
      <c r="F25245" s="13"/>
      <c r="M25245" s="13"/>
    </row>
    <row r="25246">
      <c r="F25246" s="13"/>
      <c r="M25246" s="13"/>
    </row>
    <row r="25247">
      <c r="F25247" s="13"/>
      <c r="M25247" s="13"/>
    </row>
    <row r="25248">
      <c r="F25248" s="13"/>
      <c r="M25248" s="13"/>
    </row>
    <row r="25249">
      <c r="F25249" s="13"/>
      <c r="M25249" s="13"/>
    </row>
    <row r="25250">
      <c r="F25250" s="13"/>
      <c r="M25250" s="13"/>
    </row>
    <row r="25251">
      <c r="F25251" s="13"/>
      <c r="M25251" s="13"/>
    </row>
    <row r="25252">
      <c r="F25252" s="13"/>
      <c r="M25252" s="13"/>
    </row>
    <row r="25253">
      <c r="F25253" s="13"/>
      <c r="M25253" s="13"/>
    </row>
    <row r="25254">
      <c r="F25254" s="13"/>
      <c r="M25254" s="13"/>
    </row>
    <row r="25255">
      <c r="F25255" s="13"/>
      <c r="M25255" s="13"/>
    </row>
    <row r="25256">
      <c r="F25256" s="13"/>
      <c r="M25256" s="13"/>
    </row>
    <row r="25257">
      <c r="F25257" s="13"/>
      <c r="M25257" s="13"/>
    </row>
    <row r="25258">
      <c r="F25258" s="13"/>
      <c r="M25258" s="13"/>
    </row>
    <row r="25259">
      <c r="F25259" s="13"/>
      <c r="M25259" s="13"/>
    </row>
    <row r="25260">
      <c r="F25260" s="13"/>
      <c r="M25260" s="13"/>
    </row>
    <row r="25261">
      <c r="F25261" s="13"/>
      <c r="M25261" s="13"/>
    </row>
    <row r="25262">
      <c r="F25262" s="13"/>
      <c r="M25262" s="13"/>
    </row>
    <row r="25263">
      <c r="F25263" s="13"/>
      <c r="M25263" s="13"/>
    </row>
    <row r="25264">
      <c r="F25264" s="13"/>
      <c r="M25264" s="13"/>
    </row>
    <row r="25265">
      <c r="F25265" s="13"/>
      <c r="M25265" s="13"/>
    </row>
    <row r="25266">
      <c r="F25266" s="13"/>
      <c r="M25266" s="13"/>
    </row>
    <row r="25267">
      <c r="F25267" s="13"/>
      <c r="M25267" s="13"/>
    </row>
    <row r="25268">
      <c r="F25268" s="13"/>
      <c r="M25268" s="13"/>
    </row>
    <row r="25269">
      <c r="F25269" s="13"/>
      <c r="M25269" s="13"/>
    </row>
    <row r="25270">
      <c r="F25270" s="13"/>
      <c r="M25270" s="13"/>
    </row>
    <row r="25271">
      <c r="F25271" s="13"/>
      <c r="M25271" s="13"/>
    </row>
    <row r="25272">
      <c r="F25272" s="13"/>
      <c r="M25272" s="13"/>
    </row>
    <row r="25273">
      <c r="F25273" s="13"/>
      <c r="M25273" s="13"/>
    </row>
    <row r="25274">
      <c r="F25274" s="13"/>
      <c r="M25274" s="13"/>
    </row>
    <row r="25275">
      <c r="F25275" s="13"/>
      <c r="M25275" s="13"/>
    </row>
    <row r="25276">
      <c r="F25276" s="13"/>
      <c r="M25276" s="13"/>
    </row>
    <row r="25277">
      <c r="F25277" s="13"/>
      <c r="M25277" s="13"/>
    </row>
    <row r="25278">
      <c r="F25278" s="13"/>
      <c r="M25278" s="13"/>
    </row>
    <row r="25279">
      <c r="F25279" s="13"/>
      <c r="M25279" s="13"/>
    </row>
    <row r="25280">
      <c r="F25280" s="13"/>
      <c r="M25280" s="13"/>
    </row>
    <row r="25281">
      <c r="F25281" s="13"/>
      <c r="M25281" s="13"/>
    </row>
    <row r="25282">
      <c r="F25282" s="13"/>
      <c r="M25282" s="13"/>
    </row>
    <row r="25283">
      <c r="F25283" s="13"/>
      <c r="M25283" s="13"/>
    </row>
    <row r="25284">
      <c r="F25284" s="13"/>
      <c r="M25284" s="13"/>
    </row>
    <row r="25285">
      <c r="F25285" s="13"/>
      <c r="M25285" s="13"/>
    </row>
    <row r="25286">
      <c r="F25286" s="13"/>
      <c r="M25286" s="13"/>
    </row>
    <row r="25287">
      <c r="F25287" s="13"/>
      <c r="M25287" s="13"/>
    </row>
    <row r="25288">
      <c r="F25288" s="13"/>
      <c r="M25288" s="13"/>
    </row>
    <row r="25289">
      <c r="F25289" s="13"/>
      <c r="M25289" s="13"/>
    </row>
    <row r="25290">
      <c r="F25290" s="13"/>
      <c r="M25290" s="13"/>
    </row>
    <row r="25291">
      <c r="F25291" s="13"/>
      <c r="M25291" s="13"/>
    </row>
    <row r="25292">
      <c r="F25292" s="13"/>
      <c r="M25292" s="13"/>
    </row>
    <row r="25293">
      <c r="F25293" s="13"/>
      <c r="M25293" s="13"/>
    </row>
    <row r="25294">
      <c r="F25294" s="13"/>
      <c r="M25294" s="13"/>
    </row>
    <row r="25295">
      <c r="F25295" s="13"/>
      <c r="M25295" s="13"/>
    </row>
    <row r="25296">
      <c r="F25296" s="13"/>
      <c r="M25296" s="13"/>
    </row>
    <row r="25297">
      <c r="F25297" s="13"/>
      <c r="M25297" s="13"/>
    </row>
    <row r="25298">
      <c r="F25298" s="13"/>
      <c r="M25298" s="13"/>
    </row>
    <row r="25299">
      <c r="F25299" s="13"/>
      <c r="M25299" s="13"/>
    </row>
    <row r="25300">
      <c r="F25300" s="13"/>
      <c r="M25300" s="13"/>
    </row>
    <row r="25301">
      <c r="F25301" s="13"/>
      <c r="M25301" s="13"/>
    </row>
    <row r="25302">
      <c r="F25302" s="13"/>
      <c r="M25302" s="13"/>
    </row>
    <row r="25303">
      <c r="F25303" s="13"/>
      <c r="M25303" s="13"/>
    </row>
    <row r="25304">
      <c r="F25304" s="13"/>
      <c r="M25304" s="13"/>
    </row>
    <row r="25305">
      <c r="F25305" s="13"/>
      <c r="M25305" s="13"/>
    </row>
    <row r="25306">
      <c r="F25306" s="13"/>
      <c r="M25306" s="13"/>
    </row>
    <row r="25307">
      <c r="F25307" s="13"/>
      <c r="M25307" s="13"/>
    </row>
    <row r="25308">
      <c r="F25308" s="13"/>
      <c r="M25308" s="13"/>
    </row>
    <row r="25309">
      <c r="F25309" s="13"/>
      <c r="M25309" s="13"/>
    </row>
    <row r="25310">
      <c r="F25310" s="13"/>
      <c r="M25310" s="13"/>
    </row>
    <row r="25311">
      <c r="F25311" s="13"/>
      <c r="M25311" s="13"/>
    </row>
    <row r="25312">
      <c r="F25312" s="13"/>
      <c r="M25312" s="13"/>
    </row>
    <row r="25313">
      <c r="F25313" s="13"/>
      <c r="M25313" s="13"/>
    </row>
    <row r="25314">
      <c r="F25314" s="13"/>
      <c r="M25314" s="13"/>
    </row>
    <row r="25315">
      <c r="F25315" s="13"/>
      <c r="M25315" s="13"/>
    </row>
    <row r="25316">
      <c r="F25316" s="13"/>
      <c r="M25316" s="13"/>
    </row>
    <row r="25317">
      <c r="F25317" s="13"/>
      <c r="M25317" s="13"/>
    </row>
    <row r="25318">
      <c r="F25318" s="13"/>
      <c r="M25318" s="13"/>
    </row>
    <row r="25319">
      <c r="F25319" s="13"/>
      <c r="M25319" s="13"/>
    </row>
    <row r="25320">
      <c r="F25320" s="13"/>
      <c r="M25320" s="13"/>
    </row>
    <row r="25321">
      <c r="F25321" s="13"/>
      <c r="M25321" s="13"/>
    </row>
    <row r="25322">
      <c r="F25322" s="13"/>
      <c r="M25322" s="13"/>
    </row>
    <row r="25323">
      <c r="F25323" s="13"/>
      <c r="M25323" s="13"/>
    </row>
    <row r="25324">
      <c r="F25324" s="13"/>
      <c r="M25324" s="13"/>
    </row>
    <row r="25325">
      <c r="F25325" s="13"/>
      <c r="M25325" s="13"/>
    </row>
    <row r="25326">
      <c r="F25326" s="13"/>
      <c r="M25326" s="13"/>
    </row>
    <row r="25327">
      <c r="F25327" s="13"/>
      <c r="M25327" s="13"/>
    </row>
    <row r="25328">
      <c r="F25328" s="13"/>
      <c r="M25328" s="13"/>
    </row>
    <row r="25329">
      <c r="F25329" s="13"/>
      <c r="M25329" s="13"/>
    </row>
    <row r="25330">
      <c r="F25330" s="13"/>
      <c r="M25330" s="13"/>
    </row>
    <row r="25331">
      <c r="F25331" s="13"/>
      <c r="M25331" s="13"/>
    </row>
    <row r="25332">
      <c r="F25332" s="13"/>
      <c r="M25332" s="13"/>
    </row>
    <row r="25333">
      <c r="F25333" s="13"/>
      <c r="M25333" s="13"/>
    </row>
    <row r="25334">
      <c r="F25334" s="13"/>
      <c r="M25334" s="13"/>
    </row>
    <row r="25335">
      <c r="F25335" s="13"/>
      <c r="M25335" s="13"/>
    </row>
    <row r="25336">
      <c r="F25336" s="13"/>
      <c r="M25336" s="13"/>
    </row>
    <row r="25337">
      <c r="F25337" s="13"/>
      <c r="M25337" s="13"/>
    </row>
    <row r="25338">
      <c r="F25338" s="13"/>
      <c r="M25338" s="13"/>
    </row>
    <row r="25339">
      <c r="F25339" s="13"/>
      <c r="M25339" s="13"/>
    </row>
    <row r="25340">
      <c r="F25340" s="13"/>
      <c r="M25340" s="13"/>
    </row>
    <row r="25341">
      <c r="F25341" s="13"/>
      <c r="M25341" s="13"/>
    </row>
    <row r="25342">
      <c r="F25342" s="13"/>
      <c r="M25342" s="13"/>
    </row>
    <row r="25343">
      <c r="F25343" s="13"/>
      <c r="M25343" s="13"/>
    </row>
    <row r="25344">
      <c r="F25344" s="13"/>
      <c r="M25344" s="13"/>
    </row>
    <row r="25345">
      <c r="F25345" s="13"/>
      <c r="M25345" s="13"/>
    </row>
    <row r="25346">
      <c r="F25346" s="13"/>
      <c r="M25346" s="13"/>
    </row>
    <row r="25347">
      <c r="F25347" s="13"/>
      <c r="M25347" s="13"/>
    </row>
    <row r="25348">
      <c r="F25348" s="13"/>
      <c r="M25348" s="13"/>
    </row>
    <row r="25349">
      <c r="F25349" s="13"/>
      <c r="M25349" s="13"/>
    </row>
    <row r="25350">
      <c r="F25350" s="13"/>
      <c r="M25350" s="13"/>
    </row>
    <row r="25351">
      <c r="F25351" s="13"/>
      <c r="M25351" s="13"/>
    </row>
    <row r="25352">
      <c r="F25352" s="13"/>
      <c r="M25352" s="13"/>
    </row>
    <row r="25353">
      <c r="F25353" s="13"/>
      <c r="M25353" s="13"/>
    </row>
    <row r="25354">
      <c r="F25354" s="13"/>
      <c r="M25354" s="13"/>
    </row>
    <row r="25355">
      <c r="F25355" s="13"/>
      <c r="M25355" s="13"/>
    </row>
    <row r="25356">
      <c r="F25356" s="13"/>
      <c r="M25356" s="13"/>
    </row>
    <row r="25357">
      <c r="F25357" s="13"/>
      <c r="M25357" s="13"/>
    </row>
    <row r="25358">
      <c r="F25358" s="13"/>
      <c r="M25358" s="13"/>
    </row>
    <row r="25359">
      <c r="F25359" s="13"/>
      <c r="M25359" s="13"/>
    </row>
    <row r="25360">
      <c r="F25360" s="13"/>
      <c r="M25360" s="13"/>
    </row>
    <row r="25361">
      <c r="F25361" s="13"/>
      <c r="M25361" s="13"/>
    </row>
    <row r="25362">
      <c r="F25362" s="13"/>
      <c r="M25362" s="13"/>
    </row>
    <row r="25363">
      <c r="F25363" s="13"/>
      <c r="M25363" s="13"/>
    </row>
    <row r="25364">
      <c r="F25364" s="13"/>
      <c r="M25364" s="13"/>
    </row>
    <row r="25365">
      <c r="F25365" s="13"/>
      <c r="M25365" s="13"/>
    </row>
    <row r="25366">
      <c r="F25366" s="13"/>
      <c r="M25366" s="13"/>
    </row>
    <row r="25367">
      <c r="F25367" s="13"/>
      <c r="M25367" s="13"/>
    </row>
    <row r="25368">
      <c r="F25368" s="13"/>
      <c r="M25368" s="13"/>
    </row>
    <row r="25369">
      <c r="F25369" s="13"/>
      <c r="M25369" s="13"/>
    </row>
    <row r="25370">
      <c r="F25370" s="13"/>
      <c r="M25370" s="13"/>
    </row>
    <row r="25371">
      <c r="F25371" s="13"/>
      <c r="M25371" s="13"/>
    </row>
    <row r="25372">
      <c r="F25372" s="13"/>
      <c r="M25372" s="13"/>
    </row>
    <row r="25373">
      <c r="F25373" s="13"/>
      <c r="M25373" s="13"/>
    </row>
    <row r="25374">
      <c r="F25374" s="13"/>
      <c r="M25374" s="13"/>
    </row>
    <row r="25375">
      <c r="F25375" s="13"/>
      <c r="M25375" s="13"/>
    </row>
    <row r="25376">
      <c r="F25376" s="13"/>
      <c r="M25376" s="13"/>
    </row>
    <row r="25377">
      <c r="F25377" s="13"/>
      <c r="M25377" s="13"/>
    </row>
    <row r="25378">
      <c r="F25378" s="13"/>
      <c r="M25378" s="13"/>
    </row>
    <row r="25379">
      <c r="F25379" s="13"/>
      <c r="M25379" s="13"/>
    </row>
    <row r="25380">
      <c r="F25380" s="13"/>
      <c r="M25380" s="13"/>
    </row>
    <row r="25381">
      <c r="F25381" s="13"/>
      <c r="M25381" s="13"/>
    </row>
    <row r="25382">
      <c r="F25382" s="13"/>
      <c r="M25382" s="13"/>
    </row>
    <row r="25383">
      <c r="F25383" s="13"/>
      <c r="M25383" s="13"/>
    </row>
    <row r="25384">
      <c r="F25384" s="13"/>
      <c r="M25384" s="13"/>
    </row>
    <row r="25385">
      <c r="F25385" s="13"/>
      <c r="M25385" s="13"/>
    </row>
    <row r="25386">
      <c r="F25386" s="13"/>
      <c r="M25386" s="13"/>
    </row>
    <row r="25387">
      <c r="F25387" s="13"/>
      <c r="M25387" s="13"/>
    </row>
    <row r="25388">
      <c r="F25388" s="13"/>
      <c r="M25388" s="13"/>
    </row>
    <row r="25389">
      <c r="F25389" s="13"/>
      <c r="M25389" s="13"/>
    </row>
    <row r="25390">
      <c r="F25390" s="13"/>
      <c r="M25390" s="13"/>
    </row>
    <row r="25391">
      <c r="F25391" s="13"/>
      <c r="M25391" s="13"/>
    </row>
    <row r="25392">
      <c r="F25392" s="13"/>
      <c r="M25392" s="13"/>
    </row>
    <row r="25393">
      <c r="F25393" s="13"/>
      <c r="M25393" s="13"/>
    </row>
    <row r="25394">
      <c r="F25394" s="13"/>
      <c r="M25394" s="13"/>
    </row>
    <row r="25395">
      <c r="F25395" s="13"/>
      <c r="M25395" s="13"/>
    </row>
    <row r="25396">
      <c r="F25396" s="13"/>
      <c r="M25396" s="13"/>
    </row>
    <row r="25397">
      <c r="F25397" s="13"/>
      <c r="M25397" s="13"/>
    </row>
    <row r="25398">
      <c r="F25398" s="13"/>
      <c r="M25398" s="13"/>
    </row>
    <row r="25399">
      <c r="F25399" s="13"/>
      <c r="M25399" s="13"/>
    </row>
    <row r="25400">
      <c r="F25400" s="13"/>
      <c r="M25400" s="13"/>
    </row>
    <row r="25401">
      <c r="F25401" s="13"/>
      <c r="M25401" s="13"/>
    </row>
    <row r="25402">
      <c r="F25402" s="13"/>
      <c r="M25402" s="13"/>
    </row>
    <row r="25403">
      <c r="F25403" s="13"/>
      <c r="M25403" s="13"/>
    </row>
    <row r="25404">
      <c r="F25404" s="13"/>
      <c r="M25404" s="13"/>
    </row>
    <row r="25405">
      <c r="F25405" s="13"/>
      <c r="M25405" s="13"/>
    </row>
    <row r="25406">
      <c r="F25406" s="13"/>
      <c r="M25406" s="13"/>
    </row>
    <row r="25407">
      <c r="F25407" s="13"/>
      <c r="M25407" s="13"/>
    </row>
    <row r="25408">
      <c r="F25408" s="13"/>
      <c r="M25408" s="13"/>
    </row>
    <row r="25409">
      <c r="F25409" s="13"/>
      <c r="M25409" s="13"/>
    </row>
    <row r="25410">
      <c r="F25410" s="13"/>
      <c r="M25410" s="13"/>
    </row>
    <row r="25411">
      <c r="F25411" s="13"/>
      <c r="M25411" s="13"/>
    </row>
    <row r="25412">
      <c r="F25412" s="13"/>
      <c r="M25412" s="13"/>
    </row>
    <row r="25413">
      <c r="F25413" s="13"/>
      <c r="M25413" s="13"/>
    </row>
    <row r="25414">
      <c r="F25414" s="13"/>
      <c r="M25414" s="13"/>
    </row>
    <row r="25415">
      <c r="F25415" s="13"/>
      <c r="M25415" s="13"/>
    </row>
    <row r="25416">
      <c r="F25416" s="13"/>
      <c r="M25416" s="13"/>
    </row>
    <row r="25417">
      <c r="F25417" s="13"/>
      <c r="M25417" s="13"/>
    </row>
    <row r="25418">
      <c r="F25418" s="13"/>
      <c r="M25418" s="13"/>
    </row>
    <row r="25419">
      <c r="F25419" s="13"/>
      <c r="M25419" s="13"/>
    </row>
    <row r="25420">
      <c r="F25420" s="13"/>
      <c r="M25420" s="13"/>
    </row>
    <row r="25421">
      <c r="F25421" s="13"/>
      <c r="M25421" s="13"/>
    </row>
    <row r="25422">
      <c r="F25422" s="13"/>
      <c r="M25422" s="13"/>
    </row>
    <row r="25423">
      <c r="F25423" s="13"/>
      <c r="M25423" s="13"/>
    </row>
    <row r="25424">
      <c r="F25424" s="13"/>
      <c r="M25424" s="13"/>
    </row>
    <row r="25425">
      <c r="F25425" s="13"/>
      <c r="M25425" s="13"/>
    </row>
    <row r="25426">
      <c r="F25426" s="13"/>
      <c r="M25426" s="13"/>
    </row>
    <row r="25427">
      <c r="F25427" s="13"/>
      <c r="M25427" s="13"/>
    </row>
    <row r="25428">
      <c r="F25428" s="13"/>
      <c r="M25428" s="13"/>
    </row>
    <row r="25429">
      <c r="F25429" s="13"/>
      <c r="M25429" s="13"/>
    </row>
    <row r="25430">
      <c r="F25430" s="13"/>
      <c r="M25430" s="13"/>
    </row>
    <row r="25431">
      <c r="F25431" s="13"/>
      <c r="M25431" s="13"/>
    </row>
    <row r="25432">
      <c r="F25432" s="13"/>
      <c r="M25432" s="13"/>
    </row>
    <row r="25433">
      <c r="F25433" s="13"/>
      <c r="M25433" s="13"/>
    </row>
    <row r="25434">
      <c r="F25434" s="13"/>
      <c r="M25434" s="13"/>
    </row>
    <row r="25435">
      <c r="F25435" s="13"/>
      <c r="M25435" s="13"/>
    </row>
    <row r="25436">
      <c r="F25436" s="13"/>
      <c r="M25436" s="13"/>
    </row>
    <row r="25437">
      <c r="F25437" s="13"/>
      <c r="M25437" s="13"/>
    </row>
    <row r="25438">
      <c r="F25438" s="13"/>
      <c r="M25438" s="13"/>
    </row>
    <row r="25439">
      <c r="F25439" s="13"/>
      <c r="M25439" s="13"/>
    </row>
    <row r="25440">
      <c r="F25440" s="13"/>
      <c r="M25440" s="13"/>
    </row>
    <row r="25441">
      <c r="F25441" s="13"/>
      <c r="M25441" s="13"/>
    </row>
    <row r="25442">
      <c r="F25442" s="13"/>
      <c r="M25442" s="13"/>
    </row>
    <row r="25443">
      <c r="F25443" s="13"/>
      <c r="M25443" s="13"/>
    </row>
    <row r="25444">
      <c r="F25444" s="13"/>
      <c r="M25444" s="13"/>
    </row>
    <row r="25445">
      <c r="F25445" s="13"/>
      <c r="M25445" s="13"/>
    </row>
    <row r="25446">
      <c r="F25446" s="13"/>
      <c r="M25446" s="13"/>
    </row>
    <row r="25447">
      <c r="F25447" s="13"/>
      <c r="M25447" s="13"/>
    </row>
    <row r="25448">
      <c r="F25448" s="13"/>
      <c r="M25448" s="13"/>
    </row>
    <row r="25449">
      <c r="F25449" s="13"/>
      <c r="M25449" s="13"/>
    </row>
    <row r="25450">
      <c r="F25450" s="13"/>
      <c r="M25450" s="13"/>
    </row>
    <row r="25451">
      <c r="F25451" s="13"/>
      <c r="M25451" s="13"/>
    </row>
    <row r="25452">
      <c r="F25452" s="13"/>
      <c r="M25452" s="13"/>
    </row>
    <row r="25453">
      <c r="F25453" s="13"/>
      <c r="M25453" s="13"/>
    </row>
    <row r="25454">
      <c r="F25454" s="13"/>
      <c r="M25454" s="13"/>
    </row>
    <row r="25455">
      <c r="F25455" s="13"/>
      <c r="M25455" s="13"/>
    </row>
    <row r="25456">
      <c r="F25456" s="13"/>
      <c r="M25456" s="13"/>
    </row>
    <row r="25457">
      <c r="F25457" s="13"/>
      <c r="M25457" s="13"/>
    </row>
    <row r="25458">
      <c r="F25458" s="13"/>
      <c r="M25458" s="13"/>
    </row>
    <row r="25459">
      <c r="F25459" s="13"/>
      <c r="M25459" s="13"/>
    </row>
    <row r="25460">
      <c r="F25460" s="13"/>
      <c r="M25460" s="13"/>
    </row>
    <row r="25461">
      <c r="F25461" s="13"/>
      <c r="M25461" s="13"/>
    </row>
    <row r="25462">
      <c r="F25462" s="13"/>
      <c r="M25462" s="13"/>
    </row>
    <row r="25463">
      <c r="F25463" s="13"/>
      <c r="M25463" s="13"/>
    </row>
    <row r="25464">
      <c r="F25464" s="13"/>
      <c r="M25464" s="13"/>
    </row>
    <row r="25465">
      <c r="F25465" s="13"/>
      <c r="M25465" s="13"/>
    </row>
    <row r="25466">
      <c r="F25466" s="13"/>
      <c r="M25466" s="13"/>
    </row>
    <row r="25467">
      <c r="F25467" s="13"/>
      <c r="M25467" s="13"/>
    </row>
    <row r="25468">
      <c r="F25468" s="13"/>
      <c r="M25468" s="13"/>
    </row>
    <row r="25469">
      <c r="F25469" s="13"/>
      <c r="M25469" s="13"/>
    </row>
    <row r="25470">
      <c r="F25470" s="13"/>
      <c r="M25470" s="13"/>
    </row>
    <row r="25471">
      <c r="F25471" s="13"/>
      <c r="M25471" s="13"/>
    </row>
    <row r="25472">
      <c r="F25472" s="13"/>
      <c r="M25472" s="13"/>
    </row>
    <row r="25473">
      <c r="F25473" s="13"/>
      <c r="M25473" s="13"/>
    </row>
    <row r="25474">
      <c r="F25474" s="13"/>
      <c r="M25474" s="13"/>
    </row>
    <row r="25475">
      <c r="F25475" s="13"/>
      <c r="M25475" s="13"/>
    </row>
    <row r="25476">
      <c r="F25476" s="13"/>
      <c r="M25476" s="13"/>
    </row>
    <row r="25477">
      <c r="F25477" s="13"/>
      <c r="M25477" s="13"/>
    </row>
    <row r="25478">
      <c r="F25478" s="13"/>
      <c r="M25478" s="13"/>
    </row>
    <row r="25479">
      <c r="F25479" s="13"/>
      <c r="M25479" s="13"/>
    </row>
    <row r="25480">
      <c r="F25480" s="13"/>
      <c r="M25480" s="13"/>
    </row>
    <row r="25481">
      <c r="F25481" s="13"/>
      <c r="M25481" s="13"/>
    </row>
    <row r="25482">
      <c r="F25482" s="13"/>
      <c r="M25482" s="13"/>
    </row>
    <row r="25483">
      <c r="F25483" s="13"/>
      <c r="M25483" s="13"/>
    </row>
    <row r="25484">
      <c r="F25484" s="13"/>
      <c r="M25484" s="13"/>
    </row>
    <row r="25485">
      <c r="F25485" s="13"/>
      <c r="M25485" s="13"/>
    </row>
    <row r="25486">
      <c r="F25486" s="13"/>
      <c r="M25486" s="13"/>
    </row>
    <row r="25487">
      <c r="F25487" s="13"/>
      <c r="M25487" s="13"/>
    </row>
    <row r="25488">
      <c r="F25488" s="13"/>
      <c r="M25488" s="13"/>
    </row>
    <row r="25489">
      <c r="F25489" s="13"/>
      <c r="M25489" s="13"/>
    </row>
    <row r="25490">
      <c r="F25490" s="13"/>
      <c r="M25490" s="13"/>
    </row>
    <row r="25491">
      <c r="F25491" s="13"/>
      <c r="M25491" s="13"/>
    </row>
    <row r="25492">
      <c r="F25492" s="13"/>
      <c r="M25492" s="13"/>
    </row>
    <row r="25493">
      <c r="F25493" s="13"/>
      <c r="M25493" s="13"/>
    </row>
    <row r="25494">
      <c r="F25494" s="13"/>
      <c r="M25494" s="13"/>
    </row>
    <row r="25495">
      <c r="F25495" s="13"/>
      <c r="M25495" s="13"/>
    </row>
    <row r="25496">
      <c r="F25496" s="13"/>
      <c r="M25496" s="13"/>
    </row>
    <row r="25497">
      <c r="F25497" s="13"/>
      <c r="M25497" s="13"/>
    </row>
    <row r="25498">
      <c r="F25498" s="13"/>
      <c r="M25498" s="13"/>
    </row>
    <row r="25499">
      <c r="F25499" s="13"/>
      <c r="M25499" s="13"/>
    </row>
    <row r="25500">
      <c r="F25500" s="13"/>
      <c r="M25500" s="13"/>
    </row>
    <row r="25501">
      <c r="F25501" s="13"/>
      <c r="M25501" s="13"/>
    </row>
    <row r="25502">
      <c r="F25502" s="13"/>
      <c r="M25502" s="13"/>
    </row>
    <row r="25503">
      <c r="F25503" s="13"/>
      <c r="M25503" s="13"/>
    </row>
    <row r="25504">
      <c r="F25504" s="13"/>
      <c r="M25504" s="13"/>
    </row>
    <row r="25505">
      <c r="F25505" s="13"/>
      <c r="M25505" s="13"/>
    </row>
    <row r="25506">
      <c r="F25506" s="13"/>
      <c r="M25506" s="13"/>
    </row>
    <row r="25507">
      <c r="F25507" s="13"/>
      <c r="M25507" s="13"/>
    </row>
    <row r="25508">
      <c r="F25508" s="13"/>
      <c r="M25508" s="13"/>
    </row>
    <row r="25509">
      <c r="F25509" s="13"/>
      <c r="M25509" s="13"/>
    </row>
    <row r="25510">
      <c r="F25510" s="13"/>
      <c r="M25510" s="13"/>
    </row>
    <row r="25511">
      <c r="F25511" s="13"/>
      <c r="M25511" s="13"/>
    </row>
    <row r="25512">
      <c r="F25512" s="13"/>
      <c r="M25512" s="13"/>
    </row>
    <row r="25513">
      <c r="F25513" s="13"/>
      <c r="M25513" s="13"/>
    </row>
    <row r="25514">
      <c r="F25514" s="13"/>
      <c r="M25514" s="13"/>
    </row>
    <row r="25515">
      <c r="F25515" s="13"/>
      <c r="M25515" s="13"/>
    </row>
    <row r="25516">
      <c r="F25516" s="13"/>
      <c r="M25516" s="13"/>
    </row>
    <row r="25517">
      <c r="F25517" s="13"/>
      <c r="M25517" s="13"/>
    </row>
    <row r="25518">
      <c r="F25518" s="13"/>
      <c r="M25518" s="13"/>
    </row>
    <row r="25519">
      <c r="F25519" s="13"/>
      <c r="M25519" s="13"/>
    </row>
    <row r="25520">
      <c r="F25520" s="13"/>
      <c r="M25520" s="13"/>
    </row>
    <row r="25521">
      <c r="F25521" s="13"/>
      <c r="M25521" s="13"/>
    </row>
    <row r="25522">
      <c r="F25522" s="13"/>
      <c r="M25522" s="13"/>
    </row>
    <row r="25523">
      <c r="F25523" s="13"/>
      <c r="M25523" s="13"/>
    </row>
    <row r="25524">
      <c r="F25524" s="13"/>
      <c r="M25524" s="13"/>
    </row>
    <row r="25525">
      <c r="F25525" s="13"/>
      <c r="M25525" s="13"/>
    </row>
    <row r="25526">
      <c r="F25526" s="13"/>
      <c r="M25526" s="13"/>
    </row>
    <row r="25527">
      <c r="F25527" s="13"/>
      <c r="M25527" s="13"/>
    </row>
    <row r="25528">
      <c r="F25528" s="13"/>
      <c r="M25528" s="13"/>
    </row>
    <row r="25529">
      <c r="F25529" s="13"/>
      <c r="M25529" s="13"/>
    </row>
    <row r="25530">
      <c r="F25530" s="13"/>
      <c r="M25530" s="13"/>
    </row>
    <row r="25531">
      <c r="F25531" s="13"/>
      <c r="M25531" s="13"/>
    </row>
    <row r="25532">
      <c r="F25532" s="13"/>
      <c r="M25532" s="13"/>
    </row>
    <row r="25533">
      <c r="F25533" s="13"/>
      <c r="M25533" s="13"/>
    </row>
    <row r="25534">
      <c r="F25534" s="13"/>
      <c r="M25534" s="13"/>
    </row>
    <row r="25535">
      <c r="F25535" s="13"/>
      <c r="M25535" s="13"/>
    </row>
    <row r="25536">
      <c r="F25536" s="13"/>
      <c r="M25536" s="13"/>
    </row>
    <row r="25537">
      <c r="F25537" s="13"/>
      <c r="M25537" s="13"/>
    </row>
    <row r="25538">
      <c r="F25538" s="13"/>
      <c r="M25538" s="13"/>
    </row>
    <row r="25539">
      <c r="F25539" s="13"/>
      <c r="M25539" s="13"/>
    </row>
    <row r="25540">
      <c r="F25540" s="13"/>
      <c r="M25540" s="13"/>
    </row>
    <row r="25541">
      <c r="F25541" s="13"/>
      <c r="M25541" s="13"/>
    </row>
    <row r="25542">
      <c r="F25542" s="13"/>
      <c r="M25542" s="13"/>
    </row>
    <row r="25543">
      <c r="F25543" s="13"/>
      <c r="M25543" s="13"/>
    </row>
    <row r="25544">
      <c r="F25544" s="13"/>
      <c r="M25544" s="13"/>
    </row>
    <row r="25545">
      <c r="F25545" s="13"/>
      <c r="M25545" s="13"/>
    </row>
    <row r="25546">
      <c r="F25546" s="13"/>
      <c r="M25546" s="13"/>
    </row>
    <row r="25547">
      <c r="F25547" s="13"/>
      <c r="M25547" s="13"/>
    </row>
    <row r="25548">
      <c r="F25548" s="13"/>
      <c r="M25548" s="13"/>
    </row>
    <row r="25549">
      <c r="F25549" s="13"/>
      <c r="M25549" s="13"/>
    </row>
    <row r="25550">
      <c r="F25550" s="13"/>
      <c r="M25550" s="13"/>
    </row>
    <row r="25551">
      <c r="F25551" s="13"/>
      <c r="M25551" s="13"/>
    </row>
    <row r="25552">
      <c r="F25552" s="13"/>
      <c r="M25552" s="13"/>
    </row>
    <row r="25553">
      <c r="F25553" s="13"/>
      <c r="M25553" s="13"/>
    </row>
    <row r="25554">
      <c r="F25554" s="13"/>
      <c r="M25554" s="13"/>
    </row>
    <row r="25555">
      <c r="F25555" s="13"/>
      <c r="M25555" s="13"/>
    </row>
    <row r="25556">
      <c r="F25556" s="13"/>
      <c r="M25556" s="13"/>
    </row>
    <row r="25557">
      <c r="F25557" s="13"/>
      <c r="M25557" s="13"/>
    </row>
    <row r="25558">
      <c r="F25558" s="13"/>
      <c r="M25558" s="13"/>
    </row>
    <row r="25559">
      <c r="F25559" s="13"/>
      <c r="M25559" s="13"/>
    </row>
    <row r="25560">
      <c r="F25560" s="13"/>
      <c r="M25560" s="13"/>
    </row>
    <row r="25561">
      <c r="F25561" s="13"/>
      <c r="M25561" s="13"/>
    </row>
    <row r="25562">
      <c r="F25562" s="13"/>
      <c r="M25562" s="13"/>
    </row>
    <row r="25563">
      <c r="F25563" s="13"/>
      <c r="M25563" s="13"/>
    </row>
    <row r="25564">
      <c r="F25564" s="13"/>
      <c r="M25564" s="13"/>
    </row>
    <row r="25565">
      <c r="F25565" s="13"/>
      <c r="M25565" s="13"/>
    </row>
    <row r="25566">
      <c r="F25566" s="13"/>
      <c r="M25566" s="13"/>
    </row>
    <row r="25567">
      <c r="F25567" s="13"/>
      <c r="M25567" s="13"/>
    </row>
    <row r="25568">
      <c r="F25568" s="13"/>
      <c r="M25568" s="13"/>
    </row>
    <row r="25569">
      <c r="F25569" s="13"/>
      <c r="M25569" s="13"/>
    </row>
    <row r="25570">
      <c r="F25570" s="13"/>
      <c r="M25570" s="13"/>
    </row>
    <row r="25571">
      <c r="F25571" s="13"/>
      <c r="M25571" s="13"/>
    </row>
    <row r="25572">
      <c r="F25572" s="13"/>
      <c r="M25572" s="13"/>
    </row>
    <row r="25573">
      <c r="F25573" s="13"/>
      <c r="M25573" s="13"/>
    </row>
    <row r="25574">
      <c r="F25574" s="13"/>
      <c r="M25574" s="13"/>
    </row>
    <row r="25575">
      <c r="F25575" s="13"/>
      <c r="M25575" s="13"/>
    </row>
    <row r="25576">
      <c r="F25576" s="13"/>
      <c r="M25576" s="13"/>
    </row>
    <row r="25577">
      <c r="F25577" s="13"/>
      <c r="M25577" s="13"/>
    </row>
    <row r="25578">
      <c r="F25578" s="13"/>
      <c r="M25578" s="13"/>
    </row>
    <row r="25579">
      <c r="F25579" s="13"/>
      <c r="M25579" s="13"/>
    </row>
    <row r="25580">
      <c r="F25580" s="13"/>
      <c r="M25580" s="13"/>
    </row>
    <row r="25581">
      <c r="F25581" s="13"/>
      <c r="M25581" s="13"/>
    </row>
    <row r="25582">
      <c r="F25582" s="13"/>
      <c r="M25582" s="13"/>
    </row>
    <row r="25583">
      <c r="F25583" s="13"/>
      <c r="M25583" s="13"/>
    </row>
    <row r="25584">
      <c r="F25584" s="13"/>
      <c r="M25584" s="13"/>
    </row>
    <row r="25585">
      <c r="F25585" s="13"/>
      <c r="M25585" s="13"/>
    </row>
    <row r="25586">
      <c r="F25586" s="13"/>
      <c r="M25586" s="13"/>
    </row>
    <row r="25587">
      <c r="F25587" s="13"/>
      <c r="M25587" s="13"/>
    </row>
    <row r="25588">
      <c r="F25588" s="13"/>
      <c r="M25588" s="13"/>
    </row>
    <row r="25589">
      <c r="F25589" s="13"/>
      <c r="M25589" s="13"/>
    </row>
    <row r="25590">
      <c r="F25590" s="13"/>
      <c r="M25590" s="13"/>
    </row>
    <row r="25591">
      <c r="F25591" s="13"/>
      <c r="M25591" s="13"/>
    </row>
    <row r="25592">
      <c r="F25592" s="13"/>
      <c r="M25592" s="13"/>
    </row>
    <row r="25593">
      <c r="F25593" s="13"/>
      <c r="M25593" s="13"/>
    </row>
    <row r="25594">
      <c r="F25594" s="13"/>
      <c r="M25594" s="13"/>
    </row>
    <row r="25595">
      <c r="F25595" s="13"/>
      <c r="M25595" s="13"/>
    </row>
    <row r="25596">
      <c r="F25596" s="13"/>
      <c r="M25596" s="13"/>
    </row>
    <row r="25597">
      <c r="F25597" s="13"/>
      <c r="M25597" s="13"/>
    </row>
    <row r="25598">
      <c r="F25598" s="13"/>
      <c r="M25598" s="13"/>
    </row>
    <row r="25599">
      <c r="F25599" s="13"/>
      <c r="M25599" s="13"/>
    </row>
    <row r="25600">
      <c r="F25600" s="13"/>
      <c r="M25600" s="13"/>
    </row>
    <row r="25601">
      <c r="F25601" s="13"/>
      <c r="M25601" s="13"/>
    </row>
    <row r="25602">
      <c r="F25602" s="13"/>
      <c r="M25602" s="13"/>
    </row>
    <row r="25603">
      <c r="F25603" s="13"/>
      <c r="M25603" s="13"/>
    </row>
    <row r="25604">
      <c r="F25604" s="13"/>
      <c r="M25604" s="13"/>
    </row>
    <row r="25605">
      <c r="F25605" s="13"/>
      <c r="M25605" s="13"/>
    </row>
    <row r="25606">
      <c r="F25606" s="13"/>
      <c r="M25606" s="13"/>
    </row>
    <row r="25607">
      <c r="F25607" s="13"/>
      <c r="M25607" s="13"/>
    </row>
    <row r="25608">
      <c r="F25608" s="13"/>
      <c r="M25608" s="13"/>
    </row>
    <row r="25609">
      <c r="F25609" s="13"/>
      <c r="M25609" s="13"/>
    </row>
    <row r="25610">
      <c r="F25610" s="13"/>
      <c r="M25610" s="13"/>
    </row>
    <row r="25611">
      <c r="F25611" s="13"/>
      <c r="M25611" s="13"/>
    </row>
    <row r="25612">
      <c r="F25612" s="13"/>
      <c r="M25612" s="13"/>
    </row>
    <row r="25613">
      <c r="F25613" s="13"/>
      <c r="M25613" s="13"/>
    </row>
    <row r="25614">
      <c r="F25614" s="13"/>
      <c r="M25614" s="13"/>
    </row>
    <row r="25615">
      <c r="F25615" s="13"/>
      <c r="M25615" s="13"/>
    </row>
    <row r="25616">
      <c r="F25616" s="13"/>
      <c r="M25616" s="13"/>
    </row>
    <row r="25617">
      <c r="F25617" s="13"/>
      <c r="M25617" s="13"/>
    </row>
    <row r="25618">
      <c r="F25618" s="13"/>
      <c r="M25618" s="13"/>
    </row>
    <row r="25619">
      <c r="F25619" s="13"/>
      <c r="M25619" s="13"/>
    </row>
    <row r="25620">
      <c r="F25620" s="13"/>
      <c r="M25620" s="13"/>
    </row>
    <row r="25621">
      <c r="F25621" s="13"/>
      <c r="M25621" s="13"/>
    </row>
    <row r="25622">
      <c r="F25622" s="13"/>
      <c r="M25622" s="13"/>
    </row>
    <row r="25623">
      <c r="F25623" s="13"/>
      <c r="M25623" s="13"/>
    </row>
    <row r="25624">
      <c r="F25624" s="13"/>
      <c r="M25624" s="13"/>
    </row>
    <row r="25625">
      <c r="F25625" s="13"/>
      <c r="M25625" s="13"/>
    </row>
    <row r="25626">
      <c r="F25626" s="13"/>
      <c r="M25626" s="13"/>
    </row>
    <row r="25627">
      <c r="F25627" s="13"/>
      <c r="M25627" s="13"/>
    </row>
    <row r="25628">
      <c r="F25628" s="13"/>
      <c r="M25628" s="13"/>
    </row>
    <row r="25629">
      <c r="F25629" s="13"/>
      <c r="M25629" s="13"/>
    </row>
    <row r="25630">
      <c r="F25630" s="13"/>
      <c r="M25630" s="13"/>
    </row>
    <row r="25631">
      <c r="F25631" s="13"/>
      <c r="M25631" s="13"/>
    </row>
    <row r="25632">
      <c r="F25632" s="13"/>
      <c r="M25632" s="13"/>
    </row>
    <row r="25633">
      <c r="F25633" s="13"/>
      <c r="M25633" s="13"/>
    </row>
    <row r="25634">
      <c r="F25634" s="13"/>
      <c r="M25634" s="13"/>
    </row>
    <row r="25635">
      <c r="F25635" s="13"/>
      <c r="M25635" s="13"/>
    </row>
    <row r="25636">
      <c r="F25636" s="13"/>
      <c r="M25636" s="13"/>
    </row>
    <row r="25637">
      <c r="F25637" s="13"/>
      <c r="M25637" s="13"/>
    </row>
    <row r="25638">
      <c r="F25638" s="13"/>
      <c r="M25638" s="13"/>
    </row>
    <row r="25639">
      <c r="F25639" s="13"/>
      <c r="M25639" s="13"/>
    </row>
    <row r="25640">
      <c r="F25640" s="13"/>
      <c r="M25640" s="13"/>
    </row>
    <row r="25641">
      <c r="F25641" s="13"/>
      <c r="M25641" s="13"/>
    </row>
    <row r="25642">
      <c r="F25642" s="13"/>
      <c r="M25642" s="13"/>
    </row>
    <row r="25643">
      <c r="F25643" s="13"/>
      <c r="M25643" s="13"/>
    </row>
    <row r="25644">
      <c r="F25644" s="13"/>
      <c r="M25644" s="13"/>
    </row>
    <row r="25645">
      <c r="F25645" s="13"/>
      <c r="M25645" s="13"/>
    </row>
    <row r="25646">
      <c r="F25646" s="13"/>
      <c r="M25646" s="13"/>
    </row>
    <row r="25647">
      <c r="F25647" s="13"/>
      <c r="M25647" s="13"/>
    </row>
    <row r="25648">
      <c r="F25648" s="13"/>
      <c r="M25648" s="13"/>
    </row>
    <row r="25649">
      <c r="F25649" s="13"/>
      <c r="M25649" s="13"/>
    </row>
    <row r="25650">
      <c r="F25650" s="13"/>
      <c r="M25650" s="13"/>
    </row>
    <row r="25651">
      <c r="F25651" s="13"/>
      <c r="M25651" s="13"/>
    </row>
    <row r="25652">
      <c r="F25652" s="13"/>
      <c r="M25652" s="13"/>
    </row>
    <row r="25653">
      <c r="F25653" s="13"/>
      <c r="M25653" s="13"/>
    </row>
    <row r="25654">
      <c r="F25654" s="13"/>
      <c r="M25654" s="13"/>
    </row>
    <row r="25655">
      <c r="F25655" s="13"/>
      <c r="M25655" s="13"/>
    </row>
    <row r="25656">
      <c r="F25656" s="13"/>
      <c r="M25656" s="13"/>
    </row>
    <row r="25657">
      <c r="F25657" s="13"/>
      <c r="M25657" s="13"/>
    </row>
    <row r="25658">
      <c r="F25658" s="13"/>
      <c r="M25658" s="13"/>
    </row>
    <row r="25659">
      <c r="F25659" s="13"/>
      <c r="M25659" s="13"/>
    </row>
    <row r="25660">
      <c r="F25660" s="13"/>
      <c r="M25660" s="13"/>
    </row>
    <row r="25661">
      <c r="F25661" s="13"/>
      <c r="M25661" s="13"/>
    </row>
    <row r="25662">
      <c r="F25662" s="13"/>
      <c r="M25662" s="13"/>
    </row>
    <row r="25663">
      <c r="F25663" s="13"/>
      <c r="M25663" s="13"/>
    </row>
    <row r="25664">
      <c r="F25664" s="13"/>
      <c r="M25664" s="13"/>
    </row>
    <row r="25665">
      <c r="F25665" s="13"/>
      <c r="M25665" s="13"/>
    </row>
    <row r="25666">
      <c r="F25666" s="13"/>
      <c r="M25666" s="13"/>
    </row>
    <row r="25667">
      <c r="F25667" s="13"/>
      <c r="M25667" s="13"/>
    </row>
    <row r="25668">
      <c r="F25668" s="13"/>
      <c r="M25668" s="13"/>
    </row>
    <row r="25669">
      <c r="F25669" s="13"/>
      <c r="M25669" s="13"/>
    </row>
    <row r="25670">
      <c r="F25670" s="13"/>
      <c r="M25670" s="13"/>
    </row>
    <row r="25671">
      <c r="F25671" s="13"/>
      <c r="M25671" s="13"/>
    </row>
    <row r="25672">
      <c r="F25672" s="13"/>
      <c r="M25672" s="13"/>
    </row>
    <row r="25673">
      <c r="F25673" s="13"/>
      <c r="M25673" s="13"/>
    </row>
    <row r="25674">
      <c r="F25674" s="13"/>
      <c r="M25674" s="13"/>
    </row>
    <row r="25675">
      <c r="F25675" s="13"/>
      <c r="M25675" s="13"/>
    </row>
    <row r="25676">
      <c r="F25676" s="13"/>
      <c r="M25676" s="13"/>
    </row>
    <row r="25677">
      <c r="F25677" s="13"/>
      <c r="M25677" s="13"/>
    </row>
    <row r="25678">
      <c r="F25678" s="13"/>
      <c r="M25678" s="13"/>
    </row>
    <row r="25679">
      <c r="F25679" s="13"/>
      <c r="M25679" s="13"/>
    </row>
    <row r="25680">
      <c r="F25680" s="13"/>
      <c r="M25680" s="13"/>
    </row>
    <row r="25681">
      <c r="F25681" s="13"/>
      <c r="M25681" s="13"/>
    </row>
    <row r="25682">
      <c r="F25682" s="13"/>
      <c r="M25682" s="13"/>
    </row>
    <row r="25683">
      <c r="F25683" s="13"/>
      <c r="M25683" s="13"/>
    </row>
    <row r="25684">
      <c r="F25684" s="13"/>
      <c r="M25684" s="13"/>
    </row>
    <row r="25685">
      <c r="F25685" s="13"/>
      <c r="M25685" s="13"/>
    </row>
    <row r="25686">
      <c r="F25686" s="13"/>
      <c r="M25686" s="13"/>
    </row>
    <row r="25687">
      <c r="F25687" s="13"/>
      <c r="M25687" s="13"/>
    </row>
    <row r="25688">
      <c r="F25688" s="13"/>
      <c r="M25688" s="13"/>
    </row>
    <row r="25689">
      <c r="F25689" s="13"/>
      <c r="M25689" s="13"/>
    </row>
    <row r="25690">
      <c r="F25690" s="13"/>
      <c r="M25690" s="13"/>
    </row>
    <row r="25691">
      <c r="F25691" s="13"/>
      <c r="M25691" s="13"/>
    </row>
    <row r="25692">
      <c r="F25692" s="13"/>
      <c r="M25692" s="13"/>
    </row>
    <row r="25693">
      <c r="F25693" s="13"/>
      <c r="M25693" s="13"/>
    </row>
    <row r="25694">
      <c r="F25694" s="13"/>
      <c r="M25694" s="13"/>
    </row>
    <row r="25695">
      <c r="F25695" s="13"/>
      <c r="M25695" s="13"/>
    </row>
    <row r="25696">
      <c r="F25696" s="13"/>
      <c r="M25696" s="13"/>
    </row>
    <row r="25697">
      <c r="F25697" s="13"/>
      <c r="M25697" s="13"/>
    </row>
    <row r="25698">
      <c r="F25698" s="13"/>
      <c r="M25698" s="13"/>
    </row>
    <row r="25699">
      <c r="F25699" s="13"/>
      <c r="M25699" s="13"/>
    </row>
    <row r="25700">
      <c r="F25700" s="13"/>
      <c r="M25700" s="13"/>
    </row>
    <row r="25701">
      <c r="F25701" s="13"/>
      <c r="M25701" s="13"/>
    </row>
    <row r="25702">
      <c r="F25702" s="13"/>
      <c r="M25702" s="13"/>
    </row>
    <row r="25703">
      <c r="F25703" s="13"/>
      <c r="M25703" s="13"/>
    </row>
    <row r="25704">
      <c r="F25704" s="13"/>
      <c r="M25704" s="13"/>
    </row>
    <row r="25705">
      <c r="F25705" s="13"/>
      <c r="M25705" s="13"/>
    </row>
    <row r="25706">
      <c r="F25706" s="13"/>
      <c r="M25706" s="13"/>
    </row>
    <row r="25707">
      <c r="F25707" s="13"/>
      <c r="M25707" s="13"/>
    </row>
    <row r="25708">
      <c r="F25708" s="13"/>
      <c r="M25708" s="13"/>
    </row>
    <row r="25709">
      <c r="F25709" s="13"/>
      <c r="M25709" s="13"/>
    </row>
    <row r="25710">
      <c r="F25710" s="13"/>
      <c r="M25710" s="13"/>
    </row>
    <row r="25711">
      <c r="F25711" s="13"/>
      <c r="M25711" s="13"/>
    </row>
    <row r="25712">
      <c r="F25712" s="13"/>
      <c r="M25712" s="13"/>
    </row>
    <row r="25713">
      <c r="F25713" s="13"/>
      <c r="M25713" s="13"/>
    </row>
    <row r="25714">
      <c r="F25714" s="13"/>
      <c r="M25714" s="13"/>
    </row>
    <row r="25715">
      <c r="F25715" s="13"/>
      <c r="M25715" s="13"/>
    </row>
    <row r="25716">
      <c r="F25716" s="13"/>
      <c r="M25716" s="13"/>
    </row>
    <row r="25717">
      <c r="F25717" s="13"/>
      <c r="M25717" s="13"/>
    </row>
    <row r="25718">
      <c r="F25718" s="13"/>
      <c r="M25718" s="13"/>
    </row>
    <row r="25719">
      <c r="F25719" s="13"/>
      <c r="M25719" s="13"/>
    </row>
    <row r="25720">
      <c r="F25720" s="13"/>
      <c r="M25720" s="13"/>
    </row>
    <row r="25721">
      <c r="F25721" s="13"/>
      <c r="M25721" s="13"/>
    </row>
    <row r="25722">
      <c r="F25722" s="13"/>
      <c r="M25722" s="13"/>
    </row>
    <row r="25723">
      <c r="F25723" s="13"/>
      <c r="M25723" s="13"/>
    </row>
    <row r="25724">
      <c r="F25724" s="13"/>
      <c r="M25724" s="13"/>
    </row>
    <row r="25725">
      <c r="F25725" s="13"/>
      <c r="M25725" s="13"/>
    </row>
    <row r="25726">
      <c r="F25726" s="13"/>
      <c r="M25726" s="13"/>
    </row>
    <row r="25727">
      <c r="F25727" s="13"/>
      <c r="M25727" s="13"/>
    </row>
    <row r="25728">
      <c r="F25728" s="13"/>
      <c r="M25728" s="13"/>
    </row>
    <row r="25729">
      <c r="F25729" s="13"/>
      <c r="M25729" s="13"/>
    </row>
    <row r="25730">
      <c r="F25730" s="13"/>
      <c r="M25730" s="13"/>
    </row>
    <row r="25731">
      <c r="F25731" s="13"/>
      <c r="M25731" s="13"/>
    </row>
    <row r="25732">
      <c r="F25732" s="13"/>
      <c r="M25732" s="13"/>
    </row>
    <row r="25733">
      <c r="F25733" s="13"/>
      <c r="M25733" s="13"/>
    </row>
    <row r="25734">
      <c r="F25734" s="13"/>
      <c r="M25734" s="13"/>
    </row>
    <row r="25735">
      <c r="F25735" s="13"/>
      <c r="M25735" s="13"/>
    </row>
    <row r="25736">
      <c r="F25736" s="13"/>
      <c r="M25736" s="13"/>
    </row>
    <row r="25737">
      <c r="F25737" s="13"/>
      <c r="M25737" s="13"/>
    </row>
    <row r="25738">
      <c r="F25738" s="13"/>
      <c r="M25738" s="13"/>
    </row>
    <row r="25739">
      <c r="F25739" s="13"/>
      <c r="M25739" s="13"/>
    </row>
    <row r="25740">
      <c r="F25740" s="13"/>
      <c r="M25740" s="13"/>
    </row>
    <row r="25741">
      <c r="F25741" s="13"/>
      <c r="M25741" s="13"/>
    </row>
    <row r="25742">
      <c r="F25742" s="13"/>
      <c r="M25742" s="13"/>
    </row>
    <row r="25743">
      <c r="F25743" s="13"/>
      <c r="M25743" s="13"/>
    </row>
    <row r="25744">
      <c r="F25744" s="13"/>
      <c r="M25744" s="13"/>
    </row>
    <row r="25745">
      <c r="F25745" s="13"/>
      <c r="M25745" s="13"/>
    </row>
    <row r="25746">
      <c r="F25746" s="13"/>
      <c r="M25746" s="13"/>
    </row>
    <row r="25747">
      <c r="F25747" s="13"/>
      <c r="M25747" s="13"/>
    </row>
    <row r="25748">
      <c r="F25748" s="13"/>
      <c r="M25748" s="13"/>
    </row>
    <row r="25749">
      <c r="F25749" s="13"/>
      <c r="M25749" s="13"/>
    </row>
    <row r="25750">
      <c r="F25750" s="13"/>
      <c r="M25750" s="13"/>
    </row>
    <row r="25751">
      <c r="F25751" s="13"/>
      <c r="M25751" s="13"/>
    </row>
    <row r="25752">
      <c r="F25752" s="13"/>
      <c r="M25752" s="13"/>
    </row>
    <row r="25753">
      <c r="F25753" s="13"/>
      <c r="M25753" s="13"/>
    </row>
    <row r="25754">
      <c r="F25754" s="13"/>
      <c r="M25754" s="13"/>
    </row>
    <row r="25755">
      <c r="F25755" s="13"/>
      <c r="M25755" s="13"/>
    </row>
    <row r="25756">
      <c r="F25756" s="13"/>
      <c r="M25756" s="13"/>
    </row>
    <row r="25757">
      <c r="F25757" s="13"/>
      <c r="M25757" s="13"/>
    </row>
    <row r="25758">
      <c r="F25758" s="13"/>
      <c r="M25758" s="13"/>
    </row>
    <row r="25759">
      <c r="F25759" s="13"/>
      <c r="M25759" s="13"/>
    </row>
    <row r="25760">
      <c r="F25760" s="13"/>
      <c r="M25760" s="13"/>
    </row>
    <row r="25761">
      <c r="F25761" s="13"/>
      <c r="M25761" s="13"/>
    </row>
    <row r="25762">
      <c r="F25762" s="13"/>
      <c r="M25762" s="13"/>
    </row>
    <row r="25763">
      <c r="F25763" s="13"/>
      <c r="M25763" s="13"/>
    </row>
    <row r="25764">
      <c r="F25764" s="13"/>
      <c r="M25764" s="13"/>
    </row>
    <row r="25765">
      <c r="F25765" s="13"/>
      <c r="M25765" s="13"/>
    </row>
    <row r="25766">
      <c r="F25766" s="13"/>
      <c r="M25766" s="13"/>
    </row>
    <row r="25767">
      <c r="F25767" s="13"/>
      <c r="M25767" s="13"/>
    </row>
    <row r="25768">
      <c r="F25768" s="13"/>
      <c r="M25768" s="13"/>
    </row>
    <row r="25769">
      <c r="F25769" s="13"/>
      <c r="M25769" s="13"/>
    </row>
    <row r="25770">
      <c r="F25770" s="13"/>
      <c r="M25770" s="13"/>
    </row>
    <row r="25771">
      <c r="F25771" s="13"/>
      <c r="M25771" s="13"/>
    </row>
    <row r="25772">
      <c r="F25772" s="13"/>
      <c r="M25772" s="13"/>
    </row>
    <row r="25773">
      <c r="F25773" s="13"/>
      <c r="M25773" s="13"/>
    </row>
    <row r="25774">
      <c r="F25774" s="13"/>
      <c r="M25774" s="13"/>
    </row>
    <row r="25775">
      <c r="F25775" s="13"/>
      <c r="M25775" s="13"/>
    </row>
    <row r="25776">
      <c r="F25776" s="13"/>
      <c r="M25776" s="13"/>
    </row>
    <row r="25777">
      <c r="F25777" s="13"/>
      <c r="M25777" s="13"/>
    </row>
    <row r="25778">
      <c r="F25778" s="13"/>
      <c r="M25778" s="13"/>
    </row>
    <row r="25779">
      <c r="F25779" s="13"/>
      <c r="M25779" s="13"/>
    </row>
    <row r="25780">
      <c r="F25780" s="13"/>
      <c r="M25780" s="13"/>
    </row>
    <row r="25781">
      <c r="F25781" s="13"/>
      <c r="M25781" s="13"/>
    </row>
    <row r="25782">
      <c r="F25782" s="13"/>
      <c r="M25782" s="13"/>
    </row>
    <row r="25783">
      <c r="F25783" s="13"/>
      <c r="M25783" s="13"/>
    </row>
    <row r="25784">
      <c r="F25784" s="13"/>
      <c r="M25784" s="13"/>
    </row>
    <row r="25785">
      <c r="F25785" s="13"/>
      <c r="M25785" s="13"/>
    </row>
    <row r="25786">
      <c r="F25786" s="13"/>
      <c r="M25786" s="13"/>
    </row>
    <row r="25787">
      <c r="F25787" s="13"/>
      <c r="M25787" s="13"/>
    </row>
    <row r="25788">
      <c r="F25788" s="13"/>
      <c r="M25788" s="13"/>
    </row>
    <row r="25789">
      <c r="F25789" s="13"/>
      <c r="M25789" s="13"/>
    </row>
    <row r="25790">
      <c r="F25790" s="13"/>
      <c r="M25790" s="13"/>
    </row>
    <row r="25791">
      <c r="F25791" s="13"/>
      <c r="M25791" s="13"/>
    </row>
    <row r="25792">
      <c r="F25792" s="13"/>
      <c r="M25792" s="13"/>
    </row>
    <row r="25793">
      <c r="F25793" s="13"/>
      <c r="M25793" s="13"/>
    </row>
    <row r="25794">
      <c r="F25794" s="13"/>
      <c r="M25794" s="13"/>
    </row>
    <row r="25795">
      <c r="F25795" s="13"/>
      <c r="M25795" s="13"/>
    </row>
    <row r="25796">
      <c r="F25796" s="13"/>
      <c r="M25796" s="13"/>
    </row>
    <row r="25797">
      <c r="F25797" s="13"/>
      <c r="M25797" s="13"/>
    </row>
    <row r="25798">
      <c r="F25798" s="13"/>
      <c r="M25798" s="13"/>
    </row>
    <row r="25799">
      <c r="F25799" s="13"/>
      <c r="M25799" s="13"/>
    </row>
    <row r="25800">
      <c r="F25800" s="13"/>
      <c r="M25800" s="13"/>
    </row>
    <row r="25801">
      <c r="F25801" s="13"/>
      <c r="M25801" s="13"/>
    </row>
    <row r="25802">
      <c r="F25802" s="13"/>
      <c r="M25802" s="13"/>
    </row>
    <row r="25803">
      <c r="F25803" s="13"/>
      <c r="M25803" s="13"/>
    </row>
    <row r="25804">
      <c r="F25804" s="13"/>
      <c r="M25804" s="13"/>
    </row>
    <row r="25805">
      <c r="F25805" s="13"/>
      <c r="M25805" s="13"/>
    </row>
    <row r="25806">
      <c r="F25806" s="13"/>
      <c r="M25806" s="13"/>
    </row>
    <row r="25807">
      <c r="F25807" s="13"/>
      <c r="M25807" s="13"/>
    </row>
    <row r="25808">
      <c r="F25808" s="13"/>
      <c r="M25808" s="13"/>
    </row>
    <row r="25809">
      <c r="F25809" s="13"/>
      <c r="M25809" s="13"/>
    </row>
    <row r="25810">
      <c r="F25810" s="13"/>
      <c r="M25810" s="13"/>
    </row>
    <row r="25811">
      <c r="F25811" s="13"/>
      <c r="M25811" s="13"/>
    </row>
    <row r="25812">
      <c r="F25812" s="13"/>
      <c r="M25812" s="13"/>
    </row>
    <row r="25813">
      <c r="F25813" s="13"/>
      <c r="M25813" s="13"/>
    </row>
    <row r="25814">
      <c r="F25814" s="13"/>
      <c r="M25814" s="13"/>
    </row>
    <row r="25815">
      <c r="F25815" s="13"/>
      <c r="M25815" s="13"/>
    </row>
    <row r="25816">
      <c r="F25816" s="13"/>
      <c r="M25816" s="13"/>
    </row>
    <row r="25817">
      <c r="F25817" s="13"/>
      <c r="M25817" s="13"/>
    </row>
    <row r="25818">
      <c r="F25818" s="13"/>
      <c r="M25818" s="13"/>
    </row>
    <row r="25819">
      <c r="F25819" s="13"/>
      <c r="M25819" s="13"/>
    </row>
    <row r="25820">
      <c r="F25820" s="13"/>
      <c r="M25820" s="13"/>
    </row>
    <row r="25821">
      <c r="F25821" s="13"/>
      <c r="M25821" s="13"/>
    </row>
    <row r="25822">
      <c r="F25822" s="13"/>
      <c r="M25822" s="13"/>
    </row>
    <row r="25823">
      <c r="F25823" s="13"/>
      <c r="M25823" s="13"/>
    </row>
    <row r="25824">
      <c r="F25824" s="13"/>
      <c r="M25824" s="13"/>
    </row>
    <row r="25825">
      <c r="F25825" s="13"/>
      <c r="M25825" s="13"/>
    </row>
    <row r="25826">
      <c r="F25826" s="13"/>
      <c r="M25826" s="13"/>
    </row>
    <row r="25827">
      <c r="F25827" s="13"/>
      <c r="M25827" s="13"/>
    </row>
    <row r="25828">
      <c r="F25828" s="13"/>
      <c r="M25828" s="13"/>
    </row>
    <row r="25829">
      <c r="F25829" s="13"/>
      <c r="M25829" s="13"/>
    </row>
    <row r="25830">
      <c r="F25830" s="13"/>
      <c r="M25830" s="13"/>
    </row>
    <row r="25831">
      <c r="F25831" s="13"/>
      <c r="M25831" s="13"/>
    </row>
    <row r="25832">
      <c r="F25832" s="13"/>
      <c r="M25832" s="13"/>
    </row>
    <row r="25833">
      <c r="F25833" s="13"/>
      <c r="M25833" s="13"/>
    </row>
    <row r="25834">
      <c r="F25834" s="13"/>
      <c r="M25834" s="13"/>
    </row>
    <row r="25835">
      <c r="F25835" s="13"/>
      <c r="M25835" s="13"/>
    </row>
    <row r="25836">
      <c r="F25836" s="13"/>
      <c r="M25836" s="13"/>
    </row>
    <row r="25837">
      <c r="F25837" s="13"/>
      <c r="M25837" s="13"/>
    </row>
    <row r="25838">
      <c r="F25838" s="13"/>
      <c r="M25838" s="13"/>
    </row>
    <row r="25839">
      <c r="F25839" s="13"/>
      <c r="M25839" s="13"/>
    </row>
    <row r="25840">
      <c r="F25840" s="13"/>
      <c r="M25840" s="13"/>
    </row>
    <row r="25841">
      <c r="F25841" s="13"/>
      <c r="M25841" s="13"/>
    </row>
    <row r="25842">
      <c r="F25842" s="13"/>
      <c r="M25842" s="13"/>
    </row>
    <row r="25843">
      <c r="F25843" s="13"/>
      <c r="M25843" s="13"/>
    </row>
    <row r="25844">
      <c r="F25844" s="13"/>
      <c r="M25844" s="13"/>
    </row>
    <row r="25845">
      <c r="F25845" s="13"/>
      <c r="M25845" s="13"/>
    </row>
    <row r="25846">
      <c r="F25846" s="13"/>
      <c r="M25846" s="13"/>
    </row>
    <row r="25847">
      <c r="F25847" s="13"/>
      <c r="M25847" s="13"/>
    </row>
    <row r="25848">
      <c r="F25848" s="13"/>
      <c r="M25848" s="13"/>
    </row>
    <row r="25849">
      <c r="F25849" s="13"/>
      <c r="M25849" s="13"/>
    </row>
    <row r="25850">
      <c r="F25850" s="13"/>
      <c r="M25850" s="13"/>
    </row>
    <row r="25851">
      <c r="F25851" s="13"/>
      <c r="M25851" s="13"/>
    </row>
    <row r="25852">
      <c r="F25852" s="13"/>
      <c r="M25852" s="13"/>
    </row>
    <row r="25853">
      <c r="F25853" s="13"/>
      <c r="M25853" s="13"/>
    </row>
    <row r="25854">
      <c r="F25854" s="13"/>
      <c r="M25854" s="13"/>
    </row>
    <row r="25855">
      <c r="F25855" s="13"/>
      <c r="M25855" s="13"/>
    </row>
    <row r="25856">
      <c r="F25856" s="13"/>
      <c r="M25856" s="13"/>
    </row>
    <row r="25857">
      <c r="F25857" s="13"/>
      <c r="M25857" s="13"/>
    </row>
    <row r="25858">
      <c r="F25858" s="13"/>
      <c r="M25858" s="13"/>
    </row>
    <row r="25859">
      <c r="F25859" s="13"/>
      <c r="M25859" s="13"/>
    </row>
    <row r="25860">
      <c r="F25860" s="13"/>
      <c r="M25860" s="13"/>
    </row>
    <row r="25861">
      <c r="F25861" s="13"/>
      <c r="M25861" s="13"/>
    </row>
    <row r="25862">
      <c r="F25862" s="13"/>
      <c r="M25862" s="13"/>
    </row>
    <row r="25863">
      <c r="F25863" s="13"/>
      <c r="M25863" s="13"/>
    </row>
    <row r="25864">
      <c r="F25864" s="13"/>
      <c r="M25864" s="13"/>
    </row>
    <row r="25865">
      <c r="F25865" s="13"/>
      <c r="M25865" s="13"/>
    </row>
    <row r="25866">
      <c r="F25866" s="13"/>
      <c r="M25866" s="13"/>
    </row>
    <row r="25867">
      <c r="F25867" s="13"/>
      <c r="M25867" s="13"/>
    </row>
    <row r="25868">
      <c r="F25868" s="13"/>
      <c r="M25868" s="13"/>
    </row>
    <row r="25869">
      <c r="F25869" s="13"/>
      <c r="M25869" s="13"/>
    </row>
    <row r="25870">
      <c r="F25870" s="13"/>
      <c r="M25870" s="13"/>
    </row>
    <row r="25871">
      <c r="F25871" s="13"/>
      <c r="M25871" s="13"/>
    </row>
    <row r="25872">
      <c r="F25872" s="13"/>
      <c r="M25872" s="13"/>
    </row>
    <row r="25873">
      <c r="F25873" s="13"/>
      <c r="M25873" s="13"/>
    </row>
    <row r="25874">
      <c r="F25874" s="13"/>
      <c r="M25874" s="13"/>
    </row>
    <row r="25875">
      <c r="F25875" s="13"/>
      <c r="M25875" s="13"/>
    </row>
    <row r="25876">
      <c r="F25876" s="13"/>
      <c r="M25876" s="13"/>
    </row>
    <row r="25877">
      <c r="F25877" s="13"/>
      <c r="M25877" s="13"/>
    </row>
    <row r="25878">
      <c r="F25878" s="13"/>
      <c r="M25878" s="13"/>
    </row>
    <row r="25879">
      <c r="F25879" s="13"/>
      <c r="M25879" s="13"/>
    </row>
    <row r="25880">
      <c r="F25880" s="13"/>
      <c r="M25880" s="13"/>
    </row>
    <row r="25881">
      <c r="F25881" s="13"/>
      <c r="M25881" s="13"/>
    </row>
    <row r="25882">
      <c r="F25882" s="13"/>
      <c r="M25882" s="13"/>
    </row>
    <row r="25883">
      <c r="F25883" s="13"/>
      <c r="M25883" s="13"/>
    </row>
    <row r="25884">
      <c r="F25884" s="13"/>
      <c r="M25884" s="13"/>
    </row>
    <row r="25885">
      <c r="F25885" s="13"/>
      <c r="M25885" s="13"/>
    </row>
    <row r="25886">
      <c r="F25886" s="13"/>
      <c r="M25886" s="13"/>
    </row>
    <row r="25887">
      <c r="F25887" s="13"/>
      <c r="M25887" s="13"/>
    </row>
    <row r="25888">
      <c r="F25888" s="13"/>
      <c r="M25888" s="13"/>
    </row>
    <row r="25889">
      <c r="F25889" s="13"/>
      <c r="M25889" s="13"/>
    </row>
    <row r="25890">
      <c r="F25890" s="13"/>
      <c r="M25890" s="13"/>
    </row>
    <row r="25891">
      <c r="F25891" s="13"/>
      <c r="M25891" s="13"/>
    </row>
    <row r="25892">
      <c r="F25892" s="13"/>
      <c r="M25892" s="13"/>
    </row>
    <row r="25893">
      <c r="F25893" s="13"/>
      <c r="M25893" s="13"/>
    </row>
    <row r="25894">
      <c r="F25894" s="13"/>
      <c r="M25894" s="13"/>
    </row>
    <row r="25895">
      <c r="F25895" s="13"/>
      <c r="M25895" s="13"/>
    </row>
    <row r="25896">
      <c r="F25896" s="13"/>
      <c r="M25896" s="13"/>
    </row>
    <row r="25897">
      <c r="F25897" s="13"/>
      <c r="M25897" s="13"/>
    </row>
    <row r="25898">
      <c r="F25898" s="13"/>
      <c r="M25898" s="13"/>
    </row>
    <row r="25899">
      <c r="F25899" s="13"/>
      <c r="M25899" s="13"/>
    </row>
    <row r="25900">
      <c r="F25900" s="13"/>
      <c r="M25900" s="13"/>
    </row>
    <row r="25901">
      <c r="F25901" s="13"/>
      <c r="M25901" s="13"/>
    </row>
    <row r="25902">
      <c r="F25902" s="13"/>
      <c r="M25902" s="13"/>
    </row>
    <row r="25903">
      <c r="F25903" s="13"/>
      <c r="M25903" s="13"/>
    </row>
    <row r="25904">
      <c r="F25904" s="13"/>
      <c r="M25904" s="13"/>
    </row>
    <row r="25905">
      <c r="F25905" s="13"/>
      <c r="M25905" s="13"/>
    </row>
    <row r="25906">
      <c r="F25906" s="13"/>
      <c r="M25906" s="13"/>
    </row>
    <row r="25907">
      <c r="F25907" s="13"/>
      <c r="M25907" s="13"/>
    </row>
    <row r="25908">
      <c r="F25908" s="13"/>
      <c r="M25908" s="13"/>
    </row>
    <row r="25909">
      <c r="F25909" s="13"/>
      <c r="M25909" s="13"/>
    </row>
    <row r="25910">
      <c r="F25910" s="13"/>
      <c r="M25910" s="13"/>
    </row>
    <row r="25911">
      <c r="F25911" s="13"/>
      <c r="M25911" s="13"/>
    </row>
    <row r="25912">
      <c r="F25912" s="13"/>
      <c r="M25912" s="13"/>
    </row>
    <row r="25913">
      <c r="F25913" s="13"/>
      <c r="M25913" s="13"/>
    </row>
    <row r="25914">
      <c r="F25914" s="13"/>
      <c r="M25914" s="13"/>
    </row>
    <row r="25915">
      <c r="F25915" s="13"/>
      <c r="M25915" s="13"/>
    </row>
    <row r="25916">
      <c r="F25916" s="13"/>
      <c r="M25916" s="13"/>
    </row>
    <row r="25917">
      <c r="F25917" s="13"/>
      <c r="M25917" s="13"/>
    </row>
    <row r="25918">
      <c r="F25918" s="13"/>
      <c r="M25918" s="13"/>
    </row>
    <row r="25919">
      <c r="F25919" s="13"/>
      <c r="M25919" s="13"/>
    </row>
    <row r="25920">
      <c r="F25920" s="13"/>
      <c r="M25920" s="13"/>
    </row>
    <row r="25921">
      <c r="F25921" s="13"/>
      <c r="M25921" s="13"/>
    </row>
    <row r="25922">
      <c r="F25922" s="13"/>
      <c r="M25922" s="13"/>
    </row>
    <row r="25923">
      <c r="F25923" s="13"/>
      <c r="M25923" s="13"/>
    </row>
    <row r="25924">
      <c r="F25924" s="13"/>
      <c r="M25924" s="13"/>
    </row>
    <row r="25925">
      <c r="F25925" s="13"/>
      <c r="M25925" s="13"/>
    </row>
    <row r="25926">
      <c r="F25926" s="13"/>
      <c r="M25926" s="13"/>
    </row>
    <row r="25927">
      <c r="F25927" s="13"/>
      <c r="M25927" s="13"/>
    </row>
    <row r="25928">
      <c r="F25928" s="13"/>
      <c r="M25928" s="13"/>
    </row>
    <row r="25929">
      <c r="F25929" s="13"/>
      <c r="M25929" s="13"/>
    </row>
    <row r="25930">
      <c r="F25930" s="13"/>
      <c r="M25930" s="13"/>
    </row>
    <row r="25931">
      <c r="F25931" s="13"/>
      <c r="M25931" s="13"/>
    </row>
    <row r="25932">
      <c r="F25932" s="13"/>
      <c r="M25932" s="13"/>
    </row>
    <row r="25933">
      <c r="F25933" s="13"/>
      <c r="M25933" s="13"/>
    </row>
    <row r="25934">
      <c r="F25934" s="13"/>
      <c r="M25934" s="13"/>
    </row>
    <row r="25935">
      <c r="F25935" s="13"/>
      <c r="M25935" s="13"/>
    </row>
    <row r="25936">
      <c r="F25936" s="13"/>
      <c r="M25936" s="13"/>
    </row>
    <row r="25937">
      <c r="F25937" s="13"/>
      <c r="M25937" s="13"/>
    </row>
    <row r="25938">
      <c r="F25938" s="13"/>
      <c r="M25938" s="13"/>
    </row>
    <row r="25939">
      <c r="F25939" s="13"/>
      <c r="M25939" s="13"/>
    </row>
    <row r="25940">
      <c r="F25940" s="13"/>
      <c r="M25940" s="13"/>
    </row>
    <row r="25941">
      <c r="F25941" s="13"/>
      <c r="M25941" s="13"/>
    </row>
    <row r="25942">
      <c r="F25942" s="13"/>
      <c r="M25942" s="13"/>
    </row>
    <row r="25943">
      <c r="F25943" s="13"/>
      <c r="M25943" s="13"/>
    </row>
    <row r="25944">
      <c r="F25944" s="13"/>
      <c r="M25944" s="13"/>
    </row>
    <row r="25945">
      <c r="F25945" s="13"/>
      <c r="M25945" s="13"/>
    </row>
    <row r="25946">
      <c r="F25946" s="13"/>
      <c r="M25946" s="13"/>
    </row>
    <row r="25947">
      <c r="F25947" s="13"/>
      <c r="M25947" s="13"/>
    </row>
    <row r="25948">
      <c r="F25948" s="13"/>
      <c r="M25948" s="13"/>
    </row>
    <row r="25949">
      <c r="F25949" s="13"/>
      <c r="M25949" s="13"/>
    </row>
    <row r="25950">
      <c r="F25950" s="13"/>
      <c r="M25950" s="13"/>
    </row>
    <row r="25951">
      <c r="F25951" s="13"/>
      <c r="M25951" s="13"/>
    </row>
    <row r="25952">
      <c r="F25952" s="13"/>
      <c r="M25952" s="13"/>
    </row>
    <row r="25953">
      <c r="F25953" s="13"/>
      <c r="M25953" s="13"/>
    </row>
    <row r="25954">
      <c r="F25954" s="13"/>
      <c r="M25954" s="13"/>
    </row>
    <row r="25955">
      <c r="F25955" s="13"/>
      <c r="M25955" s="13"/>
    </row>
    <row r="25956">
      <c r="F25956" s="13"/>
      <c r="M25956" s="13"/>
    </row>
    <row r="25957">
      <c r="F25957" s="13"/>
      <c r="M25957" s="13"/>
    </row>
    <row r="25958">
      <c r="F25958" s="13"/>
      <c r="M25958" s="13"/>
    </row>
    <row r="25959">
      <c r="F25959" s="13"/>
      <c r="M25959" s="13"/>
    </row>
    <row r="25960">
      <c r="F25960" s="13"/>
      <c r="M25960" s="13"/>
    </row>
    <row r="25961">
      <c r="F25961" s="13"/>
      <c r="M25961" s="13"/>
    </row>
    <row r="25962">
      <c r="F25962" s="13"/>
      <c r="M25962" s="13"/>
    </row>
    <row r="25963">
      <c r="F25963" s="13"/>
      <c r="M25963" s="13"/>
    </row>
    <row r="25964">
      <c r="F25964" s="13"/>
      <c r="M25964" s="13"/>
    </row>
    <row r="25965">
      <c r="F25965" s="13"/>
      <c r="M25965" s="13"/>
    </row>
    <row r="25966">
      <c r="F25966" s="13"/>
      <c r="M25966" s="13"/>
    </row>
    <row r="25967">
      <c r="F25967" s="13"/>
      <c r="M25967" s="13"/>
    </row>
    <row r="25968">
      <c r="F25968" s="13"/>
      <c r="M25968" s="13"/>
    </row>
    <row r="25969">
      <c r="F25969" s="13"/>
      <c r="M25969" s="13"/>
    </row>
    <row r="25970">
      <c r="F25970" s="13"/>
      <c r="M25970" s="13"/>
    </row>
    <row r="25971">
      <c r="F25971" s="13"/>
      <c r="M25971" s="13"/>
    </row>
    <row r="25972">
      <c r="F25972" s="13"/>
      <c r="M25972" s="13"/>
    </row>
    <row r="25973">
      <c r="F25973" s="13"/>
      <c r="M25973" s="13"/>
    </row>
    <row r="25974">
      <c r="F25974" s="13"/>
      <c r="M25974" s="13"/>
    </row>
    <row r="25975">
      <c r="F25975" s="13"/>
      <c r="M25975" s="13"/>
    </row>
    <row r="25976">
      <c r="F25976" s="13"/>
      <c r="M25976" s="13"/>
    </row>
    <row r="25977">
      <c r="F25977" s="13"/>
      <c r="M25977" s="13"/>
    </row>
    <row r="25978">
      <c r="F25978" s="13"/>
      <c r="M25978" s="13"/>
    </row>
    <row r="25979">
      <c r="F25979" s="13"/>
      <c r="M25979" s="13"/>
    </row>
    <row r="25980">
      <c r="F25980" s="13"/>
      <c r="M25980" s="13"/>
    </row>
    <row r="25981">
      <c r="F25981" s="13"/>
      <c r="M25981" s="13"/>
    </row>
    <row r="25982">
      <c r="F25982" s="13"/>
      <c r="M25982" s="13"/>
    </row>
    <row r="25983">
      <c r="F25983" s="13"/>
      <c r="M25983" s="13"/>
    </row>
    <row r="25984">
      <c r="F25984" s="13"/>
      <c r="M25984" s="13"/>
    </row>
    <row r="25985">
      <c r="F25985" s="13"/>
      <c r="M25985" s="13"/>
    </row>
    <row r="25986">
      <c r="F25986" s="13"/>
      <c r="M25986" s="13"/>
    </row>
    <row r="25987">
      <c r="F25987" s="13"/>
      <c r="M25987" s="13"/>
    </row>
    <row r="25988">
      <c r="F25988" s="13"/>
      <c r="M25988" s="13"/>
    </row>
    <row r="25989">
      <c r="F25989" s="13"/>
      <c r="M25989" s="13"/>
    </row>
    <row r="25990">
      <c r="F25990" s="13"/>
      <c r="M25990" s="13"/>
    </row>
    <row r="25991">
      <c r="F25991" s="13"/>
      <c r="M25991" s="13"/>
    </row>
    <row r="25992">
      <c r="F25992" s="13"/>
      <c r="M25992" s="13"/>
    </row>
    <row r="25993">
      <c r="F25993" s="13"/>
      <c r="M25993" s="13"/>
    </row>
    <row r="25994">
      <c r="F25994" s="13"/>
      <c r="M25994" s="13"/>
    </row>
    <row r="25995">
      <c r="F25995" s="13"/>
      <c r="M25995" s="13"/>
    </row>
    <row r="25996">
      <c r="F25996" s="13"/>
      <c r="M25996" s="13"/>
    </row>
    <row r="25997">
      <c r="F25997" s="13"/>
      <c r="M25997" s="13"/>
    </row>
    <row r="25998">
      <c r="F25998" s="13"/>
      <c r="M25998" s="13"/>
    </row>
    <row r="25999">
      <c r="F25999" s="13"/>
      <c r="M25999" s="13"/>
    </row>
    <row r="26000">
      <c r="F26000" s="13"/>
      <c r="M26000" s="13"/>
    </row>
    <row r="26001">
      <c r="F26001" s="13"/>
      <c r="M26001" s="13"/>
    </row>
    <row r="26002">
      <c r="F26002" s="13"/>
      <c r="M26002" s="13"/>
    </row>
    <row r="26003">
      <c r="F26003" s="13"/>
      <c r="M26003" s="13"/>
    </row>
    <row r="26004">
      <c r="F26004" s="13"/>
      <c r="M26004" s="13"/>
    </row>
    <row r="26005">
      <c r="F26005" s="13"/>
      <c r="M26005" s="13"/>
    </row>
    <row r="26006">
      <c r="F26006" s="13"/>
      <c r="M26006" s="13"/>
    </row>
    <row r="26007">
      <c r="F26007" s="13"/>
      <c r="M26007" s="13"/>
    </row>
    <row r="26008">
      <c r="F26008" s="13"/>
      <c r="M26008" s="13"/>
    </row>
    <row r="26009">
      <c r="F26009" s="13"/>
      <c r="M26009" s="13"/>
    </row>
    <row r="26010">
      <c r="F26010" s="13"/>
      <c r="M26010" s="13"/>
    </row>
    <row r="26011">
      <c r="F26011" s="13"/>
      <c r="M26011" s="13"/>
    </row>
    <row r="26012">
      <c r="F26012" s="13"/>
      <c r="M26012" s="13"/>
    </row>
    <row r="26013">
      <c r="F26013" s="13"/>
      <c r="M26013" s="13"/>
    </row>
    <row r="26014">
      <c r="F26014" s="13"/>
      <c r="M26014" s="13"/>
    </row>
    <row r="26015">
      <c r="F26015" s="13"/>
      <c r="M26015" s="13"/>
    </row>
    <row r="26016">
      <c r="F26016" s="13"/>
      <c r="M26016" s="13"/>
    </row>
    <row r="26017">
      <c r="F26017" s="13"/>
      <c r="M26017" s="13"/>
    </row>
    <row r="26018">
      <c r="F26018" s="13"/>
      <c r="M26018" s="13"/>
    </row>
    <row r="26019">
      <c r="F26019" s="13"/>
      <c r="M26019" s="13"/>
    </row>
    <row r="26020">
      <c r="F26020" s="13"/>
      <c r="M26020" s="13"/>
    </row>
    <row r="26021">
      <c r="F26021" s="13"/>
      <c r="M26021" s="13"/>
    </row>
    <row r="26022">
      <c r="F26022" s="13"/>
      <c r="M26022" s="13"/>
    </row>
    <row r="26023">
      <c r="F26023" s="13"/>
      <c r="M26023" s="13"/>
    </row>
    <row r="26024">
      <c r="F26024" s="13"/>
      <c r="M26024" s="13"/>
    </row>
    <row r="26025">
      <c r="F26025" s="13"/>
      <c r="M26025" s="13"/>
    </row>
    <row r="26026">
      <c r="F26026" s="13"/>
      <c r="M26026" s="13"/>
    </row>
    <row r="26027">
      <c r="F26027" s="13"/>
      <c r="M26027" s="13"/>
    </row>
    <row r="26028">
      <c r="F26028" s="13"/>
      <c r="M26028" s="13"/>
    </row>
    <row r="26029">
      <c r="F26029" s="13"/>
      <c r="M26029" s="13"/>
    </row>
    <row r="26030">
      <c r="F26030" s="13"/>
      <c r="M26030" s="13"/>
    </row>
    <row r="26031">
      <c r="F26031" s="13"/>
      <c r="M26031" s="13"/>
    </row>
    <row r="26032">
      <c r="F26032" s="13"/>
      <c r="M26032" s="13"/>
    </row>
    <row r="26033">
      <c r="F26033" s="13"/>
      <c r="M26033" s="13"/>
    </row>
    <row r="26034">
      <c r="F26034" s="13"/>
      <c r="M26034" s="13"/>
    </row>
    <row r="26035">
      <c r="F26035" s="13"/>
      <c r="M26035" s="13"/>
    </row>
    <row r="26036">
      <c r="F26036" s="13"/>
      <c r="M26036" s="13"/>
    </row>
    <row r="26037">
      <c r="F26037" s="13"/>
      <c r="M26037" s="13"/>
    </row>
    <row r="26038">
      <c r="F26038" s="13"/>
      <c r="M26038" s="13"/>
    </row>
    <row r="26039">
      <c r="F26039" s="13"/>
      <c r="M26039" s="13"/>
    </row>
    <row r="26040">
      <c r="F26040" s="13"/>
      <c r="M26040" s="13"/>
    </row>
    <row r="26041">
      <c r="F26041" s="13"/>
      <c r="M26041" s="13"/>
    </row>
    <row r="26042">
      <c r="F26042" s="13"/>
      <c r="M26042" s="13"/>
    </row>
    <row r="26043">
      <c r="F26043" s="13"/>
      <c r="M26043" s="13"/>
    </row>
    <row r="26044">
      <c r="F26044" s="13"/>
      <c r="M26044" s="13"/>
    </row>
    <row r="26045">
      <c r="F26045" s="13"/>
      <c r="M26045" s="13"/>
    </row>
    <row r="26046">
      <c r="F26046" s="13"/>
      <c r="M26046" s="13"/>
    </row>
    <row r="26047">
      <c r="F26047" s="13"/>
      <c r="M26047" s="13"/>
    </row>
    <row r="26048">
      <c r="F26048" s="13"/>
      <c r="M26048" s="13"/>
    </row>
    <row r="26049">
      <c r="F26049" s="13"/>
      <c r="M26049" s="13"/>
    </row>
    <row r="26050">
      <c r="F26050" s="13"/>
      <c r="M26050" s="13"/>
    </row>
    <row r="26051">
      <c r="F26051" s="13"/>
      <c r="M26051" s="13"/>
    </row>
    <row r="26052">
      <c r="F26052" s="13"/>
      <c r="M26052" s="13"/>
    </row>
    <row r="26053">
      <c r="F26053" s="13"/>
      <c r="M26053" s="13"/>
    </row>
    <row r="26054">
      <c r="F26054" s="13"/>
      <c r="M26054" s="13"/>
    </row>
    <row r="26055">
      <c r="F26055" s="13"/>
      <c r="M26055" s="13"/>
    </row>
    <row r="26056">
      <c r="F26056" s="13"/>
      <c r="M26056" s="13"/>
    </row>
    <row r="26057">
      <c r="F26057" s="13"/>
      <c r="M26057" s="13"/>
    </row>
    <row r="26058">
      <c r="F26058" s="13"/>
      <c r="M26058" s="13"/>
    </row>
    <row r="26059">
      <c r="F26059" s="13"/>
      <c r="M26059" s="13"/>
    </row>
    <row r="26060">
      <c r="F26060" s="13"/>
      <c r="M26060" s="13"/>
    </row>
    <row r="26061">
      <c r="F26061" s="13"/>
      <c r="M26061" s="13"/>
    </row>
    <row r="26062">
      <c r="F26062" s="13"/>
      <c r="M26062" s="13"/>
    </row>
    <row r="26063">
      <c r="F26063" s="13"/>
      <c r="M26063" s="13"/>
    </row>
    <row r="26064">
      <c r="F26064" s="13"/>
      <c r="M26064" s="13"/>
    </row>
    <row r="26065">
      <c r="F26065" s="13"/>
      <c r="M26065" s="13"/>
    </row>
    <row r="26066">
      <c r="F26066" s="13"/>
      <c r="M26066" s="13"/>
    </row>
    <row r="26067">
      <c r="F26067" s="13"/>
      <c r="M26067" s="13"/>
    </row>
    <row r="26068">
      <c r="F26068" s="13"/>
      <c r="M26068" s="13"/>
    </row>
    <row r="26069">
      <c r="F26069" s="13"/>
      <c r="M26069" s="13"/>
    </row>
    <row r="26070">
      <c r="F26070" s="13"/>
      <c r="M26070" s="13"/>
    </row>
    <row r="26071">
      <c r="F26071" s="13"/>
      <c r="M26071" s="13"/>
    </row>
    <row r="26072">
      <c r="F26072" s="13"/>
      <c r="M26072" s="13"/>
    </row>
    <row r="26073">
      <c r="F26073" s="13"/>
      <c r="M26073" s="13"/>
    </row>
    <row r="26074">
      <c r="F26074" s="13"/>
      <c r="M26074" s="13"/>
    </row>
    <row r="26075">
      <c r="F26075" s="13"/>
      <c r="M26075" s="13"/>
    </row>
    <row r="26076">
      <c r="F26076" s="13"/>
      <c r="M26076" s="13"/>
    </row>
    <row r="26077">
      <c r="F26077" s="13"/>
      <c r="M26077" s="13"/>
    </row>
    <row r="26078">
      <c r="F26078" s="13"/>
      <c r="M26078" s="13"/>
    </row>
    <row r="26079">
      <c r="F26079" s="13"/>
      <c r="M26079" s="13"/>
    </row>
    <row r="26080">
      <c r="F26080" s="13"/>
      <c r="M26080" s="13"/>
    </row>
    <row r="26081">
      <c r="F26081" s="13"/>
      <c r="M26081" s="13"/>
    </row>
    <row r="26082">
      <c r="F26082" s="13"/>
      <c r="M26082" s="13"/>
    </row>
    <row r="26083">
      <c r="F26083" s="13"/>
      <c r="M26083" s="13"/>
    </row>
    <row r="26084">
      <c r="F26084" s="13"/>
      <c r="M26084" s="13"/>
    </row>
    <row r="26085">
      <c r="F26085" s="13"/>
      <c r="M26085" s="13"/>
    </row>
    <row r="26086">
      <c r="F26086" s="13"/>
      <c r="M26086" s="13"/>
    </row>
    <row r="26087">
      <c r="F26087" s="13"/>
      <c r="M26087" s="13"/>
    </row>
    <row r="26088">
      <c r="F26088" s="13"/>
      <c r="M26088" s="13"/>
    </row>
    <row r="26089">
      <c r="F26089" s="13"/>
      <c r="M26089" s="13"/>
    </row>
    <row r="26090">
      <c r="F26090" s="13"/>
      <c r="M26090" s="13"/>
    </row>
    <row r="26091">
      <c r="F26091" s="13"/>
      <c r="M26091" s="13"/>
    </row>
    <row r="26092">
      <c r="F26092" s="13"/>
      <c r="M26092" s="13"/>
    </row>
    <row r="26093">
      <c r="F26093" s="13"/>
      <c r="M26093" s="13"/>
    </row>
    <row r="26094">
      <c r="F26094" s="13"/>
      <c r="M26094" s="13"/>
    </row>
    <row r="26095">
      <c r="F26095" s="13"/>
      <c r="M26095" s="13"/>
    </row>
    <row r="26096">
      <c r="F26096" s="13"/>
      <c r="M26096" s="13"/>
    </row>
    <row r="26097">
      <c r="F26097" s="13"/>
      <c r="M26097" s="13"/>
    </row>
    <row r="26098">
      <c r="F26098" s="13"/>
      <c r="M26098" s="13"/>
    </row>
    <row r="26099">
      <c r="F26099" s="13"/>
      <c r="M26099" s="13"/>
    </row>
    <row r="26100">
      <c r="F26100" s="13"/>
      <c r="M26100" s="13"/>
    </row>
    <row r="26101">
      <c r="F26101" s="13"/>
      <c r="M26101" s="13"/>
    </row>
    <row r="26102">
      <c r="F26102" s="13"/>
      <c r="M26102" s="13"/>
    </row>
    <row r="26103">
      <c r="F26103" s="13"/>
      <c r="M26103" s="13"/>
    </row>
    <row r="26104">
      <c r="F26104" s="13"/>
      <c r="M26104" s="13"/>
    </row>
    <row r="26105">
      <c r="F26105" s="13"/>
      <c r="M26105" s="13"/>
    </row>
    <row r="26106">
      <c r="F26106" s="13"/>
      <c r="M26106" s="13"/>
    </row>
    <row r="26107">
      <c r="F26107" s="13"/>
      <c r="M26107" s="13"/>
    </row>
    <row r="26108">
      <c r="F26108" s="13"/>
      <c r="M26108" s="13"/>
    </row>
    <row r="26109">
      <c r="F26109" s="13"/>
      <c r="M26109" s="13"/>
    </row>
    <row r="26110">
      <c r="F26110" s="13"/>
      <c r="M26110" s="13"/>
    </row>
    <row r="26111">
      <c r="F26111" s="13"/>
      <c r="M26111" s="13"/>
    </row>
    <row r="26112">
      <c r="F26112" s="13"/>
      <c r="M26112" s="13"/>
    </row>
    <row r="26113">
      <c r="F26113" s="13"/>
      <c r="M26113" s="13"/>
    </row>
    <row r="26114">
      <c r="F26114" s="13"/>
      <c r="M26114" s="13"/>
    </row>
    <row r="26115">
      <c r="F26115" s="13"/>
      <c r="M26115" s="13"/>
    </row>
    <row r="26116">
      <c r="F26116" s="13"/>
      <c r="M26116" s="13"/>
    </row>
    <row r="26117">
      <c r="F26117" s="13"/>
      <c r="M26117" s="13"/>
    </row>
    <row r="26118">
      <c r="F26118" s="13"/>
      <c r="M26118" s="13"/>
    </row>
    <row r="26119">
      <c r="F26119" s="13"/>
      <c r="M26119" s="13"/>
    </row>
    <row r="26120">
      <c r="F26120" s="13"/>
      <c r="M26120" s="13"/>
    </row>
    <row r="26121">
      <c r="F26121" s="13"/>
      <c r="M26121" s="13"/>
    </row>
    <row r="26122">
      <c r="F26122" s="13"/>
      <c r="M26122" s="13"/>
    </row>
    <row r="26123">
      <c r="F26123" s="13"/>
      <c r="M26123" s="13"/>
    </row>
    <row r="26124">
      <c r="F26124" s="13"/>
      <c r="M26124" s="13"/>
    </row>
    <row r="26125">
      <c r="F26125" s="13"/>
      <c r="M26125" s="13"/>
    </row>
    <row r="26126">
      <c r="F26126" s="13"/>
      <c r="M26126" s="13"/>
    </row>
    <row r="26127">
      <c r="F26127" s="13"/>
      <c r="M26127" s="13"/>
    </row>
    <row r="26128">
      <c r="F26128" s="13"/>
      <c r="M26128" s="13"/>
    </row>
    <row r="26129">
      <c r="F26129" s="13"/>
      <c r="M26129" s="13"/>
    </row>
    <row r="26130">
      <c r="F26130" s="13"/>
      <c r="M26130" s="13"/>
    </row>
    <row r="26131">
      <c r="F26131" s="13"/>
      <c r="M26131" s="13"/>
    </row>
    <row r="26132">
      <c r="F26132" s="13"/>
      <c r="M26132" s="13"/>
    </row>
    <row r="26133">
      <c r="F26133" s="13"/>
      <c r="M26133" s="13"/>
    </row>
    <row r="26134">
      <c r="F26134" s="13"/>
      <c r="M26134" s="13"/>
    </row>
    <row r="26135">
      <c r="F26135" s="13"/>
      <c r="M26135" s="13"/>
    </row>
    <row r="26136">
      <c r="F26136" s="13"/>
      <c r="M26136" s="13"/>
    </row>
    <row r="26137">
      <c r="F26137" s="13"/>
      <c r="M26137" s="13"/>
    </row>
    <row r="26138">
      <c r="F26138" s="13"/>
      <c r="M26138" s="13"/>
    </row>
    <row r="26139">
      <c r="F26139" s="13"/>
      <c r="M26139" s="13"/>
    </row>
    <row r="26140">
      <c r="F26140" s="13"/>
      <c r="M26140" s="13"/>
    </row>
    <row r="26141">
      <c r="F26141" s="13"/>
      <c r="M26141" s="13"/>
    </row>
    <row r="26142">
      <c r="F26142" s="13"/>
      <c r="M26142" s="13"/>
    </row>
    <row r="26143">
      <c r="F26143" s="13"/>
      <c r="M26143" s="13"/>
    </row>
    <row r="26144">
      <c r="F26144" s="13"/>
      <c r="M26144" s="13"/>
    </row>
    <row r="26145">
      <c r="F26145" s="13"/>
      <c r="M26145" s="13"/>
    </row>
    <row r="26146">
      <c r="F26146" s="13"/>
      <c r="M26146" s="13"/>
    </row>
    <row r="26147">
      <c r="F26147" s="13"/>
      <c r="M26147" s="13"/>
    </row>
    <row r="26148">
      <c r="F26148" s="13"/>
      <c r="M26148" s="13"/>
    </row>
    <row r="26149">
      <c r="F26149" s="13"/>
      <c r="M26149" s="13"/>
    </row>
    <row r="26150">
      <c r="F26150" s="13"/>
      <c r="M26150" s="13"/>
    </row>
    <row r="26151">
      <c r="F26151" s="13"/>
      <c r="M26151" s="13"/>
    </row>
    <row r="26152">
      <c r="F26152" s="13"/>
      <c r="M26152" s="13"/>
    </row>
    <row r="26153">
      <c r="F26153" s="13"/>
      <c r="M26153" s="13"/>
    </row>
    <row r="26154">
      <c r="F26154" s="13"/>
      <c r="M26154" s="13"/>
    </row>
    <row r="26155">
      <c r="F26155" s="13"/>
      <c r="M26155" s="13"/>
    </row>
    <row r="26156">
      <c r="F26156" s="13"/>
      <c r="M26156" s="13"/>
    </row>
    <row r="26157">
      <c r="F26157" s="13"/>
      <c r="M26157" s="13"/>
    </row>
    <row r="26158">
      <c r="F26158" s="13"/>
      <c r="M26158" s="13"/>
    </row>
    <row r="26159">
      <c r="F26159" s="13"/>
      <c r="M26159" s="13"/>
    </row>
    <row r="26160">
      <c r="F26160" s="13"/>
      <c r="M26160" s="13"/>
    </row>
    <row r="26161">
      <c r="F26161" s="13"/>
      <c r="M26161" s="13"/>
    </row>
    <row r="26162">
      <c r="F26162" s="13"/>
      <c r="M26162" s="13"/>
    </row>
    <row r="26163">
      <c r="F26163" s="13"/>
      <c r="M26163" s="13"/>
    </row>
    <row r="26164">
      <c r="F26164" s="13"/>
      <c r="M26164" s="13"/>
    </row>
    <row r="26165">
      <c r="F26165" s="13"/>
      <c r="M26165" s="13"/>
    </row>
    <row r="26166">
      <c r="F26166" s="13"/>
      <c r="M26166" s="13"/>
    </row>
    <row r="26167">
      <c r="F26167" s="13"/>
      <c r="M26167" s="13"/>
    </row>
    <row r="26168">
      <c r="F26168" s="13"/>
      <c r="M26168" s="13"/>
    </row>
    <row r="26169">
      <c r="F26169" s="13"/>
      <c r="M26169" s="13"/>
    </row>
    <row r="26170">
      <c r="F26170" s="13"/>
      <c r="M26170" s="13"/>
    </row>
    <row r="26171">
      <c r="F26171" s="13"/>
      <c r="M26171" s="13"/>
    </row>
    <row r="26172">
      <c r="F26172" s="13"/>
      <c r="M26172" s="13"/>
    </row>
    <row r="26173">
      <c r="F26173" s="13"/>
      <c r="M26173" s="13"/>
    </row>
    <row r="26174">
      <c r="F26174" s="13"/>
      <c r="M26174" s="13"/>
    </row>
    <row r="26175">
      <c r="F26175" s="13"/>
      <c r="M26175" s="13"/>
    </row>
    <row r="26176">
      <c r="F26176" s="13"/>
      <c r="M26176" s="13"/>
    </row>
    <row r="26177">
      <c r="F26177" s="13"/>
      <c r="M26177" s="13"/>
    </row>
    <row r="26178">
      <c r="F26178" s="13"/>
      <c r="M26178" s="13"/>
    </row>
    <row r="26179">
      <c r="F26179" s="13"/>
      <c r="M26179" s="13"/>
    </row>
    <row r="26180">
      <c r="F26180" s="13"/>
      <c r="M26180" s="13"/>
    </row>
    <row r="26181">
      <c r="F26181" s="13"/>
      <c r="M26181" s="13"/>
    </row>
    <row r="26182">
      <c r="F26182" s="13"/>
      <c r="M26182" s="13"/>
    </row>
    <row r="26183">
      <c r="F26183" s="13"/>
      <c r="M26183" s="13"/>
    </row>
    <row r="26184">
      <c r="F26184" s="13"/>
      <c r="M26184" s="13"/>
    </row>
    <row r="26185">
      <c r="F26185" s="13"/>
      <c r="M26185" s="13"/>
    </row>
    <row r="26186">
      <c r="F26186" s="13"/>
      <c r="M26186" s="13"/>
    </row>
    <row r="26187">
      <c r="F26187" s="13"/>
      <c r="M26187" s="13"/>
    </row>
    <row r="26188">
      <c r="F26188" s="13"/>
      <c r="M26188" s="13"/>
    </row>
    <row r="26189">
      <c r="F26189" s="13"/>
      <c r="M26189" s="13"/>
    </row>
    <row r="26190">
      <c r="F26190" s="13"/>
      <c r="M26190" s="13"/>
    </row>
    <row r="26191">
      <c r="F26191" s="13"/>
      <c r="M26191" s="13"/>
    </row>
    <row r="26192">
      <c r="F26192" s="13"/>
      <c r="M26192" s="13"/>
    </row>
    <row r="26193">
      <c r="F26193" s="13"/>
      <c r="M26193" s="13"/>
    </row>
    <row r="26194">
      <c r="F26194" s="13"/>
      <c r="M26194" s="13"/>
    </row>
    <row r="26195">
      <c r="F26195" s="13"/>
      <c r="M26195" s="13"/>
    </row>
    <row r="26196">
      <c r="F26196" s="13"/>
      <c r="M26196" s="13"/>
    </row>
    <row r="26197">
      <c r="F26197" s="13"/>
      <c r="M26197" s="13"/>
    </row>
    <row r="26198">
      <c r="F26198" s="13"/>
      <c r="M26198" s="13"/>
    </row>
    <row r="26199">
      <c r="F26199" s="13"/>
      <c r="M26199" s="13"/>
    </row>
    <row r="26200">
      <c r="F26200" s="13"/>
      <c r="M26200" s="13"/>
    </row>
    <row r="26201">
      <c r="F26201" s="13"/>
      <c r="M26201" s="13"/>
    </row>
    <row r="26202">
      <c r="F26202" s="13"/>
      <c r="M26202" s="13"/>
    </row>
    <row r="26203">
      <c r="F26203" s="13"/>
      <c r="M26203" s="13"/>
    </row>
    <row r="26204">
      <c r="F26204" s="13"/>
      <c r="M26204" s="13"/>
    </row>
    <row r="26205">
      <c r="F26205" s="13"/>
      <c r="M26205" s="13"/>
    </row>
    <row r="26206">
      <c r="F26206" s="13"/>
      <c r="M26206" s="13"/>
    </row>
    <row r="26207">
      <c r="F26207" s="13"/>
      <c r="M26207" s="13"/>
    </row>
    <row r="26208">
      <c r="F26208" s="13"/>
      <c r="M26208" s="13"/>
    </row>
    <row r="26209">
      <c r="F26209" s="13"/>
      <c r="M26209" s="13"/>
    </row>
    <row r="26210">
      <c r="F26210" s="13"/>
      <c r="M26210" s="13"/>
    </row>
    <row r="26211">
      <c r="F26211" s="13"/>
      <c r="M26211" s="13"/>
    </row>
    <row r="26212">
      <c r="F26212" s="13"/>
      <c r="M26212" s="13"/>
    </row>
    <row r="26213">
      <c r="F26213" s="13"/>
      <c r="M26213" s="13"/>
    </row>
    <row r="26214">
      <c r="F26214" s="13"/>
      <c r="M26214" s="13"/>
    </row>
    <row r="26215">
      <c r="F26215" s="13"/>
      <c r="M26215" s="13"/>
    </row>
    <row r="26216">
      <c r="F26216" s="13"/>
      <c r="M26216" s="13"/>
    </row>
    <row r="26217">
      <c r="F26217" s="13"/>
      <c r="M26217" s="13"/>
    </row>
    <row r="26218">
      <c r="F26218" s="13"/>
      <c r="M26218" s="13"/>
    </row>
    <row r="26219">
      <c r="F26219" s="13"/>
      <c r="M26219" s="13"/>
    </row>
    <row r="26220">
      <c r="F26220" s="13"/>
      <c r="M26220" s="13"/>
    </row>
    <row r="26221">
      <c r="F26221" s="13"/>
      <c r="M26221" s="13"/>
    </row>
    <row r="26222">
      <c r="F26222" s="13"/>
      <c r="M26222" s="13"/>
    </row>
    <row r="26223">
      <c r="F26223" s="13"/>
      <c r="M26223" s="13"/>
    </row>
    <row r="26224">
      <c r="F26224" s="13"/>
      <c r="M26224" s="13"/>
    </row>
    <row r="26225">
      <c r="F26225" s="13"/>
      <c r="M26225" s="13"/>
    </row>
    <row r="26226">
      <c r="F26226" s="13"/>
      <c r="M26226" s="13"/>
    </row>
    <row r="26227">
      <c r="F26227" s="13"/>
      <c r="M26227" s="13"/>
    </row>
    <row r="26228">
      <c r="F26228" s="13"/>
      <c r="M26228" s="13"/>
    </row>
    <row r="26229">
      <c r="F26229" s="13"/>
      <c r="M26229" s="13"/>
    </row>
    <row r="26230">
      <c r="F26230" s="13"/>
      <c r="M26230" s="13"/>
    </row>
    <row r="26231">
      <c r="F26231" s="13"/>
      <c r="M26231" s="13"/>
    </row>
    <row r="26232">
      <c r="F26232" s="13"/>
      <c r="M26232" s="13"/>
    </row>
    <row r="26233">
      <c r="F26233" s="13"/>
      <c r="M26233" s="13"/>
    </row>
    <row r="26234">
      <c r="F26234" s="13"/>
      <c r="M26234" s="13"/>
    </row>
    <row r="26235">
      <c r="F26235" s="13"/>
      <c r="M26235" s="13"/>
    </row>
    <row r="26236">
      <c r="F26236" s="13"/>
      <c r="M26236" s="13"/>
    </row>
    <row r="26237">
      <c r="F26237" s="13"/>
      <c r="M26237" s="13"/>
    </row>
    <row r="26238">
      <c r="F26238" s="13"/>
      <c r="M26238" s="13"/>
    </row>
    <row r="26239">
      <c r="F26239" s="13"/>
      <c r="M26239" s="13"/>
    </row>
    <row r="26240">
      <c r="F26240" s="13"/>
      <c r="M26240" s="13"/>
    </row>
    <row r="26241">
      <c r="F26241" s="13"/>
      <c r="M26241" s="13"/>
    </row>
    <row r="26242">
      <c r="F26242" s="13"/>
      <c r="M26242" s="13"/>
    </row>
    <row r="26243">
      <c r="F26243" s="13"/>
      <c r="M26243" s="13"/>
    </row>
    <row r="26244">
      <c r="F26244" s="13"/>
      <c r="M26244" s="13"/>
    </row>
    <row r="26245">
      <c r="F26245" s="13"/>
      <c r="M26245" s="13"/>
    </row>
    <row r="26246">
      <c r="F26246" s="13"/>
      <c r="M26246" s="13"/>
    </row>
    <row r="26247">
      <c r="F26247" s="13"/>
      <c r="M26247" s="13"/>
    </row>
    <row r="26248">
      <c r="F26248" s="13"/>
      <c r="M26248" s="13"/>
    </row>
    <row r="26249">
      <c r="F26249" s="13"/>
      <c r="M26249" s="13"/>
    </row>
    <row r="26250">
      <c r="F26250" s="13"/>
      <c r="M26250" s="13"/>
    </row>
    <row r="26251">
      <c r="F26251" s="13"/>
      <c r="M26251" s="13"/>
    </row>
    <row r="26252">
      <c r="F26252" s="13"/>
      <c r="M26252" s="13"/>
    </row>
    <row r="26253">
      <c r="F26253" s="13"/>
      <c r="M26253" s="13"/>
    </row>
    <row r="26254">
      <c r="F26254" s="13"/>
      <c r="M26254" s="13"/>
    </row>
    <row r="26255">
      <c r="F26255" s="13"/>
      <c r="M26255" s="13"/>
    </row>
    <row r="26256">
      <c r="F26256" s="13"/>
      <c r="M26256" s="13"/>
    </row>
    <row r="26257">
      <c r="F26257" s="13"/>
      <c r="M26257" s="13"/>
    </row>
    <row r="26258">
      <c r="F26258" s="13"/>
      <c r="M26258" s="13"/>
    </row>
    <row r="26259">
      <c r="F26259" s="13"/>
      <c r="M26259" s="13"/>
    </row>
    <row r="26260">
      <c r="F26260" s="13"/>
      <c r="M26260" s="13"/>
    </row>
    <row r="26261">
      <c r="F26261" s="13"/>
      <c r="M26261" s="13"/>
    </row>
    <row r="26262">
      <c r="F26262" s="13"/>
      <c r="M26262" s="13"/>
    </row>
    <row r="26263">
      <c r="F26263" s="13"/>
      <c r="M26263" s="13"/>
    </row>
    <row r="26264">
      <c r="F26264" s="13"/>
      <c r="M26264" s="13"/>
    </row>
    <row r="26265">
      <c r="F26265" s="13"/>
      <c r="M26265" s="13"/>
    </row>
    <row r="26266">
      <c r="F26266" s="13"/>
      <c r="M26266" s="13"/>
    </row>
    <row r="26267">
      <c r="F26267" s="13"/>
      <c r="M26267" s="13"/>
    </row>
    <row r="26268">
      <c r="F26268" s="13"/>
      <c r="M26268" s="13"/>
    </row>
    <row r="26269">
      <c r="F26269" s="13"/>
      <c r="M26269" s="13"/>
    </row>
    <row r="26270">
      <c r="F26270" s="13"/>
      <c r="M26270" s="13"/>
    </row>
    <row r="26271">
      <c r="F26271" s="13"/>
      <c r="M26271" s="13"/>
    </row>
    <row r="26272">
      <c r="F26272" s="13"/>
      <c r="M26272" s="13"/>
    </row>
    <row r="26273">
      <c r="F26273" s="13"/>
      <c r="M26273" s="13"/>
    </row>
    <row r="26274">
      <c r="F26274" s="13"/>
      <c r="M26274" s="13"/>
    </row>
    <row r="26275">
      <c r="F26275" s="13"/>
      <c r="M26275" s="13"/>
    </row>
    <row r="26276">
      <c r="F26276" s="13"/>
      <c r="M26276" s="13"/>
    </row>
    <row r="26277">
      <c r="F26277" s="13"/>
      <c r="M26277" s="13"/>
    </row>
    <row r="26278">
      <c r="F26278" s="13"/>
      <c r="M26278" s="13"/>
    </row>
    <row r="26279">
      <c r="F26279" s="13"/>
      <c r="M26279" s="13"/>
    </row>
    <row r="26280">
      <c r="F26280" s="13"/>
      <c r="M26280" s="13"/>
    </row>
    <row r="26281">
      <c r="F26281" s="13"/>
      <c r="M26281" s="13"/>
    </row>
    <row r="26282">
      <c r="F26282" s="13"/>
      <c r="M26282" s="13"/>
    </row>
    <row r="26283">
      <c r="F26283" s="13"/>
      <c r="M26283" s="13"/>
    </row>
    <row r="26284">
      <c r="F26284" s="13"/>
      <c r="M26284" s="13"/>
    </row>
    <row r="26285">
      <c r="F26285" s="13"/>
      <c r="M26285" s="13"/>
    </row>
    <row r="26286">
      <c r="F26286" s="13"/>
      <c r="M26286" s="13"/>
    </row>
    <row r="26287">
      <c r="F26287" s="13"/>
      <c r="M26287" s="13"/>
    </row>
    <row r="26288">
      <c r="F26288" s="13"/>
      <c r="M26288" s="13"/>
    </row>
    <row r="26289">
      <c r="F26289" s="13"/>
      <c r="M26289" s="13"/>
    </row>
    <row r="26290">
      <c r="F26290" s="13"/>
      <c r="M26290" s="13"/>
    </row>
    <row r="26291">
      <c r="F26291" s="13"/>
      <c r="M26291" s="13"/>
    </row>
    <row r="26292">
      <c r="F26292" s="13"/>
      <c r="M26292" s="13"/>
    </row>
    <row r="26293">
      <c r="F26293" s="13"/>
      <c r="M26293" s="13"/>
    </row>
    <row r="26294">
      <c r="F26294" s="13"/>
      <c r="M26294" s="13"/>
    </row>
    <row r="26295">
      <c r="F26295" s="13"/>
      <c r="M26295" s="13"/>
    </row>
    <row r="26296">
      <c r="F26296" s="13"/>
      <c r="M26296" s="13"/>
    </row>
    <row r="26297">
      <c r="F26297" s="13"/>
      <c r="M26297" s="13"/>
    </row>
    <row r="26298">
      <c r="F26298" s="13"/>
      <c r="M26298" s="13"/>
    </row>
    <row r="26299">
      <c r="F26299" s="13"/>
      <c r="M26299" s="13"/>
    </row>
    <row r="26300">
      <c r="F26300" s="13"/>
      <c r="M26300" s="13"/>
    </row>
    <row r="26301">
      <c r="F26301" s="13"/>
      <c r="M26301" s="13"/>
    </row>
    <row r="26302">
      <c r="F26302" s="13"/>
      <c r="M26302" s="13"/>
    </row>
    <row r="26303">
      <c r="F26303" s="13"/>
      <c r="M26303" s="13"/>
    </row>
    <row r="26304">
      <c r="F26304" s="13"/>
      <c r="M26304" s="13"/>
    </row>
    <row r="26305">
      <c r="F26305" s="13"/>
      <c r="M26305" s="13"/>
    </row>
    <row r="26306">
      <c r="F26306" s="13"/>
      <c r="M26306" s="13"/>
    </row>
    <row r="26307">
      <c r="F26307" s="13"/>
      <c r="M26307" s="13"/>
    </row>
    <row r="26308">
      <c r="F26308" s="13"/>
      <c r="M26308" s="13"/>
    </row>
    <row r="26309">
      <c r="F26309" s="13"/>
      <c r="M26309" s="13"/>
    </row>
    <row r="26310">
      <c r="F26310" s="13"/>
      <c r="M26310" s="13"/>
    </row>
    <row r="26311">
      <c r="F26311" s="13"/>
      <c r="M26311" s="13"/>
    </row>
    <row r="26312">
      <c r="F26312" s="13"/>
      <c r="M26312" s="13"/>
    </row>
    <row r="26313">
      <c r="F26313" s="13"/>
      <c r="M26313" s="13"/>
    </row>
    <row r="26314">
      <c r="F26314" s="13"/>
      <c r="M26314" s="13"/>
    </row>
    <row r="26315">
      <c r="F26315" s="13"/>
      <c r="M26315" s="13"/>
    </row>
    <row r="26316">
      <c r="F26316" s="13"/>
      <c r="M26316" s="13"/>
    </row>
    <row r="26317">
      <c r="F26317" s="13"/>
      <c r="M26317" s="13"/>
    </row>
    <row r="26318">
      <c r="F26318" s="13"/>
      <c r="M26318" s="13"/>
    </row>
    <row r="26319">
      <c r="F26319" s="13"/>
      <c r="M26319" s="13"/>
    </row>
    <row r="26320">
      <c r="F26320" s="13"/>
      <c r="M26320" s="13"/>
    </row>
    <row r="26321">
      <c r="F26321" s="13"/>
      <c r="M26321" s="13"/>
    </row>
    <row r="26322">
      <c r="F26322" s="13"/>
      <c r="M26322" s="13"/>
    </row>
    <row r="26323">
      <c r="F26323" s="13"/>
      <c r="M26323" s="13"/>
    </row>
    <row r="26324">
      <c r="F26324" s="13"/>
      <c r="M26324" s="13"/>
    </row>
    <row r="26325">
      <c r="F26325" s="13"/>
      <c r="M26325" s="13"/>
    </row>
    <row r="26326">
      <c r="F26326" s="13"/>
      <c r="M26326" s="13"/>
    </row>
    <row r="26327">
      <c r="F26327" s="13"/>
      <c r="M26327" s="13"/>
    </row>
    <row r="26328">
      <c r="F26328" s="13"/>
      <c r="M26328" s="13"/>
    </row>
    <row r="26329">
      <c r="F26329" s="13"/>
      <c r="M26329" s="13"/>
    </row>
    <row r="26330">
      <c r="F26330" s="13"/>
      <c r="M26330" s="13"/>
    </row>
    <row r="26331">
      <c r="F26331" s="13"/>
      <c r="M26331" s="13"/>
    </row>
    <row r="26332">
      <c r="F26332" s="13"/>
      <c r="M26332" s="13"/>
    </row>
    <row r="26333">
      <c r="F26333" s="13"/>
      <c r="M26333" s="13"/>
    </row>
    <row r="26334">
      <c r="F26334" s="13"/>
      <c r="M26334" s="13"/>
    </row>
    <row r="26335">
      <c r="F26335" s="13"/>
      <c r="M26335" s="13"/>
    </row>
    <row r="26336">
      <c r="F26336" s="13"/>
      <c r="M26336" s="13"/>
    </row>
    <row r="26337">
      <c r="F26337" s="13"/>
      <c r="M26337" s="13"/>
    </row>
    <row r="26338">
      <c r="F26338" s="13"/>
      <c r="M26338" s="13"/>
    </row>
    <row r="26339">
      <c r="F26339" s="13"/>
      <c r="M26339" s="13"/>
    </row>
    <row r="26340">
      <c r="F26340" s="13"/>
      <c r="M26340" s="13"/>
    </row>
    <row r="26341">
      <c r="F26341" s="13"/>
      <c r="M26341" s="13"/>
    </row>
    <row r="26342">
      <c r="F26342" s="13"/>
      <c r="M26342" s="13"/>
    </row>
    <row r="26343">
      <c r="F26343" s="13"/>
      <c r="M26343" s="13"/>
    </row>
    <row r="26344">
      <c r="F26344" s="13"/>
      <c r="M26344" s="13"/>
    </row>
    <row r="26345">
      <c r="F26345" s="13"/>
      <c r="M26345" s="13"/>
    </row>
    <row r="26346">
      <c r="F26346" s="13"/>
      <c r="M26346" s="13"/>
    </row>
    <row r="26347">
      <c r="F26347" s="13"/>
      <c r="M26347" s="13"/>
    </row>
    <row r="26348">
      <c r="F26348" s="13"/>
      <c r="M26348" s="13"/>
    </row>
    <row r="26349">
      <c r="F26349" s="13"/>
      <c r="M26349" s="13"/>
    </row>
    <row r="26350">
      <c r="F26350" s="13"/>
      <c r="M26350" s="13"/>
    </row>
    <row r="26351">
      <c r="F26351" s="13"/>
      <c r="M26351" s="13"/>
    </row>
    <row r="26352">
      <c r="F26352" s="13"/>
      <c r="M26352" s="13"/>
    </row>
    <row r="26353">
      <c r="F26353" s="13"/>
      <c r="M26353" s="13"/>
    </row>
    <row r="26354">
      <c r="F26354" s="13"/>
      <c r="M26354" s="13"/>
    </row>
    <row r="26355">
      <c r="F26355" s="13"/>
      <c r="M26355" s="13"/>
    </row>
    <row r="26356">
      <c r="F26356" s="13"/>
      <c r="M26356" s="13"/>
    </row>
    <row r="26357">
      <c r="F26357" s="13"/>
      <c r="M26357" s="13"/>
    </row>
    <row r="26358">
      <c r="F26358" s="13"/>
      <c r="M26358" s="13"/>
    </row>
    <row r="26359">
      <c r="F26359" s="13"/>
      <c r="M26359" s="13"/>
    </row>
    <row r="26360">
      <c r="F26360" s="13"/>
      <c r="M26360" s="13"/>
    </row>
    <row r="26361">
      <c r="F26361" s="13"/>
      <c r="M26361" s="13"/>
    </row>
    <row r="26362">
      <c r="F26362" s="13"/>
      <c r="M26362" s="13"/>
    </row>
    <row r="26363">
      <c r="F26363" s="13"/>
      <c r="M26363" s="13"/>
    </row>
    <row r="26364">
      <c r="F26364" s="13"/>
      <c r="M26364" s="13"/>
    </row>
    <row r="26365">
      <c r="F26365" s="13"/>
      <c r="M26365" s="13"/>
    </row>
    <row r="26366">
      <c r="F26366" s="13"/>
      <c r="M26366" s="13"/>
    </row>
    <row r="26367">
      <c r="F26367" s="13"/>
      <c r="M26367" s="13"/>
    </row>
    <row r="26368">
      <c r="F26368" s="13"/>
      <c r="M26368" s="13"/>
    </row>
    <row r="26369">
      <c r="F26369" s="13"/>
      <c r="M26369" s="13"/>
    </row>
    <row r="26370">
      <c r="F26370" s="13"/>
      <c r="M26370" s="13"/>
    </row>
    <row r="26371">
      <c r="F26371" s="13"/>
      <c r="M26371" s="13"/>
    </row>
    <row r="26372">
      <c r="F26372" s="13"/>
      <c r="M26372" s="13"/>
    </row>
    <row r="26373">
      <c r="F26373" s="13"/>
      <c r="M26373" s="13"/>
    </row>
    <row r="26374">
      <c r="F26374" s="13"/>
      <c r="M26374" s="13"/>
    </row>
    <row r="26375">
      <c r="F26375" s="13"/>
      <c r="M26375" s="13"/>
    </row>
    <row r="26376">
      <c r="F26376" s="13"/>
      <c r="M26376" s="13"/>
    </row>
    <row r="26377">
      <c r="F26377" s="13"/>
      <c r="M26377" s="13"/>
    </row>
    <row r="26378">
      <c r="F26378" s="13"/>
      <c r="M26378" s="13"/>
    </row>
    <row r="26379">
      <c r="F26379" s="13"/>
      <c r="M26379" s="13"/>
    </row>
    <row r="26380">
      <c r="F26380" s="13"/>
      <c r="M26380" s="13"/>
    </row>
    <row r="26381">
      <c r="F26381" s="13"/>
      <c r="M26381" s="13"/>
    </row>
    <row r="26382">
      <c r="F26382" s="13"/>
      <c r="M26382" s="13"/>
    </row>
    <row r="26383">
      <c r="F26383" s="13"/>
      <c r="M26383" s="13"/>
    </row>
    <row r="26384">
      <c r="F26384" s="13"/>
      <c r="M26384" s="13"/>
    </row>
    <row r="26385">
      <c r="F26385" s="13"/>
      <c r="M26385" s="13"/>
    </row>
    <row r="26386">
      <c r="F26386" s="13"/>
      <c r="M26386" s="13"/>
    </row>
    <row r="26387">
      <c r="F26387" s="13"/>
      <c r="M26387" s="13"/>
    </row>
    <row r="26388">
      <c r="F26388" s="13"/>
      <c r="M26388" s="13"/>
    </row>
    <row r="26389">
      <c r="F26389" s="13"/>
      <c r="M26389" s="13"/>
    </row>
    <row r="26390">
      <c r="F26390" s="13"/>
      <c r="M26390" s="13"/>
    </row>
    <row r="26391">
      <c r="F26391" s="13"/>
      <c r="M26391" s="13"/>
    </row>
    <row r="26392">
      <c r="F26392" s="13"/>
      <c r="M26392" s="13"/>
    </row>
    <row r="26393">
      <c r="F26393" s="13"/>
      <c r="M26393" s="13"/>
    </row>
    <row r="26394">
      <c r="F26394" s="13"/>
      <c r="M26394" s="13"/>
    </row>
    <row r="26395">
      <c r="F26395" s="13"/>
      <c r="M26395" s="13"/>
    </row>
    <row r="26396">
      <c r="F26396" s="13"/>
      <c r="M26396" s="13"/>
    </row>
    <row r="26397">
      <c r="F26397" s="13"/>
      <c r="M26397" s="13"/>
    </row>
    <row r="26398">
      <c r="F26398" s="13"/>
      <c r="M26398" s="13"/>
    </row>
    <row r="26399">
      <c r="F26399" s="13"/>
      <c r="M26399" s="13"/>
    </row>
    <row r="26400">
      <c r="F26400" s="13"/>
      <c r="M26400" s="13"/>
    </row>
    <row r="26401">
      <c r="F26401" s="13"/>
      <c r="M26401" s="13"/>
    </row>
    <row r="26402">
      <c r="F26402" s="13"/>
      <c r="M26402" s="13"/>
    </row>
    <row r="26403">
      <c r="F26403" s="13"/>
      <c r="M26403" s="13"/>
    </row>
    <row r="26404">
      <c r="F26404" s="13"/>
      <c r="M26404" s="13"/>
    </row>
    <row r="26405">
      <c r="F26405" s="13"/>
      <c r="M26405" s="13"/>
    </row>
    <row r="26406">
      <c r="F26406" s="13"/>
      <c r="M26406" s="13"/>
    </row>
    <row r="26407">
      <c r="F26407" s="13"/>
      <c r="M26407" s="13"/>
    </row>
    <row r="26408">
      <c r="F26408" s="13"/>
      <c r="M26408" s="13"/>
    </row>
    <row r="26409">
      <c r="F26409" s="13"/>
      <c r="M26409" s="13"/>
    </row>
    <row r="26410">
      <c r="F26410" s="13"/>
      <c r="M26410" s="13"/>
    </row>
    <row r="26411">
      <c r="F26411" s="13"/>
      <c r="M26411" s="13"/>
    </row>
    <row r="26412">
      <c r="F26412" s="13"/>
      <c r="M26412" s="13"/>
    </row>
    <row r="26413">
      <c r="F26413" s="13"/>
      <c r="M26413" s="13"/>
    </row>
    <row r="26414">
      <c r="F26414" s="13"/>
      <c r="M26414" s="13"/>
    </row>
    <row r="26415">
      <c r="F26415" s="13"/>
      <c r="M26415" s="13"/>
    </row>
    <row r="26416">
      <c r="F26416" s="13"/>
      <c r="M26416" s="13"/>
    </row>
    <row r="26417">
      <c r="F26417" s="13"/>
      <c r="M26417" s="13"/>
    </row>
    <row r="26418">
      <c r="F26418" s="13"/>
      <c r="M26418" s="13"/>
    </row>
    <row r="26419">
      <c r="F26419" s="13"/>
      <c r="M26419" s="13"/>
    </row>
    <row r="26420">
      <c r="F26420" s="13"/>
      <c r="M26420" s="13"/>
    </row>
    <row r="26421">
      <c r="F26421" s="13"/>
      <c r="M26421" s="13"/>
    </row>
    <row r="26422">
      <c r="F26422" s="13"/>
      <c r="M26422" s="13"/>
    </row>
    <row r="26423">
      <c r="F26423" s="13"/>
      <c r="M26423" s="13"/>
    </row>
    <row r="26424">
      <c r="F26424" s="13"/>
      <c r="M26424" s="13"/>
    </row>
    <row r="26425">
      <c r="F26425" s="13"/>
      <c r="M26425" s="13"/>
    </row>
    <row r="26426">
      <c r="F26426" s="13"/>
      <c r="M26426" s="13"/>
    </row>
    <row r="26427">
      <c r="F26427" s="13"/>
      <c r="M26427" s="13"/>
    </row>
    <row r="26428">
      <c r="F26428" s="13"/>
      <c r="M26428" s="13"/>
    </row>
    <row r="26429">
      <c r="F26429" s="13"/>
      <c r="M26429" s="13"/>
    </row>
    <row r="26430">
      <c r="F26430" s="13"/>
      <c r="M26430" s="13"/>
    </row>
    <row r="26431">
      <c r="F26431" s="13"/>
      <c r="M26431" s="13"/>
    </row>
    <row r="26432">
      <c r="F26432" s="13"/>
      <c r="M26432" s="13"/>
    </row>
    <row r="26433">
      <c r="F26433" s="13"/>
      <c r="M26433" s="13"/>
    </row>
    <row r="26434">
      <c r="F26434" s="13"/>
      <c r="M26434" s="13"/>
    </row>
    <row r="26435">
      <c r="F26435" s="13"/>
      <c r="M26435" s="13"/>
    </row>
    <row r="26436">
      <c r="F26436" s="13"/>
      <c r="M26436" s="13"/>
    </row>
    <row r="26437">
      <c r="F26437" s="13"/>
      <c r="M26437" s="13"/>
    </row>
    <row r="26438">
      <c r="F26438" s="13"/>
      <c r="M26438" s="13"/>
    </row>
    <row r="26439">
      <c r="F26439" s="13"/>
      <c r="M26439" s="13"/>
    </row>
    <row r="26440">
      <c r="F26440" s="13"/>
      <c r="M26440" s="13"/>
    </row>
    <row r="26441">
      <c r="F26441" s="13"/>
      <c r="M26441" s="13"/>
    </row>
    <row r="26442">
      <c r="F26442" s="13"/>
      <c r="M26442" s="13"/>
    </row>
    <row r="26443">
      <c r="F26443" s="13"/>
      <c r="M26443" s="13"/>
    </row>
    <row r="26444">
      <c r="F26444" s="13"/>
      <c r="M26444" s="13"/>
    </row>
    <row r="26445">
      <c r="F26445" s="13"/>
      <c r="M26445" s="13"/>
    </row>
    <row r="26446">
      <c r="F26446" s="13"/>
      <c r="M26446" s="13"/>
    </row>
    <row r="26447">
      <c r="F26447" s="13"/>
      <c r="M26447" s="13"/>
    </row>
    <row r="26448">
      <c r="F26448" s="13"/>
      <c r="M26448" s="13"/>
    </row>
    <row r="26449">
      <c r="F26449" s="13"/>
      <c r="M26449" s="13"/>
    </row>
    <row r="26450">
      <c r="F26450" s="13"/>
      <c r="M26450" s="13"/>
    </row>
    <row r="26451">
      <c r="F26451" s="13"/>
      <c r="M26451" s="13"/>
    </row>
    <row r="26452">
      <c r="F26452" s="13"/>
      <c r="M26452" s="13"/>
    </row>
    <row r="26453">
      <c r="F26453" s="13"/>
      <c r="M26453" s="13"/>
    </row>
    <row r="26454">
      <c r="F26454" s="13"/>
      <c r="M26454" s="13"/>
    </row>
    <row r="26455">
      <c r="F26455" s="13"/>
      <c r="M26455" s="13"/>
    </row>
    <row r="26456">
      <c r="F26456" s="13"/>
      <c r="M26456" s="13"/>
    </row>
    <row r="26457">
      <c r="F26457" s="13"/>
      <c r="M26457" s="13"/>
    </row>
    <row r="26458">
      <c r="F26458" s="13"/>
      <c r="M26458" s="13"/>
    </row>
    <row r="26459">
      <c r="F26459" s="13"/>
      <c r="M26459" s="13"/>
    </row>
    <row r="26460">
      <c r="F26460" s="13"/>
      <c r="M26460" s="13"/>
    </row>
    <row r="26461">
      <c r="F26461" s="13"/>
      <c r="M26461" s="13"/>
    </row>
    <row r="26462">
      <c r="F26462" s="13"/>
      <c r="M26462" s="13"/>
    </row>
    <row r="26463">
      <c r="F26463" s="13"/>
      <c r="M26463" s="13"/>
    </row>
    <row r="26464">
      <c r="F26464" s="13"/>
      <c r="M26464" s="13"/>
    </row>
    <row r="26465">
      <c r="F26465" s="13"/>
      <c r="M26465" s="13"/>
    </row>
    <row r="26466">
      <c r="F26466" s="13"/>
      <c r="M26466" s="13"/>
    </row>
    <row r="26467">
      <c r="F26467" s="13"/>
      <c r="M26467" s="13"/>
    </row>
    <row r="26468">
      <c r="F26468" s="13"/>
      <c r="M26468" s="13"/>
    </row>
    <row r="26469">
      <c r="F26469" s="13"/>
      <c r="M26469" s="13"/>
    </row>
    <row r="26470">
      <c r="F26470" s="13"/>
      <c r="M26470" s="13"/>
    </row>
    <row r="26471">
      <c r="F26471" s="13"/>
      <c r="M26471" s="13"/>
    </row>
    <row r="26472">
      <c r="F26472" s="13"/>
      <c r="M26472" s="13"/>
    </row>
    <row r="26473">
      <c r="F26473" s="13"/>
      <c r="M26473" s="13"/>
    </row>
    <row r="26474">
      <c r="F26474" s="13"/>
      <c r="M26474" s="13"/>
    </row>
    <row r="26475">
      <c r="F26475" s="13"/>
      <c r="M26475" s="13"/>
    </row>
    <row r="26476">
      <c r="F26476" s="13"/>
      <c r="M26476" s="13"/>
    </row>
    <row r="26477">
      <c r="F26477" s="13"/>
      <c r="M26477" s="13"/>
    </row>
    <row r="26478">
      <c r="F26478" s="13"/>
      <c r="M26478" s="13"/>
    </row>
    <row r="26479">
      <c r="F26479" s="13"/>
      <c r="M26479" s="13"/>
    </row>
    <row r="26480">
      <c r="F26480" s="13"/>
      <c r="M26480" s="13"/>
    </row>
    <row r="26481">
      <c r="F26481" s="13"/>
      <c r="M26481" s="13"/>
    </row>
    <row r="26482">
      <c r="F26482" s="13"/>
      <c r="M26482" s="13"/>
    </row>
    <row r="26483">
      <c r="F26483" s="13"/>
      <c r="M26483" s="13"/>
    </row>
    <row r="26484">
      <c r="F26484" s="13"/>
      <c r="M26484" s="13"/>
    </row>
    <row r="26485">
      <c r="F26485" s="13"/>
      <c r="M26485" s="13"/>
    </row>
    <row r="26486">
      <c r="F26486" s="13"/>
      <c r="M26486" s="13"/>
    </row>
    <row r="26487">
      <c r="F26487" s="13"/>
      <c r="M26487" s="13"/>
    </row>
    <row r="26488">
      <c r="F26488" s="13"/>
      <c r="M26488" s="13"/>
    </row>
    <row r="26489">
      <c r="F26489" s="13"/>
      <c r="M26489" s="13"/>
    </row>
    <row r="26490">
      <c r="F26490" s="13"/>
      <c r="M26490" s="13"/>
    </row>
    <row r="26491">
      <c r="F26491" s="13"/>
      <c r="M26491" s="13"/>
    </row>
    <row r="26492">
      <c r="F26492" s="13"/>
      <c r="M26492" s="13"/>
    </row>
    <row r="26493">
      <c r="F26493" s="13"/>
      <c r="M26493" s="13"/>
    </row>
    <row r="26494">
      <c r="F26494" s="13"/>
      <c r="M26494" s="13"/>
    </row>
    <row r="26495">
      <c r="F26495" s="13"/>
      <c r="M26495" s="13"/>
    </row>
    <row r="26496">
      <c r="F26496" s="13"/>
      <c r="M26496" s="13"/>
    </row>
    <row r="26497">
      <c r="F26497" s="13"/>
      <c r="M26497" s="13"/>
    </row>
    <row r="26498">
      <c r="F26498" s="13"/>
      <c r="M26498" s="13"/>
    </row>
    <row r="26499">
      <c r="F26499" s="13"/>
      <c r="M26499" s="13"/>
    </row>
    <row r="26500">
      <c r="F26500" s="13"/>
      <c r="M26500" s="13"/>
    </row>
    <row r="26501">
      <c r="F26501" s="13"/>
      <c r="M26501" s="13"/>
    </row>
    <row r="26502">
      <c r="F26502" s="13"/>
      <c r="M26502" s="13"/>
    </row>
    <row r="26503">
      <c r="F26503" s="13"/>
      <c r="M26503" s="13"/>
    </row>
    <row r="26504">
      <c r="F26504" s="13"/>
      <c r="M26504" s="13"/>
    </row>
    <row r="26505">
      <c r="F26505" s="13"/>
      <c r="M26505" s="13"/>
    </row>
    <row r="26506">
      <c r="F26506" s="13"/>
      <c r="M26506" s="13"/>
    </row>
    <row r="26507">
      <c r="F26507" s="13"/>
      <c r="M26507" s="13"/>
    </row>
    <row r="26508">
      <c r="F26508" s="13"/>
      <c r="M26508" s="13"/>
    </row>
    <row r="26509">
      <c r="F26509" s="13"/>
      <c r="M26509" s="13"/>
    </row>
    <row r="26510">
      <c r="F26510" s="13"/>
      <c r="M26510" s="13"/>
    </row>
    <row r="26511">
      <c r="F26511" s="13"/>
      <c r="M26511" s="13"/>
    </row>
    <row r="26512">
      <c r="F26512" s="13"/>
      <c r="M26512" s="13"/>
    </row>
    <row r="26513">
      <c r="F26513" s="13"/>
      <c r="M26513" s="13"/>
    </row>
    <row r="26514">
      <c r="F26514" s="13"/>
      <c r="M26514" s="13"/>
    </row>
    <row r="26515">
      <c r="F26515" s="13"/>
      <c r="M26515" s="13"/>
    </row>
    <row r="26516">
      <c r="F26516" s="13"/>
      <c r="M26516" s="13"/>
    </row>
    <row r="26517">
      <c r="F26517" s="13"/>
      <c r="M26517" s="13"/>
    </row>
    <row r="26518">
      <c r="F26518" s="13"/>
      <c r="M26518" s="13"/>
    </row>
    <row r="26519">
      <c r="F26519" s="13"/>
      <c r="M26519" s="13"/>
    </row>
    <row r="26520">
      <c r="F26520" s="13"/>
      <c r="M26520" s="13"/>
    </row>
    <row r="26521">
      <c r="F26521" s="13"/>
      <c r="M26521" s="13"/>
    </row>
    <row r="26522">
      <c r="F26522" s="13"/>
      <c r="M26522" s="13"/>
    </row>
    <row r="26523">
      <c r="F26523" s="13"/>
      <c r="M26523" s="13"/>
    </row>
    <row r="26524">
      <c r="F26524" s="13"/>
      <c r="M26524" s="13"/>
    </row>
    <row r="26525">
      <c r="F26525" s="13"/>
      <c r="M26525" s="13"/>
    </row>
    <row r="26526">
      <c r="F26526" s="13"/>
      <c r="M26526" s="13"/>
    </row>
    <row r="26527">
      <c r="F26527" s="13"/>
      <c r="M26527" s="13"/>
    </row>
    <row r="26528">
      <c r="F26528" s="13"/>
      <c r="M26528" s="13"/>
    </row>
    <row r="26529">
      <c r="F26529" s="13"/>
      <c r="M26529" s="13"/>
    </row>
    <row r="26530">
      <c r="F26530" s="13"/>
      <c r="M26530" s="13"/>
    </row>
    <row r="26531">
      <c r="F26531" s="13"/>
      <c r="M26531" s="13"/>
    </row>
    <row r="26532">
      <c r="F26532" s="13"/>
      <c r="M26532" s="13"/>
    </row>
    <row r="26533">
      <c r="F26533" s="13"/>
      <c r="M26533" s="13"/>
    </row>
    <row r="26534">
      <c r="F26534" s="13"/>
      <c r="M26534" s="13"/>
    </row>
    <row r="26535">
      <c r="F26535" s="13"/>
      <c r="M26535" s="13"/>
    </row>
    <row r="26536">
      <c r="F26536" s="13"/>
      <c r="M26536" s="13"/>
    </row>
    <row r="26537">
      <c r="F26537" s="13"/>
      <c r="M26537" s="13"/>
    </row>
    <row r="26538">
      <c r="F26538" s="13"/>
      <c r="M26538" s="13"/>
    </row>
    <row r="26539">
      <c r="F26539" s="13"/>
      <c r="M26539" s="13"/>
    </row>
    <row r="26540">
      <c r="F26540" s="13"/>
      <c r="M26540" s="13"/>
    </row>
    <row r="26541">
      <c r="F26541" s="13"/>
      <c r="M26541" s="13"/>
    </row>
    <row r="26542">
      <c r="F26542" s="13"/>
      <c r="M26542" s="13"/>
    </row>
    <row r="26543">
      <c r="F26543" s="13"/>
      <c r="M26543" s="13"/>
    </row>
    <row r="26544">
      <c r="F26544" s="13"/>
      <c r="M26544" s="13"/>
    </row>
    <row r="26545">
      <c r="F26545" s="13"/>
      <c r="M26545" s="13"/>
    </row>
    <row r="26546">
      <c r="F26546" s="13"/>
      <c r="M26546" s="13"/>
    </row>
    <row r="26547">
      <c r="F26547" s="13"/>
      <c r="M26547" s="13"/>
    </row>
    <row r="26548">
      <c r="F26548" s="13"/>
      <c r="M26548" s="13"/>
    </row>
    <row r="26549">
      <c r="F26549" s="13"/>
      <c r="M26549" s="13"/>
    </row>
    <row r="26550">
      <c r="F26550" s="13"/>
      <c r="M26550" s="13"/>
    </row>
    <row r="26551">
      <c r="F26551" s="13"/>
      <c r="M26551" s="13"/>
    </row>
    <row r="26552">
      <c r="F26552" s="13"/>
      <c r="M26552" s="13"/>
    </row>
    <row r="26553">
      <c r="F26553" s="13"/>
      <c r="M26553" s="13"/>
    </row>
    <row r="26554">
      <c r="F26554" s="13"/>
      <c r="M26554" s="13"/>
    </row>
    <row r="26555">
      <c r="F26555" s="13"/>
      <c r="M26555" s="13"/>
    </row>
    <row r="26556">
      <c r="F26556" s="13"/>
      <c r="M26556" s="13"/>
    </row>
    <row r="26557">
      <c r="F26557" s="13"/>
      <c r="M26557" s="13"/>
    </row>
    <row r="26558">
      <c r="F26558" s="13"/>
      <c r="M26558" s="13"/>
    </row>
    <row r="26559">
      <c r="F26559" s="13"/>
      <c r="M26559" s="13"/>
    </row>
    <row r="26560">
      <c r="F26560" s="13"/>
      <c r="M26560" s="13"/>
    </row>
    <row r="26561">
      <c r="F26561" s="13"/>
      <c r="M26561" s="13"/>
    </row>
    <row r="26562">
      <c r="F26562" s="13"/>
      <c r="M26562" s="13"/>
    </row>
    <row r="26563">
      <c r="F26563" s="13"/>
      <c r="M26563" s="13"/>
    </row>
    <row r="26564">
      <c r="F26564" s="13"/>
      <c r="M26564" s="13"/>
    </row>
    <row r="26565">
      <c r="F26565" s="13"/>
      <c r="M26565" s="13"/>
    </row>
    <row r="26566">
      <c r="F26566" s="13"/>
      <c r="M26566" s="13"/>
    </row>
    <row r="26567">
      <c r="F26567" s="13"/>
      <c r="M26567" s="13"/>
    </row>
    <row r="26568">
      <c r="F26568" s="13"/>
      <c r="M26568" s="13"/>
    </row>
    <row r="26569">
      <c r="F26569" s="13"/>
      <c r="M26569" s="13"/>
    </row>
    <row r="26570">
      <c r="F26570" s="13"/>
      <c r="M26570" s="13"/>
    </row>
    <row r="26571">
      <c r="F26571" s="13"/>
      <c r="M26571" s="13"/>
    </row>
    <row r="26572">
      <c r="F26572" s="13"/>
      <c r="M26572" s="13"/>
    </row>
    <row r="26573">
      <c r="F26573" s="13"/>
      <c r="M26573" s="13"/>
    </row>
    <row r="26574">
      <c r="F26574" s="13"/>
      <c r="M26574" s="13"/>
    </row>
    <row r="26575">
      <c r="F26575" s="13"/>
      <c r="M26575" s="13"/>
    </row>
    <row r="26576">
      <c r="F26576" s="13"/>
      <c r="M26576" s="13"/>
    </row>
    <row r="26577">
      <c r="F26577" s="13"/>
      <c r="M26577" s="13"/>
    </row>
    <row r="26578">
      <c r="F26578" s="13"/>
      <c r="M26578" s="13"/>
    </row>
    <row r="26579">
      <c r="F26579" s="13"/>
      <c r="M26579" s="13"/>
    </row>
    <row r="26580">
      <c r="F26580" s="13"/>
      <c r="M26580" s="13"/>
    </row>
    <row r="26581">
      <c r="F26581" s="13"/>
      <c r="M26581" s="13"/>
    </row>
    <row r="26582">
      <c r="F26582" s="13"/>
      <c r="M26582" s="13"/>
    </row>
    <row r="26583">
      <c r="F26583" s="13"/>
      <c r="M26583" s="13"/>
    </row>
    <row r="26584">
      <c r="F26584" s="13"/>
      <c r="M26584" s="13"/>
    </row>
    <row r="26585">
      <c r="F26585" s="13"/>
      <c r="M26585" s="13"/>
    </row>
    <row r="26586">
      <c r="F26586" s="13"/>
      <c r="M26586" s="13"/>
    </row>
    <row r="26587">
      <c r="F26587" s="13"/>
      <c r="M26587" s="13"/>
    </row>
    <row r="26588">
      <c r="F26588" s="13"/>
      <c r="M26588" s="13"/>
    </row>
    <row r="26589">
      <c r="F26589" s="13"/>
      <c r="M26589" s="13"/>
    </row>
    <row r="26590">
      <c r="F26590" s="13"/>
      <c r="M26590" s="13"/>
    </row>
    <row r="26591">
      <c r="F26591" s="13"/>
      <c r="M26591" s="13"/>
    </row>
    <row r="26592">
      <c r="F26592" s="13"/>
      <c r="M26592" s="13"/>
    </row>
    <row r="26593">
      <c r="F26593" s="13"/>
      <c r="M26593" s="13"/>
    </row>
    <row r="26594">
      <c r="F26594" s="13"/>
      <c r="M26594" s="13"/>
    </row>
    <row r="26595">
      <c r="F26595" s="13"/>
      <c r="M26595" s="13"/>
    </row>
    <row r="26596">
      <c r="F26596" s="13"/>
      <c r="M26596" s="13"/>
    </row>
    <row r="26597">
      <c r="F26597" s="13"/>
      <c r="M26597" s="13"/>
    </row>
    <row r="26598">
      <c r="F26598" s="13"/>
      <c r="M26598" s="13"/>
    </row>
    <row r="26599">
      <c r="F26599" s="13"/>
      <c r="M26599" s="13"/>
    </row>
    <row r="26600">
      <c r="F26600" s="13"/>
      <c r="M26600" s="13"/>
    </row>
    <row r="26601">
      <c r="F26601" s="13"/>
      <c r="M26601" s="13"/>
    </row>
    <row r="26602">
      <c r="F26602" s="13"/>
      <c r="M26602" s="13"/>
    </row>
    <row r="26603">
      <c r="F26603" s="13"/>
      <c r="M26603" s="13"/>
    </row>
    <row r="26604">
      <c r="F26604" s="13"/>
      <c r="M26604" s="13"/>
    </row>
    <row r="26605">
      <c r="F26605" s="13"/>
      <c r="M26605" s="13"/>
    </row>
    <row r="26606">
      <c r="F26606" s="13"/>
      <c r="M26606" s="13"/>
    </row>
    <row r="26607">
      <c r="F26607" s="13"/>
      <c r="M26607" s="13"/>
    </row>
    <row r="26608">
      <c r="F26608" s="13"/>
      <c r="M26608" s="13"/>
    </row>
    <row r="26609">
      <c r="F26609" s="13"/>
      <c r="M26609" s="13"/>
    </row>
    <row r="26610">
      <c r="F26610" s="13"/>
      <c r="M26610" s="13"/>
    </row>
    <row r="26611">
      <c r="F26611" s="13"/>
      <c r="M26611" s="13"/>
    </row>
    <row r="26612">
      <c r="F26612" s="13"/>
      <c r="M26612" s="13"/>
    </row>
    <row r="26613">
      <c r="F26613" s="13"/>
      <c r="M26613" s="13"/>
    </row>
    <row r="26614">
      <c r="F26614" s="13"/>
      <c r="M26614" s="13"/>
    </row>
    <row r="26615">
      <c r="F26615" s="13"/>
      <c r="M26615" s="13"/>
    </row>
    <row r="26616">
      <c r="F26616" s="13"/>
      <c r="M26616" s="13"/>
    </row>
    <row r="26617">
      <c r="F26617" s="13"/>
      <c r="M26617" s="13"/>
    </row>
    <row r="26618">
      <c r="F26618" s="13"/>
      <c r="M26618" s="13"/>
    </row>
    <row r="26619">
      <c r="F26619" s="13"/>
      <c r="M26619" s="13"/>
    </row>
    <row r="26620">
      <c r="F26620" s="13"/>
      <c r="M26620" s="13"/>
    </row>
    <row r="26621">
      <c r="F26621" s="13"/>
      <c r="M26621" s="13"/>
    </row>
    <row r="26622">
      <c r="F26622" s="13"/>
      <c r="M26622" s="13"/>
    </row>
    <row r="26623">
      <c r="F26623" s="13"/>
      <c r="M26623" s="13"/>
    </row>
    <row r="26624">
      <c r="F26624" s="13"/>
      <c r="M26624" s="13"/>
    </row>
    <row r="26625">
      <c r="F26625" s="13"/>
      <c r="M26625" s="13"/>
    </row>
    <row r="26626">
      <c r="F26626" s="13"/>
      <c r="M26626" s="13"/>
    </row>
    <row r="26627">
      <c r="F26627" s="13"/>
      <c r="M26627" s="13"/>
    </row>
    <row r="26628">
      <c r="F26628" s="13"/>
      <c r="M26628" s="13"/>
    </row>
    <row r="26629">
      <c r="F26629" s="13"/>
      <c r="M26629" s="13"/>
    </row>
    <row r="26630">
      <c r="F26630" s="13"/>
      <c r="M26630" s="13"/>
    </row>
    <row r="26631">
      <c r="F26631" s="13"/>
      <c r="M26631" s="13"/>
    </row>
    <row r="26632">
      <c r="F26632" s="13"/>
      <c r="M26632" s="13"/>
    </row>
    <row r="26633">
      <c r="F26633" s="13"/>
      <c r="M26633" s="13"/>
    </row>
    <row r="26634">
      <c r="F26634" s="13"/>
      <c r="M26634" s="13"/>
    </row>
    <row r="26635">
      <c r="F26635" s="13"/>
      <c r="M26635" s="13"/>
    </row>
    <row r="26636">
      <c r="F26636" s="13"/>
      <c r="M26636" s="13"/>
    </row>
    <row r="26637">
      <c r="F26637" s="13"/>
      <c r="M26637" s="13"/>
    </row>
    <row r="26638">
      <c r="F26638" s="13"/>
      <c r="M26638" s="13"/>
    </row>
    <row r="26639">
      <c r="F26639" s="13"/>
      <c r="M26639" s="13"/>
    </row>
    <row r="26640">
      <c r="F26640" s="13"/>
      <c r="M26640" s="13"/>
    </row>
    <row r="26641">
      <c r="F26641" s="13"/>
      <c r="M26641" s="13"/>
    </row>
    <row r="26642">
      <c r="F26642" s="13"/>
      <c r="M26642" s="13"/>
    </row>
    <row r="26643">
      <c r="F26643" s="13"/>
      <c r="M26643" s="13"/>
    </row>
    <row r="26644">
      <c r="F26644" s="13"/>
      <c r="M26644" s="13"/>
    </row>
    <row r="26645">
      <c r="F26645" s="13"/>
      <c r="M26645" s="13"/>
    </row>
    <row r="26646">
      <c r="F26646" s="13"/>
      <c r="M26646" s="13"/>
    </row>
    <row r="26647">
      <c r="F26647" s="13"/>
      <c r="M26647" s="13"/>
    </row>
    <row r="26648">
      <c r="F26648" s="13"/>
      <c r="M26648" s="13"/>
    </row>
    <row r="26649">
      <c r="F26649" s="13"/>
      <c r="M26649" s="13"/>
    </row>
    <row r="26650">
      <c r="F26650" s="13"/>
      <c r="M26650" s="13"/>
    </row>
    <row r="26651">
      <c r="F26651" s="13"/>
      <c r="M26651" s="13"/>
    </row>
    <row r="26652">
      <c r="F26652" s="13"/>
      <c r="M26652" s="13"/>
    </row>
    <row r="26653">
      <c r="F26653" s="13"/>
      <c r="M26653" s="13"/>
    </row>
    <row r="26654">
      <c r="F26654" s="13"/>
      <c r="M26654" s="13"/>
    </row>
    <row r="26655">
      <c r="F26655" s="13"/>
      <c r="M26655" s="13"/>
    </row>
    <row r="26656">
      <c r="F26656" s="13"/>
      <c r="M26656" s="13"/>
    </row>
    <row r="26657">
      <c r="F26657" s="13"/>
      <c r="M26657" s="13"/>
    </row>
    <row r="26658">
      <c r="F26658" s="13"/>
      <c r="M26658" s="13"/>
    </row>
    <row r="26659">
      <c r="F26659" s="13"/>
      <c r="M26659" s="13"/>
    </row>
    <row r="26660">
      <c r="F26660" s="13"/>
      <c r="M26660" s="13"/>
    </row>
    <row r="26661">
      <c r="F26661" s="13"/>
      <c r="M26661" s="13"/>
    </row>
    <row r="26662">
      <c r="F26662" s="13"/>
      <c r="M26662" s="13"/>
    </row>
    <row r="26663">
      <c r="F26663" s="13"/>
      <c r="M26663" s="13"/>
    </row>
    <row r="26664">
      <c r="F26664" s="13"/>
      <c r="M26664" s="13"/>
    </row>
    <row r="26665">
      <c r="F26665" s="13"/>
      <c r="M26665" s="13"/>
    </row>
    <row r="26666">
      <c r="F26666" s="13"/>
      <c r="M26666" s="13"/>
    </row>
    <row r="26667">
      <c r="F26667" s="13"/>
      <c r="M26667" s="13"/>
    </row>
    <row r="26668">
      <c r="F26668" s="13"/>
      <c r="M26668" s="13"/>
    </row>
    <row r="26669">
      <c r="F26669" s="13"/>
      <c r="M26669" s="13"/>
    </row>
    <row r="26670">
      <c r="F26670" s="13"/>
      <c r="M26670" s="13"/>
    </row>
    <row r="26671">
      <c r="F26671" s="13"/>
      <c r="M26671" s="13"/>
    </row>
    <row r="26672">
      <c r="F26672" s="13"/>
      <c r="M26672" s="13"/>
    </row>
    <row r="26673">
      <c r="F26673" s="13"/>
      <c r="M26673" s="13"/>
    </row>
    <row r="26674">
      <c r="F26674" s="13"/>
      <c r="M26674" s="13"/>
    </row>
    <row r="26675">
      <c r="F26675" s="13"/>
      <c r="M26675" s="13"/>
    </row>
    <row r="26676">
      <c r="F26676" s="13"/>
      <c r="M26676" s="13"/>
    </row>
    <row r="26677">
      <c r="F26677" s="13"/>
      <c r="M26677" s="13"/>
    </row>
    <row r="26678">
      <c r="F26678" s="13"/>
      <c r="M26678" s="13"/>
    </row>
    <row r="26679">
      <c r="F26679" s="13"/>
      <c r="M26679" s="13"/>
    </row>
    <row r="26680">
      <c r="F26680" s="13"/>
      <c r="M26680" s="13"/>
    </row>
    <row r="26681">
      <c r="F26681" s="13"/>
      <c r="M26681" s="13"/>
    </row>
    <row r="26682">
      <c r="F26682" s="13"/>
      <c r="M26682" s="13"/>
    </row>
    <row r="26683">
      <c r="F26683" s="13"/>
      <c r="M26683" s="13"/>
    </row>
    <row r="26684">
      <c r="F26684" s="13"/>
      <c r="M26684" s="13"/>
    </row>
    <row r="26685">
      <c r="F26685" s="13"/>
      <c r="M26685" s="13"/>
    </row>
    <row r="26686">
      <c r="F26686" s="13"/>
      <c r="M26686" s="13"/>
    </row>
    <row r="26687">
      <c r="F26687" s="13"/>
      <c r="M26687" s="13"/>
    </row>
    <row r="26688">
      <c r="F26688" s="13"/>
      <c r="M26688" s="13"/>
    </row>
    <row r="26689">
      <c r="F26689" s="13"/>
      <c r="M26689" s="13"/>
    </row>
    <row r="26690">
      <c r="F26690" s="13"/>
      <c r="M26690" s="13"/>
    </row>
    <row r="26691">
      <c r="F26691" s="13"/>
      <c r="M26691" s="13"/>
    </row>
    <row r="26692">
      <c r="F26692" s="13"/>
      <c r="M26692" s="13"/>
    </row>
    <row r="26693">
      <c r="F26693" s="13"/>
      <c r="M26693" s="13"/>
    </row>
    <row r="26694">
      <c r="F26694" s="13"/>
      <c r="M26694" s="13"/>
    </row>
    <row r="26695">
      <c r="F26695" s="13"/>
      <c r="M26695" s="13"/>
    </row>
    <row r="26696">
      <c r="F26696" s="13"/>
      <c r="M26696" s="13"/>
    </row>
    <row r="26697">
      <c r="F26697" s="13"/>
      <c r="M26697" s="13"/>
    </row>
    <row r="26698">
      <c r="F26698" s="13"/>
      <c r="M26698" s="13"/>
    </row>
    <row r="26699">
      <c r="F26699" s="13"/>
      <c r="M26699" s="13"/>
    </row>
    <row r="26700">
      <c r="F26700" s="13"/>
      <c r="M26700" s="13"/>
    </row>
    <row r="26701">
      <c r="F26701" s="13"/>
      <c r="M26701" s="13"/>
    </row>
    <row r="26702">
      <c r="F26702" s="13"/>
      <c r="M26702" s="13"/>
    </row>
    <row r="26703">
      <c r="F26703" s="13"/>
      <c r="M26703" s="13"/>
    </row>
    <row r="26704">
      <c r="F26704" s="13"/>
      <c r="M26704" s="13"/>
    </row>
    <row r="26705">
      <c r="F26705" s="13"/>
      <c r="M26705" s="13"/>
    </row>
    <row r="26706">
      <c r="F26706" s="13"/>
      <c r="M26706" s="13"/>
    </row>
    <row r="26707">
      <c r="F26707" s="13"/>
      <c r="M26707" s="13"/>
    </row>
    <row r="26708">
      <c r="F26708" s="13"/>
      <c r="M26708" s="13"/>
    </row>
    <row r="26709">
      <c r="F26709" s="13"/>
      <c r="M26709" s="13"/>
    </row>
    <row r="26710">
      <c r="F26710" s="13"/>
      <c r="M26710" s="13"/>
    </row>
    <row r="26711">
      <c r="F26711" s="13"/>
      <c r="M26711" s="13"/>
    </row>
    <row r="26712">
      <c r="F26712" s="13"/>
      <c r="M26712" s="13"/>
    </row>
    <row r="26713">
      <c r="F26713" s="13"/>
      <c r="M26713" s="13"/>
    </row>
    <row r="26714">
      <c r="F26714" s="13"/>
      <c r="M26714" s="13"/>
    </row>
    <row r="26715">
      <c r="F26715" s="13"/>
      <c r="M26715" s="13"/>
    </row>
    <row r="26716">
      <c r="F26716" s="13"/>
      <c r="M26716" s="13"/>
    </row>
    <row r="26717">
      <c r="F26717" s="13"/>
      <c r="M26717" s="13"/>
    </row>
    <row r="26718">
      <c r="F26718" s="13"/>
      <c r="M26718" s="13"/>
    </row>
    <row r="26719">
      <c r="F26719" s="13"/>
      <c r="M26719" s="13"/>
    </row>
    <row r="26720">
      <c r="F26720" s="13"/>
      <c r="M26720" s="13"/>
    </row>
    <row r="26721">
      <c r="F26721" s="13"/>
      <c r="M26721" s="13"/>
    </row>
    <row r="26722">
      <c r="F26722" s="13"/>
      <c r="M26722" s="13"/>
    </row>
    <row r="26723">
      <c r="F26723" s="13"/>
      <c r="M26723" s="13"/>
    </row>
    <row r="26724">
      <c r="F26724" s="13"/>
      <c r="M26724" s="13"/>
    </row>
    <row r="26725">
      <c r="F26725" s="13"/>
      <c r="M26725" s="13"/>
    </row>
    <row r="26726">
      <c r="F26726" s="13"/>
      <c r="M26726" s="13"/>
    </row>
    <row r="26727">
      <c r="F26727" s="13"/>
      <c r="M26727" s="13"/>
    </row>
    <row r="26728">
      <c r="F26728" s="13"/>
      <c r="M26728" s="13"/>
    </row>
    <row r="26729">
      <c r="F26729" s="13"/>
      <c r="M26729" s="13"/>
    </row>
    <row r="26730">
      <c r="F26730" s="13"/>
      <c r="M26730" s="13"/>
    </row>
    <row r="26731">
      <c r="F26731" s="13"/>
      <c r="M26731" s="13"/>
    </row>
    <row r="26732">
      <c r="F26732" s="13"/>
      <c r="M26732" s="13"/>
    </row>
    <row r="26733">
      <c r="F26733" s="13"/>
      <c r="M26733" s="13"/>
    </row>
    <row r="26734">
      <c r="F26734" s="13"/>
      <c r="M26734" s="13"/>
    </row>
    <row r="26735">
      <c r="F26735" s="13"/>
      <c r="M26735" s="13"/>
    </row>
    <row r="26736">
      <c r="F26736" s="13"/>
      <c r="M26736" s="13"/>
    </row>
    <row r="26737">
      <c r="F26737" s="13"/>
      <c r="M26737" s="13"/>
    </row>
    <row r="26738">
      <c r="F26738" s="13"/>
      <c r="M26738" s="13"/>
    </row>
    <row r="26739">
      <c r="F26739" s="13"/>
      <c r="M26739" s="13"/>
    </row>
    <row r="26740">
      <c r="F26740" s="13"/>
      <c r="M26740" s="13"/>
    </row>
    <row r="26741">
      <c r="F26741" s="13"/>
      <c r="M26741" s="13"/>
    </row>
    <row r="26742">
      <c r="F26742" s="13"/>
      <c r="M26742" s="13"/>
    </row>
    <row r="26743">
      <c r="F26743" s="13"/>
      <c r="M26743" s="13"/>
    </row>
    <row r="26744">
      <c r="F26744" s="13"/>
      <c r="M26744" s="13"/>
    </row>
    <row r="26745">
      <c r="F26745" s="13"/>
      <c r="M26745" s="13"/>
    </row>
    <row r="26746">
      <c r="F26746" s="13"/>
      <c r="M26746" s="13"/>
    </row>
    <row r="26747">
      <c r="F26747" s="13"/>
      <c r="M26747" s="13"/>
    </row>
    <row r="26748">
      <c r="F26748" s="13"/>
      <c r="M26748" s="13"/>
    </row>
    <row r="26749">
      <c r="F26749" s="13"/>
      <c r="M26749" s="13"/>
    </row>
    <row r="26750">
      <c r="F26750" s="13"/>
      <c r="M26750" s="13"/>
    </row>
    <row r="26751">
      <c r="F26751" s="13"/>
      <c r="M26751" s="13"/>
    </row>
    <row r="26752">
      <c r="F26752" s="13"/>
      <c r="M26752" s="13"/>
    </row>
    <row r="26753">
      <c r="F26753" s="13"/>
      <c r="M26753" s="13"/>
    </row>
    <row r="26754">
      <c r="F26754" s="13"/>
      <c r="M26754" s="13"/>
    </row>
    <row r="26755">
      <c r="F26755" s="13"/>
      <c r="M26755" s="13"/>
    </row>
    <row r="26756">
      <c r="F26756" s="13"/>
      <c r="M26756" s="13"/>
    </row>
    <row r="26757">
      <c r="F26757" s="13"/>
      <c r="M26757" s="13"/>
    </row>
    <row r="26758">
      <c r="F26758" s="13"/>
      <c r="M26758" s="13"/>
    </row>
    <row r="26759">
      <c r="F26759" s="13"/>
      <c r="M26759" s="13"/>
    </row>
    <row r="26760">
      <c r="F26760" s="13"/>
      <c r="M26760" s="13"/>
    </row>
    <row r="26761">
      <c r="F26761" s="13"/>
      <c r="M26761" s="13"/>
    </row>
    <row r="26762">
      <c r="F26762" s="13"/>
      <c r="M26762" s="13"/>
    </row>
    <row r="26763">
      <c r="F26763" s="13"/>
      <c r="M26763" s="13"/>
    </row>
    <row r="26764">
      <c r="F26764" s="13"/>
      <c r="M26764" s="13"/>
    </row>
    <row r="26765">
      <c r="F26765" s="13"/>
      <c r="M26765" s="13"/>
    </row>
    <row r="26766">
      <c r="F26766" s="13"/>
      <c r="M26766" s="13"/>
    </row>
    <row r="26767">
      <c r="F26767" s="13"/>
      <c r="M26767" s="13"/>
    </row>
    <row r="26768">
      <c r="F26768" s="13"/>
      <c r="M26768" s="13"/>
    </row>
    <row r="26769">
      <c r="F26769" s="13"/>
      <c r="M26769" s="13"/>
    </row>
    <row r="26770">
      <c r="F26770" s="13"/>
      <c r="M26770" s="13"/>
    </row>
    <row r="26771">
      <c r="F26771" s="13"/>
      <c r="M26771" s="13"/>
    </row>
    <row r="26772">
      <c r="F26772" s="13"/>
      <c r="M26772" s="13"/>
    </row>
    <row r="26773">
      <c r="F26773" s="13"/>
      <c r="M26773" s="13"/>
    </row>
    <row r="26774">
      <c r="F26774" s="13"/>
      <c r="M26774" s="13"/>
    </row>
    <row r="26775">
      <c r="F26775" s="13"/>
      <c r="M26775" s="13"/>
    </row>
    <row r="26776">
      <c r="F26776" s="13"/>
      <c r="M26776" s="13"/>
    </row>
    <row r="26777">
      <c r="F26777" s="13"/>
      <c r="M26777" s="13"/>
    </row>
    <row r="26778">
      <c r="F26778" s="13"/>
      <c r="M26778" s="13"/>
    </row>
    <row r="26779">
      <c r="F26779" s="13"/>
      <c r="M26779" s="13"/>
    </row>
    <row r="26780">
      <c r="F26780" s="13"/>
      <c r="M26780" s="13"/>
    </row>
    <row r="26781">
      <c r="F26781" s="13"/>
      <c r="M26781" s="13"/>
    </row>
    <row r="26782">
      <c r="F26782" s="13"/>
      <c r="M26782" s="13"/>
    </row>
    <row r="26783">
      <c r="F26783" s="13"/>
      <c r="M26783" s="13"/>
    </row>
    <row r="26784">
      <c r="F26784" s="13"/>
      <c r="M26784" s="13"/>
    </row>
    <row r="26785">
      <c r="F26785" s="13"/>
      <c r="M26785" s="13"/>
    </row>
    <row r="26786">
      <c r="F26786" s="13"/>
      <c r="M26786" s="13"/>
    </row>
    <row r="26787">
      <c r="F26787" s="13"/>
      <c r="M26787" s="13"/>
    </row>
    <row r="26788">
      <c r="F26788" s="13"/>
      <c r="M26788" s="13"/>
    </row>
    <row r="26789">
      <c r="F26789" s="13"/>
      <c r="M26789" s="13"/>
    </row>
    <row r="26790">
      <c r="F26790" s="13"/>
      <c r="M26790" s="13"/>
    </row>
    <row r="26791">
      <c r="F26791" s="13"/>
      <c r="M26791" s="13"/>
    </row>
    <row r="26792">
      <c r="F26792" s="13"/>
      <c r="M26792" s="13"/>
    </row>
    <row r="26793">
      <c r="F26793" s="13"/>
      <c r="M26793" s="13"/>
    </row>
    <row r="26794">
      <c r="F26794" s="13"/>
      <c r="M26794" s="13"/>
    </row>
    <row r="26795">
      <c r="F26795" s="13"/>
      <c r="M26795" s="13"/>
    </row>
    <row r="26796">
      <c r="F26796" s="13"/>
      <c r="M26796" s="13"/>
    </row>
    <row r="26797">
      <c r="F26797" s="13"/>
      <c r="M26797" s="13"/>
    </row>
    <row r="26798">
      <c r="F26798" s="13"/>
      <c r="M26798" s="13"/>
    </row>
    <row r="26799">
      <c r="F26799" s="13"/>
      <c r="M26799" s="13"/>
    </row>
    <row r="26800">
      <c r="F26800" s="13"/>
      <c r="M26800" s="13"/>
    </row>
    <row r="26801">
      <c r="F26801" s="13"/>
      <c r="M26801" s="13"/>
    </row>
    <row r="26802">
      <c r="F26802" s="13"/>
      <c r="M26802" s="13"/>
    </row>
    <row r="26803">
      <c r="F26803" s="13"/>
      <c r="M26803" s="13"/>
    </row>
    <row r="26804">
      <c r="F26804" s="13"/>
      <c r="M26804" s="13"/>
    </row>
    <row r="26805">
      <c r="F26805" s="13"/>
      <c r="M26805" s="13"/>
    </row>
    <row r="26806">
      <c r="F26806" s="13"/>
      <c r="M26806" s="13"/>
    </row>
    <row r="26807">
      <c r="F26807" s="13"/>
      <c r="M26807" s="13"/>
    </row>
    <row r="26808">
      <c r="F26808" s="13"/>
      <c r="M26808" s="13"/>
    </row>
    <row r="26809">
      <c r="F26809" s="13"/>
      <c r="M26809" s="13"/>
    </row>
    <row r="26810">
      <c r="F26810" s="13"/>
      <c r="M26810" s="13"/>
    </row>
    <row r="26811">
      <c r="F26811" s="13"/>
      <c r="M26811" s="13"/>
    </row>
    <row r="26812">
      <c r="F26812" s="13"/>
      <c r="M26812" s="13"/>
    </row>
    <row r="26813">
      <c r="F26813" s="13"/>
      <c r="M26813" s="13"/>
    </row>
    <row r="26814">
      <c r="F26814" s="13"/>
      <c r="M26814" s="13"/>
    </row>
    <row r="26815">
      <c r="F26815" s="13"/>
      <c r="M26815" s="13"/>
    </row>
    <row r="26816">
      <c r="F26816" s="13"/>
      <c r="M26816" s="13"/>
    </row>
    <row r="26817">
      <c r="F26817" s="13"/>
      <c r="M26817" s="13"/>
    </row>
    <row r="26818">
      <c r="F26818" s="13"/>
      <c r="M26818" s="13"/>
    </row>
    <row r="26819">
      <c r="F26819" s="13"/>
      <c r="M26819" s="13"/>
    </row>
    <row r="26820">
      <c r="F26820" s="13"/>
      <c r="M26820" s="13"/>
    </row>
    <row r="26821">
      <c r="F26821" s="13"/>
      <c r="M26821" s="13"/>
    </row>
    <row r="26822">
      <c r="F26822" s="13"/>
      <c r="M26822" s="13"/>
    </row>
    <row r="26823">
      <c r="F26823" s="13"/>
      <c r="M26823" s="13"/>
    </row>
    <row r="26824">
      <c r="F26824" s="13"/>
      <c r="M26824" s="13"/>
    </row>
    <row r="26825">
      <c r="F26825" s="13"/>
      <c r="M26825" s="13"/>
    </row>
    <row r="26826">
      <c r="F26826" s="13"/>
      <c r="M26826" s="13"/>
    </row>
    <row r="26827">
      <c r="F26827" s="13"/>
      <c r="M26827" s="13"/>
    </row>
    <row r="26828">
      <c r="F26828" s="13"/>
      <c r="M26828" s="13"/>
    </row>
    <row r="26829">
      <c r="F26829" s="13"/>
      <c r="M26829" s="13"/>
    </row>
    <row r="26830">
      <c r="F26830" s="13"/>
      <c r="M26830" s="13"/>
    </row>
    <row r="26831">
      <c r="F26831" s="13"/>
      <c r="M26831" s="13"/>
    </row>
    <row r="26832">
      <c r="F26832" s="13"/>
      <c r="M26832" s="13"/>
    </row>
    <row r="26833">
      <c r="F26833" s="13"/>
      <c r="M26833" s="13"/>
    </row>
    <row r="26834">
      <c r="F26834" s="13"/>
      <c r="M26834" s="13"/>
    </row>
    <row r="26835">
      <c r="F26835" s="13"/>
      <c r="M26835" s="13"/>
    </row>
    <row r="26836">
      <c r="F26836" s="13"/>
      <c r="M26836" s="13"/>
    </row>
    <row r="26837">
      <c r="F26837" s="13"/>
      <c r="M26837" s="13"/>
    </row>
    <row r="26838">
      <c r="F26838" s="13"/>
      <c r="M26838" s="13"/>
    </row>
    <row r="26839">
      <c r="F26839" s="13"/>
      <c r="M26839" s="13"/>
    </row>
    <row r="26840">
      <c r="F26840" s="13"/>
      <c r="M26840" s="13"/>
    </row>
    <row r="26841">
      <c r="F26841" s="13"/>
      <c r="M26841" s="13"/>
    </row>
    <row r="26842">
      <c r="F26842" s="13"/>
      <c r="M26842" s="13"/>
    </row>
    <row r="26843">
      <c r="F26843" s="13"/>
      <c r="M26843" s="13"/>
    </row>
    <row r="26844">
      <c r="F26844" s="13"/>
      <c r="M26844" s="13"/>
    </row>
    <row r="26845">
      <c r="F26845" s="13"/>
      <c r="M26845" s="13"/>
    </row>
    <row r="26846">
      <c r="F26846" s="13"/>
      <c r="M26846" s="13"/>
    </row>
    <row r="26847">
      <c r="F26847" s="13"/>
      <c r="M26847" s="13"/>
    </row>
    <row r="26848">
      <c r="F26848" s="13"/>
      <c r="M26848" s="13"/>
    </row>
    <row r="26849">
      <c r="F26849" s="13"/>
      <c r="M26849" s="13"/>
    </row>
    <row r="26850">
      <c r="F26850" s="13"/>
      <c r="M26850" s="13"/>
    </row>
    <row r="26851">
      <c r="F26851" s="13"/>
      <c r="M26851" s="13"/>
    </row>
    <row r="26852">
      <c r="F26852" s="13"/>
      <c r="M26852" s="13"/>
    </row>
    <row r="26853">
      <c r="F26853" s="13"/>
      <c r="M26853" s="13"/>
    </row>
    <row r="26854">
      <c r="F26854" s="13"/>
      <c r="M26854" s="13"/>
    </row>
    <row r="26855">
      <c r="F26855" s="13"/>
      <c r="M26855" s="13"/>
    </row>
    <row r="26856">
      <c r="F26856" s="13"/>
      <c r="M26856" s="13"/>
    </row>
    <row r="26857">
      <c r="F26857" s="13"/>
      <c r="M26857" s="13"/>
    </row>
    <row r="26858">
      <c r="F26858" s="13"/>
      <c r="M26858" s="13"/>
    </row>
    <row r="26859">
      <c r="F26859" s="13"/>
      <c r="M26859" s="13"/>
    </row>
    <row r="26860">
      <c r="F26860" s="13"/>
      <c r="M26860" s="13"/>
    </row>
    <row r="26861">
      <c r="F26861" s="13"/>
      <c r="M26861" s="13"/>
    </row>
    <row r="26862">
      <c r="F26862" s="13"/>
      <c r="M26862" s="13"/>
    </row>
    <row r="26863">
      <c r="F26863" s="13"/>
      <c r="M26863" s="13"/>
    </row>
    <row r="26864">
      <c r="F26864" s="13"/>
      <c r="M26864" s="13"/>
    </row>
    <row r="26865">
      <c r="F26865" s="13"/>
      <c r="M26865" s="13"/>
    </row>
    <row r="26866">
      <c r="F26866" s="13"/>
      <c r="M26866" s="13"/>
    </row>
    <row r="26867">
      <c r="F26867" s="13"/>
      <c r="M26867" s="13"/>
    </row>
    <row r="26868">
      <c r="F26868" s="13"/>
      <c r="M26868" s="13"/>
    </row>
    <row r="26869">
      <c r="F26869" s="13"/>
      <c r="M26869" s="13"/>
    </row>
    <row r="26870">
      <c r="F26870" s="13"/>
      <c r="M26870" s="13"/>
    </row>
    <row r="26871">
      <c r="F26871" s="13"/>
      <c r="M26871" s="13"/>
    </row>
    <row r="26872">
      <c r="F26872" s="13"/>
      <c r="M26872" s="13"/>
    </row>
    <row r="26873">
      <c r="F26873" s="13"/>
      <c r="M26873" s="13"/>
    </row>
    <row r="26874">
      <c r="F26874" s="13"/>
      <c r="M26874" s="13"/>
    </row>
    <row r="26875">
      <c r="F26875" s="13"/>
      <c r="M26875" s="13"/>
    </row>
    <row r="26876">
      <c r="F26876" s="13"/>
      <c r="M26876" s="13"/>
    </row>
    <row r="26877">
      <c r="F26877" s="13"/>
      <c r="M26877" s="13"/>
    </row>
    <row r="26878">
      <c r="F26878" s="13"/>
      <c r="M26878" s="13"/>
    </row>
    <row r="26879">
      <c r="F26879" s="13"/>
      <c r="M26879" s="13"/>
    </row>
    <row r="26880">
      <c r="F26880" s="13"/>
      <c r="M26880" s="13"/>
    </row>
    <row r="26881">
      <c r="F26881" s="13"/>
      <c r="M26881" s="13"/>
    </row>
    <row r="26882">
      <c r="F26882" s="13"/>
      <c r="M26882" s="13"/>
    </row>
    <row r="26883">
      <c r="F26883" s="13"/>
      <c r="M26883" s="13"/>
    </row>
    <row r="26884">
      <c r="F26884" s="13"/>
      <c r="M26884" s="13"/>
    </row>
    <row r="26885">
      <c r="F26885" s="13"/>
      <c r="M26885" s="13"/>
    </row>
    <row r="26886">
      <c r="F26886" s="13"/>
      <c r="M26886" s="13"/>
    </row>
    <row r="26887">
      <c r="F26887" s="13"/>
      <c r="M26887" s="13"/>
    </row>
    <row r="26888">
      <c r="F26888" s="13"/>
      <c r="M26888" s="13"/>
    </row>
    <row r="26889">
      <c r="F26889" s="13"/>
      <c r="M26889" s="13"/>
    </row>
    <row r="26890">
      <c r="F26890" s="13"/>
      <c r="M26890" s="13"/>
    </row>
    <row r="26891">
      <c r="F26891" s="13"/>
      <c r="M26891" s="13"/>
    </row>
    <row r="26892">
      <c r="F26892" s="13"/>
      <c r="M26892" s="13"/>
    </row>
    <row r="26893">
      <c r="F26893" s="13"/>
      <c r="M26893" s="13"/>
    </row>
    <row r="26894">
      <c r="F26894" s="13"/>
      <c r="M26894" s="13"/>
    </row>
    <row r="26895">
      <c r="F26895" s="13"/>
      <c r="M26895" s="13"/>
    </row>
    <row r="26896">
      <c r="F26896" s="13"/>
      <c r="M26896" s="13"/>
    </row>
    <row r="26897">
      <c r="F26897" s="13"/>
      <c r="M26897" s="13"/>
    </row>
    <row r="26898">
      <c r="F26898" s="13"/>
      <c r="M26898" s="13"/>
    </row>
    <row r="26899">
      <c r="F26899" s="13"/>
      <c r="M26899" s="13"/>
    </row>
    <row r="26900">
      <c r="F26900" s="13"/>
      <c r="M26900" s="13"/>
    </row>
    <row r="26901">
      <c r="F26901" s="13"/>
      <c r="M26901" s="13"/>
    </row>
    <row r="26902">
      <c r="F26902" s="13"/>
      <c r="M26902" s="13"/>
    </row>
    <row r="26903">
      <c r="F26903" s="13"/>
      <c r="M26903" s="13"/>
    </row>
    <row r="26904">
      <c r="F26904" s="13"/>
      <c r="M26904" s="13"/>
    </row>
    <row r="26905">
      <c r="F26905" s="13"/>
      <c r="M26905" s="13"/>
    </row>
    <row r="26906">
      <c r="F26906" s="13"/>
      <c r="M26906" s="13"/>
    </row>
    <row r="26907">
      <c r="F26907" s="13"/>
      <c r="M26907" s="13"/>
    </row>
    <row r="26908">
      <c r="F26908" s="13"/>
      <c r="M26908" s="13"/>
    </row>
    <row r="26909">
      <c r="F26909" s="13"/>
      <c r="M26909" s="13"/>
    </row>
    <row r="26910">
      <c r="F26910" s="13"/>
      <c r="M26910" s="13"/>
    </row>
    <row r="26911">
      <c r="F26911" s="13"/>
      <c r="M26911" s="13"/>
    </row>
    <row r="26912">
      <c r="F26912" s="13"/>
      <c r="M26912" s="13"/>
    </row>
    <row r="26913">
      <c r="F26913" s="13"/>
      <c r="M26913" s="13"/>
    </row>
    <row r="26914">
      <c r="F26914" s="13"/>
      <c r="M26914" s="13"/>
    </row>
    <row r="26915">
      <c r="F26915" s="13"/>
      <c r="M26915" s="13"/>
    </row>
    <row r="26916">
      <c r="F26916" s="13"/>
      <c r="M26916" s="13"/>
    </row>
    <row r="26917">
      <c r="F26917" s="13"/>
      <c r="M26917" s="13"/>
    </row>
    <row r="26918">
      <c r="F26918" s="13"/>
      <c r="M26918" s="13"/>
    </row>
    <row r="26919">
      <c r="F26919" s="13"/>
      <c r="M26919" s="13"/>
    </row>
    <row r="26920">
      <c r="F26920" s="13"/>
      <c r="M26920" s="13"/>
    </row>
    <row r="26921">
      <c r="F26921" s="13"/>
      <c r="M26921" s="13"/>
    </row>
    <row r="26922">
      <c r="F26922" s="13"/>
      <c r="M26922" s="13"/>
    </row>
    <row r="26923">
      <c r="F26923" s="13"/>
      <c r="M26923" s="13"/>
    </row>
    <row r="26924">
      <c r="F26924" s="13"/>
      <c r="M26924" s="13"/>
    </row>
    <row r="26925">
      <c r="F26925" s="13"/>
      <c r="M26925" s="13"/>
    </row>
    <row r="26926">
      <c r="F26926" s="13"/>
      <c r="M26926" s="13"/>
    </row>
    <row r="26927">
      <c r="F26927" s="13"/>
      <c r="M26927" s="13"/>
    </row>
    <row r="26928">
      <c r="F26928" s="13"/>
      <c r="M26928" s="13"/>
    </row>
    <row r="26929">
      <c r="F26929" s="13"/>
      <c r="M26929" s="13"/>
    </row>
    <row r="26930">
      <c r="F26930" s="13"/>
      <c r="M26930" s="13"/>
    </row>
    <row r="26931">
      <c r="F26931" s="13"/>
      <c r="M26931" s="13"/>
    </row>
    <row r="26932">
      <c r="F26932" s="13"/>
      <c r="M26932" s="13"/>
    </row>
    <row r="26933">
      <c r="F26933" s="13"/>
      <c r="M26933" s="13"/>
    </row>
    <row r="26934">
      <c r="F26934" s="13"/>
      <c r="M26934" s="13"/>
    </row>
    <row r="26935">
      <c r="F26935" s="13"/>
      <c r="M26935" s="13"/>
    </row>
    <row r="26936">
      <c r="F26936" s="13"/>
      <c r="M26936" s="13"/>
    </row>
    <row r="26937">
      <c r="F26937" s="13"/>
      <c r="M26937" s="13"/>
    </row>
    <row r="26938">
      <c r="F26938" s="13"/>
      <c r="M26938" s="13"/>
    </row>
    <row r="26939">
      <c r="F26939" s="13"/>
      <c r="M26939" s="13"/>
    </row>
    <row r="26940">
      <c r="F26940" s="13"/>
      <c r="M26940" s="13"/>
    </row>
    <row r="26941">
      <c r="F26941" s="13"/>
      <c r="M26941" s="13"/>
    </row>
    <row r="26942">
      <c r="F26942" s="13"/>
      <c r="M26942" s="13"/>
    </row>
    <row r="26943">
      <c r="F26943" s="13"/>
      <c r="M26943" s="13"/>
    </row>
    <row r="26944">
      <c r="F26944" s="13"/>
      <c r="M26944" s="13"/>
    </row>
    <row r="26945">
      <c r="F26945" s="13"/>
      <c r="M26945" s="13"/>
    </row>
    <row r="26946">
      <c r="F26946" s="13"/>
      <c r="M26946" s="13"/>
    </row>
    <row r="26947">
      <c r="F26947" s="13"/>
      <c r="M26947" s="13"/>
    </row>
    <row r="26948">
      <c r="F26948" s="13"/>
      <c r="M26948" s="13"/>
    </row>
    <row r="26949">
      <c r="F26949" s="13"/>
      <c r="M26949" s="13"/>
    </row>
    <row r="26950">
      <c r="F26950" s="13"/>
      <c r="M26950" s="13"/>
    </row>
    <row r="26951">
      <c r="F26951" s="13"/>
      <c r="M26951" s="13"/>
    </row>
    <row r="26952">
      <c r="F26952" s="13"/>
      <c r="M26952" s="13"/>
    </row>
    <row r="26953">
      <c r="F26953" s="13"/>
      <c r="M26953" s="13"/>
    </row>
    <row r="26954">
      <c r="F26954" s="13"/>
      <c r="M26954" s="13"/>
    </row>
    <row r="26955">
      <c r="F26955" s="13"/>
      <c r="M26955" s="13"/>
    </row>
    <row r="26956">
      <c r="F26956" s="13"/>
      <c r="M26956" s="13"/>
    </row>
    <row r="26957">
      <c r="F26957" s="13"/>
      <c r="M26957" s="13"/>
    </row>
    <row r="26958">
      <c r="F26958" s="13"/>
      <c r="M26958" s="13"/>
    </row>
    <row r="26959">
      <c r="F26959" s="13"/>
      <c r="M26959" s="13"/>
    </row>
    <row r="26960">
      <c r="F26960" s="13"/>
      <c r="M26960" s="13"/>
    </row>
    <row r="26961">
      <c r="F26961" s="13"/>
      <c r="M26961" s="13"/>
    </row>
    <row r="26962">
      <c r="F26962" s="13"/>
      <c r="M26962" s="13"/>
    </row>
    <row r="26963">
      <c r="F26963" s="13"/>
      <c r="M26963" s="13"/>
    </row>
    <row r="26964">
      <c r="F26964" s="13"/>
      <c r="M26964" s="13"/>
    </row>
    <row r="26965">
      <c r="F26965" s="13"/>
      <c r="M26965" s="13"/>
    </row>
    <row r="26966">
      <c r="F26966" s="13"/>
      <c r="M26966" s="13"/>
    </row>
    <row r="26967">
      <c r="F26967" s="13"/>
      <c r="M26967" s="13"/>
    </row>
    <row r="26968">
      <c r="F26968" s="13"/>
      <c r="M26968" s="13"/>
    </row>
    <row r="26969">
      <c r="F26969" s="13"/>
      <c r="M26969" s="13"/>
    </row>
    <row r="26970">
      <c r="F26970" s="13"/>
      <c r="M26970" s="13"/>
    </row>
    <row r="26971">
      <c r="F26971" s="13"/>
      <c r="M26971" s="13"/>
    </row>
    <row r="26972">
      <c r="F26972" s="13"/>
      <c r="M26972" s="13"/>
    </row>
    <row r="26973">
      <c r="F26973" s="13"/>
      <c r="M26973" s="13"/>
    </row>
    <row r="26974">
      <c r="F26974" s="13"/>
      <c r="M26974" s="13"/>
    </row>
    <row r="26975">
      <c r="F26975" s="13"/>
      <c r="M26975" s="13"/>
    </row>
    <row r="26976">
      <c r="F26976" s="13"/>
      <c r="M26976" s="13"/>
    </row>
    <row r="26977">
      <c r="F26977" s="13"/>
      <c r="M26977" s="13"/>
    </row>
    <row r="26978">
      <c r="F26978" s="13"/>
      <c r="M26978" s="13"/>
    </row>
    <row r="26979">
      <c r="F26979" s="13"/>
      <c r="M26979" s="13"/>
    </row>
    <row r="26980">
      <c r="F26980" s="13"/>
      <c r="M26980" s="13"/>
    </row>
    <row r="26981">
      <c r="F26981" s="13"/>
      <c r="M26981" s="13"/>
    </row>
    <row r="26982">
      <c r="F26982" s="13"/>
      <c r="M26982" s="13"/>
    </row>
    <row r="26983">
      <c r="F26983" s="13"/>
      <c r="M26983" s="13"/>
    </row>
    <row r="26984">
      <c r="F26984" s="13"/>
      <c r="M26984" s="13"/>
    </row>
    <row r="26985">
      <c r="F26985" s="13"/>
      <c r="M26985" s="13"/>
    </row>
    <row r="26986">
      <c r="F26986" s="13"/>
      <c r="M26986" s="13"/>
    </row>
    <row r="26987">
      <c r="F26987" s="13"/>
      <c r="M26987" s="13"/>
    </row>
    <row r="26988">
      <c r="F26988" s="13"/>
      <c r="M26988" s="13"/>
    </row>
    <row r="26989">
      <c r="F26989" s="13"/>
      <c r="M26989" s="13"/>
    </row>
    <row r="26990">
      <c r="F26990" s="13"/>
      <c r="M26990" s="13"/>
    </row>
    <row r="26991">
      <c r="F26991" s="13"/>
      <c r="M26991" s="13"/>
    </row>
    <row r="26992">
      <c r="F26992" s="13"/>
      <c r="M26992" s="13"/>
    </row>
    <row r="26993">
      <c r="F26993" s="13"/>
      <c r="M26993" s="13"/>
    </row>
    <row r="26994">
      <c r="F26994" s="13"/>
      <c r="M26994" s="13"/>
    </row>
    <row r="26995">
      <c r="F26995" s="13"/>
      <c r="M26995" s="13"/>
    </row>
    <row r="26996">
      <c r="F26996" s="13"/>
      <c r="M26996" s="13"/>
    </row>
    <row r="26997">
      <c r="F26997" s="13"/>
      <c r="M26997" s="13"/>
    </row>
    <row r="26998">
      <c r="F26998" s="13"/>
      <c r="M26998" s="13"/>
    </row>
    <row r="26999">
      <c r="F26999" s="13"/>
      <c r="M26999" s="13"/>
    </row>
    <row r="27000">
      <c r="F27000" s="13"/>
      <c r="M27000" s="13"/>
    </row>
    <row r="27001">
      <c r="F27001" s="13"/>
      <c r="M27001" s="13"/>
    </row>
    <row r="27002">
      <c r="F27002" s="13"/>
      <c r="M27002" s="13"/>
    </row>
    <row r="27003">
      <c r="F27003" s="13"/>
      <c r="M27003" s="13"/>
    </row>
    <row r="27004">
      <c r="F27004" s="13"/>
      <c r="M27004" s="13"/>
    </row>
    <row r="27005">
      <c r="F27005" s="13"/>
      <c r="M27005" s="13"/>
    </row>
    <row r="27006">
      <c r="F27006" s="13"/>
      <c r="M27006" s="13"/>
    </row>
    <row r="27007">
      <c r="F27007" s="13"/>
      <c r="M27007" s="13"/>
    </row>
    <row r="27008">
      <c r="F27008" s="13"/>
      <c r="M27008" s="13"/>
    </row>
    <row r="27009">
      <c r="F27009" s="13"/>
      <c r="M27009" s="13"/>
    </row>
    <row r="27010">
      <c r="F27010" s="13"/>
      <c r="M27010" s="13"/>
    </row>
    <row r="27011">
      <c r="F27011" s="13"/>
      <c r="M27011" s="13"/>
    </row>
    <row r="27012">
      <c r="F27012" s="13"/>
      <c r="M27012" s="13"/>
    </row>
    <row r="27013">
      <c r="F27013" s="13"/>
      <c r="M27013" s="13"/>
    </row>
    <row r="27014">
      <c r="F27014" s="13"/>
      <c r="M27014" s="13"/>
    </row>
    <row r="27015">
      <c r="F27015" s="13"/>
      <c r="M27015" s="13"/>
    </row>
    <row r="27016">
      <c r="F27016" s="13"/>
      <c r="M27016" s="13"/>
    </row>
    <row r="27017">
      <c r="F27017" s="13"/>
      <c r="M27017" s="13"/>
    </row>
    <row r="27018">
      <c r="F27018" s="13"/>
      <c r="M27018" s="13"/>
    </row>
    <row r="27019">
      <c r="F27019" s="13"/>
      <c r="M27019" s="13"/>
    </row>
    <row r="27020">
      <c r="F27020" s="13"/>
      <c r="M27020" s="13"/>
    </row>
    <row r="27021">
      <c r="F27021" s="13"/>
      <c r="M27021" s="13"/>
    </row>
    <row r="27022">
      <c r="F27022" s="13"/>
      <c r="M27022" s="13"/>
    </row>
    <row r="27023">
      <c r="F27023" s="13"/>
      <c r="M27023" s="13"/>
    </row>
    <row r="27024">
      <c r="F27024" s="13"/>
      <c r="M27024" s="13"/>
    </row>
    <row r="27025">
      <c r="F27025" s="13"/>
      <c r="M27025" s="13"/>
    </row>
    <row r="27026">
      <c r="F27026" s="13"/>
      <c r="M27026" s="13"/>
    </row>
    <row r="27027">
      <c r="F27027" s="13"/>
      <c r="M27027" s="13"/>
    </row>
    <row r="27028">
      <c r="F27028" s="13"/>
      <c r="M27028" s="13"/>
    </row>
    <row r="27029">
      <c r="F27029" s="13"/>
      <c r="M27029" s="13"/>
    </row>
    <row r="27030">
      <c r="F27030" s="13"/>
      <c r="M27030" s="13"/>
    </row>
    <row r="27031">
      <c r="F27031" s="13"/>
      <c r="M27031" s="13"/>
    </row>
    <row r="27032">
      <c r="F27032" s="13"/>
      <c r="M27032" s="13"/>
    </row>
    <row r="27033">
      <c r="F27033" s="13"/>
      <c r="M27033" s="13"/>
    </row>
    <row r="27034">
      <c r="F27034" s="13"/>
      <c r="M27034" s="13"/>
    </row>
    <row r="27035">
      <c r="F27035" s="13"/>
      <c r="M27035" s="13"/>
    </row>
    <row r="27036">
      <c r="F27036" s="13"/>
      <c r="M27036" s="13"/>
    </row>
    <row r="27037">
      <c r="F27037" s="13"/>
      <c r="M27037" s="13"/>
    </row>
    <row r="27038">
      <c r="F27038" s="13"/>
      <c r="M27038" s="13"/>
    </row>
    <row r="27039">
      <c r="F27039" s="13"/>
      <c r="M27039" s="13"/>
    </row>
    <row r="27040">
      <c r="F27040" s="13"/>
      <c r="M27040" s="13"/>
    </row>
    <row r="27041">
      <c r="F27041" s="13"/>
      <c r="M27041" s="13"/>
    </row>
    <row r="27042">
      <c r="F27042" s="13"/>
      <c r="M27042" s="13"/>
    </row>
    <row r="27043">
      <c r="F27043" s="13"/>
      <c r="M27043" s="13"/>
    </row>
    <row r="27044">
      <c r="F27044" s="13"/>
      <c r="M27044" s="13"/>
    </row>
    <row r="27045">
      <c r="F27045" s="13"/>
      <c r="M27045" s="13"/>
    </row>
    <row r="27046">
      <c r="F27046" s="13"/>
      <c r="M27046" s="13"/>
    </row>
    <row r="27047">
      <c r="F27047" s="13"/>
      <c r="M27047" s="13"/>
    </row>
    <row r="27048">
      <c r="F27048" s="13"/>
      <c r="M27048" s="13"/>
    </row>
    <row r="27049">
      <c r="F27049" s="13"/>
      <c r="M27049" s="13"/>
    </row>
    <row r="27050">
      <c r="F27050" s="13"/>
      <c r="M27050" s="13"/>
    </row>
    <row r="27051">
      <c r="F27051" s="13"/>
      <c r="M27051" s="13"/>
    </row>
    <row r="27052">
      <c r="F27052" s="13"/>
      <c r="M27052" s="13"/>
    </row>
    <row r="27053">
      <c r="F27053" s="13"/>
      <c r="M27053" s="13"/>
    </row>
    <row r="27054">
      <c r="F27054" s="13"/>
      <c r="M27054" s="13"/>
    </row>
    <row r="27055">
      <c r="F27055" s="13"/>
      <c r="M27055" s="13"/>
    </row>
    <row r="27056">
      <c r="F27056" s="13"/>
      <c r="M27056" s="13"/>
    </row>
    <row r="27057">
      <c r="F27057" s="13"/>
      <c r="M27057" s="13"/>
    </row>
    <row r="27058">
      <c r="F27058" s="13"/>
      <c r="M27058" s="13"/>
    </row>
    <row r="27059">
      <c r="F27059" s="13"/>
      <c r="M27059" s="13"/>
    </row>
    <row r="27060">
      <c r="F27060" s="13"/>
      <c r="M27060" s="13"/>
    </row>
    <row r="27061">
      <c r="F27061" s="13"/>
      <c r="M27061" s="13"/>
    </row>
    <row r="27062">
      <c r="F27062" s="13"/>
      <c r="M27062" s="13"/>
    </row>
    <row r="27063">
      <c r="F27063" s="13"/>
      <c r="M27063" s="13"/>
    </row>
    <row r="27064">
      <c r="F27064" s="13"/>
      <c r="M27064" s="13"/>
    </row>
    <row r="27065">
      <c r="F27065" s="13"/>
      <c r="M27065" s="13"/>
    </row>
    <row r="27066">
      <c r="F27066" s="13"/>
      <c r="M27066" s="13"/>
    </row>
    <row r="27067">
      <c r="F27067" s="13"/>
      <c r="M27067" s="13"/>
    </row>
    <row r="27068">
      <c r="F27068" s="13"/>
      <c r="M27068" s="13"/>
    </row>
    <row r="27069">
      <c r="F27069" s="13"/>
      <c r="M27069" s="13"/>
    </row>
    <row r="27070">
      <c r="F27070" s="13"/>
      <c r="M27070" s="13"/>
    </row>
    <row r="27071">
      <c r="F27071" s="13"/>
      <c r="M27071" s="13"/>
    </row>
    <row r="27072">
      <c r="F27072" s="13"/>
      <c r="M27072" s="13"/>
    </row>
    <row r="27073">
      <c r="F27073" s="13"/>
      <c r="M27073" s="13"/>
    </row>
    <row r="27074">
      <c r="F27074" s="13"/>
      <c r="M27074" s="13"/>
    </row>
    <row r="27075">
      <c r="F27075" s="13"/>
      <c r="M27075" s="13"/>
    </row>
    <row r="27076">
      <c r="F27076" s="13"/>
      <c r="M27076" s="13"/>
    </row>
    <row r="27077">
      <c r="F27077" s="13"/>
      <c r="M27077" s="13"/>
    </row>
    <row r="27078">
      <c r="F27078" s="13"/>
      <c r="M27078" s="13"/>
    </row>
    <row r="27079">
      <c r="F27079" s="13"/>
      <c r="M27079" s="13"/>
    </row>
    <row r="27080">
      <c r="F27080" s="13"/>
      <c r="M27080" s="13"/>
    </row>
    <row r="27081">
      <c r="F27081" s="13"/>
      <c r="M27081" s="13"/>
    </row>
    <row r="27082">
      <c r="F27082" s="13"/>
      <c r="M27082" s="13"/>
    </row>
    <row r="27083">
      <c r="F27083" s="13"/>
      <c r="M27083" s="13"/>
    </row>
    <row r="27084">
      <c r="F27084" s="13"/>
      <c r="M27084" s="13"/>
    </row>
    <row r="27085">
      <c r="F27085" s="13"/>
      <c r="M27085" s="13"/>
    </row>
    <row r="27086">
      <c r="F27086" s="13"/>
      <c r="M27086" s="13"/>
    </row>
    <row r="27087">
      <c r="F27087" s="13"/>
      <c r="M27087" s="13"/>
    </row>
    <row r="27088">
      <c r="F27088" s="13"/>
      <c r="M27088" s="13"/>
    </row>
    <row r="27089">
      <c r="F27089" s="13"/>
      <c r="M27089" s="13"/>
    </row>
    <row r="27090">
      <c r="F27090" s="13"/>
      <c r="M27090" s="13"/>
    </row>
    <row r="27091">
      <c r="F27091" s="13"/>
      <c r="M27091" s="13"/>
    </row>
    <row r="27092">
      <c r="F27092" s="13"/>
      <c r="M27092" s="13"/>
    </row>
    <row r="27093">
      <c r="F27093" s="13"/>
      <c r="M27093" s="13"/>
    </row>
    <row r="27094">
      <c r="F27094" s="13"/>
      <c r="M27094" s="13"/>
    </row>
    <row r="27095">
      <c r="F27095" s="13"/>
      <c r="M27095" s="13"/>
    </row>
    <row r="27096">
      <c r="F27096" s="13"/>
      <c r="M27096" s="13"/>
    </row>
    <row r="27097">
      <c r="F27097" s="13"/>
      <c r="M27097" s="13"/>
    </row>
    <row r="27098">
      <c r="F27098" s="13"/>
      <c r="M27098" s="13"/>
    </row>
    <row r="27099">
      <c r="F27099" s="13"/>
      <c r="M27099" s="13"/>
    </row>
    <row r="27100">
      <c r="F27100" s="13"/>
      <c r="M27100" s="13"/>
    </row>
    <row r="27101">
      <c r="F27101" s="13"/>
      <c r="M27101" s="13"/>
    </row>
    <row r="27102">
      <c r="F27102" s="13"/>
      <c r="M27102" s="13"/>
    </row>
    <row r="27103">
      <c r="F27103" s="13"/>
      <c r="M27103" s="13"/>
    </row>
    <row r="27104">
      <c r="F27104" s="13"/>
      <c r="M27104" s="13"/>
    </row>
    <row r="27105">
      <c r="F27105" s="13"/>
      <c r="M27105" s="13"/>
    </row>
    <row r="27106">
      <c r="F27106" s="13"/>
      <c r="M27106" s="13"/>
    </row>
    <row r="27107">
      <c r="F27107" s="13"/>
      <c r="M27107" s="13"/>
    </row>
    <row r="27108">
      <c r="F27108" s="13"/>
      <c r="M27108" s="13"/>
    </row>
    <row r="27109">
      <c r="F27109" s="13"/>
      <c r="M27109" s="13"/>
    </row>
    <row r="27110">
      <c r="F27110" s="13"/>
      <c r="M27110" s="13"/>
    </row>
    <row r="27111">
      <c r="F27111" s="13"/>
      <c r="M27111" s="13"/>
    </row>
    <row r="27112">
      <c r="F27112" s="13"/>
      <c r="M27112" s="13"/>
    </row>
    <row r="27113">
      <c r="F27113" s="13"/>
      <c r="M27113" s="13"/>
    </row>
    <row r="27114">
      <c r="F27114" s="13"/>
      <c r="M27114" s="13"/>
    </row>
    <row r="27115">
      <c r="F27115" s="13"/>
      <c r="M27115" s="13"/>
    </row>
    <row r="27116">
      <c r="F27116" s="13"/>
      <c r="M27116" s="13"/>
    </row>
    <row r="27117">
      <c r="F27117" s="13"/>
      <c r="M27117" s="13"/>
    </row>
    <row r="27118">
      <c r="F27118" s="13"/>
      <c r="M27118" s="13"/>
    </row>
    <row r="27119">
      <c r="F27119" s="13"/>
      <c r="M27119" s="13"/>
    </row>
    <row r="27120">
      <c r="F27120" s="13"/>
      <c r="M27120" s="13"/>
    </row>
    <row r="27121">
      <c r="F27121" s="13"/>
      <c r="M27121" s="13"/>
    </row>
    <row r="27122">
      <c r="F27122" s="13"/>
      <c r="M27122" s="13"/>
    </row>
    <row r="27123">
      <c r="F27123" s="13"/>
      <c r="M27123" s="13"/>
    </row>
    <row r="27124">
      <c r="F27124" s="13"/>
      <c r="M27124" s="13"/>
    </row>
    <row r="27125">
      <c r="F27125" s="13"/>
      <c r="M27125" s="13"/>
    </row>
    <row r="27126">
      <c r="F27126" s="13"/>
      <c r="M27126" s="13"/>
    </row>
    <row r="27127">
      <c r="F27127" s="13"/>
      <c r="M27127" s="13"/>
    </row>
    <row r="27128">
      <c r="F27128" s="13"/>
      <c r="M27128" s="13"/>
    </row>
    <row r="27129">
      <c r="F27129" s="13"/>
      <c r="M27129" s="13"/>
    </row>
    <row r="27130">
      <c r="F27130" s="13"/>
      <c r="M27130" s="13"/>
    </row>
    <row r="27131">
      <c r="F27131" s="13"/>
      <c r="M27131" s="13"/>
    </row>
    <row r="27132">
      <c r="F27132" s="13"/>
      <c r="M27132" s="13"/>
    </row>
    <row r="27133">
      <c r="F27133" s="13"/>
      <c r="M27133" s="13"/>
    </row>
    <row r="27134">
      <c r="F27134" s="13"/>
      <c r="M27134" s="13"/>
    </row>
    <row r="27135">
      <c r="F27135" s="13"/>
      <c r="M27135" s="13"/>
    </row>
    <row r="27136">
      <c r="F27136" s="13"/>
      <c r="M27136" s="13"/>
    </row>
    <row r="27137">
      <c r="F27137" s="13"/>
      <c r="M27137" s="13"/>
    </row>
    <row r="27138">
      <c r="F27138" s="13"/>
      <c r="M27138" s="13"/>
    </row>
    <row r="27139">
      <c r="F27139" s="13"/>
      <c r="M27139" s="13"/>
    </row>
    <row r="27140">
      <c r="F27140" s="13"/>
      <c r="M27140" s="13"/>
    </row>
    <row r="27141">
      <c r="F27141" s="13"/>
      <c r="M27141" s="13"/>
    </row>
    <row r="27142">
      <c r="F27142" s="13"/>
      <c r="M27142" s="13"/>
    </row>
    <row r="27143">
      <c r="F27143" s="13"/>
      <c r="M27143" s="13"/>
    </row>
    <row r="27144">
      <c r="F27144" s="13"/>
      <c r="M27144" s="13"/>
    </row>
    <row r="27145">
      <c r="F27145" s="13"/>
      <c r="M27145" s="13"/>
    </row>
    <row r="27146">
      <c r="F27146" s="13"/>
      <c r="M27146" s="13"/>
    </row>
    <row r="27147">
      <c r="F27147" s="13"/>
      <c r="M27147" s="13"/>
    </row>
    <row r="27148">
      <c r="F27148" s="13"/>
      <c r="M27148" s="13"/>
    </row>
    <row r="27149">
      <c r="F27149" s="13"/>
      <c r="M27149" s="13"/>
    </row>
    <row r="27150">
      <c r="F27150" s="13"/>
      <c r="M27150" s="13"/>
    </row>
    <row r="27151">
      <c r="F27151" s="13"/>
      <c r="M27151" s="13"/>
    </row>
    <row r="27152">
      <c r="F27152" s="13"/>
      <c r="M27152" s="13"/>
    </row>
    <row r="27153">
      <c r="F27153" s="13"/>
      <c r="M27153" s="13"/>
    </row>
    <row r="27154">
      <c r="F27154" s="13"/>
      <c r="M27154" s="13"/>
    </row>
    <row r="27155">
      <c r="F27155" s="13"/>
      <c r="M27155" s="13"/>
    </row>
    <row r="27156">
      <c r="F27156" s="13"/>
      <c r="M27156" s="13"/>
    </row>
    <row r="27157">
      <c r="F27157" s="13"/>
      <c r="M27157" s="13"/>
    </row>
    <row r="27158">
      <c r="F27158" s="13"/>
      <c r="M27158" s="13"/>
    </row>
    <row r="27159">
      <c r="F27159" s="13"/>
      <c r="M27159" s="13"/>
    </row>
    <row r="27160">
      <c r="F27160" s="13"/>
      <c r="M27160" s="13"/>
    </row>
    <row r="27161">
      <c r="F27161" s="13"/>
      <c r="M27161" s="13"/>
    </row>
    <row r="27162">
      <c r="F27162" s="13"/>
      <c r="M27162" s="13"/>
    </row>
    <row r="27163">
      <c r="F27163" s="13"/>
      <c r="M27163" s="13"/>
    </row>
    <row r="27164">
      <c r="F27164" s="13"/>
      <c r="M27164" s="13"/>
    </row>
    <row r="27165">
      <c r="F27165" s="13"/>
      <c r="M27165" s="13"/>
    </row>
    <row r="27166">
      <c r="F27166" s="13"/>
      <c r="M27166" s="13"/>
    </row>
    <row r="27167">
      <c r="F27167" s="13"/>
      <c r="M27167" s="13"/>
    </row>
    <row r="27168">
      <c r="F27168" s="13"/>
      <c r="M27168" s="13"/>
    </row>
    <row r="27169">
      <c r="F27169" s="13"/>
      <c r="M27169" s="13"/>
    </row>
    <row r="27170">
      <c r="F27170" s="13"/>
      <c r="M27170" s="13"/>
    </row>
    <row r="27171">
      <c r="F27171" s="13"/>
      <c r="M27171" s="13"/>
    </row>
    <row r="27172">
      <c r="F27172" s="13"/>
      <c r="M27172" s="13"/>
    </row>
    <row r="27173">
      <c r="F27173" s="13"/>
      <c r="M27173" s="13"/>
    </row>
    <row r="27174">
      <c r="F27174" s="13"/>
      <c r="M27174" s="13"/>
    </row>
    <row r="27175">
      <c r="F27175" s="13"/>
      <c r="M27175" s="13"/>
    </row>
    <row r="27176">
      <c r="F27176" s="13"/>
      <c r="M27176" s="13"/>
    </row>
    <row r="27177">
      <c r="F27177" s="13"/>
      <c r="M27177" s="13"/>
    </row>
    <row r="27178">
      <c r="F27178" s="13"/>
      <c r="M27178" s="13"/>
    </row>
    <row r="27179">
      <c r="F27179" s="13"/>
      <c r="M27179" s="13"/>
    </row>
    <row r="27180">
      <c r="F27180" s="13"/>
      <c r="M27180" s="13"/>
    </row>
    <row r="27181">
      <c r="F27181" s="13"/>
      <c r="M27181" s="13"/>
    </row>
    <row r="27182">
      <c r="F27182" s="13"/>
      <c r="M27182" s="13"/>
    </row>
    <row r="27183">
      <c r="F27183" s="13"/>
      <c r="M27183" s="13"/>
    </row>
    <row r="27184">
      <c r="F27184" s="13"/>
      <c r="M27184" s="13"/>
    </row>
    <row r="27185">
      <c r="F27185" s="13"/>
      <c r="M27185" s="13"/>
    </row>
    <row r="27186">
      <c r="F27186" s="13"/>
      <c r="M27186" s="13"/>
    </row>
    <row r="27187">
      <c r="F27187" s="13"/>
      <c r="M27187" s="13"/>
    </row>
    <row r="27188">
      <c r="F27188" s="13"/>
      <c r="M27188" s="13"/>
    </row>
    <row r="27189">
      <c r="F27189" s="13"/>
      <c r="M27189" s="13"/>
    </row>
    <row r="27190">
      <c r="F27190" s="13"/>
      <c r="M27190" s="13"/>
    </row>
    <row r="27191">
      <c r="F27191" s="13"/>
      <c r="M27191" s="13"/>
    </row>
    <row r="27192">
      <c r="F27192" s="13"/>
      <c r="M27192" s="13"/>
    </row>
    <row r="27193">
      <c r="F27193" s="13"/>
      <c r="M27193" s="13"/>
    </row>
    <row r="27194">
      <c r="F27194" s="13"/>
      <c r="M27194" s="13"/>
    </row>
    <row r="27195">
      <c r="F27195" s="13"/>
      <c r="M27195" s="13"/>
    </row>
    <row r="27196">
      <c r="F27196" s="13"/>
      <c r="M27196" s="13"/>
    </row>
    <row r="27197">
      <c r="F27197" s="13"/>
      <c r="M27197" s="13"/>
    </row>
    <row r="27198">
      <c r="F27198" s="13"/>
      <c r="M27198" s="13"/>
    </row>
    <row r="27199">
      <c r="F27199" s="13"/>
      <c r="M27199" s="13"/>
    </row>
    <row r="27200">
      <c r="F27200" s="13"/>
      <c r="M27200" s="13"/>
    </row>
    <row r="27201">
      <c r="F27201" s="13"/>
      <c r="M27201" s="13"/>
    </row>
    <row r="27202">
      <c r="F27202" s="13"/>
      <c r="M27202" s="13"/>
    </row>
    <row r="27203">
      <c r="F27203" s="13"/>
      <c r="M27203" s="13"/>
    </row>
    <row r="27204">
      <c r="F27204" s="13"/>
      <c r="M27204" s="13"/>
    </row>
    <row r="27205">
      <c r="F27205" s="13"/>
      <c r="M27205" s="13"/>
    </row>
    <row r="27206">
      <c r="F27206" s="13"/>
      <c r="M27206" s="13"/>
    </row>
    <row r="27207">
      <c r="F27207" s="13"/>
      <c r="M27207" s="13"/>
    </row>
    <row r="27208">
      <c r="F27208" s="13"/>
      <c r="M27208" s="13"/>
    </row>
    <row r="27209">
      <c r="F27209" s="13"/>
      <c r="M27209" s="13"/>
    </row>
    <row r="27210">
      <c r="F27210" s="13"/>
      <c r="M27210" s="13"/>
    </row>
    <row r="27211">
      <c r="F27211" s="13"/>
      <c r="M27211" s="13"/>
    </row>
    <row r="27212">
      <c r="F27212" s="13"/>
      <c r="M27212" s="13"/>
    </row>
    <row r="27213">
      <c r="F27213" s="13"/>
      <c r="M27213" s="13"/>
    </row>
    <row r="27214">
      <c r="F27214" s="13"/>
      <c r="M27214" s="13"/>
    </row>
    <row r="27215">
      <c r="F27215" s="13"/>
      <c r="M27215" s="13"/>
    </row>
    <row r="27216">
      <c r="F27216" s="13"/>
      <c r="M27216" s="13"/>
    </row>
    <row r="27217">
      <c r="F27217" s="13"/>
      <c r="M27217" s="13"/>
    </row>
    <row r="27218">
      <c r="F27218" s="13"/>
      <c r="M27218" s="13"/>
    </row>
    <row r="27219">
      <c r="F27219" s="13"/>
      <c r="M27219" s="13"/>
    </row>
    <row r="27220">
      <c r="F27220" s="13"/>
      <c r="M27220" s="13"/>
    </row>
    <row r="27221">
      <c r="F27221" s="13"/>
      <c r="M27221" s="13"/>
    </row>
    <row r="27222">
      <c r="F27222" s="13"/>
      <c r="M27222" s="13"/>
    </row>
    <row r="27223">
      <c r="F27223" s="13"/>
      <c r="M27223" s="13"/>
    </row>
    <row r="27224">
      <c r="F27224" s="13"/>
      <c r="M27224" s="13"/>
    </row>
    <row r="27225">
      <c r="F27225" s="13"/>
      <c r="M27225" s="13"/>
    </row>
    <row r="27226">
      <c r="F27226" s="13"/>
      <c r="M27226" s="13"/>
    </row>
    <row r="27227">
      <c r="F27227" s="13"/>
      <c r="M27227" s="13"/>
    </row>
    <row r="27228">
      <c r="F27228" s="13"/>
      <c r="M27228" s="13"/>
    </row>
    <row r="27229">
      <c r="F27229" s="13"/>
      <c r="M27229" s="13"/>
    </row>
    <row r="27230">
      <c r="F27230" s="13"/>
      <c r="M27230" s="13"/>
    </row>
    <row r="27231">
      <c r="F27231" s="13"/>
      <c r="M27231" s="13"/>
    </row>
    <row r="27232">
      <c r="F27232" s="13"/>
      <c r="M27232" s="13"/>
    </row>
    <row r="27233">
      <c r="F27233" s="13"/>
      <c r="M27233" s="13"/>
    </row>
    <row r="27234">
      <c r="F27234" s="13"/>
      <c r="M27234" s="13"/>
    </row>
    <row r="27235">
      <c r="F27235" s="13"/>
      <c r="M27235" s="13"/>
    </row>
    <row r="27236">
      <c r="F27236" s="13"/>
      <c r="M27236" s="13"/>
    </row>
    <row r="27237">
      <c r="F27237" s="13"/>
      <c r="M27237" s="13"/>
    </row>
    <row r="27238">
      <c r="F27238" s="13"/>
      <c r="M27238" s="13"/>
    </row>
    <row r="27239">
      <c r="F27239" s="13"/>
      <c r="M27239" s="13"/>
    </row>
    <row r="27240">
      <c r="F27240" s="13"/>
      <c r="M27240" s="13"/>
    </row>
    <row r="27241">
      <c r="F27241" s="13"/>
      <c r="M27241" s="13"/>
    </row>
    <row r="27242">
      <c r="F27242" s="13"/>
      <c r="M27242" s="13"/>
    </row>
    <row r="27243">
      <c r="F27243" s="13"/>
      <c r="M27243" s="13"/>
    </row>
    <row r="27244">
      <c r="F27244" s="13"/>
      <c r="M27244" s="13"/>
    </row>
    <row r="27245">
      <c r="F27245" s="13"/>
      <c r="M27245" s="13"/>
    </row>
    <row r="27246">
      <c r="F27246" s="13"/>
      <c r="M27246" s="13"/>
    </row>
    <row r="27247">
      <c r="F27247" s="13"/>
      <c r="M27247" s="13"/>
    </row>
    <row r="27248">
      <c r="F27248" s="13"/>
      <c r="M27248" s="13"/>
    </row>
    <row r="27249">
      <c r="F27249" s="13"/>
      <c r="M27249" s="13"/>
    </row>
    <row r="27250">
      <c r="F27250" s="13"/>
      <c r="M27250" s="13"/>
    </row>
    <row r="27251">
      <c r="F27251" s="13"/>
      <c r="M27251" s="13"/>
    </row>
    <row r="27252">
      <c r="F27252" s="13"/>
      <c r="M27252" s="13"/>
    </row>
    <row r="27253">
      <c r="F27253" s="13"/>
      <c r="M27253" s="13"/>
    </row>
    <row r="27254">
      <c r="F27254" s="13"/>
      <c r="M27254" s="13"/>
    </row>
    <row r="27255">
      <c r="F27255" s="13"/>
      <c r="M27255" s="13"/>
    </row>
    <row r="27256">
      <c r="F27256" s="13"/>
      <c r="M27256" s="13"/>
    </row>
    <row r="27257">
      <c r="F27257" s="13"/>
      <c r="M27257" s="13"/>
    </row>
    <row r="27258">
      <c r="F27258" s="13"/>
      <c r="M27258" s="13"/>
    </row>
    <row r="27259">
      <c r="F27259" s="13"/>
      <c r="M27259" s="13"/>
    </row>
    <row r="27260">
      <c r="F27260" s="13"/>
      <c r="M27260" s="13"/>
    </row>
    <row r="27261">
      <c r="F27261" s="13"/>
      <c r="M27261" s="13"/>
    </row>
    <row r="27262">
      <c r="F27262" s="13"/>
      <c r="M27262" s="13"/>
    </row>
    <row r="27263">
      <c r="F27263" s="13"/>
      <c r="M27263" s="13"/>
    </row>
    <row r="27264">
      <c r="F27264" s="13"/>
      <c r="M27264" s="13"/>
    </row>
    <row r="27265">
      <c r="F27265" s="13"/>
      <c r="M27265" s="13"/>
    </row>
    <row r="27266">
      <c r="F27266" s="13"/>
      <c r="M27266" s="13"/>
    </row>
    <row r="27267">
      <c r="F27267" s="13"/>
      <c r="M27267" s="13"/>
    </row>
    <row r="27268">
      <c r="F27268" s="13"/>
      <c r="M27268" s="13"/>
    </row>
    <row r="27269">
      <c r="F27269" s="13"/>
      <c r="M27269" s="13"/>
    </row>
    <row r="27270">
      <c r="F27270" s="13"/>
      <c r="M27270" s="13"/>
    </row>
    <row r="27271">
      <c r="F27271" s="13"/>
      <c r="M27271" s="13"/>
    </row>
    <row r="27272">
      <c r="F27272" s="13"/>
      <c r="M27272" s="13"/>
    </row>
    <row r="27273">
      <c r="F27273" s="13"/>
      <c r="M27273" s="13"/>
    </row>
    <row r="27274">
      <c r="F27274" s="13"/>
      <c r="M27274" s="13"/>
    </row>
    <row r="27275">
      <c r="F27275" s="13"/>
      <c r="M27275" s="13"/>
    </row>
    <row r="27276">
      <c r="F27276" s="13"/>
      <c r="M27276" s="13"/>
    </row>
    <row r="27277">
      <c r="F27277" s="13"/>
      <c r="M27277" s="13"/>
    </row>
    <row r="27278">
      <c r="F27278" s="13"/>
      <c r="M27278" s="13"/>
    </row>
    <row r="27279">
      <c r="F27279" s="13"/>
      <c r="M27279" s="13"/>
    </row>
    <row r="27280">
      <c r="F27280" s="13"/>
      <c r="M27280" s="13"/>
    </row>
    <row r="27281">
      <c r="F27281" s="13"/>
      <c r="M27281" s="13"/>
    </row>
    <row r="27282">
      <c r="F27282" s="13"/>
      <c r="M27282" s="13"/>
    </row>
    <row r="27283">
      <c r="F27283" s="13"/>
      <c r="M27283" s="13"/>
    </row>
    <row r="27284">
      <c r="F27284" s="13"/>
      <c r="M27284" s="13"/>
    </row>
    <row r="27285">
      <c r="F27285" s="13"/>
      <c r="M27285" s="13"/>
    </row>
    <row r="27286">
      <c r="F27286" s="13"/>
      <c r="M27286" s="13"/>
    </row>
    <row r="27287">
      <c r="F27287" s="13"/>
      <c r="M27287" s="13"/>
    </row>
    <row r="27288">
      <c r="F27288" s="13"/>
      <c r="M27288" s="13"/>
    </row>
    <row r="27289">
      <c r="F27289" s="13"/>
      <c r="M27289" s="13"/>
    </row>
    <row r="27290">
      <c r="F27290" s="13"/>
      <c r="M27290" s="13"/>
    </row>
    <row r="27291">
      <c r="F27291" s="13"/>
      <c r="M27291" s="13"/>
    </row>
    <row r="27292">
      <c r="F27292" s="13"/>
      <c r="M27292" s="13"/>
    </row>
    <row r="27293">
      <c r="F27293" s="13"/>
      <c r="M27293" s="13"/>
    </row>
    <row r="27294">
      <c r="F27294" s="13"/>
      <c r="M27294" s="13"/>
    </row>
    <row r="27295">
      <c r="F27295" s="13"/>
      <c r="M27295" s="13"/>
    </row>
    <row r="27296">
      <c r="F27296" s="13"/>
      <c r="M27296" s="13"/>
    </row>
    <row r="27297">
      <c r="F27297" s="13"/>
      <c r="M27297" s="13"/>
    </row>
    <row r="27298">
      <c r="F27298" s="13"/>
      <c r="M27298" s="13"/>
    </row>
    <row r="27299">
      <c r="F27299" s="13"/>
      <c r="M27299" s="13"/>
    </row>
    <row r="27300">
      <c r="F27300" s="13"/>
      <c r="M27300" s="13"/>
    </row>
    <row r="27301">
      <c r="F27301" s="13"/>
      <c r="M27301" s="13"/>
    </row>
    <row r="27302">
      <c r="F27302" s="13"/>
      <c r="M27302" s="13"/>
    </row>
    <row r="27303">
      <c r="F27303" s="13"/>
      <c r="M27303" s="13"/>
    </row>
    <row r="27304">
      <c r="F27304" s="13"/>
      <c r="M27304" s="13"/>
    </row>
    <row r="27305">
      <c r="F27305" s="13"/>
      <c r="M27305" s="13"/>
    </row>
    <row r="27306">
      <c r="F27306" s="13"/>
      <c r="M27306" s="13"/>
    </row>
    <row r="27307">
      <c r="F27307" s="13"/>
      <c r="M27307" s="13"/>
    </row>
    <row r="27308">
      <c r="F27308" s="13"/>
      <c r="M27308" s="13"/>
    </row>
    <row r="27309">
      <c r="F27309" s="13"/>
      <c r="M27309" s="13"/>
    </row>
    <row r="27310">
      <c r="F27310" s="13"/>
      <c r="M27310" s="13"/>
    </row>
    <row r="27311">
      <c r="F27311" s="13"/>
      <c r="M27311" s="13"/>
    </row>
    <row r="27312">
      <c r="F27312" s="13"/>
      <c r="M27312" s="13"/>
    </row>
    <row r="27313">
      <c r="F27313" s="13"/>
      <c r="M27313" s="13"/>
    </row>
    <row r="27314">
      <c r="F27314" s="13"/>
      <c r="M27314" s="13"/>
    </row>
    <row r="27315">
      <c r="F27315" s="13"/>
      <c r="M27315" s="13"/>
    </row>
    <row r="27316">
      <c r="F27316" s="13"/>
      <c r="M27316" s="13"/>
    </row>
    <row r="27317">
      <c r="F27317" s="13"/>
      <c r="M27317" s="13"/>
    </row>
    <row r="27318">
      <c r="F27318" s="13"/>
      <c r="M27318" s="13"/>
    </row>
    <row r="27319">
      <c r="F27319" s="13"/>
      <c r="M27319" s="13"/>
    </row>
    <row r="27320">
      <c r="F27320" s="13"/>
      <c r="M27320" s="13"/>
    </row>
    <row r="27321">
      <c r="F27321" s="13"/>
      <c r="M27321" s="13"/>
    </row>
    <row r="27322">
      <c r="F27322" s="13"/>
      <c r="M27322" s="13"/>
    </row>
    <row r="27323">
      <c r="F27323" s="13"/>
      <c r="M27323" s="13"/>
    </row>
    <row r="27324">
      <c r="F27324" s="13"/>
      <c r="M27324" s="13"/>
    </row>
    <row r="27325">
      <c r="F27325" s="13"/>
      <c r="M27325" s="13"/>
    </row>
    <row r="27326">
      <c r="F27326" s="13"/>
      <c r="M27326" s="13"/>
    </row>
    <row r="27327">
      <c r="F27327" s="13"/>
      <c r="M27327" s="13"/>
    </row>
    <row r="27328">
      <c r="F27328" s="13"/>
      <c r="M27328" s="13"/>
    </row>
    <row r="27329">
      <c r="F27329" s="13"/>
      <c r="M27329" s="13"/>
    </row>
    <row r="27330">
      <c r="F27330" s="13"/>
      <c r="M27330" s="13"/>
    </row>
    <row r="27331">
      <c r="F27331" s="13"/>
      <c r="M27331" s="13"/>
    </row>
    <row r="27332">
      <c r="F27332" s="13"/>
      <c r="M27332" s="13"/>
    </row>
    <row r="27333">
      <c r="F27333" s="13"/>
      <c r="M27333" s="13"/>
    </row>
    <row r="27334">
      <c r="F27334" s="13"/>
      <c r="M27334" s="13"/>
    </row>
    <row r="27335">
      <c r="F27335" s="13"/>
      <c r="M27335" s="13"/>
    </row>
    <row r="27336">
      <c r="F27336" s="13"/>
      <c r="M27336" s="13"/>
    </row>
    <row r="27337">
      <c r="F27337" s="13"/>
      <c r="M27337" s="13"/>
    </row>
    <row r="27338">
      <c r="F27338" s="13"/>
      <c r="M27338" s="13"/>
    </row>
    <row r="27339">
      <c r="F27339" s="13"/>
      <c r="M27339" s="13"/>
    </row>
    <row r="27340">
      <c r="F27340" s="13"/>
      <c r="M27340" s="13"/>
    </row>
    <row r="27341">
      <c r="F27341" s="13"/>
      <c r="M27341" s="13"/>
    </row>
    <row r="27342">
      <c r="F27342" s="13"/>
      <c r="M27342" s="13"/>
    </row>
    <row r="27343">
      <c r="F27343" s="13"/>
      <c r="M27343" s="13"/>
    </row>
    <row r="27344">
      <c r="F27344" s="13"/>
      <c r="M27344" s="13"/>
    </row>
    <row r="27345">
      <c r="F27345" s="13"/>
      <c r="M27345" s="13"/>
    </row>
    <row r="27346">
      <c r="F27346" s="13"/>
      <c r="M27346" s="13"/>
    </row>
    <row r="27347">
      <c r="F27347" s="13"/>
      <c r="M27347" s="13"/>
    </row>
    <row r="27348">
      <c r="F27348" s="13"/>
      <c r="M27348" s="13"/>
    </row>
    <row r="27349">
      <c r="F27349" s="13"/>
      <c r="M27349" s="13"/>
    </row>
    <row r="27350">
      <c r="F27350" s="13"/>
      <c r="M27350" s="13"/>
    </row>
    <row r="27351">
      <c r="F27351" s="13"/>
      <c r="M27351" s="13"/>
    </row>
    <row r="27352">
      <c r="F27352" s="13"/>
      <c r="M27352" s="13"/>
    </row>
    <row r="27353">
      <c r="F27353" s="13"/>
      <c r="M27353" s="13"/>
    </row>
    <row r="27354">
      <c r="F27354" s="13"/>
      <c r="M27354" s="13"/>
    </row>
    <row r="27355">
      <c r="F27355" s="13"/>
      <c r="M27355" s="13"/>
    </row>
    <row r="27356">
      <c r="F27356" s="13"/>
      <c r="M27356" s="13"/>
    </row>
    <row r="27357">
      <c r="F27357" s="13"/>
      <c r="M27357" s="13"/>
    </row>
    <row r="27358">
      <c r="F27358" s="13"/>
      <c r="M27358" s="13"/>
    </row>
    <row r="27359">
      <c r="F27359" s="13"/>
      <c r="M27359" s="13"/>
    </row>
    <row r="27360">
      <c r="F27360" s="13"/>
      <c r="M27360" s="13"/>
    </row>
    <row r="27361">
      <c r="F27361" s="13"/>
      <c r="M27361" s="13"/>
    </row>
    <row r="27362">
      <c r="F27362" s="13"/>
      <c r="M27362" s="13"/>
    </row>
    <row r="27363">
      <c r="F27363" s="13"/>
      <c r="M27363" s="13"/>
    </row>
    <row r="27364">
      <c r="F27364" s="13"/>
      <c r="M27364" s="13"/>
    </row>
    <row r="27365">
      <c r="F27365" s="13"/>
      <c r="M27365" s="13"/>
    </row>
    <row r="27366">
      <c r="F27366" s="13"/>
      <c r="M27366" s="13"/>
    </row>
    <row r="27367">
      <c r="F27367" s="13"/>
      <c r="M27367" s="13"/>
    </row>
    <row r="27368">
      <c r="F27368" s="13"/>
      <c r="M27368" s="13"/>
    </row>
    <row r="27369">
      <c r="F27369" s="13"/>
      <c r="M27369" s="13"/>
    </row>
    <row r="27370">
      <c r="F27370" s="13"/>
      <c r="M27370" s="13"/>
    </row>
    <row r="27371">
      <c r="F27371" s="13"/>
      <c r="M27371" s="13"/>
    </row>
    <row r="27372">
      <c r="F27372" s="13"/>
      <c r="M27372" s="13"/>
    </row>
    <row r="27373">
      <c r="F27373" s="13"/>
      <c r="M27373" s="13"/>
    </row>
    <row r="27374">
      <c r="F27374" s="13"/>
      <c r="M27374" s="13"/>
    </row>
    <row r="27375">
      <c r="F27375" s="13"/>
      <c r="M27375" s="13"/>
    </row>
    <row r="27376">
      <c r="F27376" s="13"/>
      <c r="M27376" s="13"/>
    </row>
    <row r="27377">
      <c r="F27377" s="13"/>
      <c r="M27377" s="13"/>
    </row>
    <row r="27378">
      <c r="F27378" s="13"/>
      <c r="M27378" s="13"/>
    </row>
    <row r="27379">
      <c r="F27379" s="13"/>
      <c r="M27379" s="13"/>
    </row>
    <row r="27380">
      <c r="F27380" s="13"/>
      <c r="M27380" s="13"/>
    </row>
    <row r="27381">
      <c r="F27381" s="13"/>
      <c r="M27381" s="13"/>
    </row>
    <row r="27382">
      <c r="F27382" s="13"/>
      <c r="M27382" s="13"/>
    </row>
    <row r="27383">
      <c r="F27383" s="13"/>
      <c r="M27383" s="13"/>
    </row>
    <row r="27384">
      <c r="F27384" s="13"/>
      <c r="M27384" s="13"/>
    </row>
    <row r="27385">
      <c r="F27385" s="13"/>
      <c r="M27385" s="13"/>
    </row>
    <row r="27386">
      <c r="F27386" s="13"/>
      <c r="M27386" s="13"/>
    </row>
    <row r="27387">
      <c r="F27387" s="13"/>
      <c r="M27387" s="13"/>
    </row>
    <row r="27388">
      <c r="F27388" s="13"/>
      <c r="M27388" s="13"/>
    </row>
    <row r="27389">
      <c r="F27389" s="13"/>
      <c r="M27389" s="13"/>
    </row>
    <row r="27390">
      <c r="F27390" s="13"/>
      <c r="M27390" s="13"/>
    </row>
    <row r="27391">
      <c r="F27391" s="13"/>
      <c r="M27391" s="13"/>
    </row>
    <row r="27392">
      <c r="F27392" s="13"/>
      <c r="M27392" s="13"/>
    </row>
    <row r="27393">
      <c r="F27393" s="13"/>
      <c r="M27393" s="13"/>
    </row>
    <row r="27394">
      <c r="F27394" s="13"/>
      <c r="M27394" s="13"/>
    </row>
    <row r="27395">
      <c r="F27395" s="13"/>
      <c r="M27395" s="13"/>
    </row>
    <row r="27396">
      <c r="F27396" s="13"/>
      <c r="M27396" s="13"/>
    </row>
    <row r="27397">
      <c r="F27397" s="13"/>
      <c r="M27397" s="13"/>
    </row>
    <row r="27398">
      <c r="F27398" s="13"/>
      <c r="M27398" s="13"/>
    </row>
    <row r="27399">
      <c r="F27399" s="13"/>
      <c r="M27399" s="13"/>
    </row>
    <row r="27400">
      <c r="F27400" s="13"/>
      <c r="M27400" s="13"/>
    </row>
    <row r="27401">
      <c r="F27401" s="13"/>
      <c r="M27401" s="13"/>
    </row>
    <row r="27402">
      <c r="F27402" s="13"/>
      <c r="M27402" s="13"/>
    </row>
    <row r="27403">
      <c r="F27403" s="13"/>
      <c r="M27403" s="13"/>
    </row>
    <row r="27404">
      <c r="F27404" s="13"/>
      <c r="M27404" s="13"/>
    </row>
    <row r="27405">
      <c r="F27405" s="13"/>
      <c r="M27405" s="13"/>
    </row>
    <row r="27406">
      <c r="F27406" s="13"/>
      <c r="M27406" s="13"/>
    </row>
    <row r="27407">
      <c r="F27407" s="13"/>
      <c r="M27407" s="13"/>
    </row>
    <row r="27408">
      <c r="F27408" s="13"/>
      <c r="M27408" s="13"/>
    </row>
    <row r="27409">
      <c r="F27409" s="13"/>
      <c r="M27409" s="13"/>
    </row>
    <row r="27410">
      <c r="F27410" s="13"/>
      <c r="M27410" s="13"/>
    </row>
    <row r="27411">
      <c r="F27411" s="13"/>
      <c r="M27411" s="13"/>
    </row>
    <row r="27412">
      <c r="F27412" s="13"/>
      <c r="M27412" s="13"/>
    </row>
    <row r="27413">
      <c r="F27413" s="13"/>
      <c r="M27413" s="13"/>
    </row>
    <row r="27414">
      <c r="F27414" s="13"/>
      <c r="M27414" s="13"/>
    </row>
    <row r="27415">
      <c r="F27415" s="13"/>
      <c r="M27415" s="13"/>
    </row>
    <row r="27416">
      <c r="F27416" s="13"/>
      <c r="M27416" s="13"/>
    </row>
    <row r="27417">
      <c r="F27417" s="13"/>
      <c r="M27417" s="13"/>
    </row>
    <row r="27418">
      <c r="F27418" s="13"/>
      <c r="M27418" s="13"/>
    </row>
    <row r="27419">
      <c r="F27419" s="13"/>
      <c r="M27419" s="13"/>
    </row>
    <row r="27420">
      <c r="F27420" s="13"/>
      <c r="M27420" s="13"/>
    </row>
    <row r="27421">
      <c r="F27421" s="13"/>
      <c r="M27421" s="13"/>
    </row>
    <row r="27422">
      <c r="F27422" s="13"/>
      <c r="M27422" s="13"/>
    </row>
    <row r="27423">
      <c r="F27423" s="13"/>
      <c r="M27423" s="13"/>
    </row>
    <row r="27424">
      <c r="F27424" s="13"/>
      <c r="M27424" s="13"/>
    </row>
    <row r="27425">
      <c r="F27425" s="13"/>
      <c r="M27425" s="13"/>
    </row>
    <row r="27426">
      <c r="F27426" s="13"/>
      <c r="M27426" s="13"/>
    </row>
    <row r="27427">
      <c r="F27427" s="13"/>
      <c r="M27427" s="13"/>
    </row>
    <row r="27428">
      <c r="F27428" s="13"/>
      <c r="M27428" s="13"/>
    </row>
    <row r="27429">
      <c r="F27429" s="13"/>
      <c r="M27429" s="13"/>
    </row>
    <row r="27430">
      <c r="F27430" s="13"/>
      <c r="M27430" s="13"/>
    </row>
    <row r="27431">
      <c r="F27431" s="13"/>
      <c r="M27431" s="13"/>
    </row>
    <row r="27432">
      <c r="F27432" s="13"/>
      <c r="M27432" s="13"/>
    </row>
    <row r="27433">
      <c r="F27433" s="13"/>
      <c r="M27433" s="13"/>
    </row>
    <row r="27434">
      <c r="F27434" s="13"/>
      <c r="M27434" s="13"/>
    </row>
    <row r="27435">
      <c r="F27435" s="13"/>
      <c r="M27435" s="13"/>
    </row>
    <row r="27436">
      <c r="F27436" s="13"/>
      <c r="M27436" s="13"/>
    </row>
    <row r="27437">
      <c r="F27437" s="13"/>
      <c r="M27437" s="13"/>
    </row>
    <row r="27438">
      <c r="F27438" s="13"/>
      <c r="M27438" s="13"/>
    </row>
    <row r="27439">
      <c r="F27439" s="13"/>
      <c r="M27439" s="13"/>
    </row>
    <row r="27440">
      <c r="F27440" s="13"/>
      <c r="M27440" s="13"/>
    </row>
    <row r="27441">
      <c r="F27441" s="13"/>
      <c r="M27441" s="13"/>
    </row>
    <row r="27442">
      <c r="F27442" s="13"/>
      <c r="M27442" s="13"/>
    </row>
    <row r="27443">
      <c r="F27443" s="13"/>
      <c r="M27443" s="13"/>
    </row>
    <row r="27444">
      <c r="F27444" s="13"/>
      <c r="M27444" s="13"/>
    </row>
    <row r="27445">
      <c r="F27445" s="13"/>
      <c r="M27445" s="13"/>
    </row>
    <row r="27446">
      <c r="F27446" s="13"/>
      <c r="M27446" s="13"/>
    </row>
    <row r="27447">
      <c r="F27447" s="13"/>
      <c r="M27447" s="13"/>
    </row>
    <row r="27448">
      <c r="F27448" s="13"/>
      <c r="M27448" s="13"/>
    </row>
    <row r="27449">
      <c r="F27449" s="13"/>
      <c r="M27449" s="13"/>
    </row>
    <row r="27450">
      <c r="F27450" s="13"/>
      <c r="M27450" s="13"/>
    </row>
    <row r="27451">
      <c r="F27451" s="13"/>
      <c r="M27451" s="13"/>
    </row>
    <row r="27452">
      <c r="F27452" s="13"/>
      <c r="M27452" s="13"/>
    </row>
    <row r="27453">
      <c r="F27453" s="13"/>
      <c r="M27453" s="13"/>
    </row>
    <row r="27454">
      <c r="F27454" s="13"/>
      <c r="M27454" s="13"/>
    </row>
    <row r="27455">
      <c r="F27455" s="13"/>
      <c r="M27455" s="13"/>
    </row>
    <row r="27456">
      <c r="F27456" s="13"/>
      <c r="M27456" s="13"/>
    </row>
    <row r="27457">
      <c r="F27457" s="13"/>
      <c r="M27457" s="13"/>
    </row>
    <row r="27458">
      <c r="F27458" s="13"/>
      <c r="M27458" s="13"/>
    </row>
    <row r="27459">
      <c r="F27459" s="13"/>
      <c r="M27459" s="13"/>
    </row>
    <row r="27460">
      <c r="F27460" s="13"/>
      <c r="M27460" s="13"/>
    </row>
    <row r="27461">
      <c r="F27461" s="13"/>
      <c r="M27461" s="13"/>
    </row>
    <row r="27462">
      <c r="F27462" s="13"/>
      <c r="M27462" s="13"/>
    </row>
    <row r="27463">
      <c r="F27463" s="13"/>
      <c r="M27463" s="13"/>
    </row>
    <row r="27464">
      <c r="F27464" s="13"/>
      <c r="M27464" s="13"/>
    </row>
    <row r="27465">
      <c r="F27465" s="13"/>
      <c r="M27465" s="13"/>
    </row>
    <row r="27466">
      <c r="F27466" s="13"/>
      <c r="M27466" s="13"/>
    </row>
    <row r="27467">
      <c r="F27467" s="13"/>
      <c r="M27467" s="13"/>
    </row>
    <row r="27468">
      <c r="F27468" s="13"/>
      <c r="M27468" s="13"/>
    </row>
    <row r="27469">
      <c r="F27469" s="13"/>
      <c r="M27469" s="13"/>
    </row>
    <row r="27470">
      <c r="F27470" s="13"/>
      <c r="M27470" s="13"/>
    </row>
    <row r="27471">
      <c r="F27471" s="13"/>
      <c r="M27471" s="13"/>
    </row>
    <row r="27472">
      <c r="F27472" s="13"/>
      <c r="M27472" s="13"/>
    </row>
    <row r="27473">
      <c r="F27473" s="13"/>
      <c r="M27473" s="13"/>
    </row>
    <row r="27474">
      <c r="F27474" s="13"/>
      <c r="M27474" s="13"/>
    </row>
    <row r="27475">
      <c r="F27475" s="13"/>
      <c r="M27475" s="13"/>
    </row>
    <row r="27476">
      <c r="F27476" s="13"/>
      <c r="M27476" s="13"/>
    </row>
    <row r="27477">
      <c r="F27477" s="13"/>
      <c r="M27477" s="13"/>
    </row>
    <row r="27478">
      <c r="F27478" s="13"/>
      <c r="M27478" s="13"/>
    </row>
    <row r="27479">
      <c r="F27479" s="13"/>
      <c r="M27479" s="13"/>
    </row>
    <row r="27480">
      <c r="F27480" s="13"/>
      <c r="M27480" s="13"/>
    </row>
    <row r="27481">
      <c r="F27481" s="13"/>
      <c r="M27481" s="13"/>
    </row>
    <row r="27482">
      <c r="F27482" s="13"/>
      <c r="M27482" s="13"/>
    </row>
    <row r="27483">
      <c r="F27483" s="13"/>
      <c r="M27483" s="13"/>
    </row>
    <row r="27484">
      <c r="F27484" s="13"/>
      <c r="M27484" s="13"/>
    </row>
    <row r="27485">
      <c r="F27485" s="13"/>
      <c r="M27485" s="13"/>
    </row>
    <row r="27486">
      <c r="F27486" s="13"/>
      <c r="M27486" s="13"/>
    </row>
    <row r="27487">
      <c r="F27487" s="13"/>
      <c r="M27487" s="13"/>
    </row>
    <row r="27488">
      <c r="F27488" s="13"/>
      <c r="M27488" s="13"/>
    </row>
    <row r="27489">
      <c r="F27489" s="13"/>
      <c r="M27489" s="13"/>
    </row>
    <row r="27490">
      <c r="F27490" s="13"/>
      <c r="M27490" s="13"/>
    </row>
    <row r="27491">
      <c r="F27491" s="13"/>
      <c r="M27491" s="13"/>
    </row>
    <row r="27492">
      <c r="F27492" s="13"/>
      <c r="M27492" s="13"/>
    </row>
    <row r="27493">
      <c r="F27493" s="13"/>
      <c r="M27493" s="13"/>
    </row>
    <row r="27494">
      <c r="F27494" s="13"/>
      <c r="M27494" s="13"/>
    </row>
    <row r="27495">
      <c r="F27495" s="13"/>
      <c r="M27495" s="13"/>
    </row>
    <row r="27496">
      <c r="F27496" s="13"/>
      <c r="M27496" s="13"/>
    </row>
    <row r="27497">
      <c r="F27497" s="13"/>
      <c r="M27497" s="13"/>
    </row>
    <row r="27498">
      <c r="F27498" s="13"/>
      <c r="M27498" s="13"/>
    </row>
    <row r="27499">
      <c r="F27499" s="13"/>
      <c r="M27499" s="13"/>
    </row>
    <row r="27500">
      <c r="F27500" s="13"/>
      <c r="M27500" s="13"/>
    </row>
    <row r="27501">
      <c r="F27501" s="13"/>
      <c r="M27501" s="13"/>
    </row>
    <row r="27502">
      <c r="F27502" s="13"/>
      <c r="M27502" s="13"/>
    </row>
    <row r="27503">
      <c r="F27503" s="13"/>
      <c r="M27503" s="13"/>
    </row>
    <row r="27504">
      <c r="F27504" s="13"/>
      <c r="M27504" s="13"/>
    </row>
    <row r="27505">
      <c r="F27505" s="13"/>
      <c r="M27505" s="13"/>
    </row>
    <row r="27506">
      <c r="F27506" s="13"/>
      <c r="M27506" s="13"/>
    </row>
    <row r="27507">
      <c r="F27507" s="13"/>
      <c r="M27507" s="13"/>
    </row>
    <row r="27508">
      <c r="F27508" s="13"/>
      <c r="M27508" s="13"/>
    </row>
    <row r="27509">
      <c r="F27509" s="13"/>
      <c r="M27509" s="13"/>
    </row>
    <row r="27510">
      <c r="F27510" s="13"/>
      <c r="M27510" s="13"/>
    </row>
    <row r="27511">
      <c r="F27511" s="13"/>
      <c r="M27511" s="13"/>
    </row>
    <row r="27512">
      <c r="F27512" s="13"/>
      <c r="M27512" s="13"/>
    </row>
    <row r="27513">
      <c r="F27513" s="13"/>
      <c r="M27513" s="13"/>
    </row>
    <row r="27514">
      <c r="F27514" s="13"/>
      <c r="M27514" s="13"/>
    </row>
    <row r="27515">
      <c r="F27515" s="13"/>
      <c r="M27515" s="13"/>
    </row>
    <row r="27516">
      <c r="F27516" s="13"/>
      <c r="M27516" s="13"/>
    </row>
    <row r="27517">
      <c r="F27517" s="13"/>
      <c r="M27517" s="13"/>
    </row>
    <row r="27518">
      <c r="F27518" s="13"/>
      <c r="M27518" s="13"/>
    </row>
    <row r="27519">
      <c r="F27519" s="13"/>
      <c r="M27519" s="13"/>
    </row>
    <row r="27520">
      <c r="F27520" s="13"/>
      <c r="M27520" s="13"/>
    </row>
    <row r="27521">
      <c r="F27521" s="13"/>
      <c r="M27521" s="13"/>
    </row>
    <row r="27522">
      <c r="F27522" s="13"/>
      <c r="M27522" s="13"/>
    </row>
    <row r="27523">
      <c r="F27523" s="13"/>
      <c r="M27523" s="13"/>
    </row>
    <row r="27524">
      <c r="F27524" s="13"/>
      <c r="M27524" s="13"/>
    </row>
    <row r="27525">
      <c r="F27525" s="13"/>
      <c r="M27525" s="13"/>
    </row>
    <row r="27526">
      <c r="F27526" s="13"/>
      <c r="M27526" s="13"/>
    </row>
    <row r="27527">
      <c r="F27527" s="13"/>
      <c r="M27527" s="13"/>
    </row>
    <row r="27528">
      <c r="F27528" s="13"/>
      <c r="M27528" s="13"/>
    </row>
    <row r="27529">
      <c r="F27529" s="13"/>
      <c r="M27529" s="13"/>
    </row>
    <row r="27530">
      <c r="F27530" s="13"/>
      <c r="M27530" s="13"/>
    </row>
    <row r="27531">
      <c r="F27531" s="13"/>
      <c r="M27531" s="13"/>
    </row>
    <row r="27532">
      <c r="F27532" s="13"/>
      <c r="M27532" s="13"/>
    </row>
    <row r="27533">
      <c r="F27533" s="13"/>
      <c r="M27533" s="13"/>
    </row>
    <row r="27534">
      <c r="F27534" s="13"/>
      <c r="M27534" s="13"/>
    </row>
    <row r="27535">
      <c r="F27535" s="13"/>
      <c r="M27535" s="13"/>
    </row>
    <row r="27536">
      <c r="F27536" s="13"/>
      <c r="M27536" s="13"/>
    </row>
    <row r="27537">
      <c r="F27537" s="13"/>
      <c r="M27537" s="13"/>
    </row>
    <row r="27538">
      <c r="F27538" s="13"/>
      <c r="M27538" s="13"/>
    </row>
    <row r="27539">
      <c r="F27539" s="13"/>
      <c r="M27539" s="13"/>
    </row>
    <row r="27540">
      <c r="F27540" s="13"/>
      <c r="M27540" s="13"/>
    </row>
    <row r="27541">
      <c r="F27541" s="13"/>
      <c r="M27541" s="13"/>
    </row>
    <row r="27542">
      <c r="F27542" s="13"/>
      <c r="M27542" s="13"/>
    </row>
    <row r="27543">
      <c r="F27543" s="13"/>
      <c r="M27543" s="13"/>
    </row>
    <row r="27544">
      <c r="F27544" s="13"/>
      <c r="M27544" s="13"/>
    </row>
    <row r="27545">
      <c r="F27545" s="13"/>
      <c r="M27545" s="13"/>
    </row>
    <row r="27546">
      <c r="F27546" s="13"/>
      <c r="M27546" s="13"/>
    </row>
    <row r="27547">
      <c r="F27547" s="13"/>
      <c r="M27547" s="13"/>
    </row>
    <row r="27548">
      <c r="F27548" s="13"/>
      <c r="M27548" s="13"/>
    </row>
    <row r="27549">
      <c r="F27549" s="13"/>
      <c r="M27549" s="13"/>
    </row>
    <row r="27550">
      <c r="F27550" s="13"/>
      <c r="M27550" s="13"/>
    </row>
    <row r="27551">
      <c r="F27551" s="13"/>
      <c r="M27551" s="13"/>
    </row>
    <row r="27552">
      <c r="F27552" s="13"/>
      <c r="M27552" s="13"/>
    </row>
    <row r="27553">
      <c r="F27553" s="13"/>
      <c r="M27553" s="13"/>
    </row>
    <row r="27554">
      <c r="F27554" s="13"/>
      <c r="M27554" s="13"/>
    </row>
    <row r="27555">
      <c r="F27555" s="13"/>
      <c r="M27555" s="13"/>
    </row>
    <row r="27556">
      <c r="F27556" s="13"/>
      <c r="M27556" s="13"/>
    </row>
    <row r="27557">
      <c r="F27557" s="13"/>
      <c r="M27557" s="13"/>
    </row>
    <row r="27558">
      <c r="F27558" s="13"/>
      <c r="M27558" s="13"/>
    </row>
    <row r="27559">
      <c r="F27559" s="13"/>
      <c r="M27559" s="13"/>
    </row>
    <row r="27560">
      <c r="F27560" s="13"/>
      <c r="M27560" s="13"/>
    </row>
    <row r="27561">
      <c r="F27561" s="13"/>
      <c r="M27561" s="13"/>
    </row>
    <row r="27562">
      <c r="F27562" s="13"/>
      <c r="M27562" s="13"/>
    </row>
    <row r="27563">
      <c r="F27563" s="13"/>
      <c r="M27563" s="13"/>
    </row>
    <row r="27564">
      <c r="F27564" s="13"/>
      <c r="M27564" s="13"/>
    </row>
    <row r="27565">
      <c r="F27565" s="13"/>
      <c r="M27565" s="13"/>
    </row>
    <row r="27566">
      <c r="F27566" s="13"/>
      <c r="M27566" s="13"/>
    </row>
    <row r="27567">
      <c r="F27567" s="13"/>
      <c r="M27567" s="13"/>
    </row>
    <row r="27568">
      <c r="F27568" s="13"/>
      <c r="M27568" s="13"/>
    </row>
    <row r="27569">
      <c r="F27569" s="13"/>
      <c r="M27569" s="13"/>
    </row>
    <row r="27570">
      <c r="F27570" s="13"/>
      <c r="M27570" s="13"/>
    </row>
    <row r="27571">
      <c r="F27571" s="13"/>
      <c r="M27571" s="13"/>
    </row>
    <row r="27572">
      <c r="F27572" s="13"/>
      <c r="M27572" s="13"/>
    </row>
    <row r="27573">
      <c r="F27573" s="13"/>
      <c r="M27573" s="13"/>
    </row>
    <row r="27574">
      <c r="F27574" s="13"/>
      <c r="M27574" s="13"/>
    </row>
    <row r="27575">
      <c r="F27575" s="13"/>
      <c r="M27575" s="13"/>
    </row>
    <row r="27576">
      <c r="F27576" s="13"/>
      <c r="M27576" s="13"/>
    </row>
    <row r="27577">
      <c r="F27577" s="13"/>
      <c r="M27577" s="13"/>
    </row>
    <row r="27578">
      <c r="F27578" s="13"/>
      <c r="M27578" s="13"/>
    </row>
    <row r="27579">
      <c r="F27579" s="13"/>
      <c r="M27579" s="13"/>
    </row>
    <row r="27580">
      <c r="F27580" s="13"/>
      <c r="M27580" s="13"/>
    </row>
    <row r="27581">
      <c r="F27581" s="13"/>
      <c r="M27581" s="13"/>
    </row>
    <row r="27582">
      <c r="F27582" s="13"/>
      <c r="M27582" s="13"/>
    </row>
    <row r="27583">
      <c r="F27583" s="13"/>
      <c r="M27583" s="13"/>
    </row>
    <row r="27584">
      <c r="F27584" s="13"/>
      <c r="M27584" s="13"/>
    </row>
    <row r="27585">
      <c r="F27585" s="13"/>
      <c r="M27585" s="13"/>
    </row>
    <row r="27586">
      <c r="F27586" s="13"/>
      <c r="M27586" s="13"/>
    </row>
    <row r="27587">
      <c r="F27587" s="13"/>
      <c r="M27587" s="13"/>
    </row>
    <row r="27588">
      <c r="F27588" s="13"/>
      <c r="M27588" s="13"/>
    </row>
    <row r="27589">
      <c r="F27589" s="13"/>
      <c r="M27589" s="13"/>
    </row>
    <row r="27590">
      <c r="F27590" s="13"/>
      <c r="M27590" s="13"/>
    </row>
    <row r="27591">
      <c r="F27591" s="13"/>
      <c r="M27591" s="13"/>
    </row>
    <row r="27592">
      <c r="F27592" s="13"/>
      <c r="M27592" s="13"/>
    </row>
    <row r="27593">
      <c r="F27593" s="13"/>
      <c r="M27593" s="13"/>
    </row>
    <row r="27594">
      <c r="F27594" s="13"/>
      <c r="M27594" s="13"/>
    </row>
    <row r="27595">
      <c r="F27595" s="13"/>
      <c r="M27595" s="13"/>
    </row>
    <row r="27596">
      <c r="F27596" s="13"/>
      <c r="M27596" s="13"/>
    </row>
    <row r="27597">
      <c r="F27597" s="13"/>
      <c r="M27597" s="13"/>
    </row>
    <row r="27598">
      <c r="F27598" s="13"/>
      <c r="M27598" s="13"/>
    </row>
    <row r="27599">
      <c r="F27599" s="13"/>
      <c r="M27599" s="13"/>
    </row>
    <row r="27600">
      <c r="F27600" s="13"/>
      <c r="M27600" s="13"/>
    </row>
    <row r="27601">
      <c r="F27601" s="13"/>
      <c r="M27601" s="13"/>
    </row>
    <row r="27602">
      <c r="F27602" s="13"/>
      <c r="M27602" s="13"/>
    </row>
    <row r="27603">
      <c r="F27603" s="13"/>
      <c r="M27603" s="13"/>
    </row>
    <row r="27604">
      <c r="F27604" s="13"/>
      <c r="M27604" s="13"/>
    </row>
    <row r="27605">
      <c r="F27605" s="13"/>
      <c r="M27605" s="13"/>
    </row>
    <row r="27606">
      <c r="F27606" s="13"/>
      <c r="M27606" s="13"/>
    </row>
    <row r="27607">
      <c r="F27607" s="13"/>
      <c r="M27607" s="13"/>
    </row>
    <row r="27608">
      <c r="F27608" s="13"/>
      <c r="M27608" s="13"/>
    </row>
    <row r="27609">
      <c r="F27609" s="13"/>
      <c r="M27609" s="13"/>
    </row>
    <row r="27610">
      <c r="F27610" s="13"/>
      <c r="M27610" s="13"/>
    </row>
    <row r="27611">
      <c r="F27611" s="13"/>
      <c r="M27611" s="13"/>
    </row>
    <row r="27612">
      <c r="F27612" s="13"/>
      <c r="M27612" s="13"/>
    </row>
    <row r="27613">
      <c r="F27613" s="13"/>
      <c r="M27613" s="13"/>
    </row>
    <row r="27614">
      <c r="F27614" s="13"/>
      <c r="M27614" s="13"/>
    </row>
    <row r="27615">
      <c r="F27615" s="13"/>
      <c r="M27615" s="13"/>
    </row>
    <row r="27616">
      <c r="F27616" s="13"/>
      <c r="M27616" s="13"/>
    </row>
    <row r="27617">
      <c r="F27617" s="13"/>
      <c r="M27617" s="13"/>
    </row>
    <row r="27618">
      <c r="F27618" s="13"/>
      <c r="M27618" s="13"/>
    </row>
    <row r="27619">
      <c r="F27619" s="13"/>
      <c r="M27619" s="13"/>
    </row>
    <row r="27620">
      <c r="F27620" s="13"/>
      <c r="M27620" s="13"/>
    </row>
    <row r="27621">
      <c r="F27621" s="13"/>
      <c r="M27621" s="13"/>
    </row>
    <row r="27622">
      <c r="F27622" s="13"/>
      <c r="M27622" s="13"/>
    </row>
    <row r="27623">
      <c r="F27623" s="13"/>
      <c r="M27623" s="13"/>
    </row>
    <row r="27624">
      <c r="F27624" s="13"/>
      <c r="M27624" s="13"/>
    </row>
    <row r="27625">
      <c r="F27625" s="13"/>
      <c r="M27625" s="13"/>
    </row>
    <row r="27626">
      <c r="F27626" s="13"/>
      <c r="M27626" s="13"/>
    </row>
    <row r="27627">
      <c r="F27627" s="13"/>
      <c r="M27627" s="13"/>
    </row>
    <row r="27628">
      <c r="F27628" s="13"/>
      <c r="M27628" s="13"/>
    </row>
    <row r="27629">
      <c r="F27629" s="13"/>
      <c r="M27629" s="13"/>
    </row>
    <row r="27630">
      <c r="F27630" s="13"/>
      <c r="M27630" s="13"/>
    </row>
    <row r="27631">
      <c r="F27631" s="13"/>
      <c r="M27631" s="13"/>
    </row>
    <row r="27632">
      <c r="F27632" s="13"/>
      <c r="M27632" s="13"/>
    </row>
    <row r="27633">
      <c r="F27633" s="13"/>
      <c r="M27633" s="13"/>
    </row>
    <row r="27634">
      <c r="F27634" s="13"/>
      <c r="M27634" s="13"/>
    </row>
    <row r="27635">
      <c r="F27635" s="13"/>
      <c r="M27635" s="13"/>
    </row>
    <row r="27636">
      <c r="F27636" s="13"/>
      <c r="M27636" s="13"/>
    </row>
    <row r="27637">
      <c r="F27637" s="13"/>
      <c r="M27637" s="13"/>
    </row>
    <row r="27638">
      <c r="F27638" s="13"/>
      <c r="M27638" s="13"/>
    </row>
    <row r="27639">
      <c r="F27639" s="13"/>
      <c r="M27639" s="13"/>
    </row>
    <row r="27640">
      <c r="F27640" s="13"/>
      <c r="M27640" s="13"/>
    </row>
    <row r="27641">
      <c r="F27641" s="13"/>
      <c r="M27641" s="13"/>
    </row>
    <row r="27642">
      <c r="F27642" s="13"/>
      <c r="M27642" s="13"/>
    </row>
    <row r="27643">
      <c r="F27643" s="13"/>
      <c r="M27643" s="13"/>
    </row>
    <row r="27644">
      <c r="F27644" s="13"/>
      <c r="M27644" s="13"/>
    </row>
    <row r="27645">
      <c r="F27645" s="13"/>
      <c r="M27645" s="13"/>
    </row>
    <row r="27646">
      <c r="F27646" s="13"/>
      <c r="M27646" s="13"/>
    </row>
    <row r="27647">
      <c r="F27647" s="13"/>
      <c r="M27647" s="13"/>
    </row>
    <row r="27648">
      <c r="F27648" s="13"/>
      <c r="M27648" s="13"/>
    </row>
    <row r="27649">
      <c r="F27649" s="13"/>
      <c r="M27649" s="13"/>
    </row>
    <row r="27650">
      <c r="F27650" s="13"/>
      <c r="M27650" s="13"/>
    </row>
    <row r="27651">
      <c r="F27651" s="13"/>
      <c r="M27651" s="13"/>
    </row>
    <row r="27652">
      <c r="F27652" s="13"/>
      <c r="M27652" s="13"/>
    </row>
    <row r="27653">
      <c r="F27653" s="13"/>
      <c r="M27653" s="13"/>
    </row>
    <row r="27654">
      <c r="F27654" s="13"/>
      <c r="M27654" s="13"/>
    </row>
    <row r="27655">
      <c r="F27655" s="13"/>
      <c r="M27655" s="13"/>
    </row>
    <row r="27656">
      <c r="F27656" s="13"/>
      <c r="M27656" s="13"/>
    </row>
    <row r="27657">
      <c r="F27657" s="13"/>
      <c r="M27657" s="13"/>
    </row>
    <row r="27658">
      <c r="F27658" s="13"/>
      <c r="M27658" s="13"/>
    </row>
    <row r="27659">
      <c r="F27659" s="13"/>
      <c r="M27659" s="13"/>
    </row>
    <row r="27660">
      <c r="F27660" s="13"/>
      <c r="M27660" s="13"/>
    </row>
    <row r="27661">
      <c r="F27661" s="13"/>
      <c r="M27661" s="13"/>
    </row>
    <row r="27662">
      <c r="F27662" s="13"/>
      <c r="M27662" s="13"/>
    </row>
    <row r="27663">
      <c r="F27663" s="13"/>
      <c r="M27663" s="13"/>
    </row>
    <row r="27664">
      <c r="F27664" s="13"/>
      <c r="M27664" s="13"/>
    </row>
    <row r="27665">
      <c r="F27665" s="13"/>
      <c r="M27665" s="13"/>
    </row>
    <row r="27666">
      <c r="F27666" s="13"/>
      <c r="M27666" s="13"/>
    </row>
    <row r="27667">
      <c r="F27667" s="13"/>
      <c r="M27667" s="13"/>
    </row>
    <row r="27668">
      <c r="F27668" s="13"/>
      <c r="M27668" s="13"/>
    </row>
    <row r="27669">
      <c r="F27669" s="13"/>
      <c r="M27669" s="13"/>
    </row>
    <row r="27670">
      <c r="F27670" s="13"/>
      <c r="M27670" s="13"/>
    </row>
    <row r="27671">
      <c r="F27671" s="13"/>
      <c r="M27671" s="13"/>
    </row>
    <row r="27672">
      <c r="F27672" s="13"/>
      <c r="M27672" s="13"/>
    </row>
    <row r="27673">
      <c r="F27673" s="13"/>
      <c r="M27673" s="13"/>
    </row>
    <row r="27674">
      <c r="F27674" s="13"/>
      <c r="M27674" s="13"/>
    </row>
    <row r="27675">
      <c r="F27675" s="13"/>
      <c r="M27675" s="13"/>
    </row>
    <row r="27676">
      <c r="F27676" s="13"/>
      <c r="M27676" s="13"/>
    </row>
    <row r="27677">
      <c r="F27677" s="13"/>
      <c r="M27677" s="13"/>
    </row>
    <row r="27678">
      <c r="F27678" s="13"/>
      <c r="M27678" s="13"/>
    </row>
    <row r="27679">
      <c r="F27679" s="13"/>
      <c r="M27679" s="13"/>
    </row>
    <row r="27680">
      <c r="F27680" s="13"/>
      <c r="M27680" s="13"/>
    </row>
    <row r="27681">
      <c r="F27681" s="13"/>
      <c r="M27681" s="13"/>
    </row>
    <row r="27682">
      <c r="F27682" s="13"/>
      <c r="M27682" s="13"/>
    </row>
    <row r="27683">
      <c r="F27683" s="13"/>
      <c r="M27683" s="13"/>
    </row>
    <row r="27684">
      <c r="F27684" s="13"/>
      <c r="M27684" s="13"/>
    </row>
    <row r="27685">
      <c r="F27685" s="13"/>
      <c r="M27685" s="13"/>
    </row>
    <row r="27686">
      <c r="F27686" s="13"/>
      <c r="M27686" s="13"/>
    </row>
    <row r="27687">
      <c r="F27687" s="13"/>
      <c r="M27687" s="13"/>
    </row>
    <row r="27688">
      <c r="F27688" s="13"/>
      <c r="M27688" s="13"/>
    </row>
    <row r="27689">
      <c r="F27689" s="13"/>
      <c r="M27689" s="13"/>
    </row>
    <row r="27690">
      <c r="F27690" s="13"/>
      <c r="M27690" s="13"/>
    </row>
    <row r="27691">
      <c r="F27691" s="13"/>
      <c r="M27691" s="13"/>
    </row>
    <row r="27692">
      <c r="F27692" s="13"/>
      <c r="M27692" s="13"/>
    </row>
    <row r="27693">
      <c r="F27693" s="13"/>
      <c r="M27693" s="13"/>
    </row>
    <row r="27694">
      <c r="F27694" s="13"/>
      <c r="M27694" s="13"/>
    </row>
    <row r="27695">
      <c r="F27695" s="13"/>
      <c r="M27695" s="13"/>
    </row>
    <row r="27696">
      <c r="F27696" s="13"/>
      <c r="M27696" s="13"/>
    </row>
    <row r="27697">
      <c r="F27697" s="13"/>
      <c r="M27697" s="13"/>
    </row>
    <row r="27698">
      <c r="F27698" s="13"/>
      <c r="M27698" s="13"/>
    </row>
    <row r="27699">
      <c r="F27699" s="13"/>
      <c r="M27699" s="13"/>
    </row>
    <row r="27700">
      <c r="F27700" s="13"/>
      <c r="M27700" s="13"/>
    </row>
    <row r="27701">
      <c r="F27701" s="13"/>
      <c r="M27701" s="13"/>
    </row>
    <row r="27702">
      <c r="F27702" s="13"/>
      <c r="M27702" s="13"/>
    </row>
    <row r="27703">
      <c r="F27703" s="13"/>
      <c r="M27703" s="13"/>
    </row>
    <row r="27704">
      <c r="F27704" s="13"/>
      <c r="M27704" s="13"/>
    </row>
    <row r="27705">
      <c r="F27705" s="13"/>
      <c r="M27705" s="13"/>
    </row>
    <row r="27706">
      <c r="F27706" s="13"/>
      <c r="M27706" s="13"/>
    </row>
    <row r="27707">
      <c r="F27707" s="13"/>
      <c r="M27707" s="13"/>
    </row>
    <row r="27708">
      <c r="F27708" s="13"/>
      <c r="M27708" s="13"/>
    </row>
    <row r="27709">
      <c r="F27709" s="13"/>
      <c r="M27709" s="13"/>
    </row>
    <row r="27710">
      <c r="F27710" s="13"/>
      <c r="M27710" s="13"/>
    </row>
    <row r="27711">
      <c r="F27711" s="13"/>
      <c r="M27711" s="13"/>
    </row>
    <row r="27712">
      <c r="F27712" s="13"/>
      <c r="M27712" s="13"/>
    </row>
    <row r="27713">
      <c r="F27713" s="13"/>
      <c r="M27713" s="13"/>
    </row>
    <row r="27714">
      <c r="F27714" s="13"/>
      <c r="M27714" s="13"/>
    </row>
    <row r="27715">
      <c r="F27715" s="13"/>
      <c r="M27715" s="13"/>
    </row>
    <row r="27716">
      <c r="F27716" s="13"/>
      <c r="M27716" s="13"/>
    </row>
    <row r="27717">
      <c r="F27717" s="13"/>
      <c r="M27717" s="13"/>
    </row>
    <row r="27718">
      <c r="F27718" s="13"/>
      <c r="M27718" s="13"/>
    </row>
    <row r="27719">
      <c r="F27719" s="13"/>
      <c r="M27719" s="13"/>
    </row>
    <row r="27720">
      <c r="F27720" s="13"/>
      <c r="M27720" s="13"/>
    </row>
    <row r="27721">
      <c r="F27721" s="13"/>
      <c r="M27721" s="13"/>
    </row>
    <row r="27722">
      <c r="F27722" s="13"/>
      <c r="M27722" s="13"/>
    </row>
    <row r="27723">
      <c r="F27723" s="13"/>
      <c r="M27723" s="13"/>
    </row>
    <row r="27724">
      <c r="F27724" s="13"/>
      <c r="M27724" s="13"/>
    </row>
    <row r="27725">
      <c r="F27725" s="13"/>
      <c r="M27725" s="13"/>
    </row>
    <row r="27726">
      <c r="F27726" s="13"/>
      <c r="M27726" s="13"/>
    </row>
    <row r="27727">
      <c r="F27727" s="13"/>
      <c r="M27727" s="13"/>
    </row>
    <row r="27728">
      <c r="F27728" s="13"/>
      <c r="M27728" s="13"/>
    </row>
    <row r="27729">
      <c r="F27729" s="13"/>
      <c r="M27729" s="13"/>
    </row>
    <row r="27730">
      <c r="F27730" s="13"/>
      <c r="M27730" s="13"/>
    </row>
    <row r="27731">
      <c r="F27731" s="13"/>
      <c r="M27731" s="13"/>
    </row>
    <row r="27732">
      <c r="F27732" s="13"/>
      <c r="M27732" s="13"/>
    </row>
    <row r="27733">
      <c r="F27733" s="13"/>
      <c r="M27733" s="13"/>
    </row>
    <row r="27734">
      <c r="F27734" s="13"/>
      <c r="M27734" s="13"/>
    </row>
    <row r="27735">
      <c r="F27735" s="13"/>
      <c r="M27735" s="13"/>
    </row>
    <row r="27736">
      <c r="F27736" s="13"/>
      <c r="M27736" s="13"/>
    </row>
    <row r="27737">
      <c r="F27737" s="13"/>
      <c r="M27737" s="13"/>
    </row>
    <row r="27738">
      <c r="F27738" s="13"/>
      <c r="M27738" s="13"/>
    </row>
    <row r="27739">
      <c r="F27739" s="13"/>
      <c r="M27739" s="13"/>
    </row>
    <row r="27740">
      <c r="F27740" s="13"/>
      <c r="M27740" s="13"/>
    </row>
    <row r="27741">
      <c r="F27741" s="13"/>
      <c r="M27741" s="13"/>
    </row>
    <row r="27742">
      <c r="F27742" s="13"/>
      <c r="M27742" s="13"/>
    </row>
    <row r="27743">
      <c r="F27743" s="13"/>
      <c r="M27743" s="13"/>
    </row>
    <row r="27744">
      <c r="F27744" s="13"/>
      <c r="M27744" s="13"/>
    </row>
    <row r="27745">
      <c r="F27745" s="13"/>
      <c r="M27745" s="13"/>
    </row>
    <row r="27746">
      <c r="F27746" s="13"/>
      <c r="M27746" s="13"/>
    </row>
    <row r="27747">
      <c r="F27747" s="13"/>
      <c r="M27747" s="13"/>
    </row>
    <row r="27748">
      <c r="F27748" s="13"/>
      <c r="M27748" s="13"/>
    </row>
    <row r="27749">
      <c r="F27749" s="13"/>
      <c r="M27749" s="13"/>
    </row>
    <row r="27750">
      <c r="F27750" s="13"/>
      <c r="M27750" s="13"/>
    </row>
    <row r="27751">
      <c r="F27751" s="13"/>
      <c r="M27751" s="13"/>
    </row>
    <row r="27752">
      <c r="F27752" s="13"/>
      <c r="M27752" s="13"/>
    </row>
    <row r="27753">
      <c r="F27753" s="13"/>
      <c r="M27753" s="13"/>
    </row>
    <row r="27754">
      <c r="F27754" s="13"/>
      <c r="M27754" s="13"/>
    </row>
    <row r="27755">
      <c r="F27755" s="13"/>
      <c r="M27755" s="13"/>
    </row>
    <row r="27756">
      <c r="F27756" s="13"/>
      <c r="M27756" s="13"/>
    </row>
    <row r="27757">
      <c r="F27757" s="13"/>
      <c r="M27757" s="13"/>
    </row>
    <row r="27758">
      <c r="F27758" s="13"/>
      <c r="M27758" s="13"/>
    </row>
    <row r="27759">
      <c r="F27759" s="13"/>
      <c r="M27759" s="13"/>
    </row>
    <row r="27760">
      <c r="F27760" s="13"/>
      <c r="M27760" s="13"/>
    </row>
    <row r="27761">
      <c r="F27761" s="13"/>
      <c r="M27761" s="13"/>
    </row>
    <row r="27762">
      <c r="F27762" s="13"/>
      <c r="M27762" s="13"/>
    </row>
    <row r="27763">
      <c r="F27763" s="13"/>
      <c r="M27763" s="13"/>
    </row>
    <row r="27764">
      <c r="F27764" s="13"/>
      <c r="M27764" s="13"/>
    </row>
    <row r="27765">
      <c r="F27765" s="13"/>
      <c r="M27765" s="13"/>
    </row>
    <row r="27766">
      <c r="F27766" s="13"/>
      <c r="M27766" s="13"/>
    </row>
    <row r="27767">
      <c r="F27767" s="13"/>
      <c r="M27767" s="13"/>
    </row>
    <row r="27768">
      <c r="F27768" s="13"/>
      <c r="M27768" s="13"/>
    </row>
    <row r="27769">
      <c r="F27769" s="13"/>
      <c r="M27769" s="13"/>
    </row>
    <row r="27770">
      <c r="F27770" s="13"/>
      <c r="M27770" s="13"/>
    </row>
    <row r="27771">
      <c r="F27771" s="13"/>
      <c r="M27771" s="13"/>
    </row>
    <row r="27772">
      <c r="F27772" s="13"/>
      <c r="M27772" s="13"/>
    </row>
    <row r="27773">
      <c r="F27773" s="13"/>
      <c r="M27773" s="13"/>
    </row>
    <row r="27774">
      <c r="F27774" s="13"/>
      <c r="M27774" s="13"/>
    </row>
    <row r="27775">
      <c r="F27775" s="13"/>
      <c r="M27775" s="13"/>
    </row>
    <row r="27776">
      <c r="F27776" s="13"/>
      <c r="M27776" s="13"/>
    </row>
    <row r="27777">
      <c r="F27777" s="13"/>
      <c r="M27777" s="13"/>
    </row>
    <row r="27778">
      <c r="F27778" s="13"/>
      <c r="M27778" s="13"/>
    </row>
    <row r="27779">
      <c r="F27779" s="13"/>
      <c r="M27779" s="13"/>
    </row>
    <row r="27780">
      <c r="F27780" s="13"/>
      <c r="M27780" s="13"/>
    </row>
    <row r="27781">
      <c r="F27781" s="13"/>
      <c r="M27781" s="13"/>
    </row>
    <row r="27782">
      <c r="F27782" s="13"/>
      <c r="M27782" s="13"/>
    </row>
    <row r="27783">
      <c r="F27783" s="13"/>
      <c r="M27783" s="13"/>
    </row>
    <row r="27784">
      <c r="F27784" s="13"/>
      <c r="M27784" s="13"/>
    </row>
    <row r="27785">
      <c r="F27785" s="13"/>
      <c r="M27785" s="13"/>
    </row>
    <row r="27786">
      <c r="F27786" s="13"/>
      <c r="M27786" s="13"/>
    </row>
    <row r="27787">
      <c r="F27787" s="13"/>
      <c r="M27787" s="13"/>
    </row>
    <row r="27788">
      <c r="F27788" s="13"/>
      <c r="M27788" s="13"/>
    </row>
    <row r="27789">
      <c r="F27789" s="13"/>
      <c r="M27789" s="13"/>
    </row>
    <row r="27790">
      <c r="F27790" s="13"/>
      <c r="M27790" s="13"/>
    </row>
    <row r="27791">
      <c r="F27791" s="13"/>
      <c r="M27791" s="13"/>
    </row>
    <row r="27792">
      <c r="F27792" s="13"/>
      <c r="M27792" s="13"/>
    </row>
    <row r="27793">
      <c r="F27793" s="13"/>
      <c r="M27793" s="13"/>
    </row>
    <row r="27794">
      <c r="F27794" s="13"/>
      <c r="M27794" s="13"/>
    </row>
    <row r="27795">
      <c r="F27795" s="13"/>
      <c r="M27795" s="13"/>
    </row>
    <row r="27796">
      <c r="F27796" s="13"/>
      <c r="M27796" s="13"/>
    </row>
    <row r="27797">
      <c r="F27797" s="13"/>
      <c r="M27797" s="13"/>
    </row>
    <row r="27798">
      <c r="F27798" s="13"/>
      <c r="M27798" s="13"/>
    </row>
    <row r="27799">
      <c r="F27799" s="13"/>
      <c r="M27799" s="13"/>
    </row>
    <row r="27800">
      <c r="F27800" s="13"/>
      <c r="M27800" s="13"/>
    </row>
    <row r="27801">
      <c r="F27801" s="13"/>
      <c r="M27801" s="13"/>
    </row>
    <row r="27802">
      <c r="F27802" s="13"/>
      <c r="M27802" s="13"/>
    </row>
    <row r="27803">
      <c r="F27803" s="13"/>
      <c r="M27803" s="13"/>
    </row>
    <row r="27804">
      <c r="F27804" s="13"/>
      <c r="M27804" s="13"/>
    </row>
    <row r="27805">
      <c r="F27805" s="13"/>
      <c r="M27805" s="13"/>
    </row>
    <row r="27806">
      <c r="F27806" s="13"/>
      <c r="M27806" s="13"/>
    </row>
    <row r="27807">
      <c r="F27807" s="13"/>
      <c r="M27807" s="13"/>
    </row>
    <row r="27808">
      <c r="F27808" s="13"/>
      <c r="M27808" s="13"/>
    </row>
    <row r="27809">
      <c r="F27809" s="13"/>
      <c r="M27809" s="13"/>
    </row>
    <row r="27810">
      <c r="F27810" s="13"/>
      <c r="M27810" s="13"/>
    </row>
    <row r="27811">
      <c r="F27811" s="13"/>
      <c r="M27811" s="13"/>
    </row>
    <row r="27812">
      <c r="F27812" s="13"/>
      <c r="M27812" s="13"/>
    </row>
    <row r="27813">
      <c r="F27813" s="13"/>
      <c r="M27813" s="13"/>
    </row>
    <row r="27814">
      <c r="F27814" s="13"/>
      <c r="M27814" s="13"/>
    </row>
    <row r="27815">
      <c r="F27815" s="13"/>
      <c r="M27815" s="13"/>
    </row>
    <row r="27816">
      <c r="F27816" s="13"/>
      <c r="M27816" s="13"/>
    </row>
    <row r="27817">
      <c r="F27817" s="13"/>
      <c r="M27817" s="13"/>
    </row>
    <row r="27818">
      <c r="F27818" s="13"/>
      <c r="M27818" s="13"/>
    </row>
    <row r="27819">
      <c r="F27819" s="13"/>
      <c r="M27819" s="13"/>
    </row>
    <row r="27820">
      <c r="F27820" s="13"/>
      <c r="M27820" s="13"/>
    </row>
    <row r="27821">
      <c r="F27821" s="13"/>
      <c r="M27821" s="13"/>
    </row>
    <row r="27822">
      <c r="F27822" s="13"/>
      <c r="M27822" s="13"/>
    </row>
    <row r="27823">
      <c r="F27823" s="13"/>
      <c r="M27823" s="13"/>
    </row>
    <row r="27824">
      <c r="F27824" s="13"/>
      <c r="M27824" s="13"/>
    </row>
    <row r="27825">
      <c r="F27825" s="13"/>
      <c r="M27825" s="13"/>
    </row>
    <row r="27826">
      <c r="F27826" s="13"/>
      <c r="M27826" s="13"/>
    </row>
    <row r="27827">
      <c r="F27827" s="13"/>
      <c r="M27827" s="13"/>
    </row>
    <row r="27828">
      <c r="F27828" s="13"/>
      <c r="M27828" s="13"/>
    </row>
    <row r="27829">
      <c r="F27829" s="13"/>
      <c r="M27829" s="13"/>
    </row>
    <row r="27830">
      <c r="F27830" s="13"/>
      <c r="M27830" s="13"/>
    </row>
    <row r="27831">
      <c r="F27831" s="13"/>
      <c r="M27831" s="13"/>
    </row>
    <row r="27832">
      <c r="F27832" s="13"/>
      <c r="M27832" s="13"/>
    </row>
    <row r="27833">
      <c r="F27833" s="13"/>
      <c r="M27833" s="13"/>
    </row>
    <row r="27834">
      <c r="F27834" s="13"/>
      <c r="M27834" s="13"/>
    </row>
    <row r="27835">
      <c r="F27835" s="13"/>
      <c r="M27835" s="13"/>
    </row>
    <row r="27836">
      <c r="F27836" s="13"/>
      <c r="M27836" s="13"/>
    </row>
    <row r="27837">
      <c r="F27837" s="13"/>
      <c r="M27837" s="13"/>
    </row>
    <row r="27838">
      <c r="F27838" s="13"/>
      <c r="M27838" s="13"/>
    </row>
    <row r="27839">
      <c r="F27839" s="13"/>
      <c r="M27839" s="13"/>
    </row>
    <row r="27840">
      <c r="F27840" s="13"/>
      <c r="M27840" s="13"/>
    </row>
    <row r="27841">
      <c r="F27841" s="13"/>
      <c r="M27841" s="13"/>
    </row>
    <row r="27842">
      <c r="F27842" s="13"/>
      <c r="M27842" s="13"/>
    </row>
    <row r="27843">
      <c r="F27843" s="13"/>
      <c r="M27843" s="13"/>
    </row>
    <row r="27844">
      <c r="F27844" s="13"/>
      <c r="M27844" s="13"/>
    </row>
    <row r="27845">
      <c r="F27845" s="13"/>
      <c r="M27845" s="13"/>
    </row>
    <row r="27846">
      <c r="F27846" s="13"/>
      <c r="M27846" s="13"/>
    </row>
    <row r="27847">
      <c r="F27847" s="13"/>
      <c r="M27847" s="13"/>
    </row>
    <row r="27848">
      <c r="F27848" s="13"/>
      <c r="M27848" s="13"/>
    </row>
    <row r="27849">
      <c r="F27849" s="13"/>
      <c r="M27849" s="13"/>
    </row>
    <row r="27850">
      <c r="F27850" s="13"/>
      <c r="M27850" s="13"/>
    </row>
    <row r="27851">
      <c r="F27851" s="13"/>
      <c r="M27851" s="13"/>
    </row>
    <row r="27852">
      <c r="F27852" s="13"/>
      <c r="M27852" s="13"/>
    </row>
    <row r="27853">
      <c r="F27853" s="13"/>
      <c r="M27853" s="13"/>
    </row>
    <row r="27854">
      <c r="F27854" s="13"/>
      <c r="M27854" s="13"/>
    </row>
    <row r="27855">
      <c r="F27855" s="13"/>
      <c r="M27855" s="13"/>
    </row>
    <row r="27856">
      <c r="F27856" s="13"/>
      <c r="M27856" s="13"/>
    </row>
    <row r="27857">
      <c r="F27857" s="13"/>
      <c r="M27857" s="13"/>
    </row>
    <row r="27858">
      <c r="F27858" s="13"/>
      <c r="M27858" s="13"/>
    </row>
    <row r="27859">
      <c r="F27859" s="13"/>
      <c r="M27859" s="13"/>
    </row>
    <row r="27860">
      <c r="F27860" s="13"/>
      <c r="M27860" s="13"/>
    </row>
    <row r="27861">
      <c r="F27861" s="13"/>
      <c r="M27861" s="13"/>
    </row>
    <row r="27862">
      <c r="F27862" s="13"/>
      <c r="M27862" s="13"/>
    </row>
    <row r="27863">
      <c r="F27863" s="13"/>
      <c r="M27863" s="13"/>
    </row>
    <row r="27864">
      <c r="F27864" s="13"/>
      <c r="M27864" s="13"/>
    </row>
    <row r="27865">
      <c r="F27865" s="13"/>
      <c r="M27865" s="13"/>
    </row>
    <row r="27866">
      <c r="F27866" s="13"/>
      <c r="M27866" s="13"/>
    </row>
    <row r="27867">
      <c r="F27867" s="13"/>
      <c r="M27867" s="13"/>
    </row>
    <row r="27868">
      <c r="F27868" s="13"/>
      <c r="M27868" s="13"/>
    </row>
    <row r="27869">
      <c r="F27869" s="13"/>
      <c r="M27869" s="13"/>
    </row>
    <row r="27870">
      <c r="F27870" s="13"/>
      <c r="M27870" s="13"/>
    </row>
    <row r="27871">
      <c r="F27871" s="13"/>
      <c r="M27871" s="13"/>
    </row>
    <row r="27872">
      <c r="F27872" s="13"/>
      <c r="M27872" s="13"/>
    </row>
    <row r="27873">
      <c r="F27873" s="13"/>
      <c r="M27873" s="13"/>
    </row>
    <row r="27874">
      <c r="F27874" s="13"/>
      <c r="M27874" s="13"/>
    </row>
    <row r="27875">
      <c r="F27875" s="13"/>
      <c r="M27875" s="13"/>
    </row>
    <row r="27876">
      <c r="F27876" s="13"/>
      <c r="M27876" s="13"/>
    </row>
    <row r="27877">
      <c r="F27877" s="13"/>
      <c r="M27877" s="13"/>
    </row>
    <row r="27878">
      <c r="F27878" s="13"/>
      <c r="M27878" s="13"/>
    </row>
    <row r="27879">
      <c r="F27879" s="13"/>
      <c r="M27879" s="13"/>
    </row>
    <row r="27880">
      <c r="F27880" s="13"/>
      <c r="M27880" s="13"/>
    </row>
    <row r="27881">
      <c r="F27881" s="13"/>
      <c r="M27881" s="13"/>
    </row>
    <row r="27882">
      <c r="F27882" s="13"/>
      <c r="M27882" s="13"/>
    </row>
    <row r="27883">
      <c r="F27883" s="13"/>
      <c r="M27883" s="13"/>
    </row>
    <row r="27884">
      <c r="F27884" s="13"/>
      <c r="M27884" s="13"/>
    </row>
    <row r="27885">
      <c r="F27885" s="13"/>
      <c r="M27885" s="13"/>
    </row>
    <row r="27886">
      <c r="F27886" s="13"/>
      <c r="M27886" s="13"/>
    </row>
    <row r="27887">
      <c r="F27887" s="13"/>
      <c r="M27887" s="13"/>
    </row>
    <row r="27888">
      <c r="F27888" s="13"/>
      <c r="M27888" s="13"/>
    </row>
    <row r="27889">
      <c r="F27889" s="13"/>
      <c r="M27889" s="13"/>
    </row>
    <row r="27890">
      <c r="F27890" s="13"/>
      <c r="M27890" s="13"/>
    </row>
    <row r="27891">
      <c r="F27891" s="13"/>
      <c r="M27891" s="13"/>
    </row>
    <row r="27892">
      <c r="F27892" s="13"/>
      <c r="M27892" s="13"/>
    </row>
    <row r="27893">
      <c r="F27893" s="13"/>
      <c r="M27893" s="13"/>
    </row>
    <row r="27894">
      <c r="F27894" s="13"/>
      <c r="M27894" s="13"/>
    </row>
    <row r="27895">
      <c r="F27895" s="13"/>
      <c r="M27895" s="13"/>
    </row>
    <row r="27896">
      <c r="F27896" s="13"/>
      <c r="M27896" s="13"/>
    </row>
    <row r="27897">
      <c r="F27897" s="13"/>
      <c r="M27897" s="13"/>
    </row>
    <row r="27898">
      <c r="F27898" s="13"/>
      <c r="M27898" s="13"/>
    </row>
    <row r="27899">
      <c r="F27899" s="13"/>
      <c r="M27899" s="13"/>
    </row>
    <row r="27900">
      <c r="F27900" s="13"/>
      <c r="M27900" s="13"/>
    </row>
    <row r="27901">
      <c r="F27901" s="13"/>
      <c r="M27901" s="13"/>
    </row>
    <row r="27902">
      <c r="F27902" s="13"/>
      <c r="M27902" s="13"/>
    </row>
    <row r="27903">
      <c r="F27903" s="13"/>
      <c r="M27903" s="13"/>
    </row>
    <row r="27904">
      <c r="F27904" s="13"/>
      <c r="M27904" s="13"/>
    </row>
    <row r="27905">
      <c r="F27905" s="13"/>
      <c r="M27905" s="13"/>
    </row>
    <row r="27906">
      <c r="F27906" s="13"/>
      <c r="M27906" s="13"/>
    </row>
    <row r="27907">
      <c r="F27907" s="13"/>
      <c r="M27907" s="13"/>
    </row>
    <row r="27908">
      <c r="F27908" s="13"/>
      <c r="M27908" s="13"/>
    </row>
    <row r="27909">
      <c r="F27909" s="13"/>
      <c r="M27909" s="13"/>
    </row>
    <row r="27910">
      <c r="F27910" s="13"/>
      <c r="M27910" s="13"/>
    </row>
    <row r="27911">
      <c r="F27911" s="13"/>
      <c r="M27911" s="13"/>
    </row>
    <row r="27912">
      <c r="F27912" s="13"/>
      <c r="M27912" s="13"/>
    </row>
    <row r="27913">
      <c r="F27913" s="13"/>
      <c r="M27913" s="13"/>
    </row>
    <row r="27914">
      <c r="F27914" s="13"/>
      <c r="M27914" s="13"/>
    </row>
    <row r="27915">
      <c r="F27915" s="13"/>
      <c r="M27915" s="13"/>
    </row>
    <row r="27916">
      <c r="F27916" s="13"/>
      <c r="M27916" s="13"/>
    </row>
    <row r="27917">
      <c r="F27917" s="13"/>
      <c r="M27917" s="13"/>
    </row>
    <row r="27918">
      <c r="F27918" s="13"/>
      <c r="M27918" s="13"/>
    </row>
    <row r="27919">
      <c r="F27919" s="13"/>
      <c r="M27919" s="13"/>
    </row>
    <row r="27920">
      <c r="F27920" s="13"/>
      <c r="M27920" s="13"/>
    </row>
    <row r="27921">
      <c r="F27921" s="13"/>
      <c r="M27921" s="13"/>
    </row>
    <row r="27922">
      <c r="F27922" s="13"/>
      <c r="M27922" s="13"/>
    </row>
    <row r="27923">
      <c r="F27923" s="13"/>
      <c r="M27923" s="13"/>
    </row>
    <row r="27924">
      <c r="F27924" s="13"/>
      <c r="M27924" s="13"/>
    </row>
    <row r="27925">
      <c r="F27925" s="13"/>
      <c r="M27925" s="13"/>
    </row>
    <row r="27926">
      <c r="F27926" s="13"/>
      <c r="M27926" s="13"/>
    </row>
    <row r="27927">
      <c r="F27927" s="13"/>
      <c r="M27927" s="13"/>
    </row>
    <row r="27928">
      <c r="F27928" s="13"/>
      <c r="M27928" s="13"/>
    </row>
    <row r="27929">
      <c r="F27929" s="13"/>
      <c r="M27929" s="13"/>
    </row>
    <row r="27930">
      <c r="F27930" s="13"/>
      <c r="M27930" s="13"/>
    </row>
    <row r="27931">
      <c r="F27931" s="13"/>
      <c r="M27931" s="13"/>
    </row>
    <row r="27932">
      <c r="F27932" s="13"/>
      <c r="M27932" s="13"/>
    </row>
    <row r="27933">
      <c r="F27933" s="13"/>
      <c r="M27933" s="13"/>
    </row>
    <row r="27934">
      <c r="F27934" s="13"/>
      <c r="M27934" s="13"/>
    </row>
    <row r="27935">
      <c r="F27935" s="13"/>
      <c r="M27935" s="13"/>
    </row>
    <row r="27936">
      <c r="F27936" s="13"/>
      <c r="M27936" s="13"/>
    </row>
    <row r="27937">
      <c r="F27937" s="13"/>
      <c r="M27937" s="13"/>
    </row>
    <row r="27938">
      <c r="F27938" s="13"/>
      <c r="M27938" s="13"/>
    </row>
    <row r="27939">
      <c r="F27939" s="13"/>
      <c r="M27939" s="13"/>
    </row>
    <row r="27940">
      <c r="F27940" s="13"/>
      <c r="M27940" s="13"/>
    </row>
    <row r="27941">
      <c r="F27941" s="13"/>
      <c r="M27941" s="13"/>
    </row>
    <row r="27942">
      <c r="F27942" s="13"/>
      <c r="M27942" s="13"/>
    </row>
    <row r="27943">
      <c r="F27943" s="13"/>
      <c r="M27943" s="13"/>
    </row>
    <row r="27944">
      <c r="F27944" s="13"/>
      <c r="M27944" s="13"/>
    </row>
    <row r="27945">
      <c r="F27945" s="13"/>
      <c r="M27945" s="13"/>
    </row>
    <row r="27946">
      <c r="F27946" s="13"/>
      <c r="M27946" s="13"/>
    </row>
    <row r="27947">
      <c r="F27947" s="13"/>
      <c r="M27947" s="13"/>
    </row>
    <row r="27948">
      <c r="F27948" s="13"/>
      <c r="M27948" s="13"/>
    </row>
    <row r="27949">
      <c r="F27949" s="13"/>
      <c r="M27949" s="13"/>
    </row>
    <row r="27950">
      <c r="F27950" s="13"/>
      <c r="M27950" s="13"/>
    </row>
    <row r="27951">
      <c r="F27951" s="13"/>
      <c r="M27951" s="13"/>
    </row>
    <row r="27952">
      <c r="F27952" s="13"/>
      <c r="M27952" s="13"/>
    </row>
    <row r="27953">
      <c r="F27953" s="13"/>
      <c r="M27953" s="13"/>
    </row>
    <row r="27954">
      <c r="F27954" s="13"/>
      <c r="M27954" s="13"/>
    </row>
    <row r="27955">
      <c r="F27955" s="13"/>
      <c r="M27955" s="13"/>
    </row>
    <row r="27956">
      <c r="F27956" s="13"/>
      <c r="M27956" s="13"/>
    </row>
    <row r="27957">
      <c r="F27957" s="13"/>
      <c r="M27957" s="13"/>
    </row>
    <row r="27958">
      <c r="F27958" s="13"/>
      <c r="M27958" s="13"/>
    </row>
    <row r="27959">
      <c r="F27959" s="13"/>
      <c r="M27959" s="13"/>
    </row>
    <row r="27960">
      <c r="F27960" s="13"/>
      <c r="M27960" s="13"/>
    </row>
    <row r="27961">
      <c r="F27961" s="13"/>
      <c r="M27961" s="13"/>
    </row>
    <row r="27962">
      <c r="F27962" s="13"/>
      <c r="M27962" s="13"/>
    </row>
    <row r="27963">
      <c r="F27963" s="13"/>
      <c r="M27963" s="13"/>
    </row>
    <row r="27964">
      <c r="F27964" s="13"/>
      <c r="M27964" s="13"/>
    </row>
    <row r="27965">
      <c r="F27965" s="13"/>
      <c r="M27965" s="13"/>
    </row>
    <row r="27966">
      <c r="F27966" s="13"/>
      <c r="M27966" s="13"/>
    </row>
    <row r="27967">
      <c r="F27967" s="13"/>
      <c r="M27967" s="13"/>
    </row>
    <row r="27968">
      <c r="F27968" s="13"/>
      <c r="M27968" s="13"/>
    </row>
    <row r="27969">
      <c r="F27969" s="13"/>
      <c r="M27969" s="13"/>
    </row>
    <row r="27970">
      <c r="F27970" s="13"/>
      <c r="M27970" s="13"/>
    </row>
    <row r="27971">
      <c r="F27971" s="13"/>
      <c r="M27971" s="13"/>
    </row>
    <row r="27972">
      <c r="F27972" s="13"/>
      <c r="M27972" s="13"/>
    </row>
    <row r="27973">
      <c r="F27973" s="13"/>
      <c r="M27973" s="13"/>
    </row>
    <row r="27974">
      <c r="F27974" s="13"/>
      <c r="M27974" s="13"/>
    </row>
    <row r="27975">
      <c r="F27975" s="13"/>
      <c r="M27975" s="13"/>
    </row>
    <row r="27976">
      <c r="F27976" s="13"/>
      <c r="M27976" s="13"/>
    </row>
    <row r="27977">
      <c r="F27977" s="13"/>
      <c r="M27977" s="13"/>
    </row>
    <row r="27978">
      <c r="F27978" s="13"/>
      <c r="M27978" s="13"/>
    </row>
    <row r="27979">
      <c r="F27979" s="13"/>
      <c r="M27979" s="13"/>
    </row>
    <row r="27980">
      <c r="F27980" s="13"/>
      <c r="M27980" s="13"/>
    </row>
    <row r="27981">
      <c r="F27981" s="13"/>
      <c r="M27981" s="13"/>
    </row>
    <row r="27982">
      <c r="F27982" s="13"/>
      <c r="M27982" s="13"/>
    </row>
    <row r="27983">
      <c r="F27983" s="13"/>
      <c r="M27983" s="13"/>
    </row>
    <row r="27984">
      <c r="F27984" s="13"/>
      <c r="M27984" s="13"/>
    </row>
    <row r="27985">
      <c r="F27985" s="13"/>
      <c r="M27985" s="13"/>
    </row>
    <row r="27986">
      <c r="F27986" s="13"/>
      <c r="M27986" s="13"/>
    </row>
    <row r="27987">
      <c r="F27987" s="13"/>
      <c r="M27987" s="13"/>
    </row>
    <row r="27988">
      <c r="F27988" s="13"/>
      <c r="M27988" s="13"/>
    </row>
    <row r="27989">
      <c r="F27989" s="13"/>
      <c r="M27989" s="13"/>
    </row>
    <row r="27990">
      <c r="F27990" s="13"/>
      <c r="M27990" s="13"/>
    </row>
    <row r="27991">
      <c r="F27991" s="13"/>
      <c r="M27991" s="13"/>
    </row>
    <row r="27992">
      <c r="F27992" s="13"/>
      <c r="M27992" s="13"/>
    </row>
    <row r="27993">
      <c r="F27993" s="13"/>
      <c r="M27993" s="13"/>
    </row>
    <row r="27994">
      <c r="F27994" s="13"/>
      <c r="M27994" s="13"/>
    </row>
    <row r="27995">
      <c r="F27995" s="13"/>
      <c r="M27995" s="13"/>
    </row>
    <row r="27996">
      <c r="F27996" s="13"/>
      <c r="M27996" s="13"/>
    </row>
    <row r="27997">
      <c r="F27997" s="13"/>
      <c r="M27997" s="13"/>
    </row>
    <row r="27998">
      <c r="F27998" s="13"/>
      <c r="M27998" s="13"/>
    </row>
    <row r="27999">
      <c r="F27999" s="13"/>
      <c r="M27999" s="13"/>
    </row>
    <row r="28000">
      <c r="F28000" s="13"/>
      <c r="M28000" s="13"/>
    </row>
    <row r="28001">
      <c r="F28001" s="13"/>
      <c r="M28001" s="13"/>
    </row>
    <row r="28002">
      <c r="F28002" s="13"/>
      <c r="M28002" s="13"/>
    </row>
    <row r="28003">
      <c r="F28003" s="13"/>
      <c r="M28003" s="13"/>
    </row>
    <row r="28004">
      <c r="F28004" s="13"/>
      <c r="M28004" s="13"/>
    </row>
    <row r="28005">
      <c r="F28005" s="13"/>
      <c r="M28005" s="13"/>
    </row>
    <row r="28006">
      <c r="F28006" s="13"/>
      <c r="M28006" s="13"/>
    </row>
    <row r="28007">
      <c r="F28007" s="13"/>
      <c r="M28007" s="13"/>
    </row>
    <row r="28008">
      <c r="F28008" s="13"/>
      <c r="M28008" s="13"/>
    </row>
    <row r="28009">
      <c r="F28009" s="13"/>
      <c r="M28009" s="13"/>
    </row>
    <row r="28010">
      <c r="F28010" s="13"/>
      <c r="M28010" s="13"/>
    </row>
    <row r="28011">
      <c r="F28011" s="13"/>
      <c r="M28011" s="13"/>
    </row>
    <row r="28012">
      <c r="F28012" s="13"/>
      <c r="M28012" s="13"/>
    </row>
    <row r="28013">
      <c r="F28013" s="13"/>
      <c r="M28013" s="13"/>
    </row>
    <row r="28014">
      <c r="F28014" s="13"/>
      <c r="M28014" s="13"/>
    </row>
    <row r="28015">
      <c r="F28015" s="13"/>
      <c r="M28015" s="13"/>
    </row>
    <row r="28016">
      <c r="F28016" s="13"/>
      <c r="M28016" s="13"/>
    </row>
    <row r="28017">
      <c r="F28017" s="13"/>
      <c r="M28017" s="13"/>
    </row>
    <row r="28018">
      <c r="F28018" s="13"/>
      <c r="M28018" s="13"/>
    </row>
    <row r="28019">
      <c r="F28019" s="13"/>
      <c r="M28019" s="13"/>
    </row>
    <row r="28020">
      <c r="F28020" s="13"/>
      <c r="M28020" s="13"/>
    </row>
    <row r="28021">
      <c r="F28021" s="13"/>
      <c r="M28021" s="13"/>
    </row>
    <row r="28022">
      <c r="F28022" s="13"/>
      <c r="M28022" s="13"/>
    </row>
    <row r="28023">
      <c r="F28023" s="13"/>
      <c r="M28023" s="13"/>
    </row>
    <row r="28024">
      <c r="F28024" s="13"/>
      <c r="M28024" s="13"/>
    </row>
    <row r="28025">
      <c r="F28025" s="13"/>
      <c r="M28025" s="13"/>
    </row>
    <row r="28026">
      <c r="F28026" s="13"/>
      <c r="M28026" s="13"/>
    </row>
    <row r="28027">
      <c r="F28027" s="13"/>
      <c r="M28027" s="13"/>
    </row>
    <row r="28028">
      <c r="F28028" s="13"/>
      <c r="M28028" s="13"/>
    </row>
    <row r="28029">
      <c r="F28029" s="13"/>
      <c r="M28029" s="13"/>
    </row>
    <row r="28030">
      <c r="F28030" s="13"/>
      <c r="M28030" s="13"/>
    </row>
    <row r="28031">
      <c r="F28031" s="13"/>
      <c r="M28031" s="13"/>
    </row>
    <row r="28032">
      <c r="F28032" s="13"/>
      <c r="M28032" s="13"/>
    </row>
    <row r="28033">
      <c r="F28033" s="13"/>
      <c r="M28033" s="13"/>
    </row>
    <row r="28034">
      <c r="F28034" s="13"/>
      <c r="M28034" s="13"/>
    </row>
    <row r="28035">
      <c r="F28035" s="13"/>
      <c r="M28035" s="13"/>
    </row>
    <row r="28036">
      <c r="F28036" s="13"/>
      <c r="M28036" s="13"/>
    </row>
    <row r="28037">
      <c r="F28037" s="13"/>
      <c r="M28037" s="13"/>
    </row>
    <row r="28038">
      <c r="F28038" s="13"/>
      <c r="M28038" s="13"/>
    </row>
    <row r="28039">
      <c r="F28039" s="13"/>
      <c r="M28039" s="13"/>
    </row>
    <row r="28040">
      <c r="F28040" s="13"/>
      <c r="M28040" s="13"/>
    </row>
    <row r="28041">
      <c r="F28041" s="13"/>
      <c r="M28041" s="13"/>
    </row>
    <row r="28042">
      <c r="F28042" s="13"/>
      <c r="M28042" s="13"/>
    </row>
    <row r="28043">
      <c r="F28043" s="13"/>
      <c r="M28043" s="13"/>
    </row>
    <row r="28044">
      <c r="F28044" s="13"/>
      <c r="M28044" s="13"/>
    </row>
    <row r="28045">
      <c r="F28045" s="13"/>
      <c r="M28045" s="13"/>
    </row>
    <row r="28046">
      <c r="F28046" s="13"/>
      <c r="M28046" s="13"/>
    </row>
    <row r="28047">
      <c r="F28047" s="13"/>
      <c r="M28047" s="13"/>
    </row>
    <row r="28048">
      <c r="F28048" s="13"/>
      <c r="M28048" s="13"/>
    </row>
    <row r="28049">
      <c r="F28049" s="13"/>
      <c r="M28049" s="13"/>
    </row>
    <row r="28050">
      <c r="F28050" s="13"/>
      <c r="M28050" s="13"/>
    </row>
    <row r="28051">
      <c r="F28051" s="13"/>
      <c r="M28051" s="13"/>
    </row>
    <row r="28052">
      <c r="F28052" s="13"/>
      <c r="M28052" s="13"/>
    </row>
    <row r="28053">
      <c r="F28053" s="13"/>
      <c r="M28053" s="13"/>
    </row>
    <row r="28054">
      <c r="F28054" s="13"/>
      <c r="M28054" s="13"/>
    </row>
    <row r="28055">
      <c r="F28055" s="13"/>
      <c r="M28055" s="13"/>
    </row>
    <row r="28056">
      <c r="F28056" s="13"/>
      <c r="M28056" s="13"/>
    </row>
    <row r="28057">
      <c r="F28057" s="13"/>
      <c r="M28057" s="13"/>
    </row>
    <row r="28058">
      <c r="F28058" s="13"/>
      <c r="M28058" s="13"/>
    </row>
    <row r="28059">
      <c r="F28059" s="13"/>
      <c r="M28059" s="13"/>
    </row>
    <row r="28060">
      <c r="F28060" s="13"/>
      <c r="M28060" s="13"/>
    </row>
    <row r="28061">
      <c r="F28061" s="13"/>
      <c r="M28061" s="13"/>
    </row>
    <row r="28062">
      <c r="F28062" s="13"/>
      <c r="M28062" s="13"/>
    </row>
    <row r="28063">
      <c r="F28063" s="13"/>
      <c r="M28063" s="13"/>
    </row>
    <row r="28064">
      <c r="F28064" s="13"/>
      <c r="M28064" s="13"/>
    </row>
    <row r="28065">
      <c r="F28065" s="13"/>
      <c r="M28065" s="13"/>
    </row>
    <row r="28066">
      <c r="F28066" s="13"/>
      <c r="M28066" s="13"/>
    </row>
    <row r="28067">
      <c r="F28067" s="13"/>
      <c r="M28067" s="13"/>
    </row>
    <row r="28068">
      <c r="F28068" s="13"/>
      <c r="M28068" s="13"/>
    </row>
    <row r="28069">
      <c r="F28069" s="13"/>
      <c r="M28069" s="13"/>
    </row>
    <row r="28070">
      <c r="F28070" s="13"/>
      <c r="M28070" s="13"/>
    </row>
    <row r="28071">
      <c r="F28071" s="13"/>
      <c r="M28071" s="13"/>
    </row>
    <row r="28072">
      <c r="F28072" s="13"/>
      <c r="M28072" s="13"/>
    </row>
    <row r="28073">
      <c r="F28073" s="13"/>
      <c r="M28073" s="13"/>
    </row>
    <row r="28074">
      <c r="F28074" s="13"/>
      <c r="M28074" s="13"/>
    </row>
    <row r="28075">
      <c r="F28075" s="13"/>
      <c r="M28075" s="13"/>
    </row>
    <row r="28076">
      <c r="F28076" s="13"/>
      <c r="M28076" s="13"/>
    </row>
    <row r="28077">
      <c r="F28077" s="13"/>
      <c r="M28077" s="13"/>
    </row>
    <row r="28078">
      <c r="F28078" s="13"/>
      <c r="M28078" s="13"/>
    </row>
    <row r="28079">
      <c r="F28079" s="13"/>
      <c r="M28079" s="13"/>
    </row>
    <row r="28080">
      <c r="F28080" s="13"/>
      <c r="M28080" s="13"/>
    </row>
    <row r="28081">
      <c r="F28081" s="13"/>
      <c r="M28081" s="13"/>
    </row>
    <row r="28082">
      <c r="F28082" s="13"/>
      <c r="M28082" s="13"/>
    </row>
    <row r="28083">
      <c r="F28083" s="13"/>
      <c r="M28083" s="13"/>
    </row>
    <row r="28084">
      <c r="F28084" s="13"/>
      <c r="M28084" s="13"/>
    </row>
    <row r="28085">
      <c r="F28085" s="13"/>
      <c r="M28085" s="13"/>
    </row>
    <row r="28086">
      <c r="F28086" s="13"/>
      <c r="M28086" s="13"/>
    </row>
    <row r="28087">
      <c r="F28087" s="13"/>
      <c r="M28087" s="13"/>
    </row>
    <row r="28088">
      <c r="F28088" s="13"/>
      <c r="M28088" s="13"/>
    </row>
    <row r="28089">
      <c r="F28089" s="13"/>
      <c r="M28089" s="13"/>
    </row>
    <row r="28090">
      <c r="F28090" s="13"/>
      <c r="M28090" s="13"/>
    </row>
    <row r="28091">
      <c r="F28091" s="13"/>
      <c r="M28091" s="13"/>
    </row>
    <row r="28092">
      <c r="F28092" s="13"/>
      <c r="M28092" s="13"/>
    </row>
    <row r="28093">
      <c r="F28093" s="13"/>
      <c r="M28093" s="13"/>
    </row>
    <row r="28094">
      <c r="F28094" s="13"/>
      <c r="M28094" s="13"/>
    </row>
    <row r="28095">
      <c r="F28095" s="13"/>
      <c r="M28095" s="13"/>
    </row>
    <row r="28096">
      <c r="F28096" s="13"/>
      <c r="M28096" s="13"/>
    </row>
    <row r="28097">
      <c r="F28097" s="13"/>
      <c r="M28097" s="13"/>
    </row>
    <row r="28098">
      <c r="F28098" s="13"/>
      <c r="M28098" s="13"/>
    </row>
    <row r="28099">
      <c r="F28099" s="13"/>
      <c r="M28099" s="13"/>
    </row>
    <row r="28100">
      <c r="F28100" s="13"/>
      <c r="M28100" s="13"/>
    </row>
    <row r="28101">
      <c r="F28101" s="13"/>
      <c r="M28101" s="13"/>
    </row>
    <row r="28102">
      <c r="F28102" s="13"/>
      <c r="M28102" s="13"/>
    </row>
    <row r="28103">
      <c r="F28103" s="13"/>
      <c r="M28103" s="13"/>
    </row>
    <row r="28104">
      <c r="F28104" s="13"/>
      <c r="M28104" s="13"/>
    </row>
    <row r="28105">
      <c r="F28105" s="13"/>
      <c r="M28105" s="13"/>
    </row>
    <row r="28106">
      <c r="F28106" s="13"/>
      <c r="M28106" s="13"/>
    </row>
    <row r="28107">
      <c r="F28107" s="13"/>
      <c r="M28107" s="13"/>
    </row>
    <row r="28108">
      <c r="F28108" s="13"/>
      <c r="M28108" s="13"/>
    </row>
    <row r="28109">
      <c r="F28109" s="13"/>
      <c r="M28109" s="13"/>
    </row>
    <row r="28110">
      <c r="F28110" s="13"/>
      <c r="M28110" s="13"/>
    </row>
    <row r="28111">
      <c r="F28111" s="13"/>
      <c r="M28111" s="13"/>
    </row>
    <row r="28112">
      <c r="F28112" s="13"/>
      <c r="M28112" s="13"/>
    </row>
    <row r="28113">
      <c r="F28113" s="13"/>
      <c r="M28113" s="13"/>
    </row>
    <row r="28114">
      <c r="F28114" s="13"/>
      <c r="M28114" s="13"/>
    </row>
    <row r="28115">
      <c r="F28115" s="13"/>
      <c r="M28115" s="13"/>
    </row>
    <row r="28116">
      <c r="F28116" s="13"/>
      <c r="M28116" s="13"/>
    </row>
    <row r="28117">
      <c r="F28117" s="13"/>
      <c r="M28117" s="13"/>
    </row>
    <row r="28118">
      <c r="F28118" s="13"/>
      <c r="M28118" s="13"/>
    </row>
    <row r="28119">
      <c r="F28119" s="13"/>
      <c r="M28119" s="13"/>
    </row>
    <row r="28120">
      <c r="F28120" s="13"/>
      <c r="M28120" s="13"/>
    </row>
    <row r="28121">
      <c r="F28121" s="13"/>
      <c r="M28121" s="13"/>
    </row>
    <row r="28122">
      <c r="F28122" s="13"/>
      <c r="M28122" s="13"/>
    </row>
    <row r="28123">
      <c r="F28123" s="13"/>
      <c r="M28123" s="13"/>
    </row>
    <row r="28124">
      <c r="F28124" s="13"/>
      <c r="M28124" s="13"/>
    </row>
    <row r="28125">
      <c r="F28125" s="13"/>
      <c r="M28125" s="13"/>
    </row>
    <row r="28126">
      <c r="F28126" s="13"/>
      <c r="M28126" s="13"/>
    </row>
    <row r="28127">
      <c r="F28127" s="13"/>
      <c r="M28127" s="13"/>
    </row>
    <row r="28128">
      <c r="F28128" s="13"/>
      <c r="M28128" s="13"/>
    </row>
    <row r="28129">
      <c r="F28129" s="13"/>
      <c r="M28129" s="13"/>
    </row>
    <row r="28130">
      <c r="F28130" s="13"/>
      <c r="M28130" s="13"/>
    </row>
    <row r="28131">
      <c r="F28131" s="13"/>
      <c r="M28131" s="13"/>
    </row>
    <row r="28132">
      <c r="F28132" s="13"/>
      <c r="M28132" s="13"/>
    </row>
    <row r="28133">
      <c r="F28133" s="13"/>
      <c r="M28133" s="13"/>
    </row>
    <row r="28134">
      <c r="F28134" s="13"/>
      <c r="M28134" s="13"/>
    </row>
    <row r="28135">
      <c r="F28135" s="13"/>
      <c r="M28135" s="13"/>
    </row>
    <row r="28136">
      <c r="F28136" s="13"/>
      <c r="M28136" s="13"/>
    </row>
    <row r="28137">
      <c r="F28137" s="13"/>
      <c r="M28137" s="13"/>
    </row>
    <row r="28138">
      <c r="F28138" s="13"/>
      <c r="M28138" s="13"/>
    </row>
    <row r="28139">
      <c r="F28139" s="13"/>
      <c r="M28139" s="13"/>
    </row>
    <row r="28140">
      <c r="F28140" s="13"/>
      <c r="M28140" s="13"/>
    </row>
    <row r="28141">
      <c r="F28141" s="13"/>
      <c r="M28141" s="13"/>
    </row>
    <row r="28142">
      <c r="F28142" s="13"/>
      <c r="M28142" s="13"/>
    </row>
    <row r="28143">
      <c r="F28143" s="13"/>
      <c r="M28143" s="13"/>
    </row>
    <row r="28144">
      <c r="F28144" s="13"/>
      <c r="M28144" s="13"/>
    </row>
    <row r="28145">
      <c r="F28145" s="13"/>
      <c r="M28145" s="13"/>
    </row>
    <row r="28146">
      <c r="F28146" s="13"/>
      <c r="M28146" s="13"/>
    </row>
    <row r="28147">
      <c r="F28147" s="13"/>
      <c r="M28147" s="13"/>
    </row>
    <row r="28148">
      <c r="F28148" s="13"/>
      <c r="M28148" s="13"/>
    </row>
    <row r="28149">
      <c r="F28149" s="13"/>
      <c r="M28149" s="13"/>
    </row>
    <row r="28150">
      <c r="F28150" s="13"/>
      <c r="M28150" s="13"/>
    </row>
    <row r="28151">
      <c r="F28151" s="13"/>
      <c r="M28151" s="13"/>
    </row>
    <row r="28152">
      <c r="F28152" s="13"/>
      <c r="M28152" s="13"/>
    </row>
    <row r="28153">
      <c r="F28153" s="13"/>
      <c r="M28153" s="13"/>
    </row>
    <row r="28154">
      <c r="F28154" s="13"/>
      <c r="M28154" s="13"/>
    </row>
    <row r="28155">
      <c r="F28155" s="13"/>
      <c r="M28155" s="13"/>
    </row>
    <row r="28156">
      <c r="F28156" s="13"/>
      <c r="M28156" s="13"/>
    </row>
    <row r="28157">
      <c r="F28157" s="13"/>
      <c r="M28157" s="13"/>
    </row>
    <row r="28158">
      <c r="F28158" s="13"/>
      <c r="M28158" s="13"/>
    </row>
    <row r="28159">
      <c r="F28159" s="13"/>
      <c r="M28159" s="13"/>
    </row>
    <row r="28160">
      <c r="F28160" s="13"/>
      <c r="M28160" s="13"/>
    </row>
    <row r="28161">
      <c r="F28161" s="13"/>
      <c r="M28161" s="13"/>
    </row>
    <row r="28162">
      <c r="F28162" s="13"/>
      <c r="M28162" s="13"/>
    </row>
    <row r="28163">
      <c r="F28163" s="13"/>
      <c r="M28163" s="13"/>
    </row>
    <row r="28164">
      <c r="F28164" s="13"/>
      <c r="M28164" s="13"/>
    </row>
    <row r="28165">
      <c r="F28165" s="13"/>
      <c r="M28165" s="13"/>
    </row>
    <row r="28166">
      <c r="F28166" s="13"/>
      <c r="M28166" s="13"/>
    </row>
    <row r="28167">
      <c r="F28167" s="13"/>
      <c r="M28167" s="13"/>
    </row>
    <row r="28168">
      <c r="F28168" s="13"/>
      <c r="M28168" s="13"/>
    </row>
    <row r="28169">
      <c r="F28169" s="13"/>
      <c r="M28169" s="13"/>
    </row>
    <row r="28170">
      <c r="F28170" s="13"/>
      <c r="M28170" s="13"/>
    </row>
    <row r="28171">
      <c r="F28171" s="13"/>
      <c r="M28171" s="13"/>
    </row>
    <row r="28172">
      <c r="F28172" s="13"/>
      <c r="M28172" s="13"/>
    </row>
    <row r="28173">
      <c r="F28173" s="13"/>
      <c r="M28173" s="13"/>
    </row>
    <row r="28174">
      <c r="F28174" s="13"/>
      <c r="M28174" s="13"/>
    </row>
    <row r="28175">
      <c r="F28175" s="13"/>
      <c r="M28175" s="13"/>
    </row>
    <row r="28176">
      <c r="F28176" s="13"/>
      <c r="M28176" s="13"/>
    </row>
    <row r="28177">
      <c r="F28177" s="13"/>
      <c r="M28177" s="13"/>
    </row>
    <row r="28178">
      <c r="F28178" s="13"/>
      <c r="M28178" s="13"/>
    </row>
    <row r="28179">
      <c r="F28179" s="13"/>
      <c r="M28179" s="13"/>
    </row>
    <row r="28180">
      <c r="F28180" s="13"/>
      <c r="M28180" s="13"/>
    </row>
    <row r="28181">
      <c r="F28181" s="13"/>
      <c r="M28181" s="13"/>
    </row>
    <row r="28182">
      <c r="F28182" s="13"/>
      <c r="M28182" s="13"/>
    </row>
    <row r="28183">
      <c r="F28183" s="13"/>
      <c r="M28183" s="13"/>
    </row>
    <row r="28184">
      <c r="F28184" s="13"/>
      <c r="M28184" s="13"/>
    </row>
    <row r="28185">
      <c r="F28185" s="13"/>
      <c r="M28185" s="13"/>
    </row>
    <row r="28186">
      <c r="F28186" s="13"/>
      <c r="M28186" s="13"/>
    </row>
    <row r="28187">
      <c r="F28187" s="13"/>
      <c r="M28187" s="13"/>
    </row>
    <row r="28188">
      <c r="F28188" s="13"/>
      <c r="M28188" s="13"/>
    </row>
    <row r="28189">
      <c r="F28189" s="13"/>
      <c r="M28189" s="13"/>
    </row>
    <row r="28190">
      <c r="F28190" s="13"/>
      <c r="M28190" s="13"/>
    </row>
    <row r="28191">
      <c r="F28191" s="13"/>
      <c r="M28191" s="13"/>
    </row>
    <row r="28192">
      <c r="F28192" s="13"/>
      <c r="M28192" s="13"/>
    </row>
    <row r="28193">
      <c r="F28193" s="13"/>
      <c r="M28193" s="13"/>
    </row>
    <row r="28194">
      <c r="F28194" s="13"/>
      <c r="M28194" s="13"/>
    </row>
    <row r="28195">
      <c r="F28195" s="13"/>
      <c r="M28195" s="13"/>
    </row>
    <row r="28196">
      <c r="F28196" s="13"/>
      <c r="M28196" s="13"/>
    </row>
    <row r="28197">
      <c r="F28197" s="13"/>
      <c r="M28197" s="13"/>
    </row>
    <row r="28198">
      <c r="F28198" s="13"/>
      <c r="M28198" s="13"/>
    </row>
    <row r="28199">
      <c r="F28199" s="13"/>
      <c r="M28199" s="13"/>
    </row>
    <row r="28200">
      <c r="F28200" s="13"/>
      <c r="M28200" s="13"/>
    </row>
    <row r="28201">
      <c r="F28201" s="13"/>
      <c r="M28201" s="13"/>
    </row>
    <row r="28202">
      <c r="F28202" s="13"/>
      <c r="M28202" s="13"/>
    </row>
    <row r="28203">
      <c r="F28203" s="13"/>
      <c r="M28203" s="13"/>
    </row>
    <row r="28204">
      <c r="F28204" s="13"/>
      <c r="M28204" s="13"/>
    </row>
    <row r="28205">
      <c r="F28205" s="13"/>
      <c r="M28205" s="13"/>
    </row>
    <row r="28206">
      <c r="F28206" s="13"/>
      <c r="M28206" s="13"/>
    </row>
    <row r="28207">
      <c r="F28207" s="13"/>
      <c r="M28207" s="13"/>
    </row>
    <row r="28208">
      <c r="F28208" s="13"/>
      <c r="M28208" s="13"/>
    </row>
    <row r="28209">
      <c r="F28209" s="13"/>
      <c r="M28209" s="13"/>
    </row>
    <row r="28210">
      <c r="F28210" s="13"/>
      <c r="M28210" s="13"/>
    </row>
    <row r="28211">
      <c r="F28211" s="13"/>
      <c r="M28211" s="13"/>
    </row>
    <row r="28212">
      <c r="F28212" s="13"/>
      <c r="M28212" s="13"/>
    </row>
    <row r="28213">
      <c r="F28213" s="13"/>
      <c r="M28213" s="13"/>
    </row>
    <row r="28214">
      <c r="F28214" s="13"/>
      <c r="M28214" s="13"/>
    </row>
    <row r="28215">
      <c r="F28215" s="13"/>
      <c r="M28215" s="13"/>
    </row>
    <row r="28216">
      <c r="F28216" s="13"/>
      <c r="M28216" s="13"/>
    </row>
    <row r="28217">
      <c r="F28217" s="13"/>
      <c r="M28217" s="13"/>
    </row>
    <row r="28218">
      <c r="F28218" s="13"/>
      <c r="M28218" s="13"/>
    </row>
    <row r="28219">
      <c r="F28219" s="13"/>
      <c r="M28219" s="13"/>
    </row>
    <row r="28220">
      <c r="F28220" s="13"/>
      <c r="M28220" s="13"/>
    </row>
    <row r="28221">
      <c r="F28221" s="13"/>
      <c r="M28221" s="13"/>
    </row>
    <row r="28222">
      <c r="F28222" s="13"/>
      <c r="M28222" s="13"/>
    </row>
    <row r="28223">
      <c r="F28223" s="13"/>
      <c r="M28223" s="13"/>
    </row>
    <row r="28224">
      <c r="F28224" s="13"/>
      <c r="M28224" s="13"/>
    </row>
    <row r="28225">
      <c r="F28225" s="13"/>
      <c r="M28225" s="13"/>
    </row>
    <row r="28226">
      <c r="F28226" s="13"/>
      <c r="M28226" s="13"/>
    </row>
    <row r="28227">
      <c r="F28227" s="13"/>
      <c r="M28227" s="13"/>
    </row>
    <row r="28228">
      <c r="F28228" s="13"/>
      <c r="M28228" s="13"/>
    </row>
    <row r="28229">
      <c r="F28229" s="13"/>
      <c r="M28229" s="13"/>
    </row>
    <row r="28230">
      <c r="F28230" s="13"/>
      <c r="M28230" s="13"/>
    </row>
    <row r="28231">
      <c r="F28231" s="13"/>
      <c r="M28231" s="13"/>
    </row>
    <row r="28232">
      <c r="F28232" s="13"/>
      <c r="M28232" s="13"/>
    </row>
    <row r="28233">
      <c r="F28233" s="13"/>
      <c r="M28233" s="13"/>
    </row>
    <row r="28234">
      <c r="F28234" s="13"/>
      <c r="M28234" s="13"/>
    </row>
    <row r="28235">
      <c r="F28235" s="13"/>
      <c r="M28235" s="13"/>
    </row>
    <row r="28236">
      <c r="F28236" s="13"/>
      <c r="M28236" s="13"/>
    </row>
    <row r="28237">
      <c r="F28237" s="13"/>
      <c r="M28237" s="13"/>
    </row>
    <row r="28238">
      <c r="F28238" s="13"/>
      <c r="M28238" s="13"/>
    </row>
    <row r="28239">
      <c r="F28239" s="13"/>
      <c r="M28239" s="13"/>
    </row>
    <row r="28240">
      <c r="F28240" s="13"/>
      <c r="M28240" s="13"/>
    </row>
    <row r="28241">
      <c r="F28241" s="13"/>
      <c r="M28241" s="13"/>
    </row>
    <row r="28242">
      <c r="F28242" s="13"/>
      <c r="M28242" s="13"/>
    </row>
    <row r="28243">
      <c r="F28243" s="13"/>
      <c r="M28243" s="13"/>
    </row>
    <row r="28244">
      <c r="F28244" s="13"/>
      <c r="M28244" s="13"/>
    </row>
    <row r="28245">
      <c r="F28245" s="13"/>
      <c r="M28245" s="13"/>
    </row>
    <row r="28246">
      <c r="F28246" s="13"/>
      <c r="M28246" s="13"/>
    </row>
    <row r="28247">
      <c r="F28247" s="13"/>
      <c r="M28247" s="13"/>
    </row>
    <row r="28248">
      <c r="F28248" s="13"/>
      <c r="M28248" s="13"/>
    </row>
    <row r="28249">
      <c r="F28249" s="13"/>
      <c r="M28249" s="13"/>
    </row>
    <row r="28250">
      <c r="F28250" s="13"/>
      <c r="M28250" s="13"/>
    </row>
    <row r="28251">
      <c r="F28251" s="13"/>
      <c r="M28251" s="13"/>
    </row>
    <row r="28252">
      <c r="F28252" s="13"/>
      <c r="M28252" s="13"/>
    </row>
    <row r="28253">
      <c r="F28253" s="13"/>
      <c r="M28253" s="13"/>
    </row>
    <row r="28254">
      <c r="F28254" s="13"/>
      <c r="M28254" s="13"/>
    </row>
    <row r="28255">
      <c r="F28255" s="13"/>
      <c r="M28255" s="13"/>
    </row>
    <row r="28256">
      <c r="F28256" s="13"/>
      <c r="M28256" s="13"/>
    </row>
    <row r="28257">
      <c r="F28257" s="13"/>
      <c r="M28257" s="13"/>
    </row>
    <row r="28258">
      <c r="F28258" s="13"/>
      <c r="M28258" s="13"/>
    </row>
    <row r="28259">
      <c r="F28259" s="13"/>
      <c r="M28259" s="13"/>
    </row>
    <row r="28260">
      <c r="F28260" s="13"/>
      <c r="M28260" s="13"/>
    </row>
    <row r="28261">
      <c r="F28261" s="13"/>
      <c r="M28261" s="13"/>
    </row>
    <row r="28262">
      <c r="F28262" s="13"/>
      <c r="M28262" s="13"/>
    </row>
    <row r="28263">
      <c r="F28263" s="13"/>
      <c r="M28263" s="13"/>
    </row>
    <row r="28264">
      <c r="F28264" s="13"/>
      <c r="M28264" s="13"/>
    </row>
    <row r="28265">
      <c r="F28265" s="13"/>
      <c r="M28265" s="13"/>
    </row>
    <row r="28266">
      <c r="F28266" s="13"/>
      <c r="M28266" s="13"/>
    </row>
    <row r="28267">
      <c r="F28267" s="13"/>
      <c r="M28267" s="13"/>
    </row>
    <row r="28268">
      <c r="F28268" s="13"/>
      <c r="M28268" s="13"/>
    </row>
    <row r="28269">
      <c r="F28269" s="13"/>
      <c r="M28269" s="13"/>
    </row>
    <row r="28270">
      <c r="F28270" s="13"/>
      <c r="M28270" s="13"/>
    </row>
    <row r="28271">
      <c r="F28271" s="13"/>
      <c r="M28271" s="13"/>
    </row>
    <row r="28272">
      <c r="F28272" s="13"/>
      <c r="M28272" s="13"/>
    </row>
    <row r="28273">
      <c r="F28273" s="13"/>
      <c r="M28273" s="13"/>
    </row>
    <row r="28274">
      <c r="F28274" s="13"/>
      <c r="M28274" s="13"/>
    </row>
    <row r="28275">
      <c r="F28275" s="13"/>
      <c r="M28275" s="13"/>
    </row>
    <row r="28276">
      <c r="F28276" s="13"/>
      <c r="M28276" s="13"/>
    </row>
    <row r="28277">
      <c r="F28277" s="13"/>
      <c r="M28277" s="13"/>
    </row>
    <row r="28278">
      <c r="F28278" s="13"/>
      <c r="M28278" s="13"/>
    </row>
    <row r="28279">
      <c r="F28279" s="13"/>
      <c r="M28279" s="13"/>
    </row>
    <row r="28280">
      <c r="F28280" s="13"/>
      <c r="M28280" s="13"/>
    </row>
    <row r="28281">
      <c r="F28281" s="13"/>
      <c r="M28281" s="13"/>
    </row>
    <row r="28282">
      <c r="F28282" s="13"/>
      <c r="M28282" s="13"/>
    </row>
    <row r="28283">
      <c r="F28283" s="13"/>
      <c r="M28283" s="13"/>
    </row>
    <row r="28284">
      <c r="F28284" s="13"/>
      <c r="M28284" s="13"/>
    </row>
    <row r="28285">
      <c r="F28285" s="13"/>
      <c r="M28285" s="13"/>
    </row>
    <row r="28286">
      <c r="F28286" s="13"/>
      <c r="M28286" s="13"/>
    </row>
    <row r="28287">
      <c r="F28287" s="13"/>
      <c r="M28287" s="13"/>
    </row>
    <row r="28288">
      <c r="F28288" s="13"/>
      <c r="M28288" s="13"/>
    </row>
    <row r="28289">
      <c r="F28289" s="13"/>
      <c r="M28289" s="13"/>
    </row>
    <row r="28290">
      <c r="F28290" s="13"/>
      <c r="M28290" s="13"/>
    </row>
    <row r="28291">
      <c r="F28291" s="13"/>
      <c r="M28291" s="13"/>
    </row>
    <row r="28292">
      <c r="F28292" s="13"/>
      <c r="M28292" s="13"/>
    </row>
    <row r="28293">
      <c r="F28293" s="13"/>
      <c r="M28293" s="13"/>
    </row>
    <row r="28294">
      <c r="F28294" s="13"/>
      <c r="M28294" s="13"/>
    </row>
    <row r="28295">
      <c r="F28295" s="13"/>
      <c r="M28295" s="13"/>
    </row>
    <row r="28296">
      <c r="F28296" s="13"/>
      <c r="M28296" s="13"/>
    </row>
    <row r="28297">
      <c r="F28297" s="13"/>
      <c r="M28297" s="13"/>
    </row>
    <row r="28298">
      <c r="F28298" s="13"/>
      <c r="M28298" s="13"/>
    </row>
    <row r="28299">
      <c r="F28299" s="13"/>
      <c r="M28299" s="13"/>
    </row>
    <row r="28300">
      <c r="F28300" s="13"/>
      <c r="M28300" s="13"/>
    </row>
    <row r="28301">
      <c r="F28301" s="13"/>
      <c r="M28301" s="13"/>
    </row>
    <row r="28302">
      <c r="F28302" s="13"/>
      <c r="M28302" s="13"/>
    </row>
    <row r="28303">
      <c r="F28303" s="13"/>
      <c r="M28303" s="13"/>
    </row>
    <row r="28304">
      <c r="F28304" s="13"/>
      <c r="M28304" s="13"/>
    </row>
    <row r="28305">
      <c r="F28305" s="13"/>
      <c r="M28305" s="13"/>
    </row>
    <row r="28306">
      <c r="F28306" s="13"/>
      <c r="M28306" s="13"/>
    </row>
    <row r="28307">
      <c r="F28307" s="13"/>
      <c r="M28307" s="13"/>
    </row>
    <row r="28308">
      <c r="F28308" s="13"/>
      <c r="M28308" s="13"/>
    </row>
    <row r="28309">
      <c r="F28309" s="13"/>
      <c r="M28309" s="13"/>
    </row>
    <row r="28310">
      <c r="F28310" s="13"/>
      <c r="M28310" s="13"/>
    </row>
    <row r="28311">
      <c r="F28311" s="13"/>
      <c r="M28311" s="13"/>
    </row>
    <row r="28312">
      <c r="F28312" s="13"/>
      <c r="M28312" s="13"/>
    </row>
    <row r="28313">
      <c r="F28313" s="13"/>
      <c r="M28313" s="13"/>
    </row>
    <row r="28314">
      <c r="F28314" s="13"/>
      <c r="M28314" s="13"/>
    </row>
    <row r="28315">
      <c r="F28315" s="13"/>
      <c r="M28315" s="13"/>
    </row>
    <row r="28316">
      <c r="F28316" s="13"/>
      <c r="M28316" s="13"/>
    </row>
    <row r="28317">
      <c r="F28317" s="13"/>
      <c r="M28317" s="13"/>
    </row>
    <row r="28318">
      <c r="F28318" s="13"/>
      <c r="M28318" s="13"/>
    </row>
    <row r="28319">
      <c r="F28319" s="13"/>
      <c r="M28319" s="13"/>
    </row>
    <row r="28320">
      <c r="F28320" s="13"/>
      <c r="M28320" s="13"/>
    </row>
    <row r="28321">
      <c r="F28321" s="13"/>
      <c r="M28321" s="13"/>
    </row>
    <row r="28322">
      <c r="F28322" s="13"/>
      <c r="M28322" s="13"/>
    </row>
    <row r="28323">
      <c r="F28323" s="13"/>
      <c r="M28323" s="13"/>
    </row>
    <row r="28324">
      <c r="F28324" s="13"/>
      <c r="M28324" s="13"/>
    </row>
    <row r="28325">
      <c r="F28325" s="13"/>
      <c r="M28325" s="13"/>
    </row>
    <row r="28326">
      <c r="F28326" s="13"/>
      <c r="M28326" s="13"/>
    </row>
    <row r="28327">
      <c r="F28327" s="13"/>
      <c r="M28327" s="13"/>
    </row>
    <row r="28328">
      <c r="F28328" s="13"/>
      <c r="M28328" s="13"/>
    </row>
    <row r="28329">
      <c r="F28329" s="13"/>
      <c r="M28329" s="13"/>
    </row>
    <row r="28330">
      <c r="F28330" s="13"/>
      <c r="M28330" s="13"/>
    </row>
    <row r="28331">
      <c r="F28331" s="13"/>
      <c r="M28331" s="13"/>
    </row>
    <row r="28332">
      <c r="F28332" s="13"/>
      <c r="M28332" s="13"/>
    </row>
    <row r="28333">
      <c r="F28333" s="13"/>
      <c r="M28333" s="13"/>
    </row>
    <row r="28334">
      <c r="F28334" s="13"/>
      <c r="M28334" s="13"/>
    </row>
    <row r="28335">
      <c r="F28335" s="13"/>
      <c r="M28335" s="13"/>
    </row>
    <row r="28336">
      <c r="F28336" s="13"/>
      <c r="M28336" s="13"/>
    </row>
    <row r="28337">
      <c r="F28337" s="13"/>
      <c r="M28337" s="13"/>
    </row>
    <row r="28338">
      <c r="F28338" s="13"/>
      <c r="M28338" s="13"/>
    </row>
    <row r="28339">
      <c r="F28339" s="13"/>
      <c r="M28339" s="13"/>
    </row>
    <row r="28340">
      <c r="F28340" s="13"/>
      <c r="M28340" s="13"/>
    </row>
    <row r="28341">
      <c r="F28341" s="13"/>
      <c r="M28341" s="13"/>
    </row>
    <row r="28342">
      <c r="F28342" s="13"/>
      <c r="M28342" s="13"/>
    </row>
    <row r="28343">
      <c r="F28343" s="13"/>
      <c r="M28343" s="13"/>
    </row>
    <row r="28344">
      <c r="F28344" s="13"/>
      <c r="M28344" s="13"/>
    </row>
    <row r="28345">
      <c r="F28345" s="13"/>
      <c r="M28345" s="13"/>
    </row>
    <row r="28346">
      <c r="F28346" s="13"/>
      <c r="M28346" s="13"/>
    </row>
    <row r="28347">
      <c r="F28347" s="13"/>
      <c r="M28347" s="13"/>
    </row>
    <row r="28348">
      <c r="F28348" s="13"/>
      <c r="M28348" s="13"/>
    </row>
    <row r="28349">
      <c r="F28349" s="13"/>
      <c r="M28349" s="13"/>
    </row>
    <row r="28350">
      <c r="F28350" s="13"/>
      <c r="M28350" s="13"/>
    </row>
    <row r="28351">
      <c r="F28351" s="13"/>
      <c r="M28351" s="13"/>
    </row>
    <row r="28352">
      <c r="F28352" s="13"/>
      <c r="M28352" s="13"/>
    </row>
    <row r="28353">
      <c r="F28353" s="13"/>
      <c r="M28353" s="13"/>
    </row>
    <row r="28354">
      <c r="F28354" s="13"/>
      <c r="M28354" s="13"/>
    </row>
    <row r="28355">
      <c r="F28355" s="13"/>
      <c r="M28355" s="13"/>
    </row>
    <row r="28356">
      <c r="F28356" s="13"/>
      <c r="M28356" s="13"/>
    </row>
    <row r="28357">
      <c r="F28357" s="13"/>
      <c r="M28357" s="13"/>
    </row>
    <row r="28358">
      <c r="F28358" s="13"/>
      <c r="M28358" s="13"/>
    </row>
    <row r="28359">
      <c r="F28359" s="13"/>
      <c r="M28359" s="13"/>
    </row>
    <row r="28360">
      <c r="F28360" s="13"/>
      <c r="M28360" s="13"/>
    </row>
    <row r="28361">
      <c r="F28361" s="13"/>
      <c r="M28361" s="13"/>
    </row>
    <row r="28362">
      <c r="F28362" s="13"/>
      <c r="M28362" s="13"/>
    </row>
    <row r="28363">
      <c r="F28363" s="13"/>
      <c r="M28363" s="13"/>
    </row>
    <row r="28364">
      <c r="F28364" s="13"/>
      <c r="M28364" s="13"/>
    </row>
    <row r="28365">
      <c r="F28365" s="13"/>
      <c r="M28365" s="13"/>
    </row>
    <row r="28366">
      <c r="F28366" s="13"/>
      <c r="M28366" s="13"/>
    </row>
    <row r="28367">
      <c r="F28367" s="13"/>
      <c r="M28367" s="13"/>
    </row>
    <row r="28368">
      <c r="F28368" s="13"/>
      <c r="M28368" s="13"/>
    </row>
    <row r="28369">
      <c r="F28369" s="13"/>
      <c r="M28369" s="13"/>
    </row>
    <row r="28370">
      <c r="F28370" s="13"/>
      <c r="M28370" s="13"/>
    </row>
    <row r="28371">
      <c r="F28371" s="13"/>
      <c r="M28371" s="13"/>
    </row>
    <row r="28372">
      <c r="F28372" s="13"/>
      <c r="M28372" s="13"/>
    </row>
    <row r="28373">
      <c r="F28373" s="13"/>
      <c r="M28373" s="13"/>
    </row>
    <row r="28374">
      <c r="F28374" s="13"/>
      <c r="M28374" s="13"/>
    </row>
    <row r="28375">
      <c r="F28375" s="13"/>
      <c r="M28375" s="13"/>
    </row>
    <row r="28376">
      <c r="F28376" s="13"/>
      <c r="M28376" s="13"/>
    </row>
    <row r="28377">
      <c r="F28377" s="13"/>
      <c r="M28377" s="13"/>
    </row>
    <row r="28378">
      <c r="F28378" s="13"/>
      <c r="M28378" s="13"/>
    </row>
    <row r="28379">
      <c r="F28379" s="13"/>
      <c r="M28379" s="13"/>
    </row>
    <row r="28380">
      <c r="F28380" s="13"/>
      <c r="M28380" s="13"/>
    </row>
    <row r="28381">
      <c r="F28381" s="13"/>
      <c r="M28381" s="13"/>
    </row>
    <row r="28382">
      <c r="F28382" s="13"/>
      <c r="M28382" s="13"/>
    </row>
    <row r="28383">
      <c r="F28383" s="13"/>
      <c r="M28383" s="13"/>
    </row>
    <row r="28384">
      <c r="F28384" s="13"/>
      <c r="M28384" s="13"/>
    </row>
    <row r="28385">
      <c r="F28385" s="13"/>
      <c r="M28385" s="13"/>
    </row>
    <row r="28386">
      <c r="F28386" s="13"/>
      <c r="M28386" s="13"/>
    </row>
    <row r="28387">
      <c r="F28387" s="13"/>
      <c r="M28387" s="13"/>
    </row>
    <row r="28388">
      <c r="F28388" s="13"/>
      <c r="M28388" s="13"/>
    </row>
    <row r="28389">
      <c r="F28389" s="13"/>
      <c r="M28389" s="13"/>
    </row>
    <row r="28390">
      <c r="F28390" s="13"/>
      <c r="M28390" s="13"/>
    </row>
    <row r="28391">
      <c r="F28391" s="13"/>
      <c r="M28391" s="13"/>
    </row>
    <row r="28392">
      <c r="F28392" s="13"/>
      <c r="M28392" s="13"/>
    </row>
    <row r="28393">
      <c r="F28393" s="13"/>
      <c r="M28393" s="13"/>
    </row>
    <row r="28394">
      <c r="F28394" s="13"/>
      <c r="M28394" s="13"/>
    </row>
    <row r="28395">
      <c r="F28395" s="13"/>
      <c r="M28395" s="13"/>
    </row>
    <row r="28396">
      <c r="F28396" s="13"/>
      <c r="M28396" s="13"/>
    </row>
    <row r="28397">
      <c r="F28397" s="13"/>
      <c r="M28397" s="13"/>
    </row>
    <row r="28398">
      <c r="F28398" s="13"/>
      <c r="M28398" s="13"/>
    </row>
    <row r="28399">
      <c r="F28399" s="13"/>
      <c r="M28399" s="13"/>
    </row>
    <row r="28400">
      <c r="F28400" s="13"/>
      <c r="M28400" s="13"/>
    </row>
    <row r="28401">
      <c r="F28401" s="13"/>
      <c r="M28401" s="13"/>
    </row>
    <row r="28402">
      <c r="F28402" s="13"/>
      <c r="M28402" s="13"/>
    </row>
    <row r="28403">
      <c r="F28403" s="13"/>
      <c r="M28403" s="13"/>
    </row>
    <row r="28404">
      <c r="F28404" s="13"/>
      <c r="M28404" s="13"/>
    </row>
    <row r="28405">
      <c r="F28405" s="13"/>
      <c r="M28405" s="13"/>
    </row>
    <row r="28406">
      <c r="F28406" s="13"/>
      <c r="M28406" s="13"/>
    </row>
    <row r="28407">
      <c r="F28407" s="13"/>
      <c r="M28407" s="13"/>
    </row>
    <row r="28408">
      <c r="F28408" s="13"/>
      <c r="M28408" s="13"/>
    </row>
    <row r="28409">
      <c r="F28409" s="13"/>
      <c r="M28409" s="13"/>
    </row>
    <row r="28410">
      <c r="F28410" s="13"/>
      <c r="M28410" s="13"/>
    </row>
    <row r="28411">
      <c r="F28411" s="13"/>
      <c r="M28411" s="13"/>
    </row>
    <row r="28412">
      <c r="F28412" s="13"/>
      <c r="M28412" s="13"/>
    </row>
    <row r="28413">
      <c r="F28413" s="13"/>
      <c r="M28413" s="13"/>
    </row>
    <row r="28414">
      <c r="F28414" s="13"/>
      <c r="M28414" s="13"/>
    </row>
    <row r="28415">
      <c r="F28415" s="13"/>
      <c r="M28415" s="13"/>
    </row>
    <row r="28416">
      <c r="F28416" s="13"/>
      <c r="M28416" s="13"/>
    </row>
    <row r="28417">
      <c r="F28417" s="13"/>
      <c r="M28417" s="13"/>
    </row>
    <row r="28418">
      <c r="F28418" s="13"/>
      <c r="M28418" s="13"/>
    </row>
    <row r="28419">
      <c r="F28419" s="13"/>
      <c r="M28419" s="13"/>
    </row>
    <row r="28420">
      <c r="F28420" s="13"/>
      <c r="M28420" s="13"/>
    </row>
    <row r="28421">
      <c r="F28421" s="13"/>
      <c r="M28421" s="13"/>
    </row>
    <row r="28422">
      <c r="F28422" s="13"/>
      <c r="M28422" s="13"/>
    </row>
    <row r="28423">
      <c r="F28423" s="13"/>
      <c r="M28423" s="13"/>
    </row>
    <row r="28424">
      <c r="F28424" s="13"/>
      <c r="M28424" s="13"/>
    </row>
    <row r="28425">
      <c r="F28425" s="13"/>
      <c r="M28425" s="13"/>
    </row>
    <row r="28426">
      <c r="F28426" s="13"/>
      <c r="M28426" s="13"/>
    </row>
    <row r="28427">
      <c r="F28427" s="13"/>
      <c r="M28427" s="13"/>
    </row>
    <row r="28428">
      <c r="F28428" s="13"/>
      <c r="M28428" s="13"/>
    </row>
    <row r="28429">
      <c r="F28429" s="13"/>
      <c r="M28429" s="13"/>
    </row>
    <row r="28430">
      <c r="F28430" s="13"/>
      <c r="M28430" s="13"/>
    </row>
    <row r="28431">
      <c r="F28431" s="13"/>
      <c r="M28431" s="13"/>
    </row>
    <row r="28432">
      <c r="F28432" s="13"/>
      <c r="M28432" s="13"/>
    </row>
    <row r="28433">
      <c r="F28433" s="13"/>
      <c r="M28433" s="13"/>
    </row>
    <row r="28434">
      <c r="F28434" s="13"/>
      <c r="M28434" s="13"/>
    </row>
    <row r="28435">
      <c r="F28435" s="13"/>
      <c r="M28435" s="13"/>
    </row>
    <row r="28436">
      <c r="F28436" s="13"/>
      <c r="M28436" s="13"/>
    </row>
    <row r="28437">
      <c r="F28437" s="13"/>
      <c r="M28437" s="13"/>
    </row>
    <row r="28438">
      <c r="F28438" s="13"/>
      <c r="M28438" s="13"/>
    </row>
    <row r="28439">
      <c r="F28439" s="13"/>
      <c r="M28439" s="13"/>
    </row>
    <row r="28440">
      <c r="F28440" s="13"/>
      <c r="M28440" s="13"/>
    </row>
    <row r="28441">
      <c r="F28441" s="13"/>
      <c r="M28441" s="13"/>
    </row>
    <row r="28442">
      <c r="F28442" s="13"/>
      <c r="M28442" s="13"/>
    </row>
    <row r="28443">
      <c r="F28443" s="13"/>
      <c r="M28443" s="13"/>
    </row>
    <row r="28444">
      <c r="F28444" s="13"/>
      <c r="M28444" s="13"/>
    </row>
    <row r="28445">
      <c r="F28445" s="13"/>
      <c r="M28445" s="13"/>
    </row>
    <row r="28446">
      <c r="F28446" s="13"/>
      <c r="M28446" s="13"/>
    </row>
    <row r="28447">
      <c r="F28447" s="13"/>
      <c r="M28447" s="13"/>
    </row>
    <row r="28448">
      <c r="F28448" s="13"/>
      <c r="M28448" s="13"/>
    </row>
    <row r="28449">
      <c r="F28449" s="13"/>
      <c r="M28449" s="13"/>
    </row>
    <row r="28450">
      <c r="F28450" s="13"/>
      <c r="M28450" s="13"/>
    </row>
    <row r="28451">
      <c r="F28451" s="13"/>
      <c r="M28451" s="13"/>
    </row>
    <row r="28452">
      <c r="F28452" s="13"/>
      <c r="M28452" s="13"/>
    </row>
    <row r="28453">
      <c r="F28453" s="13"/>
      <c r="M28453" s="13"/>
    </row>
    <row r="28454">
      <c r="F28454" s="13"/>
      <c r="M28454" s="13"/>
    </row>
    <row r="28455">
      <c r="F28455" s="13"/>
      <c r="M28455" s="13"/>
    </row>
    <row r="28456">
      <c r="F28456" s="13"/>
      <c r="M28456" s="13"/>
    </row>
    <row r="28457">
      <c r="F28457" s="13"/>
      <c r="M28457" s="13"/>
    </row>
    <row r="28458">
      <c r="F28458" s="13"/>
      <c r="M28458" s="13"/>
    </row>
    <row r="28459">
      <c r="F28459" s="13"/>
      <c r="M28459" s="13"/>
    </row>
    <row r="28460">
      <c r="F28460" s="13"/>
      <c r="M28460" s="13"/>
    </row>
    <row r="28461">
      <c r="F28461" s="13"/>
      <c r="M28461" s="13"/>
    </row>
    <row r="28462">
      <c r="F28462" s="13"/>
      <c r="M28462" s="13"/>
    </row>
    <row r="28463">
      <c r="F28463" s="13"/>
      <c r="M28463" s="13"/>
    </row>
    <row r="28464">
      <c r="F28464" s="13"/>
      <c r="M28464" s="13"/>
    </row>
    <row r="28465">
      <c r="F28465" s="13"/>
      <c r="M28465" s="13"/>
    </row>
    <row r="28466">
      <c r="F28466" s="13"/>
      <c r="M28466" s="13"/>
    </row>
    <row r="28467">
      <c r="F28467" s="13"/>
      <c r="M28467" s="13"/>
    </row>
    <row r="28468">
      <c r="F28468" s="13"/>
      <c r="M28468" s="13"/>
    </row>
    <row r="28469">
      <c r="F28469" s="13"/>
      <c r="M28469" s="13"/>
    </row>
    <row r="28470">
      <c r="F28470" s="13"/>
      <c r="M28470" s="13"/>
    </row>
    <row r="28471">
      <c r="F28471" s="13"/>
      <c r="M28471" s="13"/>
    </row>
    <row r="28472">
      <c r="F28472" s="13"/>
      <c r="M28472" s="13"/>
    </row>
    <row r="28473">
      <c r="F28473" s="13"/>
      <c r="M28473" s="13"/>
    </row>
    <row r="28474">
      <c r="F28474" s="13"/>
      <c r="M28474" s="13"/>
    </row>
    <row r="28475">
      <c r="F28475" s="13"/>
      <c r="M28475" s="13"/>
    </row>
    <row r="28476">
      <c r="F28476" s="13"/>
      <c r="M28476" s="13"/>
    </row>
    <row r="28477">
      <c r="F28477" s="13"/>
      <c r="M28477" s="13"/>
    </row>
    <row r="28478">
      <c r="F28478" s="13"/>
      <c r="M28478" s="13"/>
    </row>
    <row r="28479">
      <c r="F28479" s="13"/>
      <c r="M28479" s="13"/>
    </row>
    <row r="28480">
      <c r="F28480" s="13"/>
      <c r="M28480" s="13"/>
    </row>
    <row r="28481">
      <c r="F28481" s="13"/>
      <c r="M28481" s="13"/>
    </row>
    <row r="28482">
      <c r="F28482" s="13"/>
      <c r="M28482" s="13"/>
    </row>
    <row r="28483">
      <c r="F28483" s="13"/>
      <c r="M28483" s="13"/>
    </row>
    <row r="28484">
      <c r="F28484" s="13"/>
      <c r="M28484" s="13"/>
    </row>
    <row r="28485">
      <c r="F28485" s="13"/>
      <c r="M28485" s="13"/>
    </row>
    <row r="28486">
      <c r="F28486" s="13"/>
      <c r="M28486" s="13"/>
    </row>
    <row r="28487">
      <c r="F28487" s="13"/>
      <c r="M28487" s="13"/>
    </row>
    <row r="28488">
      <c r="F28488" s="13"/>
      <c r="M28488" s="13"/>
    </row>
    <row r="28489">
      <c r="F28489" s="13"/>
      <c r="M28489" s="13"/>
    </row>
    <row r="28490">
      <c r="F28490" s="13"/>
      <c r="M28490" s="13"/>
    </row>
    <row r="28491">
      <c r="F28491" s="13"/>
      <c r="M28491" s="13"/>
    </row>
    <row r="28492">
      <c r="F28492" s="13"/>
      <c r="M28492" s="13"/>
    </row>
    <row r="28493">
      <c r="F28493" s="13"/>
      <c r="M28493" s="13"/>
    </row>
    <row r="28494">
      <c r="F28494" s="13"/>
      <c r="M28494" s="13"/>
    </row>
    <row r="28495">
      <c r="F28495" s="13"/>
      <c r="M28495" s="13"/>
    </row>
    <row r="28496">
      <c r="F28496" s="13"/>
      <c r="M28496" s="13"/>
    </row>
    <row r="28497">
      <c r="F28497" s="13"/>
      <c r="M28497" s="13"/>
    </row>
    <row r="28498">
      <c r="F28498" s="13"/>
      <c r="M28498" s="13"/>
    </row>
    <row r="28499">
      <c r="F28499" s="13"/>
      <c r="M28499" s="13"/>
    </row>
    <row r="28500">
      <c r="F28500" s="13"/>
      <c r="M28500" s="13"/>
    </row>
    <row r="28501">
      <c r="F28501" s="13"/>
      <c r="M28501" s="13"/>
    </row>
    <row r="28502">
      <c r="F28502" s="13"/>
      <c r="M28502" s="13"/>
    </row>
    <row r="28503">
      <c r="F28503" s="13"/>
      <c r="M28503" s="13"/>
    </row>
    <row r="28504">
      <c r="F28504" s="13"/>
      <c r="M28504" s="13"/>
    </row>
    <row r="28505">
      <c r="F28505" s="13"/>
      <c r="M28505" s="13"/>
    </row>
    <row r="28506">
      <c r="F28506" s="13"/>
      <c r="M28506" s="13"/>
    </row>
    <row r="28507">
      <c r="F28507" s="13"/>
      <c r="M28507" s="13"/>
    </row>
    <row r="28508">
      <c r="F28508" s="13"/>
      <c r="M28508" s="13"/>
    </row>
    <row r="28509">
      <c r="F28509" s="13"/>
      <c r="M28509" s="13"/>
    </row>
    <row r="28510">
      <c r="F28510" s="13"/>
      <c r="M28510" s="13"/>
    </row>
    <row r="28511">
      <c r="F28511" s="13"/>
      <c r="M28511" s="13"/>
    </row>
    <row r="28512">
      <c r="F28512" s="13"/>
      <c r="M28512" s="13"/>
    </row>
    <row r="28513">
      <c r="F28513" s="13"/>
      <c r="M28513" s="13"/>
    </row>
    <row r="28514">
      <c r="F28514" s="13"/>
      <c r="M28514" s="13"/>
    </row>
    <row r="28515">
      <c r="F28515" s="13"/>
      <c r="M28515" s="13"/>
    </row>
    <row r="28516">
      <c r="F28516" s="13"/>
      <c r="M28516" s="13"/>
    </row>
    <row r="28517">
      <c r="F28517" s="13"/>
      <c r="M28517" s="13"/>
    </row>
    <row r="28518">
      <c r="F28518" s="13"/>
      <c r="M28518" s="13"/>
    </row>
    <row r="28519">
      <c r="F28519" s="13"/>
      <c r="M28519" s="13"/>
    </row>
    <row r="28520">
      <c r="F28520" s="13"/>
      <c r="M28520" s="13"/>
    </row>
    <row r="28521">
      <c r="F28521" s="13"/>
      <c r="M28521" s="13"/>
    </row>
    <row r="28522">
      <c r="F28522" s="13"/>
      <c r="M28522" s="13"/>
    </row>
    <row r="28523">
      <c r="F28523" s="13"/>
      <c r="M28523" s="13"/>
    </row>
    <row r="28524">
      <c r="F28524" s="13"/>
      <c r="M28524" s="13"/>
    </row>
    <row r="28525">
      <c r="F28525" s="13"/>
      <c r="M28525" s="13"/>
    </row>
    <row r="28526">
      <c r="F28526" s="13"/>
      <c r="M28526" s="13"/>
    </row>
    <row r="28527">
      <c r="F28527" s="13"/>
      <c r="M28527" s="13"/>
    </row>
    <row r="28528">
      <c r="F28528" s="13"/>
      <c r="M28528" s="13"/>
    </row>
    <row r="28529">
      <c r="F28529" s="13"/>
      <c r="M28529" s="13"/>
    </row>
    <row r="28530">
      <c r="F28530" s="13"/>
      <c r="M28530" s="13"/>
    </row>
    <row r="28531">
      <c r="F28531" s="13"/>
      <c r="M28531" s="13"/>
    </row>
    <row r="28532">
      <c r="F28532" s="13"/>
      <c r="M28532" s="13"/>
    </row>
    <row r="28533">
      <c r="F28533" s="13"/>
      <c r="M28533" s="13"/>
    </row>
    <row r="28534">
      <c r="F28534" s="13"/>
      <c r="M28534" s="13"/>
    </row>
    <row r="28535">
      <c r="F28535" s="13"/>
      <c r="M28535" s="13"/>
    </row>
    <row r="28536">
      <c r="F28536" s="13"/>
      <c r="M28536" s="13"/>
    </row>
    <row r="28537">
      <c r="F28537" s="13"/>
      <c r="M28537" s="13"/>
    </row>
    <row r="28538">
      <c r="F28538" s="13"/>
      <c r="M28538" s="13"/>
    </row>
    <row r="28539">
      <c r="F28539" s="13"/>
      <c r="M28539" s="13"/>
    </row>
    <row r="28540">
      <c r="F28540" s="13"/>
      <c r="M28540" s="13"/>
    </row>
    <row r="28541">
      <c r="F28541" s="13"/>
      <c r="M28541" s="13"/>
    </row>
    <row r="28542">
      <c r="F28542" s="13"/>
      <c r="M28542" s="13"/>
    </row>
    <row r="28543">
      <c r="F28543" s="13"/>
      <c r="M28543" s="13"/>
    </row>
    <row r="28544">
      <c r="F28544" s="13"/>
      <c r="M28544" s="13"/>
    </row>
    <row r="28545">
      <c r="F28545" s="13"/>
      <c r="M28545" s="13"/>
    </row>
    <row r="28546">
      <c r="F28546" s="13"/>
      <c r="M28546" s="13"/>
    </row>
    <row r="28547">
      <c r="F28547" s="13"/>
      <c r="M28547" s="13"/>
    </row>
    <row r="28548">
      <c r="F28548" s="13"/>
      <c r="M28548" s="13"/>
    </row>
    <row r="28549">
      <c r="F28549" s="13"/>
      <c r="M28549" s="13"/>
    </row>
    <row r="28550">
      <c r="F28550" s="13"/>
      <c r="M28550" s="13"/>
    </row>
    <row r="28551">
      <c r="F28551" s="13"/>
      <c r="M28551" s="13"/>
    </row>
    <row r="28552">
      <c r="F28552" s="13"/>
      <c r="M28552" s="13"/>
    </row>
    <row r="28553">
      <c r="F28553" s="13"/>
      <c r="M28553" s="13"/>
    </row>
    <row r="28554">
      <c r="F28554" s="13"/>
      <c r="M28554" s="13"/>
    </row>
    <row r="28555">
      <c r="F28555" s="13"/>
      <c r="M28555" s="13"/>
    </row>
    <row r="28556">
      <c r="F28556" s="13"/>
      <c r="M28556" s="13"/>
    </row>
    <row r="28557">
      <c r="F28557" s="13"/>
      <c r="M28557" s="13"/>
    </row>
    <row r="28558">
      <c r="F28558" s="13"/>
      <c r="M28558" s="13"/>
    </row>
    <row r="28559">
      <c r="F28559" s="13"/>
      <c r="M28559" s="13"/>
    </row>
    <row r="28560">
      <c r="F28560" s="13"/>
      <c r="M28560" s="13"/>
    </row>
    <row r="28561">
      <c r="F28561" s="13"/>
      <c r="M28561" s="13"/>
    </row>
    <row r="28562">
      <c r="F28562" s="13"/>
      <c r="M28562" s="13"/>
    </row>
    <row r="28563">
      <c r="F28563" s="13"/>
      <c r="M28563" s="13"/>
    </row>
    <row r="28564">
      <c r="F28564" s="13"/>
      <c r="M28564" s="13"/>
    </row>
    <row r="28565">
      <c r="F28565" s="13"/>
      <c r="M28565" s="13"/>
    </row>
    <row r="28566">
      <c r="F28566" s="13"/>
      <c r="M28566" s="13"/>
    </row>
    <row r="28567">
      <c r="F28567" s="13"/>
      <c r="M28567" s="13"/>
    </row>
    <row r="28568">
      <c r="F28568" s="13"/>
      <c r="M28568" s="13"/>
    </row>
    <row r="28569">
      <c r="F28569" s="13"/>
      <c r="M28569" s="13"/>
    </row>
    <row r="28570">
      <c r="F28570" s="13"/>
      <c r="M28570" s="13"/>
    </row>
    <row r="28571">
      <c r="F28571" s="13"/>
      <c r="M28571" s="13"/>
    </row>
    <row r="28572">
      <c r="F28572" s="13"/>
      <c r="M28572" s="13"/>
    </row>
    <row r="28573">
      <c r="F28573" s="13"/>
      <c r="M28573" s="13"/>
    </row>
    <row r="28574">
      <c r="F28574" s="13"/>
      <c r="M28574" s="13"/>
    </row>
    <row r="28575">
      <c r="F28575" s="13"/>
      <c r="M28575" s="13"/>
    </row>
    <row r="28576">
      <c r="F28576" s="13"/>
      <c r="M28576" s="13"/>
    </row>
    <row r="28577">
      <c r="F28577" s="13"/>
      <c r="M28577" s="13"/>
    </row>
    <row r="28578">
      <c r="F28578" s="13"/>
      <c r="M28578" s="13"/>
    </row>
    <row r="28579">
      <c r="F28579" s="13"/>
      <c r="M28579" s="13"/>
    </row>
    <row r="28580">
      <c r="F28580" s="13"/>
      <c r="M28580" s="13"/>
    </row>
    <row r="28581">
      <c r="F28581" s="13"/>
      <c r="M28581" s="13"/>
    </row>
    <row r="28582">
      <c r="F28582" s="13"/>
      <c r="M28582" s="13"/>
    </row>
    <row r="28583">
      <c r="F28583" s="13"/>
      <c r="M28583" s="13"/>
    </row>
    <row r="28584">
      <c r="F28584" s="13"/>
      <c r="M28584" s="13"/>
    </row>
    <row r="28585">
      <c r="F28585" s="13"/>
      <c r="M28585" s="13"/>
    </row>
    <row r="28586">
      <c r="F28586" s="13"/>
      <c r="M28586" s="13"/>
    </row>
    <row r="28587">
      <c r="F28587" s="13"/>
      <c r="M28587" s="13"/>
    </row>
    <row r="28588">
      <c r="F28588" s="13"/>
      <c r="M28588" s="13"/>
    </row>
    <row r="28589">
      <c r="F28589" s="13"/>
      <c r="M28589" s="13"/>
    </row>
    <row r="28590">
      <c r="F28590" s="13"/>
      <c r="M28590" s="13"/>
    </row>
    <row r="28591">
      <c r="F28591" s="13"/>
      <c r="M28591" s="13"/>
    </row>
    <row r="28592">
      <c r="F28592" s="13"/>
      <c r="M28592" s="13"/>
    </row>
    <row r="28593">
      <c r="F28593" s="13"/>
      <c r="M28593" s="13"/>
    </row>
    <row r="28594">
      <c r="F28594" s="13"/>
      <c r="M28594" s="13"/>
    </row>
    <row r="28595">
      <c r="F28595" s="13"/>
      <c r="M28595" s="13"/>
    </row>
    <row r="28596">
      <c r="F28596" s="13"/>
      <c r="M28596" s="13"/>
    </row>
    <row r="28597">
      <c r="F28597" s="13"/>
      <c r="M28597" s="13"/>
    </row>
    <row r="28598">
      <c r="F28598" s="13"/>
      <c r="M28598" s="13"/>
    </row>
    <row r="28599">
      <c r="F28599" s="13"/>
      <c r="M28599" s="13"/>
    </row>
    <row r="28600">
      <c r="F28600" s="13"/>
      <c r="M28600" s="13"/>
    </row>
    <row r="28601">
      <c r="F28601" s="13"/>
      <c r="M28601" s="13"/>
    </row>
    <row r="28602">
      <c r="F28602" s="13"/>
      <c r="M28602" s="13"/>
    </row>
    <row r="28603">
      <c r="F28603" s="13"/>
      <c r="M28603" s="13"/>
    </row>
    <row r="28604">
      <c r="F28604" s="13"/>
      <c r="M28604" s="13"/>
    </row>
    <row r="28605">
      <c r="F28605" s="13"/>
      <c r="M28605" s="13"/>
    </row>
    <row r="28606">
      <c r="F28606" s="13"/>
      <c r="M28606" s="13"/>
    </row>
    <row r="28607">
      <c r="F28607" s="13"/>
      <c r="M28607" s="13"/>
    </row>
    <row r="28608">
      <c r="F28608" s="13"/>
      <c r="M28608" s="13"/>
    </row>
    <row r="28609">
      <c r="F28609" s="13"/>
      <c r="M28609" s="13"/>
    </row>
    <row r="28610">
      <c r="F28610" s="13"/>
      <c r="M28610" s="13"/>
    </row>
    <row r="28611">
      <c r="F28611" s="13"/>
      <c r="M28611" s="13"/>
    </row>
    <row r="28612">
      <c r="F28612" s="13"/>
      <c r="M28612" s="13"/>
    </row>
    <row r="28613">
      <c r="F28613" s="13"/>
      <c r="M28613" s="13"/>
    </row>
    <row r="28614">
      <c r="F28614" s="13"/>
      <c r="M28614" s="13"/>
    </row>
    <row r="28615">
      <c r="F28615" s="13"/>
      <c r="M28615" s="13"/>
    </row>
    <row r="28616">
      <c r="F28616" s="13"/>
      <c r="M28616" s="13"/>
    </row>
    <row r="28617">
      <c r="F28617" s="13"/>
      <c r="M28617" s="13"/>
    </row>
    <row r="28618">
      <c r="F28618" s="13"/>
      <c r="M28618" s="13"/>
    </row>
    <row r="28619">
      <c r="F28619" s="13"/>
      <c r="M28619" s="13"/>
    </row>
    <row r="28620">
      <c r="F28620" s="13"/>
      <c r="M28620" s="13"/>
    </row>
    <row r="28621">
      <c r="F28621" s="13"/>
      <c r="M28621" s="13"/>
    </row>
    <row r="28622">
      <c r="F28622" s="13"/>
      <c r="M28622" s="13"/>
    </row>
    <row r="28623">
      <c r="F28623" s="13"/>
      <c r="M28623" s="13"/>
    </row>
    <row r="28624">
      <c r="F28624" s="13"/>
      <c r="M28624" s="13"/>
    </row>
    <row r="28625">
      <c r="F28625" s="13"/>
      <c r="M28625" s="13"/>
    </row>
    <row r="28626">
      <c r="F28626" s="13"/>
      <c r="M28626" s="13"/>
    </row>
    <row r="28627">
      <c r="F28627" s="13"/>
      <c r="M28627" s="13"/>
    </row>
    <row r="28628">
      <c r="F28628" s="13"/>
      <c r="M28628" s="13"/>
    </row>
    <row r="28629">
      <c r="F28629" s="13"/>
      <c r="M28629" s="13"/>
    </row>
    <row r="28630">
      <c r="F28630" s="13"/>
      <c r="M28630" s="13"/>
    </row>
    <row r="28631">
      <c r="F28631" s="13"/>
      <c r="M28631" s="13"/>
    </row>
    <row r="28632">
      <c r="F28632" s="13"/>
      <c r="M28632" s="13"/>
    </row>
    <row r="28633">
      <c r="F28633" s="13"/>
      <c r="M28633" s="13"/>
    </row>
    <row r="28634">
      <c r="F28634" s="13"/>
      <c r="M28634" s="13"/>
    </row>
    <row r="28635">
      <c r="F28635" s="13"/>
      <c r="M28635" s="13"/>
    </row>
    <row r="28636">
      <c r="F28636" s="13"/>
      <c r="M28636" s="13"/>
    </row>
    <row r="28637">
      <c r="F28637" s="13"/>
      <c r="M28637" s="13"/>
    </row>
    <row r="28638">
      <c r="F28638" s="13"/>
      <c r="M28638" s="13"/>
    </row>
    <row r="28639">
      <c r="F28639" s="13"/>
      <c r="M28639" s="13"/>
    </row>
    <row r="28640">
      <c r="F28640" s="13"/>
      <c r="M28640" s="13"/>
    </row>
    <row r="28641">
      <c r="F28641" s="13"/>
      <c r="M28641" s="13"/>
    </row>
    <row r="28642">
      <c r="F28642" s="13"/>
      <c r="M28642" s="13"/>
    </row>
    <row r="28643">
      <c r="F28643" s="13"/>
      <c r="M28643" s="13"/>
    </row>
    <row r="28644">
      <c r="F28644" s="13"/>
      <c r="M28644" s="13"/>
    </row>
    <row r="28645">
      <c r="F28645" s="13"/>
      <c r="M28645" s="13"/>
    </row>
    <row r="28646">
      <c r="F28646" s="13"/>
      <c r="M28646" s="13"/>
    </row>
    <row r="28647">
      <c r="F28647" s="13"/>
      <c r="M28647" s="13"/>
    </row>
    <row r="28648">
      <c r="F28648" s="13"/>
      <c r="M28648" s="13"/>
    </row>
    <row r="28649">
      <c r="F28649" s="13"/>
      <c r="M28649" s="13"/>
    </row>
    <row r="28650">
      <c r="F28650" s="13"/>
      <c r="M28650" s="13"/>
    </row>
    <row r="28651">
      <c r="F28651" s="13"/>
      <c r="M28651" s="13"/>
    </row>
    <row r="28652">
      <c r="F28652" s="13"/>
      <c r="M28652" s="13"/>
    </row>
    <row r="28653">
      <c r="F28653" s="13"/>
      <c r="M28653" s="13"/>
    </row>
    <row r="28654">
      <c r="F28654" s="13"/>
      <c r="M28654" s="13"/>
    </row>
    <row r="28655">
      <c r="F28655" s="13"/>
      <c r="M28655" s="13"/>
    </row>
    <row r="28656">
      <c r="F28656" s="13"/>
      <c r="M28656" s="13"/>
    </row>
    <row r="28657">
      <c r="F28657" s="13"/>
      <c r="M28657" s="13"/>
    </row>
    <row r="28658">
      <c r="F28658" s="13"/>
      <c r="M28658" s="13"/>
    </row>
    <row r="28659">
      <c r="F28659" s="13"/>
      <c r="M28659" s="13"/>
    </row>
    <row r="28660">
      <c r="F28660" s="13"/>
      <c r="M28660" s="13"/>
    </row>
    <row r="28661">
      <c r="F28661" s="13"/>
      <c r="M28661" s="13"/>
    </row>
    <row r="28662">
      <c r="F28662" s="13"/>
      <c r="M28662" s="13"/>
    </row>
    <row r="28663">
      <c r="F28663" s="13"/>
      <c r="M28663" s="13"/>
    </row>
    <row r="28664">
      <c r="F28664" s="13"/>
      <c r="M28664" s="13"/>
    </row>
    <row r="28665">
      <c r="F28665" s="13"/>
      <c r="M28665" s="13"/>
    </row>
    <row r="28666">
      <c r="F28666" s="13"/>
      <c r="M28666" s="13"/>
    </row>
    <row r="28667">
      <c r="F28667" s="13"/>
      <c r="M28667" s="13"/>
    </row>
    <row r="28668">
      <c r="F28668" s="13"/>
      <c r="M28668" s="13"/>
    </row>
    <row r="28669">
      <c r="F28669" s="13"/>
      <c r="M28669" s="13"/>
    </row>
    <row r="28670">
      <c r="F28670" s="13"/>
      <c r="M28670" s="13"/>
    </row>
    <row r="28671">
      <c r="F28671" s="13"/>
      <c r="M28671" s="13"/>
    </row>
    <row r="28672">
      <c r="F28672" s="13"/>
      <c r="M28672" s="13"/>
    </row>
    <row r="28673">
      <c r="F28673" s="13"/>
      <c r="M28673" s="13"/>
    </row>
    <row r="28674">
      <c r="F28674" s="13"/>
      <c r="M28674" s="13"/>
    </row>
    <row r="28675">
      <c r="F28675" s="13"/>
      <c r="M28675" s="13"/>
    </row>
    <row r="28676">
      <c r="F28676" s="13"/>
      <c r="M28676" s="13"/>
    </row>
    <row r="28677">
      <c r="F28677" s="13"/>
      <c r="M28677" s="13"/>
    </row>
    <row r="28678">
      <c r="F28678" s="13"/>
      <c r="M28678" s="13"/>
    </row>
    <row r="28679">
      <c r="F28679" s="13"/>
      <c r="M28679" s="13"/>
    </row>
    <row r="28680">
      <c r="F28680" s="13"/>
      <c r="M28680" s="13"/>
    </row>
    <row r="28681">
      <c r="F28681" s="13"/>
      <c r="M28681" s="13"/>
    </row>
    <row r="28682">
      <c r="F28682" s="13"/>
      <c r="M28682" s="13"/>
    </row>
    <row r="28683">
      <c r="F28683" s="13"/>
      <c r="M28683" s="13"/>
    </row>
    <row r="28684">
      <c r="F28684" s="13"/>
      <c r="M28684" s="13"/>
    </row>
    <row r="28685">
      <c r="F28685" s="13"/>
      <c r="M28685" s="13"/>
    </row>
    <row r="28686">
      <c r="F28686" s="13"/>
      <c r="M28686" s="13"/>
    </row>
    <row r="28687">
      <c r="F28687" s="13"/>
      <c r="M28687" s="13"/>
    </row>
    <row r="28688">
      <c r="F28688" s="13"/>
      <c r="M28688" s="13"/>
    </row>
    <row r="28689">
      <c r="F28689" s="13"/>
      <c r="M28689" s="13"/>
    </row>
    <row r="28690">
      <c r="F28690" s="13"/>
      <c r="M28690" s="13"/>
    </row>
    <row r="28691">
      <c r="F28691" s="13"/>
      <c r="M28691" s="13"/>
    </row>
    <row r="28692">
      <c r="F28692" s="13"/>
      <c r="M28692" s="13"/>
    </row>
    <row r="28693">
      <c r="F28693" s="13"/>
      <c r="M28693" s="13"/>
    </row>
    <row r="28694">
      <c r="F28694" s="13"/>
      <c r="M28694" s="13"/>
    </row>
    <row r="28695">
      <c r="F28695" s="13"/>
      <c r="M28695" s="13"/>
    </row>
    <row r="28696">
      <c r="F28696" s="13"/>
      <c r="M28696" s="13"/>
    </row>
    <row r="28697">
      <c r="F28697" s="13"/>
      <c r="M28697" s="13"/>
    </row>
    <row r="28698">
      <c r="F28698" s="13"/>
      <c r="M28698" s="13"/>
    </row>
    <row r="28699">
      <c r="F28699" s="13"/>
      <c r="M28699" s="13"/>
    </row>
    <row r="28700">
      <c r="F28700" s="13"/>
      <c r="M28700" s="13"/>
    </row>
    <row r="28701">
      <c r="F28701" s="13"/>
      <c r="M28701" s="13"/>
    </row>
    <row r="28702">
      <c r="F28702" s="13"/>
      <c r="M28702" s="13"/>
    </row>
    <row r="28703">
      <c r="F28703" s="13"/>
      <c r="M28703" s="13"/>
    </row>
    <row r="28704">
      <c r="F28704" s="13"/>
      <c r="M28704" s="13"/>
    </row>
    <row r="28705">
      <c r="F28705" s="13"/>
      <c r="M28705" s="13"/>
    </row>
    <row r="28706">
      <c r="F28706" s="13"/>
      <c r="M28706" s="13"/>
    </row>
    <row r="28707">
      <c r="F28707" s="13"/>
      <c r="M28707" s="13"/>
    </row>
    <row r="28708">
      <c r="F28708" s="13"/>
      <c r="M28708" s="13"/>
    </row>
    <row r="28709">
      <c r="F28709" s="13"/>
      <c r="M28709" s="13"/>
    </row>
    <row r="28710">
      <c r="F28710" s="13"/>
      <c r="M28710" s="13"/>
    </row>
    <row r="28711">
      <c r="F28711" s="13"/>
      <c r="M28711" s="13"/>
    </row>
    <row r="28712">
      <c r="F28712" s="13"/>
      <c r="M28712" s="13"/>
    </row>
    <row r="28713">
      <c r="F28713" s="13"/>
      <c r="M28713" s="13"/>
    </row>
    <row r="28714">
      <c r="F28714" s="13"/>
      <c r="M28714" s="13"/>
    </row>
    <row r="28715">
      <c r="F28715" s="13"/>
      <c r="M28715" s="13"/>
    </row>
    <row r="28716">
      <c r="F28716" s="13"/>
      <c r="M28716" s="13"/>
    </row>
    <row r="28717">
      <c r="F28717" s="13"/>
      <c r="M28717" s="13"/>
    </row>
    <row r="28718">
      <c r="F28718" s="13"/>
      <c r="M28718" s="13"/>
    </row>
    <row r="28719">
      <c r="F28719" s="13"/>
      <c r="M28719" s="13"/>
    </row>
    <row r="28720">
      <c r="F28720" s="13"/>
      <c r="M28720" s="13"/>
    </row>
    <row r="28721">
      <c r="F28721" s="13"/>
      <c r="M28721" s="13"/>
    </row>
    <row r="28722">
      <c r="F28722" s="13"/>
      <c r="M28722" s="13"/>
    </row>
    <row r="28723">
      <c r="F28723" s="13"/>
      <c r="M28723" s="13"/>
    </row>
    <row r="28724">
      <c r="F28724" s="13"/>
      <c r="M28724" s="13"/>
    </row>
    <row r="28725">
      <c r="F28725" s="13"/>
      <c r="M28725" s="13"/>
    </row>
    <row r="28726">
      <c r="F28726" s="13"/>
      <c r="M28726" s="13"/>
    </row>
    <row r="28727">
      <c r="F28727" s="13"/>
      <c r="M28727" s="13"/>
    </row>
    <row r="28728">
      <c r="F28728" s="13"/>
      <c r="M28728" s="13"/>
    </row>
    <row r="28729">
      <c r="F28729" s="13"/>
      <c r="M28729" s="13"/>
    </row>
    <row r="28730">
      <c r="F28730" s="13"/>
      <c r="M28730" s="13"/>
    </row>
    <row r="28731">
      <c r="F28731" s="13"/>
      <c r="M28731" s="13"/>
    </row>
    <row r="28732">
      <c r="F28732" s="13"/>
      <c r="M28732" s="13"/>
    </row>
    <row r="28733">
      <c r="F28733" s="13"/>
      <c r="M28733" s="13"/>
    </row>
    <row r="28734">
      <c r="F28734" s="13"/>
      <c r="M28734" s="13"/>
    </row>
    <row r="28735">
      <c r="F28735" s="13"/>
      <c r="M28735" s="13"/>
    </row>
    <row r="28736">
      <c r="F28736" s="13"/>
      <c r="M28736" s="13"/>
    </row>
    <row r="28737">
      <c r="F28737" s="13"/>
      <c r="M28737" s="13"/>
    </row>
    <row r="28738">
      <c r="F28738" s="13"/>
      <c r="M28738" s="13"/>
    </row>
    <row r="28739">
      <c r="F28739" s="13"/>
      <c r="M28739" s="13"/>
    </row>
    <row r="28740">
      <c r="F28740" s="13"/>
      <c r="M28740" s="13"/>
    </row>
    <row r="28741">
      <c r="F28741" s="13"/>
      <c r="M28741" s="13"/>
    </row>
    <row r="28742">
      <c r="F28742" s="13"/>
      <c r="M28742" s="13"/>
    </row>
    <row r="28743">
      <c r="F28743" s="13"/>
      <c r="M28743" s="13"/>
    </row>
    <row r="28744">
      <c r="F28744" s="13"/>
      <c r="M28744" s="13"/>
    </row>
    <row r="28745">
      <c r="F28745" s="13"/>
      <c r="M28745" s="13"/>
    </row>
    <row r="28746">
      <c r="F28746" s="13"/>
      <c r="M28746" s="13"/>
    </row>
    <row r="28747">
      <c r="F28747" s="13"/>
      <c r="M28747" s="13"/>
    </row>
    <row r="28748">
      <c r="F28748" s="13"/>
      <c r="M28748" s="13"/>
    </row>
    <row r="28749">
      <c r="F28749" s="13"/>
      <c r="M28749" s="13"/>
    </row>
    <row r="28750">
      <c r="F28750" s="13"/>
      <c r="M28750" s="13"/>
    </row>
    <row r="28751">
      <c r="F28751" s="13"/>
      <c r="M28751" s="13"/>
    </row>
    <row r="28752">
      <c r="F28752" s="13"/>
      <c r="M28752" s="13"/>
    </row>
    <row r="28753">
      <c r="F28753" s="13"/>
      <c r="M28753" s="13"/>
    </row>
    <row r="28754">
      <c r="F28754" s="13"/>
      <c r="M28754" s="13"/>
    </row>
    <row r="28755">
      <c r="F28755" s="13"/>
      <c r="M28755" s="13"/>
    </row>
    <row r="28756">
      <c r="F28756" s="13"/>
      <c r="M28756" s="13"/>
    </row>
    <row r="28757">
      <c r="F28757" s="13"/>
      <c r="M28757" s="13"/>
    </row>
    <row r="28758">
      <c r="F28758" s="13"/>
      <c r="M28758" s="13"/>
    </row>
    <row r="28759">
      <c r="F28759" s="13"/>
      <c r="M28759" s="13"/>
    </row>
    <row r="28760">
      <c r="F28760" s="13"/>
      <c r="M28760" s="13"/>
    </row>
    <row r="28761">
      <c r="F28761" s="13"/>
      <c r="M28761" s="13"/>
    </row>
    <row r="28762">
      <c r="F28762" s="13"/>
      <c r="M28762" s="13"/>
    </row>
    <row r="28763">
      <c r="F28763" s="13"/>
      <c r="M28763" s="13"/>
    </row>
    <row r="28764">
      <c r="F28764" s="13"/>
      <c r="M28764" s="13"/>
    </row>
    <row r="28765">
      <c r="F28765" s="13"/>
      <c r="M28765" s="13"/>
    </row>
    <row r="28766">
      <c r="F28766" s="13"/>
      <c r="M28766" s="13"/>
    </row>
    <row r="28767">
      <c r="F28767" s="13"/>
      <c r="M28767" s="13"/>
    </row>
    <row r="28768">
      <c r="F28768" s="13"/>
      <c r="M28768" s="13"/>
    </row>
    <row r="28769">
      <c r="F28769" s="13"/>
      <c r="M28769" s="13"/>
    </row>
    <row r="28770">
      <c r="F28770" s="13"/>
      <c r="M28770" s="13"/>
    </row>
    <row r="28771">
      <c r="F28771" s="13"/>
      <c r="M28771" s="13"/>
    </row>
    <row r="28772">
      <c r="F28772" s="13"/>
      <c r="M28772" s="13"/>
    </row>
    <row r="28773">
      <c r="F28773" s="13"/>
      <c r="M28773" s="13"/>
    </row>
    <row r="28774">
      <c r="F28774" s="13"/>
      <c r="M28774" s="13"/>
    </row>
    <row r="28775">
      <c r="F28775" s="13"/>
      <c r="M28775" s="13"/>
    </row>
    <row r="28776">
      <c r="F28776" s="13"/>
      <c r="M28776" s="13"/>
    </row>
    <row r="28777">
      <c r="F28777" s="13"/>
      <c r="M28777" s="13"/>
    </row>
    <row r="28778">
      <c r="F28778" s="13"/>
      <c r="M28778" s="13"/>
    </row>
    <row r="28779">
      <c r="F28779" s="13"/>
      <c r="M28779" s="13"/>
    </row>
    <row r="28780">
      <c r="F28780" s="13"/>
      <c r="M28780" s="13"/>
    </row>
    <row r="28781">
      <c r="F28781" s="13"/>
      <c r="M28781" s="13"/>
    </row>
    <row r="28782">
      <c r="F28782" s="13"/>
      <c r="M28782" s="13"/>
    </row>
    <row r="28783">
      <c r="F28783" s="13"/>
      <c r="M28783" s="13"/>
    </row>
    <row r="28784">
      <c r="F28784" s="13"/>
      <c r="M28784" s="13"/>
    </row>
    <row r="28785">
      <c r="F28785" s="13"/>
      <c r="M28785" s="13"/>
    </row>
    <row r="28786">
      <c r="F28786" s="13"/>
      <c r="M28786" s="13"/>
    </row>
    <row r="28787">
      <c r="F28787" s="13"/>
      <c r="M28787" s="13"/>
    </row>
    <row r="28788">
      <c r="F28788" s="13"/>
      <c r="M28788" s="13"/>
    </row>
    <row r="28789">
      <c r="F28789" s="13"/>
      <c r="M28789" s="13"/>
    </row>
    <row r="28790">
      <c r="F28790" s="13"/>
      <c r="M28790" s="13"/>
    </row>
    <row r="28791">
      <c r="F28791" s="13"/>
      <c r="M28791" s="13"/>
    </row>
    <row r="28792">
      <c r="F28792" s="13"/>
      <c r="M28792" s="13"/>
    </row>
    <row r="28793">
      <c r="F28793" s="13"/>
      <c r="M28793" s="13"/>
    </row>
    <row r="28794">
      <c r="F28794" s="13"/>
      <c r="M28794" s="13"/>
    </row>
    <row r="28795">
      <c r="F28795" s="13"/>
      <c r="M28795" s="13"/>
    </row>
    <row r="28796">
      <c r="F28796" s="13"/>
      <c r="M28796" s="13"/>
    </row>
    <row r="28797">
      <c r="F28797" s="13"/>
      <c r="M28797" s="13"/>
    </row>
    <row r="28798">
      <c r="F28798" s="13"/>
      <c r="M28798" s="13"/>
    </row>
    <row r="28799">
      <c r="F28799" s="13"/>
      <c r="M28799" s="13"/>
    </row>
    <row r="28800">
      <c r="F28800" s="13"/>
      <c r="M28800" s="13"/>
    </row>
    <row r="28801">
      <c r="F28801" s="13"/>
      <c r="M28801" s="13"/>
    </row>
    <row r="28802">
      <c r="F28802" s="13"/>
      <c r="M28802" s="13"/>
    </row>
    <row r="28803">
      <c r="F28803" s="13"/>
      <c r="M28803" s="13"/>
    </row>
    <row r="28804">
      <c r="F28804" s="13"/>
      <c r="M28804" s="13"/>
    </row>
    <row r="28805">
      <c r="F28805" s="13"/>
      <c r="M28805" s="13"/>
    </row>
    <row r="28806">
      <c r="F28806" s="13"/>
      <c r="M28806" s="13"/>
    </row>
    <row r="28807">
      <c r="F28807" s="13"/>
      <c r="M28807" s="13"/>
    </row>
    <row r="28808">
      <c r="F28808" s="13"/>
      <c r="M28808" s="13"/>
    </row>
    <row r="28809">
      <c r="F28809" s="13"/>
      <c r="M28809" s="13"/>
    </row>
    <row r="28810">
      <c r="F28810" s="13"/>
      <c r="M28810" s="13"/>
    </row>
    <row r="28811">
      <c r="F28811" s="13"/>
      <c r="M28811" s="13"/>
    </row>
    <row r="28812">
      <c r="F28812" s="13"/>
      <c r="M28812" s="13"/>
    </row>
    <row r="28813">
      <c r="F28813" s="13"/>
      <c r="M28813" s="13"/>
    </row>
    <row r="28814">
      <c r="F28814" s="13"/>
      <c r="M28814" s="13"/>
    </row>
    <row r="28815">
      <c r="F28815" s="13"/>
      <c r="M28815" s="13"/>
    </row>
    <row r="28816">
      <c r="F28816" s="13"/>
      <c r="M28816" s="13"/>
    </row>
    <row r="28817">
      <c r="F28817" s="13"/>
      <c r="M28817" s="13"/>
    </row>
    <row r="28818">
      <c r="F28818" s="13"/>
      <c r="M28818" s="13"/>
    </row>
    <row r="28819">
      <c r="F28819" s="13"/>
      <c r="M28819" s="13"/>
    </row>
    <row r="28820">
      <c r="F28820" s="13"/>
      <c r="M28820" s="13"/>
    </row>
    <row r="28821">
      <c r="F28821" s="13"/>
      <c r="M28821" s="13"/>
    </row>
    <row r="28822">
      <c r="F28822" s="13"/>
      <c r="M28822" s="13"/>
    </row>
    <row r="28823">
      <c r="F28823" s="13"/>
      <c r="M28823" s="13"/>
    </row>
    <row r="28824">
      <c r="F28824" s="13"/>
      <c r="M28824" s="13"/>
    </row>
    <row r="28825">
      <c r="F28825" s="13"/>
      <c r="M28825" s="13"/>
    </row>
    <row r="28826">
      <c r="F28826" s="13"/>
      <c r="M28826" s="13"/>
    </row>
    <row r="28827">
      <c r="F28827" s="13"/>
      <c r="M28827" s="13"/>
    </row>
    <row r="28828">
      <c r="F28828" s="13"/>
      <c r="M28828" s="13"/>
    </row>
    <row r="28829">
      <c r="F28829" s="13"/>
      <c r="M28829" s="13"/>
    </row>
    <row r="28830">
      <c r="F28830" s="13"/>
      <c r="M28830" s="13"/>
    </row>
    <row r="28831">
      <c r="F28831" s="13"/>
      <c r="M28831" s="13"/>
    </row>
    <row r="28832">
      <c r="F28832" s="13"/>
      <c r="M28832" s="13"/>
    </row>
    <row r="28833">
      <c r="F28833" s="13"/>
      <c r="M28833" s="13"/>
    </row>
    <row r="28834">
      <c r="F28834" s="13"/>
      <c r="M28834" s="13"/>
    </row>
    <row r="28835">
      <c r="F28835" s="13"/>
      <c r="M28835" s="13"/>
    </row>
    <row r="28836">
      <c r="F28836" s="13"/>
      <c r="M28836" s="13"/>
    </row>
    <row r="28837">
      <c r="F28837" s="13"/>
      <c r="M28837" s="13"/>
    </row>
    <row r="28838">
      <c r="F28838" s="13"/>
      <c r="M28838" s="13"/>
    </row>
    <row r="28839">
      <c r="F28839" s="13"/>
      <c r="M28839" s="13"/>
    </row>
    <row r="28840">
      <c r="F28840" s="13"/>
      <c r="M28840" s="13"/>
    </row>
    <row r="28841">
      <c r="F28841" s="13"/>
      <c r="M28841" s="13"/>
    </row>
    <row r="28842">
      <c r="F28842" s="13"/>
      <c r="M28842" s="13"/>
    </row>
    <row r="28843">
      <c r="F28843" s="13"/>
      <c r="M28843" s="13"/>
    </row>
    <row r="28844">
      <c r="F28844" s="13"/>
      <c r="M28844" s="13"/>
    </row>
    <row r="28845">
      <c r="F28845" s="13"/>
      <c r="M28845" s="13"/>
    </row>
    <row r="28846">
      <c r="F28846" s="13"/>
      <c r="M28846" s="13"/>
    </row>
    <row r="28847">
      <c r="F28847" s="13"/>
      <c r="M28847" s="13"/>
    </row>
    <row r="28848">
      <c r="F28848" s="13"/>
      <c r="M28848" s="13"/>
    </row>
    <row r="28849">
      <c r="F28849" s="13"/>
      <c r="M28849" s="13"/>
    </row>
    <row r="28850">
      <c r="F28850" s="13"/>
      <c r="M28850" s="13"/>
    </row>
    <row r="28851">
      <c r="F28851" s="13"/>
      <c r="M28851" s="13"/>
    </row>
    <row r="28852">
      <c r="F28852" s="13"/>
      <c r="M28852" s="13"/>
    </row>
    <row r="28853">
      <c r="F28853" s="13"/>
      <c r="M28853" s="13"/>
    </row>
    <row r="28854">
      <c r="F28854" s="13"/>
      <c r="M28854" s="13"/>
    </row>
    <row r="28855">
      <c r="F28855" s="13"/>
      <c r="M28855" s="13"/>
    </row>
    <row r="28856">
      <c r="F28856" s="13"/>
      <c r="M28856" s="13"/>
    </row>
    <row r="28857">
      <c r="F28857" s="13"/>
      <c r="M28857" s="13"/>
    </row>
    <row r="28858">
      <c r="F28858" s="13"/>
      <c r="M28858" s="13"/>
    </row>
    <row r="28859">
      <c r="F28859" s="13"/>
      <c r="M28859" s="13"/>
    </row>
    <row r="28860">
      <c r="F28860" s="13"/>
      <c r="M28860" s="13"/>
    </row>
    <row r="28861">
      <c r="F28861" s="13"/>
      <c r="M28861" s="13"/>
    </row>
    <row r="28862">
      <c r="F28862" s="13"/>
      <c r="M28862" s="13"/>
    </row>
    <row r="28863">
      <c r="F28863" s="13"/>
      <c r="M28863" s="13"/>
    </row>
    <row r="28864">
      <c r="F28864" s="13"/>
      <c r="M28864" s="13"/>
    </row>
    <row r="28865">
      <c r="F28865" s="13"/>
      <c r="M28865" s="13"/>
    </row>
    <row r="28866">
      <c r="F28866" s="13"/>
      <c r="M28866" s="13"/>
    </row>
    <row r="28867">
      <c r="F28867" s="13"/>
      <c r="M28867" s="13"/>
    </row>
    <row r="28868">
      <c r="F28868" s="13"/>
      <c r="M28868" s="13"/>
    </row>
    <row r="28869">
      <c r="F28869" s="13"/>
      <c r="M28869" s="13"/>
    </row>
    <row r="28870">
      <c r="F28870" s="13"/>
      <c r="M28870" s="13"/>
    </row>
    <row r="28871">
      <c r="F28871" s="13"/>
      <c r="M28871" s="13"/>
    </row>
    <row r="28872">
      <c r="F28872" s="13"/>
      <c r="M28872" s="13"/>
    </row>
    <row r="28873">
      <c r="F28873" s="13"/>
      <c r="M28873" s="13"/>
    </row>
    <row r="28874">
      <c r="F28874" s="13"/>
      <c r="M28874" s="13"/>
    </row>
    <row r="28875">
      <c r="F28875" s="13"/>
      <c r="M28875" s="13"/>
    </row>
    <row r="28876">
      <c r="F28876" s="13"/>
      <c r="M28876" s="13"/>
    </row>
    <row r="28877">
      <c r="F28877" s="13"/>
      <c r="M28877" s="13"/>
    </row>
    <row r="28878">
      <c r="F28878" s="13"/>
      <c r="M28878" s="13"/>
    </row>
    <row r="28879">
      <c r="F28879" s="13"/>
      <c r="M28879" s="13"/>
    </row>
    <row r="28880">
      <c r="F28880" s="13"/>
      <c r="M28880" s="13"/>
    </row>
    <row r="28881">
      <c r="F28881" s="13"/>
      <c r="M28881" s="13"/>
    </row>
    <row r="28882">
      <c r="F28882" s="13"/>
      <c r="M28882" s="13"/>
    </row>
    <row r="28883">
      <c r="F28883" s="13"/>
      <c r="M28883" s="13"/>
    </row>
    <row r="28884">
      <c r="F28884" s="13"/>
      <c r="M28884" s="13"/>
    </row>
    <row r="28885">
      <c r="F28885" s="13"/>
      <c r="M28885" s="13"/>
    </row>
    <row r="28886">
      <c r="F28886" s="13"/>
      <c r="M28886" s="13"/>
    </row>
    <row r="28887">
      <c r="F28887" s="13"/>
      <c r="M28887" s="13"/>
    </row>
    <row r="28888">
      <c r="F28888" s="13"/>
      <c r="M28888" s="13"/>
    </row>
    <row r="28889">
      <c r="F28889" s="13"/>
      <c r="M28889" s="13"/>
    </row>
    <row r="28890">
      <c r="F28890" s="13"/>
      <c r="M28890" s="13"/>
    </row>
    <row r="28891">
      <c r="F28891" s="13"/>
      <c r="M28891" s="13"/>
    </row>
    <row r="28892">
      <c r="F28892" s="13"/>
      <c r="M28892" s="13"/>
    </row>
    <row r="28893">
      <c r="F28893" s="13"/>
      <c r="M28893" s="13"/>
    </row>
    <row r="28894">
      <c r="F28894" s="13"/>
      <c r="M28894" s="13"/>
    </row>
    <row r="28895">
      <c r="F28895" s="13"/>
      <c r="M28895" s="13"/>
    </row>
    <row r="28896">
      <c r="F28896" s="13"/>
      <c r="M28896" s="13"/>
    </row>
    <row r="28897">
      <c r="F28897" s="13"/>
      <c r="M28897" s="13"/>
    </row>
    <row r="28898">
      <c r="F28898" s="13"/>
      <c r="M28898" s="13"/>
    </row>
    <row r="28899">
      <c r="F28899" s="13"/>
      <c r="M28899" s="13"/>
    </row>
    <row r="28900">
      <c r="F28900" s="13"/>
      <c r="M28900" s="13"/>
    </row>
    <row r="28901">
      <c r="F28901" s="13"/>
      <c r="M28901" s="13"/>
    </row>
    <row r="28902">
      <c r="F28902" s="13"/>
      <c r="M28902" s="13"/>
    </row>
    <row r="28903">
      <c r="F28903" s="13"/>
      <c r="M28903" s="13"/>
    </row>
    <row r="28904">
      <c r="F28904" s="13"/>
      <c r="M28904" s="13"/>
    </row>
    <row r="28905">
      <c r="F28905" s="13"/>
      <c r="M28905" s="13"/>
    </row>
    <row r="28906">
      <c r="F28906" s="13"/>
      <c r="M28906" s="13"/>
    </row>
    <row r="28907">
      <c r="F28907" s="13"/>
      <c r="M28907" s="13"/>
    </row>
    <row r="28908">
      <c r="F28908" s="13"/>
      <c r="M28908" s="13"/>
    </row>
    <row r="28909">
      <c r="F28909" s="13"/>
      <c r="M28909" s="13"/>
    </row>
    <row r="28910">
      <c r="F28910" s="13"/>
      <c r="M28910" s="13"/>
    </row>
    <row r="28911">
      <c r="F28911" s="13"/>
      <c r="M28911" s="13"/>
    </row>
    <row r="28912">
      <c r="F28912" s="13"/>
      <c r="M28912" s="13"/>
    </row>
    <row r="28913">
      <c r="F28913" s="13"/>
      <c r="M28913" s="13"/>
    </row>
    <row r="28914">
      <c r="F28914" s="13"/>
      <c r="M28914" s="13"/>
    </row>
    <row r="28915">
      <c r="F28915" s="13"/>
      <c r="M28915" s="13"/>
    </row>
    <row r="28916">
      <c r="F28916" s="13"/>
      <c r="M28916" s="13"/>
    </row>
    <row r="28917">
      <c r="F28917" s="13"/>
      <c r="M28917" s="13"/>
    </row>
    <row r="28918">
      <c r="F28918" s="13"/>
      <c r="M28918" s="13"/>
    </row>
    <row r="28919">
      <c r="F28919" s="13"/>
      <c r="M28919" s="13"/>
    </row>
    <row r="28920">
      <c r="F28920" s="13"/>
      <c r="M28920" s="13"/>
    </row>
    <row r="28921">
      <c r="F28921" s="13"/>
      <c r="M28921" s="13"/>
    </row>
    <row r="28922">
      <c r="F28922" s="13"/>
      <c r="M28922" s="13"/>
    </row>
    <row r="28923">
      <c r="F28923" s="13"/>
      <c r="M28923" s="13"/>
    </row>
    <row r="28924">
      <c r="F28924" s="13"/>
      <c r="M28924" s="13"/>
    </row>
    <row r="28925">
      <c r="F28925" s="13"/>
      <c r="M28925" s="13"/>
    </row>
    <row r="28926">
      <c r="F28926" s="13"/>
      <c r="M28926" s="13"/>
    </row>
    <row r="28927">
      <c r="F28927" s="13"/>
      <c r="M28927" s="13"/>
    </row>
    <row r="28928">
      <c r="F28928" s="13"/>
      <c r="M28928" s="13"/>
    </row>
    <row r="28929">
      <c r="F28929" s="13"/>
      <c r="M28929" s="13"/>
    </row>
    <row r="28930">
      <c r="F28930" s="13"/>
      <c r="M28930" s="13"/>
    </row>
    <row r="28931">
      <c r="F28931" s="13"/>
      <c r="M28931" s="13"/>
    </row>
    <row r="28932">
      <c r="F28932" s="13"/>
      <c r="M28932" s="13"/>
    </row>
    <row r="28933">
      <c r="F28933" s="13"/>
      <c r="M28933" s="13"/>
    </row>
    <row r="28934">
      <c r="F28934" s="13"/>
      <c r="M28934" s="13"/>
    </row>
    <row r="28935">
      <c r="F28935" s="13"/>
      <c r="M28935" s="13"/>
    </row>
    <row r="28936">
      <c r="F28936" s="13"/>
      <c r="M28936" s="13"/>
    </row>
    <row r="28937">
      <c r="F28937" s="13"/>
      <c r="M28937" s="13"/>
    </row>
    <row r="28938">
      <c r="F28938" s="13"/>
      <c r="M28938" s="13"/>
    </row>
    <row r="28939">
      <c r="F28939" s="13"/>
      <c r="M28939" s="13"/>
    </row>
    <row r="28940">
      <c r="F28940" s="13"/>
      <c r="M28940" s="13"/>
    </row>
    <row r="28941">
      <c r="F28941" s="13"/>
      <c r="M28941" s="13"/>
    </row>
    <row r="28942">
      <c r="F28942" s="13"/>
      <c r="M28942" s="13"/>
    </row>
    <row r="28943">
      <c r="F28943" s="13"/>
      <c r="M28943" s="13"/>
    </row>
    <row r="28944">
      <c r="F28944" s="13"/>
      <c r="M28944" s="13"/>
    </row>
    <row r="28945">
      <c r="F28945" s="13"/>
      <c r="M28945" s="13"/>
    </row>
    <row r="28946">
      <c r="F28946" s="13"/>
      <c r="M28946" s="13"/>
    </row>
    <row r="28947">
      <c r="F28947" s="13"/>
      <c r="M28947" s="13"/>
    </row>
    <row r="28948">
      <c r="F28948" s="13"/>
      <c r="M28948" s="13"/>
    </row>
    <row r="28949">
      <c r="F28949" s="13"/>
      <c r="M28949" s="13"/>
    </row>
    <row r="28950">
      <c r="F28950" s="13"/>
      <c r="M28950" s="13"/>
    </row>
    <row r="28951">
      <c r="F28951" s="13"/>
      <c r="M28951" s="13"/>
    </row>
    <row r="28952">
      <c r="F28952" s="13"/>
      <c r="M28952" s="13"/>
    </row>
    <row r="28953">
      <c r="F28953" s="13"/>
      <c r="M28953" s="13"/>
    </row>
    <row r="28954">
      <c r="F28954" s="13"/>
      <c r="M28954" s="13"/>
    </row>
    <row r="28955">
      <c r="F28955" s="13"/>
      <c r="M28955" s="13"/>
    </row>
    <row r="28956">
      <c r="F28956" s="13"/>
      <c r="M28956" s="13"/>
    </row>
    <row r="28957">
      <c r="F28957" s="13"/>
      <c r="M28957" s="13"/>
    </row>
    <row r="28958">
      <c r="F28958" s="13"/>
      <c r="M28958" s="13"/>
    </row>
    <row r="28959">
      <c r="F28959" s="13"/>
      <c r="M28959" s="13"/>
    </row>
    <row r="28960">
      <c r="F28960" s="13"/>
      <c r="M28960" s="13"/>
    </row>
    <row r="28961">
      <c r="F28961" s="13"/>
      <c r="M28961" s="13"/>
    </row>
    <row r="28962">
      <c r="F28962" s="13"/>
      <c r="M28962" s="13"/>
    </row>
    <row r="28963">
      <c r="F28963" s="13"/>
      <c r="M28963" s="13"/>
    </row>
    <row r="28964">
      <c r="F28964" s="13"/>
      <c r="M28964" s="13"/>
    </row>
    <row r="28965">
      <c r="F28965" s="13"/>
      <c r="M28965" s="13"/>
    </row>
    <row r="28966">
      <c r="F28966" s="13"/>
      <c r="M28966" s="13"/>
    </row>
    <row r="28967">
      <c r="F28967" s="13"/>
      <c r="M28967" s="13"/>
    </row>
    <row r="28968">
      <c r="F28968" s="13"/>
      <c r="M28968" s="13"/>
    </row>
    <row r="28969">
      <c r="F28969" s="13"/>
      <c r="M28969" s="13"/>
    </row>
    <row r="28970">
      <c r="F28970" s="13"/>
      <c r="M28970" s="13"/>
    </row>
    <row r="28971">
      <c r="F28971" s="13"/>
      <c r="M28971" s="13"/>
    </row>
    <row r="28972">
      <c r="F28972" s="13"/>
      <c r="M28972" s="13"/>
    </row>
    <row r="28973">
      <c r="F28973" s="13"/>
      <c r="M28973" s="13"/>
    </row>
    <row r="28974">
      <c r="F28974" s="13"/>
      <c r="M28974" s="13"/>
    </row>
    <row r="28975">
      <c r="F28975" s="13"/>
      <c r="M28975" s="13"/>
    </row>
    <row r="28976">
      <c r="F28976" s="13"/>
      <c r="M28976" s="13"/>
    </row>
    <row r="28977">
      <c r="F28977" s="13"/>
      <c r="M28977" s="13"/>
    </row>
    <row r="28978">
      <c r="F28978" s="13"/>
      <c r="M28978" s="13"/>
    </row>
    <row r="28979">
      <c r="F28979" s="13"/>
      <c r="M28979" s="13"/>
    </row>
    <row r="28980">
      <c r="F28980" s="13"/>
      <c r="M28980" s="13"/>
    </row>
    <row r="28981">
      <c r="F28981" s="13"/>
      <c r="M28981" s="13"/>
    </row>
    <row r="28982">
      <c r="F28982" s="13"/>
      <c r="M28982" s="13"/>
    </row>
    <row r="28983">
      <c r="F28983" s="13"/>
      <c r="M28983" s="13"/>
    </row>
    <row r="28984">
      <c r="F28984" s="13"/>
      <c r="M28984" s="13"/>
    </row>
    <row r="28985">
      <c r="F28985" s="13"/>
      <c r="M28985" s="13"/>
    </row>
    <row r="28986">
      <c r="F28986" s="13"/>
      <c r="M28986" s="13"/>
    </row>
    <row r="28987">
      <c r="F28987" s="13"/>
      <c r="M28987" s="13"/>
    </row>
    <row r="28988">
      <c r="F28988" s="13"/>
      <c r="M28988" s="13"/>
    </row>
    <row r="28989">
      <c r="F28989" s="13"/>
      <c r="M28989" s="13"/>
    </row>
    <row r="28990">
      <c r="F28990" s="13"/>
      <c r="M28990" s="13"/>
    </row>
    <row r="28991">
      <c r="F28991" s="13"/>
      <c r="M28991" s="13"/>
    </row>
    <row r="28992">
      <c r="F28992" s="13"/>
      <c r="M28992" s="13"/>
    </row>
    <row r="28993">
      <c r="F28993" s="13"/>
      <c r="M28993" s="13"/>
    </row>
    <row r="28994">
      <c r="F28994" s="13"/>
      <c r="M28994" s="13"/>
    </row>
    <row r="28995">
      <c r="F28995" s="13"/>
      <c r="M28995" s="13"/>
    </row>
    <row r="28996">
      <c r="F28996" s="13"/>
      <c r="M28996" s="13"/>
    </row>
    <row r="28997">
      <c r="F28997" s="13"/>
      <c r="M28997" s="13"/>
    </row>
    <row r="28998">
      <c r="F28998" s="13"/>
      <c r="M28998" s="13"/>
    </row>
    <row r="28999">
      <c r="F28999" s="13"/>
      <c r="M28999" s="13"/>
    </row>
    <row r="29000">
      <c r="F29000" s="13"/>
      <c r="M29000" s="13"/>
    </row>
    <row r="29001">
      <c r="F29001" s="13"/>
      <c r="M29001" s="13"/>
    </row>
    <row r="29002">
      <c r="F29002" s="13"/>
      <c r="M29002" s="13"/>
    </row>
    <row r="29003">
      <c r="F29003" s="13"/>
      <c r="M29003" s="13"/>
    </row>
    <row r="29004">
      <c r="F29004" s="13"/>
      <c r="M29004" s="13"/>
    </row>
    <row r="29005">
      <c r="F29005" s="13"/>
      <c r="M29005" s="13"/>
    </row>
    <row r="29006">
      <c r="F29006" s="13"/>
      <c r="M29006" s="13"/>
    </row>
    <row r="29007">
      <c r="F29007" s="13"/>
      <c r="M29007" s="13"/>
    </row>
    <row r="29008">
      <c r="F29008" s="13"/>
      <c r="M29008" s="13"/>
    </row>
    <row r="29009">
      <c r="F29009" s="13"/>
      <c r="M29009" s="13"/>
    </row>
    <row r="29010">
      <c r="F29010" s="13"/>
      <c r="M29010" s="13"/>
    </row>
    <row r="29011">
      <c r="F29011" s="13"/>
      <c r="M29011" s="13"/>
    </row>
    <row r="29012">
      <c r="F29012" s="13"/>
      <c r="M29012" s="13"/>
    </row>
    <row r="29013">
      <c r="F29013" s="13"/>
      <c r="M29013" s="13"/>
    </row>
    <row r="29014">
      <c r="F29014" s="13"/>
      <c r="M29014" s="13"/>
    </row>
    <row r="29015">
      <c r="F29015" s="13"/>
      <c r="M29015" s="13"/>
    </row>
    <row r="29016">
      <c r="F29016" s="13"/>
      <c r="M29016" s="13"/>
    </row>
    <row r="29017">
      <c r="F29017" s="13"/>
      <c r="M29017" s="13"/>
    </row>
    <row r="29018">
      <c r="F29018" s="13"/>
      <c r="M29018" s="13"/>
    </row>
    <row r="29019">
      <c r="F29019" s="13"/>
      <c r="M29019" s="13"/>
    </row>
    <row r="29020">
      <c r="F29020" s="13"/>
      <c r="M29020" s="13"/>
    </row>
    <row r="29021">
      <c r="F29021" s="13"/>
      <c r="M29021" s="13"/>
    </row>
    <row r="29022">
      <c r="F29022" s="13"/>
      <c r="M29022" s="13"/>
    </row>
    <row r="29023">
      <c r="F29023" s="13"/>
      <c r="M29023" s="13"/>
    </row>
    <row r="29024">
      <c r="F29024" s="13"/>
      <c r="M29024" s="13"/>
    </row>
    <row r="29025">
      <c r="F29025" s="13"/>
      <c r="M29025" s="13"/>
    </row>
    <row r="29026">
      <c r="F29026" s="13"/>
      <c r="M29026" s="13"/>
    </row>
    <row r="29027">
      <c r="F29027" s="13"/>
      <c r="M29027" s="13"/>
    </row>
    <row r="29028">
      <c r="F29028" s="13"/>
      <c r="M29028" s="13"/>
    </row>
    <row r="29029">
      <c r="F29029" s="13"/>
      <c r="M29029" s="13"/>
    </row>
    <row r="29030">
      <c r="F29030" s="13"/>
      <c r="M29030" s="13"/>
    </row>
    <row r="29031">
      <c r="F29031" s="13"/>
      <c r="M29031" s="13"/>
    </row>
    <row r="29032">
      <c r="F29032" s="13"/>
      <c r="M29032" s="13"/>
    </row>
    <row r="29033">
      <c r="F29033" s="13"/>
      <c r="M29033" s="13"/>
    </row>
    <row r="29034">
      <c r="F29034" s="13"/>
      <c r="M29034" s="13"/>
    </row>
    <row r="29035">
      <c r="F29035" s="13"/>
      <c r="M29035" s="13"/>
    </row>
    <row r="29036">
      <c r="F29036" s="13"/>
      <c r="M29036" s="13"/>
    </row>
    <row r="29037">
      <c r="F29037" s="13"/>
      <c r="M29037" s="13"/>
    </row>
    <row r="29038">
      <c r="F29038" s="13"/>
      <c r="M29038" s="13"/>
    </row>
    <row r="29039">
      <c r="F29039" s="13"/>
      <c r="M29039" s="13"/>
    </row>
    <row r="29040">
      <c r="F29040" s="13"/>
      <c r="M29040" s="13"/>
    </row>
    <row r="29041">
      <c r="F29041" s="13"/>
      <c r="M29041" s="13"/>
    </row>
    <row r="29042">
      <c r="F29042" s="13"/>
      <c r="M29042" s="13"/>
    </row>
    <row r="29043">
      <c r="F29043" s="13"/>
      <c r="M29043" s="13"/>
    </row>
    <row r="29044">
      <c r="F29044" s="13"/>
      <c r="M29044" s="13"/>
    </row>
    <row r="29045">
      <c r="F29045" s="13"/>
      <c r="M29045" s="13"/>
    </row>
    <row r="29046">
      <c r="F29046" s="13"/>
      <c r="M29046" s="13"/>
    </row>
    <row r="29047">
      <c r="F29047" s="13"/>
      <c r="M29047" s="13"/>
    </row>
    <row r="29048">
      <c r="F29048" s="13"/>
      <c r="M29048" s="13"/>
    </row>
    <row r="29049">
      <c r="F29049" s="13"/>
      <c r="M29049" s="13"/>
    </row>
    <row r="29050">
      <c r="F29050" s="13"/>
      <c r="M29050" s="13"/>
    </row>
    <row r="29051">
      <c r="F29051" s="13"/>
      <c r="M29051" s="13"/>
    </row>
    <row r="29052">
      <c r="F29052" s="13"/>
      <c r="M29052" s="13"/>
    </row>
    <row r="29053">
      <c r="F29053" s="13"/>
      <c r="M29053" s="13"/>
    </row>
    <row r="29054">
      <c r="F29054" s="13"/>
      <c r="M29054" s="13"/>
    </row>
    <row r="29055">
      <c r="F29055" s="13"/>
      <c r="M29055" s="13"/>
    </row>
    <row r="29056">
      <c r="F29056" s="13"/>
      <c r="M29056" s="13"/>
    </row>
    <row r="29057">
      <c r="F29057" s="13"/>
      <c r="M29057" s="13"/>
    </row>
    <row r="29058">
      <c r="F29058" s="13"/>
      <c r="M29058" s="13"/>
    </row>
    <row r="29059">
      <c r="F29059" s="13"/>
      <c r="M29059" s="13"/>
    </row>
    <row r="29060">
      <c r="F29060" s="13"/>
      <c r="M29060" s="13"/>
    </row>
    <row r="29061">
      <c r="F29061" s="13"/>
      <c r="M29061" s="13"/>
    </row>
    <row r="29062">
      <c r="F29062" s="13"/>
      <c r="M29062" s="13"/>
    </row>
    <row r="29063">
      <c r="F29063" s="13"/>
      <c r="M29063" s="13"/>
    </row>
    <row r="29064">
      <c r="F29064" s="13"/>
      <c r="M29064" s="13"/>
    </row>
    <row r="29065">
      <c r="F29065" s="13"/>
      <c r="M29065" s="13"/>
    </row>
    <row r="29066">
      <c r="F29066" s="13"/>
      <c r="M29066" s="13"/>
    </row>
    <row r="29067">
      <c r="F29067" s="13"/>
      <c r="M29067" s="13"/>
    </row>
    <row r="29068">
      <c r="F29068" s="13"/>
      <c r="M29068" s="13"/>
    </row>
    <row r="29069">
      <c r="F29069" s="13"/>
      <c r="M29069" s="13"/>
    </row>
    <row r="29070">
      <c r="F29070" s="13"/>
      <c r="M29070" s="13"/>
    </row>
    <row r="29071">
      <c r="F29071" s="13"/>
      <c r="M29071" s="13"/>
    </row>
    <row r="29072">
      <c r="F29072" s="13"/>
      <c r="M29072" s="13"/>
    </row>
    <row r="29073">
      <c r="F29073" s="13"/>
      <c r="M29073" s="13"/>
    </row>
    <row r="29074">
      <c r="F29074" s="13"/>
      <c r="M29074" s="13"/>
    </row>
    <row r="29075">
      <c r="F29075" s="13"/>
      <c r="M29075" s="13"/>
    </row>
    <row r="29076">
      <c r="F29076" s="13"/>
      <c r="M29076" s="13"/>
    </row>
    <row r="29077">
      <c r="F29077" s="13"/>
      <c r="M29077" s="13"/>
    </row>
    <row r="29078">
      <c r="F29078" s="13"/>
      <c r="M29078" s="13"/>
    </row>
    <row r="29079">
      <c r="F29079" s="13"/>
      <c r="M29079" s="13"/>
    </row>
    <row r="29080">
      <c r="F29080" s="13"/>
      <c r="M29080" s="13"/>
    </row>
    <row r="29081">
      <c r="F29081" s="13"/>
      <c r="M29081" s="13"/>
    </row>
    <row r="29082">
      <c r="F29082" s="13"/>
      <c r="M29082" s="13"/>
    </row>
    <row r="29083">
      <c r="F29083" s="13"/>
      <c r="M29083" s="13"/>
    </row>
    <row r="29084">
      <c r="F29084" s="13"/>
      <c r="M29084" s="13"/>
    </row>
    <row r="29085">
      <c r="F29085" s="13"/>
      <c r="M29085" s="13"/>
    </row>
    <row r="29086">
      <c r="F29086" s="13"/>
      <c r="M29086" s="13"/>
    </row>
    <row r="29087">
      <c r="F29087" s="13"/>
      <c r="M29087" s="13"/>
    </row>
    <row r="29088">
      <c r="F29088" s="13"/>
      <c r="M29088" s="13"/>
    </row>
    <row r="29089">
      <c r="F29089" s="13"/>
      <c r="M29089" s="13"/>
    </row>
    <row r="29090">
      <c r="F29090" s="13"/>
      <c r="M29090" s="13"/>
    </row>
    <row r="29091">
      <c r="F29091" s="13"/>
      <c r="M29091" s="13"/>
    </row>
    <row r="29092">
      <c r="F29092" s="13"/>
      <c r="M29092" s="13"/>
    </row>
    <row r="29093">
      <c r="F29093" s="13"/>
      <c r="M29093" s="13"/>
    </row>
    <row r="29094">
      <c r="F29094" s="13"/>
      <c r="M29094" s="13"/>
    </row>
    <row r="29095">
      <c r="F29095" s="13"/>
      <c r="M29095" s="13"/>
    </row>
    <row r="29096">
      <c r="F29096" s="13"/>
      <c r="M29096" s="13"/>
    </row>
    <row r="29097">
      <c r="F29097" s="13"/>
      <c r="M29097" s="13"/>
    </row>
    <row r="29098">
      <c r="F29098" s="13"/>
      <c r="M29098" s="13"/>
    </row>
    <row r="29099">
      <c r="F29099" s="13"/>
      <c r="M29099" s="13"/>
    </row>
    <row r="29100">
      <c r="F29100" s="13"/>
      <c r="M29100" s="13"/>
    </row>
    <row r="29101">
      <c r="F29101" s="13"/>
      <c r="M29101" s="13"/>
    </row>
    <row r="29102">
      <c r="F29102" s="13"/>
      <c r="M29102" s="13"/>
    </row>
    <row r="29103">
      <c r="F29103" s="13"/>
      <c r="M29103" s="13"/>
    </row>
    <row r="29104">
      <c r="F29104" s="13"/>
      <c r="M29104" s="13"/>
    </row>
    <row r="29105">
      <c r="F29105" s="13"/>
      <c r="M29105" s="13"/>
    </row>
    <row r="29106">
      <c r="F29106" s="13"/>
      <c r="M29106" s="13"/>
    </row>
    <row r="29107">
      <c r="F29107" s="13"/>
      <c r="M29107" s="13"/>
    </row>
    <row r="29108">
      <c r="F29108" s="13"/>
      <c r="M29108" s="13"/>
    </row>
    <row r="29109">
      <c r="F29109" s="13"/>
      <c r="M29109" s="13"/>
    </row>
    <row r="29110">
      <c r="F29110" s="13"/>
      <c r="M29110" s="13"/>
    </row>
    <row r="29111">
      <c r="F29111" s="13"/>
      <c r="M29111" s="13"/>
    </row>
    <row r="29112">
      <c r="F29112" s="13"/>
      <c r="M29112" s="13"/>
    </row>
    <row r="29113">
      <c r="F29113" s="13"/>
      <c r="M29113" s="13"/>
    </row>
    <row r="29114">
      <c r="F29114" s="13"/>
      <c r="M29114" s="13"/>
    </row>
    <row r="29115">
      <c r="F29115" s="13"/>
      <c r="M29115" s="13"/>
    </row>
    <row r="29116">
      <c r="F29116" s="13"/>
      <c r="M29116" s="13"/>
    </row>
    <row r="29117">
      <c r="F29117" s="13"/>
      <c r="M29117" s="13"/>
    </row>
    <row r="29118">
      <c r="F29118" s="13"/>
      <c r="M29118" s="13"/>
    </row>
    <row r="29119">
      <c r="F29119" s="13"/>
      <c r="M29119" s="13"/>
    </row>
    <row r="29120">
      <c r="F29120" s="13"/>
      <c r="M29120" s="13"/>
    </row>
    <row r="29121">
      <c r="F29121" s="13"/>
      <c r="M29121" s="13"/>
    </row>
    <row r="29122">
      <c r="F29122" s="13"/>
      <c r="M29122" s="13"/>
    </row>
    <row r="29123">
      <c r="F29123" s="13"/>
      <c r="M29123" s="13"/>
    </row>
    <row r="29124">
      <c r="F29124" s="13"/>
      <c r="M29124" s="13"/>
    </row>
    <row r="29125">
      <c r="F29125" s="13"/>
      <c r="M29125" s="13"/>
    </row>
    <row r="29126">
      <c r="F29126" s="13"/>
      <c r="M29126" s="13"/>
    </row>
    <row r="29127">
      <c r="F29127" s="13"/>
      <c r="M29127" s="13"/>
    </row>
    <row r="29128">
      <c r="F29128" s="13"/>
      <c r="M29128" s="13"/>
    </row>
    <row r="29129">
      <c r="F29129" s="13"/>
      <c r="M29129" s="13"/>
    </row>
    <row r="29130">
      <c r="F29130" s="13"/>
      <c r="M29130" s="13"/>
    </row>
    <row r="29131">
      <c r="F29131" s="13"/>
      <c r="M29131" s="13"/>
    </row>
    <row r="29132">
      <c r="F29132" s="13"/>
      <c r="M29132" s="13"/>
    </row>
    <row r="29133">
      <c r="F29133" s="13"/>
      <c r="M29133" s="13"/>
    </row>
    <row r="29134">
      <c r="F29134" s="13"/>
      <c r="M29134" s="13"/>
    </row>
    <row r="29135">
      <c r="F29135" s="13"/>
      <c r="M29135" s="13"/>
    </row>
    <row r="29136">
      <c r="F29136" s="13"/>
      <c r="M29136" s="13"/>
    </row>
    <row r="29137">
      <c r="F29137" s="13"/>
      <c r="M29137" s="13"/>
    </row>
    <row r="29138">
      <c r="F29138" s="13"/>
      <c r="M29138" s="13"/>
    </row>
    <row r="29139">
      <c r="F29139" s="13"/>
      <c r="M29139" s="13"/>
    </row>
    <row r="29140">
      <c r="F29140" s="13"/>
      <c r="M29140" s="13"/>
    </row>
    <row r="29141">
      <c r="F29141" s="13"/>
      <c r="M29141" s="13"/>
    </row>
    <row r="29142">
      <c r="F29142" s="13"/>
      <c r="M29142" s="13"/>
    </row>
    <row r="29143">
      <c r="F29143" s="13"/>
      <c r="M29143" s="13"/>
    </row>
    <row r="29144">
      <c r="F29144" s="13"/>
      <c r="M29144" s="13"/>
    </row>
    <row r="29145">
      <c r="F29145" s="13"/>
      <c r="M29145" s="13"/>
    </row>
    <row r="29146">
      <c r="F29146" s="13"/>
      <c r="M29146" s="13"/>
    </row>
    <row r="29147">
      <c r="F29147" s="13"/>
      <c r="M29147" s="13"/>
    </row>
    <row r="29148">
      <c r="F29148" s="13"/>
      <c r="M29148" s="13"/>
    </row>
    <row r="29149">
      <c r="F29149" s="13"/>
      <c r="M29149" s="13"/>
    </row>
    <row r="29150">
      <c r="F29150" s="13"/>
      <c r="M29150" s="13"/>
    </row>
    <row r="29151">
      <c r="F29151" s="13"/>
      <c r="M29151" s="13"/>
    </row>
    <row r="29152">
      <c r="F29152" s="13"/>
      <c r="M29152" s="13"/>
    </row>
    <row r="29153">
      <c r="F29153" s="13"/>
      <c r="M29153" s="13"/>
    </row>
    <row r="29154">
      <c r="F29154" s="13"/>
      <c r="M29154" s="13"/>
    </row>
    <row r="29155">
      <c r="F29155" s="13"/>
      <c r="M29155" s="13"/>
    </row>
    <row r="29156">
      <c r="F29156" s="13"/>
      <c r="M29156" s="13"/>
    </row>
    <row r="29157">
      <c r="F29157" s="13"/>
      <c r="M29157" s="13"/>
    </row>
    <row r="29158">
      <c r="F29158" s="13"/>
      <c r="M29158" s="13"/>
    </row>
    <row r="29159">
      <c r="F29159" s="13"/>
      <c r="M29159" s="13"/>
    </row>
    <row r="29160">
      <c r="F29160" s="13"/>
      <c r="M29160" s="13"/>
    </row>
    <row r="29161">
      <c r="F29161" s="13"/>
      <c r="M29161" s="13"/>
    </row>
    <row r="29162">
      <c r="F29162" s="13"/>
      <c r="M29162" s="13"/>
    </row>
    <row r="29163">
      <c r="F29163" s="13"/>
      <c r="M29163" s="13"/>
    </row>
    <row r="29164">
      <c r="F29164" s="13"/>
      <c r="M29164" s="13"/>
    </row>
    <row r="29165">
      <c r="F29165" s="13"/>
      <c r="M29165" s="13"/>
    </row>
    <row r="29166">
      <c r="F29166" s="13"/>
      <c r="M29166" s="13"/>
    </row>
    <row r="29167">
      <c r="F29167" s="13"/>
      <c r="M29167" s="13"/>
    </row>
    <row r="29168">
      <c r="F29168" s="13"/>
      <c r="M29168" s="13"/>
    </row>
    <row r="29169">
      <c r="F29169" s="13"/>
      <c r="M29169" s="13"/>
    </row>
    <row r="29170">
      <c r="F29170" s="13"/>
      <c r="M29170" s="13"/>
    </row>
    <row r="29171">
      <c r="F29171" s="13"/>
      <c r="M29171" s="13"/>
    </row>
    <row r="29172">
      <c r="F29172" s="13"/>
      <c r="M29172" s="13"/>
    </row>
    <row r="29173">
      <c r="F29173" s="13"/>
      <c r="M29173" s="13"/>
    </row>
    <row r="29174">
      <c r="F29174" s="13"/>
      <c r="M29174" s="13"/>
    </row>
    <row r="29175">
      <c r="F29175" s="13"/>
      <c r="M29175" s="13"/>
    </row>
    <row r="29176">
      <c r="F29176" s="13"/>
      <c r="M29176" s="13"/>
    </row>
    <row r="29177">
      <c r="F29177" s="13"/>
      <c r="M29177" s="13"/>
    </row>
    <row r="29178">
      <c r="F29178" s="13"/>
      <c r="M29178" s="13"/>
    </row>
    <row r="29179">
      <c r="F29179" s="13"/>
      <c r="M29179" s="13"/>
    </row>
    <row r="29180">
      <c r="F29180" s="13"/>
      <c r="M29180" s="13"/>
    </row>
    <row r="29181">
      <c r="F29181" s="13"/>
      <c r="M29181" s="13"/>
    </row>
    <row r="29182">
      <c r="F29182" s="13"/>
      <c r="M29182" s="13"/>
    </row>
    <row r="29183">
      <c r="F29183" s="13"/>
      <c r="M29183" s="13"/>
    </row>
    <row r="29184">
      <c r="F29184" s="13"/>
      <c r="M29184" s="13"/>
    </row>
    <row r="29185">
      <c r="F29185" s="13"/>
      <c r="M29185" s="13"/>
    </row>
    <row r="29186">
      <c r="F29186" s="13"/>
      <c r="M29186" s="13"/>
    </row>
    <row r="29187">
      <c r="F29187" s="13"/>
      <c r="M29187" s="13"/>
    </row>
    <row r="29188">
      <c r="F29188" s="13"/>
      <c r="M29188" s="13"/>
    </row>
    <row r="29189">
      <c r="F29189" s="13"/>
      <c r="M29189" s="13"/>
    </row>
    <row r="29190">
      <c r="F29190" s="13"/>
      <c r="M29190" s="13"/>
    </row>
    <row r="29191">
      <c r="F29191" s="13"/>
      <c r="M29191" s="13"/>
    </row>
    <row r="29192">
      <c r="F29192" s="13"/>
      <c r="M29192" s="13"/>
    </row>
    <row r="29193">
      <c r="F29193" s="13"/>
      <c r="M29193" s="13"/>
    </row>
    <row r="29194">
      <c r="F29194" s="13"/>
      <c r="M29194" s="13"/>
    </row>
    <row r="29195">
      <c r="F29195" s="13"/>
      <c r="M29195" s="13"/>
    </row>
    <row r="29196">
      <c r="F29196" s="13"/>
      <c r="M29196" s="13"/>
    </row>
    <row r="29197">
      <c r="F29197" s="13"/>
      <c r="M29197" s="13"/>
    </row>
    <row r="29198">
      <c r="F29198" s="13"/>
      <c r="M29198" s="13"/>
    </row>
    <row r="29199">
      <c r="F29199" s="13"/>
      <c r="M29199" s="13"/>
    </row>
    <row r="29200">
      <c r="F29200" s="13"/>
      <c r="M29200" s="13"/>
    </row>
    <row r="29201">
      <c r="F29201" s="13"/>
      <c r="M29201" s="13"/>
    </row>
    <row r="29202">
      <c r="F29202" s="13"/>
      <c r="M29202" s="13"/>
    </row>
    <row r="29203">
      <c r="F29203" s="13"/>
      <c r="M29203" s="13"/>
    </row>
    <row r="29204">
      <c r="F29204" s="13"/>
      <c r="M29204" s="13"/>
    </row>
    <row r="29205">
      <c r="F29205" s="13"/>
      <c r="M29205" s="13"/>
    </row>
    <row r="29206">
      <c r="F29206" s="13"/>
      <c r="M29206" s="13"/>
    </row>
    <row r="29207">
      <c r="F29207" s="13"/>
      <c r="M29207" s="13"/>
    </row>
    <row r="29208">
      <c r="F29208" s="13"/>
      <c r="M29208" s="13"/>
    </row>
    <row r="29209">
      <c r="F29209" s="13"/>
      <c r="M29209" s="13"/>
    </row>
    <row r="29210">
      <c r="F29210" s="13"/>
      <c r="M29210" s="13"/>
    </row>
    <row r="29211">
      <c r="F29211" s="13"/>
      <c r="M29211" s="13"/>
    </row>
    <row r="29212">
      <c r="F29212" s="13"/>
      <c r="M29212" s="13"/>
    </row>
    <row r="29213">
      <c r="F29213" s="13"/>
      <c r="M29213" s="13"/>
    </row>
    <row r="29214">
      <c r="F29214" s="13"/>
      <c r="M29214" s="13"/>
    </row>
    <row r="29215">
      <c r="F29215" s="13"/>
      <c r="M29215" s="13"/>
    </row>
    <row r="29216">
      <c r="F29216" s="13"/>
      <c r="M29216" s="13"/>
    </row>
    <row r="29217">
      <c r="F29217" s="13"/>
      <c r="M29217" s="13"/>
    </row>
    <row r="29218">
      <c r="F29218" s="13"/>
      <c r="M29218" s="13"/>
    </row>
    <row r="29219">
      <c r="F29219" s="13"/>
      <c r="M29219" s="13"/>
    </row>
    <row r="29220">
      <c r="F29220" s="13"/>
      <c r="M29220" s="13"/>
    </row>
    <row r="29221">
      <c r="F29221" s="13"/>
      <c r="M29221" s="13"/>
    </row>
    <row r="29222">
      <c r="F29222" s="13"/>
      <c r="M29222" s="13"/>
    </row>
    <row r="29223">
      <c r="F29223" s="13"/>
      <c r="M29223" s="13"/>
    </row>
    <row r="29224">
      <c r="F29224" s="13"/>
      <c r="M29224" s="13"/>
    </row>
    <row r="29225">
      <c r="F29225" s="13"/>
      <c r="M29225" s="13"/>
    </row>
    <row r="29226">
      <c r="F29226" s="13"/>
      <c r="M29226" s="13"/>
    </row>
    <row r="29227">
      <c r="F29227" s="13"/>
      <c r="M29227" s="13"/>
    </row>
    <row r="29228">
      <c r="F29228" s="13"/>
      <c r="M29228" s="13"/>
    </row>
    <row r="29229">
      <c r="F29229" s="13"/>
      <c r="M29229" s="13"/>
    </row>
    <row r="29230">
      <c r="F29230" s="13"/>
      <c r="M29230" s="13"/>
    </row>
    <row r="29231">
      <c r="F29231" s="13"/>
      <c r="M29231" s="13"/>
    </row>
    <row r="29232">
      <c r="F29232" s="13"/>
      <c r="M29232" s="13"/>
    </row>
    <row r="29233">
      <c r="F29233" s="13"/>
      <c r="M29233" s="13"/>
    </row>
    <row r="29234">
      <c r="F29234" s="13"/>
      <c r="M29234" s="13"/>
    </row>
    <row r="29235">
      <c r="F29235" s="13"/>
      <c r="M29235" s="13"/>
    </row>
    <row r="29236">
      <c r="F29236" s="13"/>
      <c r="M29236" s="13"/>
    </row>
    <row r="29237">
      <c r="F29237" s="13"/>
      <c r="M29237" s="13"/>
    </row>
    <row r="29238">
      <c r="F29238" s="13"/>
      <c r="M29238" s="13"/>
    </row>
    <row r="29239">
      <c r="F29239" s="13"/>
      <c r="M29239" s="13"/>
    </row>
    <row r="29240">
      <c r="F29240" s="13"/>
      <c r="M29240" s="13"/>
    </row>
    <row r="29241">
      <c r="F29241" s="13"/>
      <c r="M29241" s="13"/>
    </row>
    <row r="29242">
      <c r="F29242" s="13"/>
      <c r="M29242" s="13"/>
    </row>
    <row r="29243">
      <c r="F29243" s="13"/>
      <c r="M29243" s="13"/>
    </row>
    <row r="29244">
      <c r="F29244" s="13"/>
      <c r="M29244" s="13"/>
    </row>
    <row r="29245">
      <c r="F29245" s="13"/>
      <c r="M29245" s="13"/>
    </row>
    <row r="29246">
      <c r="F29246" s="13"/>
      <c r="M29246" s="13"/>
    </row>
    <row r="29247">
      <c r="F29247" s="13"/>
      <c r="M29247" s="13"/>
    </row>
    <row r="29248">
      <c r="F29248" s="13"/>
      <c r="M29248" s="13"/>
    </row>
    <row r="29249">
      <c r="F29249" s="13"/>
      <c r="M29249" s="13"/>
    </row>
    <row r="29250">
      <c r="F29250" s="13"/>
      <c r="M29250" s="13"/>
    </row>
    <row r="29251">
      <c r="F29251" s="13"/>
      <c r="M29251" s="13"/>
    </row>
    <row r="29252">
      <c r="F29252" s="13"/>
      <c r="M29252" s="13"/>
    </row>
    <row r="29253">
      <c r="F29253" s="13"/>
      <c r="M29253" s="13"/>
    </row>
    <row r="29254">
      <c r="F29254" s="13"/>
      <c r="M29254" s="13"/>
    </row>
    <row r="29255">
      <c r="F29255" s="13"/>
      <c r="M29255" s="13"/>
    </row>
    <row r="29256">
      <c r="F29256" s="13"/>
      <c r="M29256" s="13"/>
    </row>
    <row r="29257">
      <c r="F29257" s="13"/>
      <c r="M29257" s="13"/>
    </row>
    <row r="29258">
      <c r="F29258" s="13"/>
      <c r="M29258" s="13"/>
    </row>
    <row r="29259">
      <c r="F29259" s="13"/>
      <c r="M29259" s="13"/>
    </row>
    <row r="29260">
      <c r="F29260" s="13"/>
      <c r="M29260" s="13"/>
    </row>
    <row r="29261">
      <c r="F29261" s="13"/>
      <c r="M29261" s="13"/>
    </row>
    <row r="29262">
      <c r="F29262" s="13"/>
      <c r="M29262" s="13"/>
    </row>
    <row r="29263">
      <c r="F29263" s="13"/>
      <c r="M29263" s="13"/>
    </row>
    <row r="29264">
      <c r="F29264" s="13"/>
      <c r="M29264" s="13"/>
    </row>
    <row r="29265">
      <c r="F29265" s="13"/>
      <c r="M29265" s="13"/>
    </row>
    <row r="29266">
      <c r="F29266" s="13"/>
      <c r="M29266" s="13"/>
    </row>
    <row r="29267">
      <c r="F29267" s="13"/>
      <c r="M29267" s="13"/>
    </row>
    <row r="29268">
      <c r="F29268" s="13"/>
      <c r="M29268" s="13"/>
    </row>
    <row r="29269">
      <c r="F29269" s="13"/>
      <c r="M29269" s="13"/>
    </row>
    <row r="29270">
      <c r="F29270" s="13"/>
      <c r="M29270" s="13"/>
    </row>
    <row r="29271">
      <c r="F29271" s="13"/>
      <c r="M29271" s="13"/>
    </row>
    <row r="29272">
      <c r="F29272" s="13"/>
      <c r="M29272" s="13"/>
    </row>
    <row r="29273">
      <c r="F29273" s="13"/>
      <c r="M29273" s="13"/>
    </row>
    <row r="29274">
      <c r="F29274" s="13"/>
      <c r="M29274" s="13"/>
    </row>
    <row r="29275">
      <c r="F29275" s="13"/>
      <c r="M29275" s="13"/>
    </row>
    <row r="29276">
      <c r="F29276" s="13"/>
      <c r="M29276" s="13"/>
    </row>
    <row r="29277">
      <c r="F29277" s="13"/>
      <c r="M29277" s="13"/>
    </row>
    <row r="29278">
      <c r="F29278" s="13"/>
      <c r="M29278" s="13"/>
    </row>
    <row r="29279">
      <c r="F29279" s="13"/>
      <c r="M29279" s="13"/>
    </row>
    <row r="29280">
      <c r="F29280" s="13"/>
      <c r="M29280" s="13"/>
    </row>
    <row r="29281">
      <c r="F29281" s="13"/>
      <c r="M29281" s="13"/>
    </row>
    <row r="29282">
      <c r="F29282" s="13"/>
      <c r="M29282" s="13"/>
    </row>
    <row r="29283">
      <c r="F29283" s="13"/>
      <c r="M29283" s="13"/>
    </row>
    <row r="29284">
      <c r="F29284" s="13"/>
      <c r="M29284" s="13"/>
    </row>
    <row r="29285">
      <c r="F29285" s="13"/>
      <c r="M29285" s="13"/>
    </row>
    <row r="29286">
      <c r="F29286" s="13"/>
      <c r="M29286" s="13"/>
    </row>
    <row r="29287">
      <c r="F29287" s="13"/>
      <c r="M29287" s="13"/>
    </row>
    <row r="29288">
      <c r="F29288" s="13"/>
      <c r="M29288" s="13"/>
    </row>
    <row r="29289">
      <c r="F29289" s="13"/>
      <c r="M29289" s="13"/>
    </row>
    <row r="29290">
      <c r="F29290" s="13"/>
      <c r="M29290" s="13"/>
    </row>
    <row r="29291">
      <c r="F29291" s="13"/>
      <c r="M29291" s="13"/>
    </row>
    <row r="29292">
      <c r="F29292" s="13"/>
      <c r="M29292" s="13"/>
    </row>
    <row r="29293">
      <c r="F29293" s="13"/>
      <c r="M29293" s="13"/>
    </row>
    <row r="29294">
      <c r="F29294" s="13"/>
      <c r="M29294" s="13"/>
    </row>
    <row r="29295">
      <c r="F29295" s="13"/>
      <c r="M29295" s="13"/>
    </row>
    <row r="29296">
      <c r="F29296" s="13"/>
      <c r="M29296" s="13"/>
    </row>
    <row r="29297">
      <c r="F29297" s="13"/>
      <c r="M29297" s="13"/>
    </row>
    <row r="29298">
      <c r="F29298" s="13"/>
      <c r="M29298" s="13"/>
    </row>
    <row r="29299">
      <c r="F29299" s="13"/>
      <c r="M29299" s="13"/>
    </row>
    <row r="29300">
      <c r="F29300" s="13"/>
      <c r="M29300" s="13"/>
    </row>
    <row r="29301">
      <c r="F29301" s="13"/>
      <c r="M29301" s="13"/>
    </row>
    <row r="29302">
      <c r="F29302" s="13"/>
      <c r="M29302" s="13"/>
    </row>
    <row r="29303">
      <c r="F29303" s="13"/>
      <c r="M29303" s="13"/>
    </row>
    <row r="29304">
      <c r="F29304" s="13"/>
      <c r="M29304" s="13"/>
    </row>
    <row r="29305">
      <c r="F29305" s="13"/>
      <c r="M29305" s="13"/>
    </row>
    <row r="29306">
      <c r="F29306" s="13"/>
      <c r="M29306" s="13"/>
    </row>
    <row r="29307">
      <c r="F29307" s="13"/>
      <c r="M29307" s="13"/>
    </row>
    <row r="29308">
      <c r="F29308" s="13"/>
      <c r="M29308" s="13"/>
    </row>
    <row r="29309">
      <c r="F29309" s="13"/>
      <c r="M29309" s="13"/>
    </row>
    <row r="29310">
      <c r="F29310" s="13"/>
      <c r="M29310" s="13"/>
    </row>
    <row r="29311">
      <c r="F29311" s="13"/>
      <c r="M29311" s="13"/>
    </row>
    <row r="29312">
      <c r="F29312" s="13"/>
      <c r="M29312" s="13"/>
    </row>
    <row r="29313">
      <c r="F29313" s="13"/>
      <c r="M29313" s="13"/>
    </row>
    <row r="29314">
      <c r="F29314" s="13"/>
      <c r="M29314" s="13"/>
    </row>
    <row r="29315">
      <c r="F29315" s="13"/>
      <c r="M29315" s="13"/>
    </row>
    <row r="29316">
      <c r="F29316" s="13"/>
      <c r="M29316" s="13"/>
    </row>
    <row r="29317">
      <c r="F29317" s="13"/>
      <c r="M29317" s="13"/>
    </row>
    <row r="29318">
      <c r="F29318" s="13"/>
      <c r="M29318" s="13"/>
    </row>
    <row r="29319">
      <c r="F29319" s="13"/>
      <c r="M29319" s="13"/>
    </row>
    <row r="29320">
      <c r="F29320" s="13"/>
      <c r="M29320" s="13"/>
    </row>
    <row r="29321">
      <c r="F29321" s="13"/>
      <c r="M29321" s="13"/>
    </row>
    <row r="29322">
      <c r="F29322" s="13"/>
      <c r="M29322" s="13"/>
    </row>
    <row r="29323">
      <c r="F29323" s="13"/>
      <c r="M29323" s="13"/>
    </row>
    <row r="29324">
      <c r="F29324" s="13"/>
      <c r="M29324" s="13"/>
    </row>
    <row r="29325">
      <c r="F29325" s="13"/>
      <c r="M29325" s="13"/>
    </row>
    <row r="29326">
      <c r="F29326" s="13"/>
      <c r="M29326" s="13"/>
    </row>
    <row r="29327">
      <c r="F29327" s="13"/>
      <c r="M29327" s="13"/>
    </row>
    <row r="29328">
      <c r="F29328" s="13"/>
      <c r="M29328" s="13"/>
    </row>
    <row r="29329">
      <c r="F29329" s="13"/>
      <c r="M29329" s="13"/>
    </row>
    <row r="29330">
      <c r="F29330" s="13"/>
      <c r="M29330" s="13"/>
    </row>
    <row r="29331">
      <c r="F29331" s="13"/>
      <c r="M29331" s="13"/>
    </row>
    <row r="29332">
      <c r="F29332" s="13"/>
      <c r="M29332" s="13"/>
    </row>
    <row r="29333">
      <c r="F29333" s="13"/>
      <c r="M29333" s="13"/>
    </row>
    <row r="29334">
      <c r="F29334" s="13"/>
      <c r="M29334" s="13"/>
    </row>
    <row r="29335">
      <c r="F29335" s="13"/>
      <c r="M29335" s="13"/>
    </row>
    <row r="29336">
      <c r="F29336" s="13"/>
      <c r="M29336" s="13"/>
    </row>
    <row r="29337">
      <c r="F29337" s="13"/>
      <c r="M29337" s="13"/>
    </row>
    <row r="29338">
      <c r="F29338" s="13"/>
      <c r="M29338" s="13"/>
    </row>
    <row r="29339">
      <c r="F29339" s="13"/>
      <c r="M29339" s="13"/>
    </row>
    <row r="29340">
      <c r="F29340" s="13"/>
      <c r="M29340" s="13"/>
    </row>
    <row r="29341">
      <c r="F29341" s="13"/>
      <c r="M29341" s="13"/>
    </row>
    <row r="29342">
      <c r="F29342" s="13"/>
      <c r="M29342" s="13"/>
    </row>
    <row r="29343">
      <c r="F29343" s="13"/>
      <c r="M29343" s="13"/>
    </row>
    <row r="29344">
      <c r="F29344" s="13"/>
      <c r="M29344" s="13"/>
    </row>
    <row r="29345">
      <c r="F29345" s="13"/>
      <c r="M29345" s="13"/>
    </row>
    <row r="29346">
      <c r="F29346" s="13"/>
      <c r="M29346" s="13"/>
    </row>
    <row r="29347">
      <c r="F29347" s="13"/>
      <c r="M29347" s="13"/>
    </row>
    <row r="29348">
      <c r="F29348" s="13"/>
      <c r="M29348" s="13"/>
    </row>
    <row r="29349">
      <c r="F29349" s="13"/>
      <c r="M29349" s="13"/>
    </row>
    <row r="29350">
      <c r="F29350" s="13"/>
      <c r="M29350" s="13"/>
    </row>
    <row r="29351">
      <c r="F29351" s="13"/>
      <c r="M29351" s="13"/>
    </row>
    <row r="29352">
      <c r="F29352" s="13"/>
      <c r="M29352" s="13"/>
    </row>
    <row r="29353">
      <c r="F29353" s="13"/>
      <c r="M29353" s="13"/>
    </row>
    <row r="29354">
      <c r="F29354" s="13"/>
      <c r="M29354" s="13"/>
    </row>
    <row r="29355">
      <c r="F29355" s="13"/>
      <c r="M29355" s="13"/>
    </row>
    <row r="29356">
      <c r="F29356" s="13"/>
      <c r="M29356" s="13"/>
    </row>
    <row r="29357">
      <c r="F29357" s="13"/>
      <c r="M29357" s="13"/>
    </row>
    <row r="29358">
      <c r="F29358" s="13"/>
      <c r="M29358" s="13"/>
    </row>
    <row r="29359">
      <c r="F29359" s="13"/>
      <c r="M29359" s="13"/>
    </row>
    <row r="29360">
      <c r="F29360" s="13"/>
      <c r="M29360" s="13"/>
    </row>
    <row r="29361">
      <c r="F29361" s="13"/>
      <c r="M29361" s="13"/>
    </row>
    <row r="29362">
      <c r="F29362" s="13"/>
      <c r="M29362" s="13"/>
    </row>
    <row r="29363">
      <c r="F29363" s="13"/>
      <c r="M29363" s="13"/>
    </row>
    <row r="29364">
      <c r="F29364" s="13"/>
      <c r="M29364" s="13"/>
    </row>
    <row r="29365">
      <c r="F29365" s="13"/>
      <c r="M29365" s="13"/>
    </row>
    <row r="29366">
      <c r="F29366" s="13"/>
      <c r="M29366" s="13"/>
    </row>
    <row r="29367">
      <c r="F29367" s="13"/>
      <c r="M29367" s="13"/>
    </row>
    <row r="29368">
      <c r="F29368" s="13"/>
      <c r="M29368" s="13"/>
    </row>
    <row r="29369">
      <c r="F29369" s="13"/>
      <c r="M29369" s="13"/>
    </row>
    <row r="29370">
      <c r="F29370" s="13"/>
      <c r="M29370" s="13"/>
    </row>
    <row r="29371">
      <c r="F29371" s="13"/>
      <c r="M29371" s="13"/>
    </row>
    <row r="29372">
      <c r="F29372" s="13"/>
      <c r="M29372" s="13"/>
    </row>
    <row r="29373">
      <c r="F29373" s="13"/>
      <c r="M29373" s="13"/>
    </row>
    <row r="29374">
      <c r="F29374" s="13"/>
      <c r="M29374" s="13"/>
    </row>
    <row r="29375">
      <c r="F29375" s="13"/>
      <c r="M29375" s="13"/>
    </row>
    <row r="29376">
      <c r="F29376" s="13"/>
      <c r="M29376" s="13"/>
    </row>
    <row r="29377">
      <c r="F29377" s="13"/>
      <c r="M29377" s="13"/>
    </row>
    <row r="29378">
      <c r="F29378" s="13"/>
      <c r="M29378" s="13"/>
    </row>
    <row r="29379">
      <c r="F29379" s="13"/>
      <c r="M29379" s="13"/>
    </row>
    <row r="29380">
      <c r="F29380" s="13"/>
      <c r="M29380" s="13"/>
    </row>
    <row r="29381">
      <c r="F29381" s="13"/>
      <c r="M29381" s="13"/>
    </row>
    <row r="29382">
      <c r="F29382" s="13"/>
      <c r="M29382" s="13"/>
    </row>
    <row r="29383">
      <c r="F29383" s="13"/>
      <c r="M29383" s="13"/>
    </row>
    <row r="29384">
      <c r="F29384" s="13"/>
      <c r="M29384" s="13"/>
    </row>
    <row r="29385">
      <c r="F29385" s="13"/>
      <c r="M29385" s="13"/>
    </row>
    <row r="29386">
      <c r="F29386" s="13"/>
      <c r="M29386" s="13"/>
    </row>
    <row r="29387">
      <c r="F29387" s="13"/>
      <c r="M29387" s="13"/>
    </row>
    <row r="29388">
      <c r="F29388" s="13"/>
      <c r="M29388" s="13"/>
    </row>
    <row r="29389">
      <c r="F29389" s="13"/>
      <c r="M29389" s="13"/>
    </row>
    <row r="29390">
      <c r="F29390" s="13"/>
      <c r="M29390" s="13"/>
    </row>
    <row r="29391">
      <c r="F29391" s="13"/>
      <c r="M29391" s="13"/>
    </row>
    <row r="29392">
      <c r="F29392" s="13"/>
      <c r="M29392" s="13"/>
    </row>
    <row r="29393">
      <c r="F29393" s="13"/>
      <c r="M29393" s="13"/>
    </row>
    <row r="29394">
      <c r="F29394" s="13"/>
      <c r="M29394" s="13"/>
    </row>
    <row r="29395">
      <c r="F29395" s="13"/>
      <c r="M29395" s="13"/>
    </row>
    <row r="29396">
      <c r="F29396" s="13"/>
      <c r="M29396" s="13"/>
    </row>
    <row r="29397">
      <c r="F29397" s="13"/>
      <c r="M29397" s="13"/>
    </row>
    <row r="29398">
      <c r="F29398" s="13"/>
      <c r="M29398" s="13"/>
    </row>
    <row r="29399">
      <c r="F29399" s="13"/>
      <c r="M29399" s="13"/>
    </row>
    <row r="29400">
      <c r="F29400" s="13"/>
      <c r="M29400" s="13"/>
    </row>
    <row r="29401">
      <c r="F29401" s="13"/>
      <c r="M29401" s="13"/>
    </row>
    <row r="29402">
      <c r="F29402" s="13"/>
      <c r="M29402" s="13"/>
    </row>
    <row r="29403">
      <c r="F29403" s="13"/>
      <c r="M29403" s="13"/>
    </row>
    <row r="29404">
      <c r="F29404" s="13"/>
      <c r="M29404" s="13"/>
    </row>
    <row r="29405">
      <c r="F29405" s="13"/>
      <c r="M29405" s="13"/>
    </row>
    <row r="29406">
      <c r="F29406" s="13"/>
      <c r="M29406" s="13"/>
    </row>
    <row r="29407">
      <c r="F29407" s="13"/>
      <c r="M29407" s="13"/>
    </row>
    <row r="29408">
      <c r="F29408" s="13"/>
      <c r="M29408" s="13"/>
    </row>
    <row r="29409">
      <c r="F29409" s="13"/>
      <c r="M29409" s="13"/>
    </row>
    <row r="29410">
      <c r="F29410" s="13"/>
      <c r="M29410" s="13"/>
    </row>
    <row r="29411">
      <c r="F29411" s="13"/>
      <c r="M29411" s="13"/>
    </row>
    <row r="29412">
      <c r="F29412" s="13"/>
      <c r="M29412" s="13"/>
    </row>
    <row r="29413">
      <c r="F29413" s="13"/>
      <c r="M29413" s="13"/>
    </row>
    <row r="29414">
      <c r="F29414" s="13"/>
      <c r="M29414" s="13"/>
    </row>
    <row r="29415">
      <c r="F29415" s="13"/>
      <c r="M29415" s="13"/>
    </row>
    <row r="29416">
      <c r="F29416" s="13"/>
      <c r="M29416" s="13"/>
    </row>
    <row r="29417">
      <c r="F29417" s="13"/>
      <c r="M29417" s="13"/>
    </row>
    <row r="29418">
      <c r="F29418" s="13"/>
      <c r="M29418" s="13"/>
    </row>
    <row r="29419">
      <c r="F29419" s="13"/>
      <c r="M29419" s="13"/>
    </row>
    <row r="29420">
      <c r="F29420" s="13"/>
      <c r="M29420" s="13"/>
    </row>
    <row r="29421">
      <c r="F29421" s="13"/>
      <c r="M29421" s="13"/>
    </row>
    <row r="29422">
      <c r="F29422" s="13"/>
      <c r="M29422" s="13"/>
    </row>
    <row r="29423">
      <c r="F29423" s="13"/>
      <c r="M29423" s="13"/>
    </row>
    <row r="29424">
      <c r="F29424" s="13"/>
      <c r="M29424" s="13"/>
    </row>
    <row r="29425">
      <c r="F29425" s="13"/>
      <c r="M29425" s="13"/>
    </row>
    <row r="29426">
      <c r="F29426" s="13"/>
      <c r="M29426" s="13"/>
    </row>
    <row r="29427">
      <c r="F29427" s="13"/>
      <c r="M29427" s="13"/>
    </row>
    <row r="29428">
      <c r="F29428" s="13"/>
      <c r="M29428" s="13"/>
    </row>
    <row r="29429">
      <c r="F29429" s="13"/>
      <c r="M29429" s="13"/>
    </row>
    <row r="29430">
      <c r="F29430" s="13"/>
      <c r="M29430" s="13"/>
    </row>
    <row r="29431">
      <c r="F29431" s="13"/>
      <c r="M29431" s="13"/>
    </row>
    <row r="29432">
      <c r="F29432" s="13"/>
      <c r="M29432" s="13"/>
    </row>
    <row r="29433">
      <c r="F29433" s="13"/>
      <c r="M29433" s="13"/>
    </row>
    <row r="29434">
      <c r="F29434" s="13"/>
      <c r="M29434" s="13"/>
    </row>
    <row r="29435">
      <c r="F29435" s="13"/>
      <c r="M29435" s="13"/>
    </row>
    <row r="29436">
      <c r="F29436" s="13"/>
      <c r="M29436" s="13"/>
    </row>
    <row r="29437">
      <c r="F29437" s="13"/>
      <c r="M29437" s="13"/>
    </row>
    <row r="29438">
      <c r="F29438" s="13"/>
      <c r="M29438" s="13"/>
    </row>
    <row r="29439">
      <c r="F29439" s="13"/>
      <c r="M29439" s="13"/>
    </row>
    <row r="29440">
      <c r="F29440" s="13"/>
      <c r="M29440" s="13"/>
    </row>
    <row r="29441">
      <c r="F29441" s="13"/>
      <c r="M29441" s="13"/>
    </row>
    <row r="29442">
      <c r="F29442" s="13"/>
      <c r="M29442" s="13"/>
    </row>
    <row r="29443">
      <c r="F29443" s="13"/>
      <c r="M29443" s="13"/>
    </row>
    <row r="29444">
      <c r="F29444" s="13"/>
      <c r="M29444" s="13"/>
    </row>
    <row r="29445">
      <c r="F29445" s="13"/>
      <c r="M29445" s="13"/>
    </row>
    <row r="29446">
      <c r="F29446" s="13"/>
      <c r="M29446" s="13"/>
    </row>
    <row r="29447">
      <c r="F29447" s="13"/>
      <c r="M29447" s="13"/>
    </row>
    <row r="29448">
      <c r="F29448" s="13"/>
      <c r="M29448" s="13"/>
    </row>
    <row r="29449">
      <c r="F29449" s="13"/>
      <c r="M29449" s="13"/>
    </row>
    <row r="29450">
      <c r="F29450" s="13"/>
      <c r="M29450" s="13"/>
    </row>
    <row r="29451">
      <c r="F29451" s="13"/>
      <c r="M29451" s="13"/>
    </row>
    <row r="29452">
      <c r="F29452" s="13"/>
      <c r="M29452" s="13"/>
    </row>
    <row r="29453">
      <c r="F29453" s="13"/>
      <c r="M29453" s="13"/>
    </row>
    <row r="29454">
      <c r="F29454" s="13"/>
      <c r="M29454" s="13"/>
    </row>
    <row r="29455">
      <c r="F29455" s="13"/>
      <c r="M29455" s="13"/>
    </row>
    <row r="29456">
      <c r="F29456" s="13"/>
      <c r="M29456" s="13"/>
    </row>
    <row r="29457">
      <c r="F29457" s="13"/>
      <c r="M29457" s="13"/>
    </row>
    <row r="29458">
      <c r="F29458" s="13"/>
      <c r="M29458" s="13"/>
    </row>
    <row r="29459">
      <c r="F29459" s="13"/>
      <c r="M29459" s="13"/>
    </row>
    <row r="29460">
      <c r="F29460" s="13"/>
      <c r="M29460" s="13"/>
    </row>
    <row r="29461">
      <c r="F29461" s="13"/>
      <c r="M29461" s="13"/>
    </row>
    <row r="29462">
      <c r="F29462" s="13"/>
      <c r="M29462" s="13"/>
    </row>
    <row r="29463">
      <c r="F29463" s="13"/>
      <c r="M29463" s="13"/>
    </row>
    <row r="29464">
      <c r="F29464" s="13"/>
      <c r="M29464" s="13"/>
    </row>
    <row r="29465">
      <c r="F29465" s="13"/>
      <c r="M29465" s="13"/>
    </row>
    <row r="29466">
      <c r="F29466" s="13"/>
      <c r="M29466" s="13"/>
    </row>
    <row r="29467">
      <c r="F29467" s="13"/>
      <c r="M29467" s="13"/>
    </row>
    <row r="29468">
      <c r="F29468" s="13"/>
      <c r="M29468" s="13"/>
    </row>
    <row r="29469">
      <c r="F29469" s="13"/>
      <c r="M29469" s="13"/>
    </row>
    <row r="29470">
      <c r="F29470" s="13"/>
      <c r="M29470" s="13"/>
    </row>
    <row r="29471">
      <c r="F29471" s="13"/>
      <c r="M29471" s="13"/>
    </row>
    <row r="29472">
      <c r="F29472" s="13"/>
      <c r="M29472" s="13"/>
    </row>
    <row r="29473">
      <c r="F29473" s="13"/>
      <c r="M29473" s="13"/>
    </row>
    <row r="29474">
      <c r="F29474" s="13"/>
      <c r="M29474" s="13"/>
    </row>
    <row r="29475">
      <c r="F29475" s="13"/>
      <c r="M29475" s="13"/>
    </row>
    <row r="29476">
      <c r="F29476" s="13"/>
      <c r="M29476" s="13"/>
    </row>
    <row r="29477">
      <c r="F29477" s="13"/>
      <c r="M29477" s="13"/>
    </row>
    <row r="29478">
      <c r="F29478" s="13"/>
      <c r="M29478" s="13"/>
    </row>
    <row r="29479">
      <c r="F29479" s="13"/>
      <c r="M29479" s="13"/>
    </row>
    <row r="29480">
      <c r="F29480" s="13"/>
      <c r="M29480" s="13"/>
    </row>
    <row r="29481">
      <c r="F29481" s="13"/>
      <c r="M29481" s="13"/>
    </row>
    <row r="29482">
      <c r="F29482" s="13"/>
      <c r="M29482" s="13"/>
    </row>
    <row r="29483">
      <c r="F29483" s="13"/>
      <c r="M29483" s="13"/>
    </row>
    <row r="29484">
      <c r="F29484" s="13"/>
      <c r="M29484" s="13"/>
    </row>
    <row r="29485">
      <c r="F29485" s="13"/>
      <c r="M29485" s="13"/>
    </row>
    <row r="29486">
      <c r="F29486" s="13"/>
      <c r="M29486" s="13"/>
    </row>
    <row r="29487">
      <c r="F29487" s="13"/>
      <c r="M29487" s="13"/>
    </row>
    <row r="29488">
      <c r="F29488" s="13"/>
      <c r="M29488" s="13"/>
    </row>
    <row r="29489">
      <c r="F29489" s="13"/>
      <c r="M29489" s="13"/>
    </row>
    <row r="29490">
      <c r="F29490" s="13"/>
      <c r="M29490" s="13"/>
    </row>
    <row r="29491">
      <c r="F29491" s="13"/>
      <c r="M29491" s="13"/>
    </row>
    <row r="29492">
      <c r="F29492" s="13"/>
      <c r="M29492" s="13"/>
    </row>
    <row r="29493">
      <c r="F29493" s="13"/>
      <c r="M29493" s="13"/>
    </row>
    <row r="29494">
      <c r="F29494" s="13"/>
      <c r="M29494" s="13"/>
    </row>
    <row r="29495">
      <c r="F29495" s="13"/>
      <c r="M29495" s="13"/>
    </row>
    <row r="29496">
      <c r="F29496" s="13"/>
      <c r="M29496" s="13"/>
    </row>
    <row r="29497">
      <c r="F29497" s="13"/>
      <c r="M29497" s="13"/>
    </row>
    <row r="29498">
      <c r="F29498" s="13"/>
      <c r="M29498" s="13"/>
    </row>
    <row r="29499">
      <c r="F29499" s="13"/>
      <c r="M29499" s="13"/>
    </row>
    <row r="29500">
      <c r="F29500" s="13"/>
      <c r="M29500" s="13"/>
    </row>
    <row r="29501">
      <c r="F29501" s="13"/>
      <c r="M29501" s="13"/>
    </row>
    <row r="29502">
      <c r="F29502" s="13"/>
      <c r="M29502" s="13"/>
    </row>
    <row r="29503">
      <c r="F29503" s="13"/>
      <c r="M29503" s="13"/>
    </row>
    <row r="29504">
      <c r="F29504" s="13"/>
      <c r="M29504" s="13"/>
    </row>
    <row r="29505">
      <c r="F29505" s="13"/>
      <c r="M29505" s="13"/>
    </row>
    <row r="29506">
      <c r="F29506" s="13"/>
      <c r="M29506" s="13"/>
    </row>
    <row r="29507">
      <c r="F29507" s="13"/>
      <c r="M29507" s="13"/>
    </row>
    <row r="29508">
      <c r="F29508" s="13"/>
      <c r="M29508" s="13"/>
    </row>
    <row r="29509">
      <c r="F29509" s="13"/>
      <c r="M29509" s="13"/>
    </row>
    <row r="29510">
      <c r="F29510" s="13"/>
      <c r="M29510" s="13"/>
    </row>
    <row r="29511">
      <c r="F29511" s="13"/>
      <c r="M29511" s="13"/>
    </row>
    <row r="29512">
      <c r="F29512" s="13"/>
      <c r="M29512" s="13"/>
    </row>
    <row r="29513">
      <c r="F29513" s="13"/>
      <c r="M29513" s="13"/>
    </row>
    <row r="29514">
      <c r="F29514" s="13"/>
      <c r="M29514" s="13"/>
    </row>
    <row r="29515">
      <c r="F29515" s="13"/>
      <c r="M29515" s="13"/>
    </row>
    <row r="29516">
      <c r="F29516" s="13"/>
      <c r="M29516" s="13"/>
    </row>
    <row r="29517">
      <c r="F29517" s="13"/>
      <c r="M29517" s="13"/>
    </row>
    <row r="29518">
      <c r="F29518" s="13"/>
      <c r="M29518" s="13"/>
    </row>
    <row r="29519">
      <c r="F29519" s="13"/>
      <c r="M29519" s="13"/>
    </row>
    <row r="29520">
      <c r="F29520" s="13"/>
      <c r="M29520" s="13"/>
    </row>
    <row r="29521">
      <c r="F29521" s="13"/>
      <c r="M29521" s="13"/>
    </row>
    <row r="29522">
      <c r="F29522" s="13"/>
      <c r="M29522" s="13"/>
    </row>
    <row r="29523">
      <c r="F29523" s="13"/>
      <c r="M29523" s="13"/>
    </row>
    <row r="29524">
      <c r="F29524" s="13"/>
      <c r="M29524" s="13"/>
    </row>
    <row r="29525">
      <c r="F29525" s="13"/>
      <c r="M29525" s="13"/>
    </row>
    <row r="29526">
      <c r="F29526" s="13"/>
      <c r="M29526" s="13"/>
    </row>
    <row r="29527">
      <c r="F29527" s="13"/>
      <c r="M29527" s="13"/>
    </row>
    <row r="29528">
      <c r="F29528" s="13"/>
      <c r="M29528" s="13"/>
    </row>
    <row r="29529">
      <c r="F29529" s="13"/>
      <c r="M29529" s="13"/>
    </row>
    <row r="29530">
      <c r="F29530" s="13"/>
      <c r="M29530" s="13"/>
    </row>
    <row r="29531">
      <c r="F29531" s="13"/>
      <c r="M29531" s="13"/>
    </row>
    <row r="29532">
      <c r="F29532" s="13"/>
      <c r="M29532" s="13"/>
    </row>
    <row r="29533">
      <c r="F29533" s="13"/>
      <c r="M29533" s="13"/>
    </row>
    <row r="29534">
      <c r="F29534" s="13"/>
      <c r="M29534" s="13"/>
    </row>
    <row r="29535">
      <c r="F29535" s="13"/>
      <c r="M29535" s="13"/>
    </row>
    <row r="29536">
      <c r="F29536" s="13"/>
      <c r="M29536" s="13"/>
    </row>
    <row r="29537">
      <c r="F29537" s="13"/>
      <c r="M29537" s="13"/>
    </row>
    <row r="29538">
      <c r="F29538" s="13"/>
      <c r="M29538" s="13"/>
    </row>
    <row r="29539">
      <c r="F29539" s="13"/>
      <c r="M29539" s="13"/>
    </row>
    <row r="29540">
      <c r="F29540" s="13"/>
      <c r="M29540" s="13"/>
    </row>
    <row r="29541">
      <c r="F29541" s="13"/>
      <c r="M29541" s="13"/>
    </row>
    <row r="29542">
      <c r="F29542" s="13"/>
      <c r="M29542" s="13"/>
    </row>
    <row r="29543">
      <c r="F29543" s="13"/>
      <c r="M29543" s="13"/>
    </row>
    <row r="29544">
      <c r="F29544" s="13"/>
      <c r="M29544" s="13"/>
    </row>
    <row r="29545">
      <c r="F29545" s="13"/>
      <c r="M29545" s="13"/>
    </row>
    <row r="29546">
      <c r="F29546" s="13"/>
      <c r="M29546" s="13"/>
    </row>
    <row r="29547">
      <c r="F29547" s="13"/>
      <c r="M29547" s="13"/>
    </row>
    <row r="29548">
      <c r="F29548" s="13"/>
      <c r="M29548" s="13"/>
    </row>
    <row r="29549">
      <c r="F29549" s="13"/>
      <c r="M29549" s="13"/>
    </row>
    <row r="29550">
      <c r="F29550" s="13"/>
      <c r="M29550" s="13"/>
    </row>
    <row r="29551">
      <c r="F29551" s="13"/>
      <c r="M29551" s="13"/>
    </row>
    <row r="29552">
      <c r="F29552" s="13"/>
      <c r="M29552" s="13"/>
    </row>
    <row r="29553">
      <c r="F29553" s="13"/>
      <c r="M29553" s="13"/>
    </row>
    <row r="29554">
      <c r="F29554" s="13"/>
      <c r="M29554" s="13"/>
    </row>
    <row r="29555">
      <c r="F29555" s="13"/>
      <c r="M29555" s="13"/>
    </row>
    <row r="29556">
      <c r="F29556" s="13"/>
      <c r="M29556" s="13"/>
    </row>
    <row r="29557">
      <c r="F29557" s="13"/>
      <c r="M29557" s="13"/>
    </row>
    <row r="29558">
      <c r="F29558" s="13"/>
      <c r="M29558" s="13"/>
    </row>
    <row r="29559">
      <c r="F29559" s="13"/>
      <c r="M29559" s="13"/>
    </row>
    <row r="29560">
      <c r="F29560" s="13"/>
      <c r="M29560" s="13"/>
    </row>
    <row r="29561">
      <c r="F29561" s="13"/>
      <c r="M29561" s="13"/>
    </row>
    <row r="29562">
      <c r="F29562" s="13"/>
      <c r="M29562" s="13"/>
    </row>
    <row r="29563">
      <c r="F29563" s="13"/>
      <c r="M29563" s="13"/>
    </row>
    <row r="29564">
      <c r="F29564" s="13"/>
      <c r="M29564" s="13"/>
    </row>
    <row r="29565">
      <c r="F29565" s="13"/>
      <c r="M29565" s="13"/>
    </row>
    <row r="29566">
      <c r="F29566" s="13"/>
      <c r="M29566" s="13"/>
    </row>
    <row r="29567">
      <c r="F29567" s="13"/>
      <c r="M29567" s="13"/>
    </row>
    <row r="29568">
      <c r="F29568" s="13"/>
      <c r="M29568" s="13"/>
    </row>
    <row r="29569">
      <c r="F29569" s="13"/>
      <c r="M29569" s="13"/>
    </row>
    <row r="29570">
      <c r="F29570" s="13"/>
      <c r="M29570" s="13"/>
    </row>
    <row r="29571">
      <c r="F29571" s="13"/>
      <c r="M29571" s="13"/>
    </row>
    <row r="29572">
      <c r="F29572" s="13"/>
      <c r="M29572" s="13"/>
    </row>
    <row r="29573">
      <c r="F29573" s="13"/>
      <c r="M29573" s="13"/>
    </row>
    <row r="29574">
      <c r="F29574" s="13"/>
      <c r="M29574" s="13"/>
    </row>
    <row r="29575">
      <c r="F29575" s="13"/>
      <c r="M29575" s="13"/>
    </row>
    <row r="29576">
      <c r="F29576" s="13"/>
      <c r="M29576" s="13"/>
    </row>
    <row r="29577">
      <c r="F29577" s="13"/>
      <c r="M29577" s="13"/>
    </row>
    <row r="29578">
      <c r="F29578" s="13"/>
      <c r="M29578" s="13"/>
    </row>
    <row r="29579">
      <c r="F29579" s="13"/>
      <c r="M29579" s="13"/>
    </row>
    <row r="29580">
      <c r="F29580" s="13"/>
      <c r="M29580" s="13"/>
    </row>
    <row r="29581">
      <c r="F29581" s="13"/>
      <c r="M29581" s="13"/>
    </row>
    <row r="29582">
      <c r="F29582" s="13"/>
      <c r="M29582" s="13"/>
    </row>
    <row r="29583">
      <c r="F29583" s="13"/>
      <c r="M29583" s="13"/>
    </row>
    <row r="29584">
      <c r="F29584" s="13"/>
      <c r="M29584" s="13"/>
    </row>
    <row r="29585">
      <c r="F29585" s="13"/>
      <c r="M29585" s="13"/>
    </row>
    <row r="29586">
      <c r="F29586" s="13"/>
      <c r="M29586" s="13"/>
    </row>
    <row r="29587">
      <c r="F29587" s="13"/>
      <c r="M29587" s="13"/>
    </row>
    <row r="29588">
      <c r="F29588" s="13"/>
      <c r="M29588" s="13"/>
    </row>
    <row r="29589">
      <c r="F29589" s="13"/>
      <c r="M29589" s="13"/>
    </row>
    <row r="29590">
      <c r="F29590" s="13"/>
      <c r="M29590" s="13"/>
    </row>
    <row r="29591">
      <c r="F29591" s="13"/>
      <c r="M29591" s="13"/>
    </row>
    <row r="29592">
      <c r="F29592" s="13"/>
      <c r="M29592" s="13"/>
    </row>
    <row r="29593">
      <c r="F29593" s="13"/>
      <c r="M29593" s="13"/>
    </row>
    <row r="29594">
      <c r="F29594" s="13"/>
      <c r="M29594" s="13"/>
    </row>
    <row r="29595">
      <c r="F29595" s="13"/>
      <c r="M29595" s="13"/>
    </row>
    <row r="29596">
      <c r="F29596" s="13"/>
      <c r="M29596" s="13"/>
    </row>
    <row r="29597">
      <c r="F29597" s="13"/>
      <c r="M29597" s="13"/>
    </row>
    <row r="29598">
      <c r="F29598" s="13"/>
      <c r="M29598" s="13"/>
    </row>
    <row r="29599">
      <c r="F29599" s="13"/>
      <c r="M29599" s="13"/>
    </row>
    <row r="29600">
      <c r="F29600" s="13"/>
      <c r="M29600" s="13"/>
    </row>
    <row r="29601">
      <c r="F29601" s="13"/>
      <c r="M29601" s="13"/>
    </row>
    <row r="29602">
      <c r="F29602" s="13"/>
      <c r="M29602" s="13"/>
    </row>
    <row r="29603">
      <c r="F29603" s="13"/>
      <c r="M29603" s="13"/>
    </row>
    <row r="29604">
      <c r="F29604" s="13"/>
      <c r="M29604" s="13"/>
    </row>
    <row r="29605">
      <c r="F29605" s="13"/>
      <c r="M29605" s="13"/>
    </row>
    <row r="29606">
      <c r="F29606" s="13"/>
      <c r="M29606" s="13"/>
    </row>
    <row r="29607">
      <c r="F29607" s="13"/>
      <c r="M29607" s="13"/>
    </row>
    <row r="29608">
      <c r="F29608" s="13"/>
      <c r="M29608" s="13"/>
    </row>
    <row r="29609">
      <c r="F29609" s="13"/>
      <c r="M29609" s="13"/>
    </row>
    <row r="29610">
      <c r="F29610" s="13"/>
      <c r="M29610" s="13"/>
    </row>
    <row r="29611">
      <c r="F29611" s="13"/>
      <c r="M29611" s="13"/>
    </row>
    <row r="29612">
      <c r="F29612" s="13"/>
      <c r="M29612" s="13"/>
    </row>
    <row r="29613">
      <c r="F29613" s="13"/>
      <c r="M29613" s="13"/>
    </row>
    <row r="29614">
      <c r="F29614" s="13"/>
      <c r="M29614" s="13"/>
    </row>
    <row r="29615">
      <c r="F29615" s="13"/>
      <c r="M29615" s="13"/>
    </row>
    <row r="29616">
      <c r="F29616" s="13"/>
      <c r="M29616" s="13"/>
    </row>
    <row r="29617">
      <c r="F29617" s="13"/>
      <c r="M29617" s="13"/>
    </row>
    <row r="29618">
      <c r="F29618" s="13"/>
      <c r="M29618" s="13"/>
    </row>
    <row r="29619">
      <c r="F29619" s="13"/>
      <c r="M29619" s="13"/>
    </row>
    <row r="29620">
      <c r="F29620" s="13"/>
      <c r="M29620" s="13"/>
    </row>
    <row r="29621">
      <c r="F29621" s="13"/>
      <c r="M29621" s="13"/>
    </row>
    <row r="29622">
      <c r="F29622" s="13"/>
      <c r="M29622" s="13"/>
    </row>
    <row r="29623">
      <c r="F29623" s="13"/>
      <c r="M29623" s="13"/>
    </row>
    <row r="29624">
      <c r="F29624" s="13"/>
      <c r="M29624" s="13"/>
    </row>
    <row r="29625">
      <c r="F29625" s="13"/>
      <c r="M29625" s="13"/>
    </row>
    <row r="29626">
      <c r="F29626" s="13"/>
      <c r="M29626" s="13"/>
    </row>
    <row r="29627">
      <c r="F29627" s="13"/>
      <c r="M29627" s="13"/>
    </row>
    <row r="29628">
      <c r="F29628" s="13"/>
      <c r="M29628" s="13"/>
    </row>
    <row r="29629">
      <c r="F29629" s="13"/>
      <c r="M29629" s="13"/>
    </row>
    <row r="29630">
      <c r="F29630" s="13"/>
      <c r="M29630" s="13"/>
    </row>
    <row r="29631">
      <c r="F29631" s="13"/>
      <c r="M29631" s="13"/>
    </row>
    <row r="29632">
      <c r="F29632" s="13"/>
      <c r="M29632" s="13"/>
    </row>
    <row r="29633">
      <c r="F29633" s="13"/>
      <c r="M29633" s="13"/>
    </row>
    <row r="29634">
      <c r="F29634" s="13"/>
      <c r="M29634" s="13"/>
    </row>
    <row r="29635">
      <c r="F29635" s="13"/>
      <c r="M29635" s="13"/>
    </row>
    <row r="29636">
      <c r="F29636" s="13"/>
      <c r="M29636" s="13"/>
    </row>
    <row r="29637">
      <c r="F29637" s="13"/>
      <c r="M29637" s="13"/>
    </row>
    <row r="29638">
      <c r="F29638" s="13"/>
      <c r="M29638" s="13"/>
    </row>
    <row r="29639">
      <c r="F29639" s="13"/>
      <c r="M29639" s="13"/>
    </row>
    <row r="29640">
      <c r="F29640" s="13"/>
      <c r="M29640" s="13"/>
    </row>
    <row r="29641">
      <c r="F29641" s="13"/>
      <c r="M29641" s="13"/>
    </row>
    <row r="29642">
      <c r="F29642" s="13"/>
      <c r="M29642" s="13"/>
    </row>
    <row r="29643">
      <c r="F29643" s="13"/>
      <c r="M29643" s="13"/>
    </row>
    <row r="29644">
      <c r="F29644" s="13"/>
      <c r="M29644" s="13"/>
    </row>
    <row r="29645">
      <c r="F29645" s="13"/>
      <c r="M29645" s="13"/>
    </row>
    <row r="29646">
      <c r="F29646" s="13"/>
      <c r="M29646" s="13"/>
    </row>
    <row r="29647">
      <c r="F29647" s="13"/>
      <c r="M29647" s="13"/>
    </row>
    <row r="29648">
      <c r="F29648" s="13"/>
      <c r="M29648" s="13"/>
    </row>
    <row r="29649">
      <c r="F29649" s="13"/>
      <c r="M29649" s="13"/>
    </row>
    <row r="29650">
      <c r="F29650" s="13"/>
      <c r="M29650" s="13"/>
    </row>
    <row r="29651">
      <c r="F29651" s="13"/>
      <c r="M29651" s="13"/>
    </row>
    <row r="29652">
      <c r="F29652" s="13"/>
      <c r="M29652" s="13"/>
    </row>
    <row r="29653">
      <c r="F29653" s="13"/>
      <c r="M29653" s="13"/>
    </row>
    <row r="29654">
      <c r="F29654" s="13"/>
      <c r="M29654" s="13"/>
    </row>
    <row r="29655">
      <c r="F29655" s="13"/>
      <c r="M29655" s="13"/>
    </row>
    <row r="29656">
      <c r="F29656" s="13"/>
      <c r="M29656" s="13"/>
    </row>
    <row r="29657">
      <c r="F29657" s="13"/>
      <c r="M29657" s="13"/>
    </row>
    <row r="29658">
      <c r="F29658" s="13"/>
      <c r="M29658" s="13"/>
    </row>
    <row r="29659">
      <c r="F29659" s="13"/>
      <c r="M29659" s="13"/>
    </row>
    <row r="29660">
      <c r="F29660" s="13"/>
      <c r="M29660" s="13"/>
    </row>
    <row r="29661">
      <c r="F29661" s="13"/>
      <c r="M29661" s="13"/>
    </row>
    <row r="29662">
      <c r="F29662" s="13"/>
      <c r="M29662" s="13"/>
    </row>
    <row r="29663">
      <c r="F29663" s="13"/>
      <c r="M29663" s="13"/>
    </row>
    <row r="29664">
      <c r="F29664" s="13"/>
      <c r="M29664" s="13"/>
    </row>
    <row r="29665">
      <c r="F29665" s="13"/>
      <c r="M29665" s="13"/>
    </row>
    <row r="29666">
      <c r="F29666" s="13"/>
      <c r="M29666" s="13"/>
    </row>
    <row r="29667">
      <c r="F29667" s="13"/>
      <c r="M29667" s="13"/>
    </row>
    <row r="29668">
      <c r="F29668" s="13"/>
      <c r="M29668" s="13"/>
    </row>
    <row r="29669">
      <c r="F29669" s="13"/>
      <c r="M29669" s="13"/>
    </row>
    <row r="29670">
      <c r="F29670" s="13"/>
      <c r="M29670" s="13"/>
    </row>
    <row r="29671">
      <c r="F29671" s="13"/>
      <c r="M29671" s="13"/>
    </row>
    <row r="29672">
      <c r="F29672" s="13"/>
      <c r="M29672" s="13"/>
    </row>
    <row r="29673">
      <c r="F29673" s="13"/>
      <c r="M29673" s="13"/>
    </row>
    <row r="29674">
      <c r="F29674" s="13"/>
      <c r="M29674" s="13"/>
    </row>
    <row r="29675">
      <c r="F29675" s="13"/>
      <c r="M29675" s="13"/>
    </row>
    <row r="29676">
      <c r="F29676" s="13"/>
      <c r="M29676" s="13"/>
    </row>
    <row r="29677">
      <c r="F29677" s="13"/>
      <c r="M29677" s="13"/>
    </row>
    <row r="29678">
      <c r="F29678" s="13"/>
      <c r="M29678" s="13"/>
    </row>
    <row r="29679">
      <c r="F29679" s="13"/>
      <c r="M29679" s="13"/>
    </row>
    <row r="29680">
      <c r="F29680" s="13"/>
      <c r="M29680" s="13"/>
    </row>
    <row r="29681">
      <c r="F29681" s="13"/>
      <c r="M29681" s="13"/>
    </row>
    <row r="29682">
      <c r="F29682" s="13"/>
      <c r="M29682" s="13"/>
    </row>
    <row r="29683">
      <c r="F29683" s="13"/>
      <c r="M29683" s="13"/>
    </row>
    <row r="29684">
      <c r="F29684" s="13"/>
      <c r="M29684" s="13"/>
    </row>
    <row r="29685">
      <c r="F29685" s="13"/>
      <c r="M29685" s="13"/>
    </row>
    <row r="29686">
      <c r="F29686" s="13"/>
      <c r="M29686" s="13"/>
    </row>
    <row r="29687">
      <c r="F29687" s="13"/>
      <c r="M29687" s="13"/>
    </row>
    <row r="29688">
      <c r="F29688" s="13"/>
      <c r="M29688" s="13"/>
    </row>
    <row r="29689">
      <c r="F29689" s="13"/>
      <c r="M29689" s="13"/>
    </row>
    <row r="29690">
      <c r="F29690" s="13"/>
      <c r="M29690" s="13"/>
    </row>
    <row r="29691">
      <c r="F29691" s="13"/>
      <c r="M29691" s="13"/>
    </row>
    <row r="29692">
      <c r="F29692" s="13"/>
      <c r="M29692" s="13"/>
    </row>
    <row r="29693">
      <c r="F29693" s="13"/>
      <c r="M29693" s="13"/>
    </row>
    <row r="29694">
      <c r="F29694" s="13"/>
      <c r="M29694" s="13"/>
    </row>
    <row r="29695">
      <c r="F29695" s="13"/>
      <c r="M29695" s="13"/>
    </row>
    <row r="29696">
      <c r="F29696" s="13"/>
      <c r="M29696" s="13"/>
    </row>
    <row r="29697">
      <c r="F29697" s="13"/>
      <c r="M29697" s="13"/>
    </row>
    <row r="29698">
      <c r="F29698" s="13"/>
      <c r="M29698" s="13"/>
    </row>
    <row r="29699">
      <c r="F29699" s="13"/>
      <c r="M29699" s="13"/>
    </row>
    <row r="29700">
      <c r="F29700" s="13"/>
      <c r="M29700" s="13"/>
    </row>
    <row r="29701">
      <c r="F29701" s="13"/>
      <c r="M29701" s="13"/>
    </row>
    <row r="29702">
      <c r="F29702" s="13"/>
      <c r="M29702" s="13"/>
    </row>
    <row r="29703">
      <c r="F29703" s="13"/>
      <c r="M29703" s="13"/>
    </row>
    <row r="29704">
      <c r="F29704" s="13"/>
      <c r="M29704" s="13"/>
    </row>
    <row r="29705">
      <c r="F29705" s="13"/>
      <c r="M29705" s="13"/>
    </row>
    <row r="29706">
      <c r="F29706" s="13"/>
      <c r="M29706" s="13"/>
    </row>
    <row r="29707">
      <c r="F29707" s="13"/>
      <c r="M29707" s="13"/>
    </row>
    <row r="29708">
      <c r="F29708" s="13"/>
      <c r="M29708" s="13"/>
    </row>
    <row r="29709">
      <c r="F29709" s="13"/>
      <c r="M29709" s="13"/>
    </row>
    <row r="29710">
      <c r="F29710" s="13"/>
      <c r="M29710" s="13"/>
    </row>
    <row r="29711">
      <c r="F29711" s="13"/>
      <c r="M29711" s="13"/>
    </row>
    <row r="29712">
      <c r="F29712" s="13"/>
      <c r="M29712" s="13"/>
    </row>
    <row r="29713">
      <c r="F29713" s="13"/>
      <c r="M29713" s="13"/>
    </row>
    <row r="29714">
      <c r="F29714" s="13"/>
      <c r="M29714" s="13"/>
    </row>
    <row r="29715">
      <c r="F29715" s="13"/>
      <c r="M29715" s="13"/>
    </row>
    <row r="29716">
      <c r="F29716" s="13"/>
      <c r="M29716" s="13"/>
    </row>
    <row r="29717">
      <c r="F29717" s="13"/>
      <c r="M29717" s="13"/>
    </row>
    <row r="29718">
      <c r="F29718" s="13"/>
      <c r="M29718" s="13"/>
    </row>
    <row r="29719">
      <c r="F29719" s="13"/>
      <c r="M29719" s="13"/>
    </row>
    <row r="29720">
      <c r="F29720" s="13"/>
      <c r="M29720" s="13"/>
    </row>
    <row r="29721">
      <c r="F29721" s="13"/>
      <c r="M29721" s="13"/>
    </row>
    <row r="29722">
      <c r="F29722" s="13"/>
      <c r="M29722" s="13"/>
    </row>
    <row r="29723">
      <c r="F29723" s="13"/>
      <c r="M29723" s="13"/>
    </row>
    <row r="29724">
      <c r="F29724" s="13"/>
      <c r="M29724" s="13"/>
    </row>
    <row r="29725">
      <c r="F29725" s="13"/>
      <c r="M29725" s="13"/>
    </row>
    <row r="29726">
      <c r="F29726" s="13"/>
      <c r="M29726" s="13"/>
    </row>
    <row r="29727">
      <c r="F29727" s="13"/>
      <c r="M29727" s="13"/>
    </row>
    <row r="29728">
      <c r="F29728" s="13"/>
      <c r="M29728" s="13"/>
    </row>
    <row r="29729">
      <c r="F29729" s="13"/>
      <c r="M29729" s="13"/>
    </row>
    <row r="29730">
      <c r="F29730" s="13"/>
      <c r="M29730" s="13"/>
    </row>
    <row r="29731">
      <c r="F29731" s="13"/>
      <c r="M29731" s="13"/>
    </row>
    <row r="29732">
      <c r="F29732" s="13"/>
      <c r="M29732" s="13"/>
    </row>
    <row r="29733">
      <c r="F29733" s="13"/>
      <c r="M29733" s="13"/>
    </row>
    <row r="29734">
      <c r="F29734" s="13"/>
      <c r="M29734" s="13"/>
    </row>
    <row r="29735">
      <c r="F29735" s="13"/>
      <c r="M29735" s="13"/>
    </row>
    <row r="29736">
      <c r="F29736" s="13"/>
      <c r="M29736" s="13"/>
    </row>
    <row r="29737">
      <c r="F29737" s="13"/>
      <c r="M29737" s="13"/>
    </row>
    <row r="29738">
      <c r="F29738" s="13"/>
      <c r="M29738" s="13"/>
    </row>
    <row r="29739">
      <c r="F29739" s="13"/>
      <c r="M29739" s="13"/>
    </row>
    <row r="29740">
      <c r="F29740" s="13"/>
      <c r="M29740" s="13"/>
    </row>
    <row r="29741">
      <c r="F29741" s="13"/>
      <c r="M29741" s="13"/>
    </row>
    <row r="29742">
      <c r="F29742" s="13"/>
      <c r="M29742" s="13"/>
    </row>
    <row r="29743">
      <c r="F29743" s="13"/>
      <c r="M29743" s="13"/>
    </row>
    <row r="29744">
      <c r="F29744" s="13"/>
      <c r="M29744" s="13"/>
    </row>
    <row r="29745">
      <c r="F29745" s="13"/>
      <c r="M29745" s="13"/>
    </row>
    <row r="29746">
      <c r="F29746" s="13"/>
      <c r="M29746" s="13"/>
    </row>
    <row r="29747">
      <c r="F29747" s="13"/>
      <c r="M29747" s="13"/>
    </row>
    <row r="29748">
      <c r="F29748" s="13"/>
      <c r="M29748" s="13"/>
    </row>
    <row r="29749">
      <c r="F29749" s="13"/>
      <c r="M29749" s="13"/>
    </row>
    <row r="29750">
      <c r="F29750" s="13"/>
      <c r="M29750" s="13"/>
    </row>
    <row r="29751">
      <c r="F29751" s="13"/>
      <c r="M29751" s="13"/>
    </row>
    <row r="29752">
      <c r="F29752" s="13"/>
      <c r="M29752" s="13"/>
    </row>
    <row r="29753">
      <c r="F29753" s="13"/>
      <c r="M29753" s="13"/>
    </row>
    <row r="29754">
      <c r="F29754" s="13"/>
      <c r="M29754" s="13"/>
    </row>
    <row r="29755">
      <c r="F29755" s="13"/>
      <c r="M29755" s="13"/>
    </row>
    <row r="29756">
      <c r="F29756" s="13"/>
      <c r="M29756" s="13"/>
    </row>
    <row r="29757">
      <c r="F29757" s="13"/>
      <c r="M29757" s="13"/>
    </row>
    <row r="29758">
      <c r="F29758" s="13"/>
      <c r="M29758" s="13"/>
    </row>
    <row r="29759">
      <c r="F29759" s="13"/>
      <c r="M29759" s="13"/>
    </row>
    <row r="29760">
      <c r="F29760" s="13"/>
      <c r="M29760" s="13"/>
    </row>
    <row r="29761">
      <c r="F29761" s="13"/>
      <c r="M29761" s="13"/>
    </row>
    <row r="29762">
      <c r="F29762" s="13"/>
      <c r="M29762" s="13"/>
    </row>
    <row r="29763">
      <c r="F29763" s="13"/>
      <c r="M29763" s="13"/>
    </row>
    <row r="29764">
      <c r="F29764" s="13"/>
      <c r="M29764" s="13"/>
    </row>
    <row r="29765">
      <c r="F29765" s="13"/>
      <c r="M29765" s="13"/>
    </row>
    <row r="29766">
      <c r="F29766" s="13"/>
      <c r="M29766" s="13"/>
    </row>
    <row r="29767">
      <c r="F29767" s="13"/>
      <c r="M29767" s="13"/>
    </row>
    <row r="29768">
      <c r="F29768" s="13"/>
      <c r="M29768" s="13"/>
    </row>
    <row r="29769">
      <c r="F29769" s="13"/>
      <c r="M29769" s="13"/>
    </row>
    <row r="29770">
      <c r="F29770" s="13"/>
      <c r="M29770" s="13"/>
    </row>
    <row r="29771">
      <c r="F29771" s="13"/>
      <c r="M29771" s="13"/>
    </row>
    <row r="29772">
      <c r="F29772" s="13"/>
      <c r="M29772" s="13"/>
    </row>
    <row r="29773">
      <c r="F29773" s="13"/>
      <c r="M29773" s="13"/>
    </row>
    <row r="29774">
      <c r="F29774" s="13"/>
      <c r="M29774" s="13"/>
    </row>
    <row r="29775">
      <c r="F29775" s="13"/>
      <c r="M29775" s="13"/>
    </row>
    <row r="29776">
      <c r="F29776" s="13"/>
      <c r="M29776" s="13"/>
    </row>
    <row r="29777">
      <c r="F29777" s="13"/>
      <c r="M29777" s="13"/>
    </row>
    <row r="29778">
      <c r="F29778" s="13"/>
      <c r="M29778" s="13"/>
    </row>
    <row r="29779">
      <c r="F29779" s="13"/>
      <c r="M29779" s="13"/>
    </row>
    <row r="29780">
      <c r="F29780" s="13"/>
      <c r="M29780" s="13"/>
    </row>
    <row r="29781">
      <c r="F29781" s="13"/>
      <c r="M29781" s="13"/>
    </row>
    <row r="29782">
      <c r="F29782" s="13"/>
      <c r="M29782" s="13"/>
    </row>
    <row r="29783">
      <c r="F29783" s="13"/>
      <c r="M29783" s="13"/>
    </row>
    <row r="29784">
      <c r="F29784" s="13"/>
      <c r="M29784" s="13"/>
    </row>
    <row r="29785">
      <c r="F29785" s="13"/>
      <c r="M29785" s="13"/>
    </row>
    <row r="29786">
      <c r="F29786" s="13"/>
      <c r="M29786" s="13"/>
    </row>
    <row r="29787">
      <c r="F29787" s="13"/>
      <c r="M29787" s="13"/>
    </row>
    <row r="29788">
      <c r="F29788" s="13"/>
      <c r="M29788" s="13"/>
    </row>
    <row r="29789">
      <c r="F29789" s="13"/>
      <c r="M29789" s="13"/>
    </row>
    <row r="29790">
      <c r="F29790" s="13"/>
      <c r="M29790" s="13"/>
    </row>
    <row r="29791">
      <c r="F29791" s="13"/>
      <c r="M29791" s="13"/>
    </row>
    <row r="29792">
      <c r="F29792" s="13"/>
      <c r="M29792" s="13"/>
    </row>
    <row r="29793">
      <c r="F29793" s="13"/>
      <c r="M29793" s="13"/>
    </row>
    <row r="29794">
      <c r="F29794" s="13"/>
      <c r="M29794" s="13"/>
    </row>
    <row r="29795">
      <c r="F29795" s="13"/>
      <c r="M29795" s="13"/>
    </row>
    <row r="29796">
      <c r="F29796" s="13"/>
      <c r="M29796" s="13"/>
    </row>
    <row r="29797">
      <c r="F29797" s="13"/>
      <c r="M29797" s="13"/>
    </row>
    <row r="29798">
      <c r="F29798" s="13"/>
      <c r="M29798" s="13"/>
    </row>
    <row r="29799">
      <c r="F29799" s="13"/>
      <c r="M29799" s="13"/>
    </row>
    <row r="29800">
      <c r="F29800" s="13"/>
      <c r="M29800" s="13"/>
    </row>
    <row r="29801">
      <c r="F29801" s="13"/>
      <c r="M29801" s="13"/>
    </row>
    <row r="29802">
      <c r="F29802" s="13"/>
      <c r="M29802" s="13"/>
    </row>
    <row r="29803">
      <c r="F29803" s="13"/>
      <c r="M29803" s="13"/>
    </row>
    <row r="29804">
      <c r="F29804" s="13"/>
      <c r="M29804" s="13"/>
    </row>
    <row r="29805">
      <c r="F29805" s="13"/>
      <c r="M29805" s="13"/>
    </row>
    <row r="29806">
      <c r="F29806" s="13"/>
      <c r="M29806" s="13"/>
    </row>
    <row r="29807">
      <c r="F29807" s="13"/>
      <c r="M29807" s="13"/>
    </row>
    <row r="29808">
      <c r="F29808" s="13"/>
      <c r="M29808" s="13"/>
    </row>
    <row r="29809">
      <c r="F29809" s="13"/>
      <c r="M29809" s="13"/>
    </row>
    <row r="29810">
      <c r="F29810" s="13"/>
      <c r="M29810" s="13"/>
    </row>
    <row r="29811">
      <c r="F29811" s="13"/>
      <c r="M29811" s="13"/>
    </row>
    <row r="29812">
      <c r="F29812" s="13"/>
      <c r="M29812" s="13"/>
    </row>
    <row r="29813">
      <c r="F29813" s="13"/>
      <c r="M29813" s="13"/>
    </row>
    <row r="29814">
      <c r="F29814" s="13"/>
      <c r="M29814" s="13"/>
    </row>
    <row r="29815">
      <c r="F29815" s="13"/>
      <c r="M29815" s="13"/>
    </row>
    <row r="29816">
      <c r="F29816" s="13"/>
      <c r="M29816" s="13"/>
    </row>
    <row r="29817">
      <c r="F29817" s="13"/>
      <c r="M29817" s="13"/>
    </row>
    <row r="29818">
      <c r="F29818" s="13"/>
      <c r="M29818" s="13"/>
    </row>
    <row r="29819">
      <c r="F29819" s="13"/>
      <c r="M29819" s="13"/>
    </row>
    <row r="29820">
      <c r="F29820" s="13"/>
      <c r="M29820" s="13"/>
    </row>
    <row r="29821">
      <c r="F29821" s="13"/>
      <c r="M29821" s="13"/>
    </row>
    <row r="29822">
      <c r="F29822" s="13"/>
      <c r="M29822" s="13"/>
    </row>
    <row r="29823">
      <c r="F29823" s="13"/>
      <c r="M29823" s="13"/>
    </row>
    <row r="29824">
      <c r="F29824" s="13"/>
      <c r="M29824" s="13"/>
    </row>
    <row r="29825">
      <c r="F29825" s="13"/>
      <c r="M29825" s="13"/>
    </row>
    <row r="29826">
      <c r="F29826" s="13"/>
      <c r="M29826" s="13"/>
    </row>
    <row r="29827">
      <c r="F29827" s="13"/>
      <c r="M29827" s="13"/>
    </row>
    <row r="29828">
      <c r="F29828" s="13"/>
      <c r="M29828" s="13"/>
    </row>
    <row r="29829">
      <c r="F29829" s="13"/>
      <c r="M29829" s="13"/>
    </row>
    <row r="29830">
      <c r="F29830" s="13"/>
      <c r="M29830" s="13"/>
    </row>
    <row r="29831">
      <c r="F29831" s="13"/>
      <c r="M29831" s="13"/>
    </row>
    <row r="29832">
      <c r="F29832" s="13"/>
      <c r="M29832" s="13"/>
    </row>
    <row r="29833">
      <c r="F29833" s="13"/>
      <c r="M29833" s="13"/>
    </row>
    <row r="29834">
      <c r="F29834" s="13"/>
      <c r="M29834" s="13"/>
    </row>
    <row r="29835">
      <c r="F29835" s="13"/>
      <c r="M29835" s="13"/>
    </row>
    <row r="29836">
      <c r="F29836" s="13"/>
      <c r="M29836" s="13"/>
    </row>
    <row r="29837">
      <c r="F29837" s="13"/>
      <c r="M29837" s="13"/>
    </row>
    <row r="29838">
      <c r="F29838" s="13"/>
      <c r="M29838" s="13"/>
    </row>
    <row r="29839">
      <c r="F29839" s="13"/>
      <c r="M29839" s="13"/>
    </row>
    <row r="29840">
      <c r="F29840" s="13"/>
      <c r="M29840" s="13"/>
    </row>
    <row r="29841">
      <c r="F29841" s="13"/>
      <c r="M29841" s="13"/>
    </row>
    <row r="29842">
      <c r="F29842" s="13"/>
      <c r="M29842" s="13"/>
    </row>
    <row r="29843">
      <c r="F29843" s="13"/>
      <c r="M29843" s="13"/>
    </row>
    <row r="29844">
      <c r="F29844" s="13"/>
      <c r="M29844" s="13"/>
    </row>
    <row r="29845">
      <c r="F29845" s="13"/>
      <c r="M29845" s="13"/>
    </row>
    <row r="29846">
      <c r="F29846" s="13"/>
      <c r="M29846" s="13"/>
    </row>
    <row r="29847">
      <c r="F29847" s="13"/>
      <c r="M29847" s="13"/>
    </row>
    <row r="29848">
      <c r="F29848" s="13"/>
      <c r="M29848" s="13"/>
    </row>
    <row r="29849">
      <c r="F29849" s="13"/>
      <c r="M29849" s="13"/>
    </row>
    <row r="29850">
      <c r="F29850" s="13"/>
      <c r="M29850" s="13"/>
    </row>
    <row r="29851">
      <c r="F29851" s="13"/>
      <c r="M29851" s="13"/>
    </row>
    <row r="29852">
      <c r="F29852" s="13"/>
      <c r="M29852" s="13"/>
    </row>
    <row r="29853">
      <c r="F29853" s="13"/>
      <c r="M29853" s="13"/>
    </row>
    <row r="29854">
      <c r="F29854" s="13"/>
      <c r="M29854" s="13"/>
    </row>
    <row r="29855">
      <c r="F29855" s="13"/>
      <c r="M29855" s="13"/>
    </row>
    <row r="29856">
      <c r="F29856" s="13"/>
      <c r="M29856" s="13"/>
    </row>
    <row r="29857">
      <c r="F29857" s="13"/>
      <c r="M29857" s="13"/>
    </row>
    <row r="29858">
      <c r="F29858" s="13"/>
      <c r="M29858" s="13"/>
    </row>
    <row r="29859">
      <c r="F29859" s="13"/>
      <c r="M29859" s="13"/>
    </row>
    <row r="29860">
      <c r="F29860" s="13"/>
      <c r="M29860" s="13"/>
    </row>
    <row r="29861">
      <c r="F29861" s="13"/>
      <c r="M29861" s="13"/>
    </row>
    <row r="29862">
      <c r="F29862" s="13"/>
      <c r="M29862" s="13"/>
    </row>
    <row r="29863">
      <c r="F29863" s="13"/>
      <c r="M29863" s="13"/>
    </row>
    <row r="29864">
      <c r="F29864" s="13"/>
      <c r="M29864" s="13"/>
    </row>
    <row r="29865">
      <c r="F29865" s="13"/>
      <c r="M29865" s="13"/>
    </row>
    <row r="29866">
      <c r="F29866" s="13"/>
      <c r="M29866" s="13"/>
    </row>
    <row r="29867">
      <c r="F29867" s="13"/>
      <c r="M29867" s="13"/>
    </row>
    <row r="29868">
      <c r="F29868" s="13"/>
      <c r="M29868" s="13"/>
    </row>
    <row r="29869">
      <c r="F29869" s="13"/>
      <c r="M29869" s="13"/>
    </row>
    <row r="29870">
      <c r="F29870" s="13"/>
      <c r="M29870" s="13"/>
    </row>
    <row r="29871">
      <c r="F29871" s="13"/>
      <c r="M29871" s="13"/>
    </row>
    <row r="29872">
      <c r="F29872" s="13"/>
      <c r="M29872" s="13"/>
    </row>
    <row r="29873">
      <c r="F29873" s="13"/>
      <c r="M29873" s="13"/>
    </row>
    <row r="29874">
      <c r="F29874" s="13"/>
      <c r="M29874" s="13"/>
    </row>
    <row r="29875">
      <c r="F29875" s="13"/>
      <c r="M29875" s="13"/>
    </row>
    <row r="29876">
      <c r="F29876" s="13"/>
      <c r="M29876" s="13"/>
    </row>
    <row r="29877">
      <c r="F29877" s="13"/>
      <c r="M29877" s="13"/>
    </row>
    <row r="29878">
      <c r="F29878" s="13"/>
      <c r="M29878" s="13"/>
    </row>
    <row r="29879">
      <c r="F29879" s="13"/>
      <c r="M29879" s="13"/>
    </row>
    <row r="29880">
      <c r="F29880" s="13"/>
      <c r="M29880" s="13"/>
    </row>
    <row r="29881">
      <c r="F29881" s="13"/>
      <c r="M29881" s="13"/>
    </row>
    <row r="29882">
      <c r="F29882" s="13"/>
      <c r="M29882" s="13"/>
    </row>
    <row r="29883">
      <c r="F29883" s="13"/>
      <c r="M29883" s="13"/>
    </row>
    <row r="29884">
      <c r="F29884" s="13"/>
      <c r="M29884" s="13"/>
    </row>
    <row r="29885">
      <c r="F29885" s="13"/>
      <c r="M29885" s="13"/>
    </row>
    <row r="29886">
      <c r="F29886" s="13"/>
      <c r="M29886" s="13"/>
    </row>
    <row r="29887">
      <c r="F29887" s="13"/>
      <c r="M29887" s="13"/>
    </row>
    <row r="29888">
      <c r="F29888" s="13"/>
      <c r="M29888" s="13"/>
    </row>
    <row r="29889">
      <c r="F29889" s="13"/>
      <c r="M29889" s="13"/>
    </row>
    <row r="29890">
      <c r="F29890" s="13"/>
      <c r="M29890" s="13"/>
    </row>
    <row r="29891">
      <c r="F29891" s="13"/>
      <c r="M29891" s="13"/>
    </row>
    <row r="29892">
      <c r="F29892" s="13"/>
      <c r="M29892" s="13"/>
    </row>
    <row r="29893">
      <c r="F29893" s="13"/>
      <c r="M29893" s="13"/>
    </row>
    <row r="29894">
      <c r="F29894" s="13"/>
      <c r="M29894" s="13"/>
    </row>
    <row r="29895">
      <c r="F29895" s="13"/>
      <c r="M29895" s="13"/>
    </row>
    <row r="29896">
      <c r="F29896" s="13"/>
      <c r="M29896" s="13"/>
    </row>
    <row r="29897">
      <c r="F29897" s="13"/>
      <c r="M29897" s="13"/>
    </row>
    <row r="29898">
      <c r="F29898" s="13"/>
      <c r="M29898" s="13"/>
    </row>
    <row r="29899">
      <c r="F29899" s="13"/>
      <c r="M29899" s="13"/>
    </row>
    <row r="29900">
      <c r="F29900" s="13"/>
      <c r="M29900" s="13"/>
    </row>
    <row r="29901">
      <c r="F29901" s="13"/>
      <c r="M29901" s="13"/>
    </row>
    <row r="29902">
      <c r="F29902" s="13"/>
      <c r="M29902" s="13"/>
    </row>
    <row r="29903">
      <c r="F29903" s="13"/>
      <c r="M29903" s="13"/>
    </row>
    <row r="29904">
      <c r="F29904" s="13"/>
      <c r="M29904" s="13"/>
    </row>
    <row r="29905">
      <c r="F29905" s="13"/>
      <c r="M29905" s="13"/>
    </row>
    <row r="29906">
      <c r="F29906" s="13"/>
      <c r="M29906" s="13"/>
    </row>
    <row r="29907">
      <c r="F29907" s="13"/>
      <c r="M29907" s="13"/>
    </row>
    <row r="29908">
      <c r="F29908" s="13"/>
      <c r="M29908" s="13"/>
    </row>
    <row r="29909">
      <c r="F29909" s="13"/>
      <c r="M29909" s="13"/>
    </row>
    <row r="29910">
      <c r="F29910" s="13"/>
      <c r="M29910" s="13"/>
    </row>
    <row r="29911">
      <c r="F29911" s="13"/>
      <c r="M29911" s="13"/>
    </row>
    <row r="29912">
      <c r="F29912" s="13"/>
      <c r="M29912" s="13"/>
    </row>
    <row r="29913">
      <c r="F29913" s="13"/>
      <c r="M29913" s="13"/>
    </row>
    <row r="29914">
      <c r="F29914" s="13"/>
      <c r="M29914" s="13"/>
    </row>
    <row r="29915">
      <c r="F29915" s="13"/>
      <c r="M29915" s="13"/>
    </row>
    <row r="29916">
      <c r="F29916" s="13"/>
      <c r="M29916" s="13"/>
    </row>
    <row r="29917">
      <c r="F29917" s="13"/>
      <c r="M29917" s="13"/>
    </row>
    <row r="29918">
      <c r="F29918" s="13"/>
      <c r="M29918" s="13"/>
    </row>
    <row r="29919">
      <c r="F29919" s="13"/>
      <c r="M29919" s="13"/>
    </row>
    <row r="29920">
      <c r="F29920" s="13"/>
      <c r="M29920" s="13"/>
    </row>
    <row r="29921">
      <c r="F29921" s="13"/>
      <c r="M29921" s="13"/>
    </row>
    <row r="29922">
      <c r="F29922" s="13"/>
      <c r="M29922" s="13"/>
    </row>
    <row r="29923">
      <c r="F29923" s="13"/>
      <c r="M29923" s="13"/>
    </row>
    <row r="29924">
      <c r="F29924" s="13"/>
      <c r="M29924" s="13"/>
    </row>
    <row r="29925">
      <c r="F29925" s="13"/>
      <c r="M29925" s="13"/>
    </row>
    <row r="29926">
      <c r="F29926" s="13"/>
      <c r="M29926" s="13"/>
    </row>
    <row r="29927">
      <c r="F29927" s="13"/>
      <c r="M29927" s="13"/>
    </row>
    <row r="29928">
      <c r="F29928" s="13"/>
      <c r="M29928" s="13"/>
    </row>
    <row r="29929">
      <c r="F29929" s="13"/>
      <c r="M29929" s="13"/>
    </row>
    <row r="29930">
      <c r="F29930" s="13"/>
      <c r="M29930" s="13"/>
    </row>
    <row r="29931">
      <c r="F29931" s="13"/>
      <c r="M29931" s="13"/>
    </row>
    <row r="29932">
      <c r="F29932" s="13"/>
      <c r="M29932" s="13"/>
    </row>
    <row r="29933">
      <c r="F29933" s="13"/>
      <c r="M29933" s="13"/>
    </row>
    <row r="29934">
      <c r="F29934" s="13"/>
      <c r="M29934" s="13"/>
    </row>
    <row r="29935">
      <c r="F29935" s="13"/>
      <c r="M29935" s="13"/>
    </row>
    <row r="29936">
      <c r="F29936" s="13"/>
      <c r="M29936" s="13"/>
    </row>
    <row r="29937">
      <c r="F29937" s="13"/>
      <c r="M29937" s="13"/>
    </row>
    <row r="29938">
      <c r="F29938" s="13"/>
      <c r="M29938" s="13"/>
    </row>
    <row r="29939">
      <c r="F29939" s="13"/>
      <c r="M29939" s="13"/>
    </row>
    <row r="29940">
      <c r="F29940" s="13"/>
      <c r="M29940" s="13"/>
    </row>
    <row r="29941">
      <c r="F29941" s="13"/>
      <c r="M29941" s="13"/>
    </row>
    <row r="29942">
      <c r="F29942" s="13"/>
      <c r="M29942" s="13"/>
    </row>
    <row r="29943">
      <c r="F29943" s="13"/>
      <c r="M29943" s="13"/>
    </row>
    <row r="29944">
      <c r="F29944" s="13"/>
      <c r="M29944" s="13"/>
    </row>
    <row r="29945">
      <c r="F29945" s="13"/>
      <c r="M29945" s="13"/>
    </row>
    <row r="29946">
      <c r="F29946" s="13"/>
      <c r="M29946" s="13"/>
    </row>
    <row r="29947">
      <c r="F29947" s="13"/>
      <c r="M29947" s="13"/>
    </row>
    <row r="29948">
      <c r="F29948" s="13"/>
      <c r="M29948" s="13"/>
    </row>
    <row r="29949">
      <c r="F29949" s="13"/>
      <c r="M29949" s="13"/>
    </row>
    <row r="29950">
      <c r="F29950" s="13"/>
      <c r="M29950" s="13"/>
    </row>
    <row r="29951">
      <c r="F29951" s="13"/>
      <c r="M29951" s="13"/>
    </row>
    <row r="29952">
      <c r="F29952" s="13"/>
      <c r="M29952" s="13"/>
    </row>
    <row r="29953">
      <c r="F29953" s="13"/>
      <c r="M29953" s="13"/>
    </row>
    <row r="29954">
      <c r="F29954" s="13"/>
      <c r="M29954" s="13"/>
    </row>
    <row r="29955">
      <c r="F29955" s="13"/>
      <c r="M29955" s="13"/>
    </row>
    <row r="29956">
      <c r="F29956" s="13"/>
      <c r="M29956" s="13"/>
    </row>
    <row r="29957">
      <c r="F29957" s="13"/>
      <c r="M29957" s="13"/>
    </row>
    <row r="29958">
      <c r="F29958" s="13"/>
      <c r="M29958" s="13"/>
    </row>
    <row r="29959">
      <c r="F29959" s="13"/>
      <c r="M29959" s="13"/>
    </row>
    <row r="29960">
      <c r="F29960" s="13"/>
      <c r="M29960" s="13"/>
    </row>
    <row r="29961">
      <c r="F29961" s="13"/>
      <c r="M29961" s="13"/>
    </row>
    <row r="29962">
      <c r="F29962" s="13"/>
      <c r="M29962" s="13"/>
    </row>
    <row r="29963">
      <c r="F29963" s="13"/>
      <c r="M29963" s="13"/>
    </row>
    <row r="29964">
      <c r="F29964" s="13"/>
      <c r="M29964" s="13"/>
    </row>
    <row r="29965">
      <c r="F29965" s="13"/>
      <c r="M29965" s="13"/>
    </row>
    <row r="29966">
      <c r="F29966" s="13"/>
      <c r="M29966" s="13"/>
    </row>
    <row r="29967">
      <c r="F29967" s="13"/>
      <c r="M29967" s="13"/>
    </row>
    <row r="29968">
      <c r="F29968" s="13"/>
      <c r="M29968" s="13"/>
    </row>
    <row r="29969">
      <c r="F29969" s="13"/>
      <c r="M29969" s="13"/>
    </row>
    <row r="29970">
      <c r="F29970" s="13"/>
      <c r="M29970" s="13"/>
    </row>
    <row r="29971">
      <c r="F29971" s="13"/>
      <c r="M29971" s="13"/>
    </row>
    <row r="29972">
      <c r="F29972" s="13"/>
      <c r="M29972" s="13"/>
    </row>
    <row r="29973">
      <c r="F29973" s="13"/>
      <c r="M29973" s="13"/>
    </row>
    <row r="29974">
      <c r="F29974" s="13"/>
      <c r="M29974" s="13"/>
    </row>
    <row r="29975">
      <c r="F29975" s="13"/>
      <c r="M29975" s="13"/>
    </row>
    <row r="29976">
      <c r="F29976" s="13"/>
      <c r="M29976" s="13"/>
    </row>
    <row r="29977">
      <c r="F29977" s="13"/>
      <c r="M29977" s="13"/>
    </row>
    <row r="29978">
      <c r="F29978" s="13"/>
      <c r="M29978" s="13"/>
    </row>
    <row r="29979">
      <c r="F29979" s="13"/>
      <c r="M29979" s="13"/>
    </row>
    <row r="29980">
      <c r="F29980" s="13"/>
      <c r="M29980" s="13"/>
    </row>
    <row r="29981">
      <c r="F29981" s="13"/>
      <c r="M29981" s="13"/>
    </row>
    <row r="29982">
      <c r="F29982" s="13"/>
      <c r="M29982" s="13"/>
    </row>
    <row r="29983">
      <c r="F29983" s="13"/>
      <c r="M29983" s="13"/>
    </row>
    <row r="29984">
      <c r="F29984" s="13"/>
      <c r="M29984" s="13"/>
    </row>
    <row r="29985">
      <c r="F29985" s="13"/>
      <c r="M29985" s="13"/>
    </row>
    <row r="29986">
      <c r="F29986" s="13"/>
      <c r="M29986" s="13"/>
    </row>
    <row r="29987">
      <c r="F29987" s="13"/>
      <c r="M29987" s="13"/>
    </row>
    <row r="29988">
      <c r="F29988" s="13"/>
      <c r="M29988" s="13"/>
    </row>
    <row r="29989">
      <c r="F29989" s="13"/>
      <c r="M29989" s="13"/>
    </row>
    <row r="29990">
      <c r="F29990" s="13"/>
      <c r="M29990" s="13"/>
    </row>
    <row r="29991">
      <c r="F29991" s="13"/>
      <c r="M29991" s="13"/>
    </row>
    <row r="29992">
      <c r="F29992" s="13"/>
      <c r="M29992" s="13"/>
    </row>
    <row r="29993">
      <c r="F29993" s="13"/>
      <c r="M29993" s="13"/>
    </row>
    <row r="29994">
      <c r="F29994" s="13"/>
      <c r="M29994" s="13"/>
    </row>
    <row r="29995">
      <c r="F29995" s="13"/>
      <c r="M29995" s="13"/>
    </row>
    <row r="29996">
      <c r="F29996" s="13"/>
      <c r="M29996" s="13"/>
    </row>
    <row r="29997">
      <c r="F29997" s="13"/>
      <c r="M29997" s="13"/>
    </row>
    <row r="29998">
      <c r="F29998" s="13"/>
      <c r="M29998" s="13"/>
    </row>
    <row r="29999">
      <c r="F29999" s="13"/>
      <c r="M29999" s="13"/>
    </row>
    <row r="30000">
      <c r="F30000" s="13"/>
      <c r="M30000" s="13"/>
    </row>
    <row r="30001">
      <c r="F30001" s="13"/>
      <c r="M30001" s="13"/>
    </row>
    <row r="30002">
      <c r="F30002" s="13"/>
      <c r="M30002" s="13"/>
    </row>
    <row r="30003">
      <c r="F30003" s="13"/>
      <c r="M30003" s="13"/>
    </row>
    <row r="30004">
      <c r="F30004" s="13"/>
      <c r="M30004" s="13"/>
    </row>
    <row r="30005">
      <c r="F30005" s="13"/>
      <c r="M30005" s="13"/>
    </row>
    <row r="30006">
      <c r="F30006" s="13"/>
      <c r="M30006" s="13"/>
    </row>
    <row r="30007">
      <c r="F30007" s="13"/>
      <c r="M30007" s="13"/>
    </row>
    <row r="30008">
      <c r="F30008" s="13"/>
      <c r="M30008" s="13"/>
    </row>
    <row r="30009">
      <c r="F30009" s="13"/>
      <c r="M30009" s="13"/>
    </row>
    <row r="30010">
      <c r="F30010" s="13"/>
      <c r="M30010" s="13"/>
    </row>
    <row r="30011">
      <c r="F30011" s="13"/>
      <c r="M30011" s="13"/>
    </row>
    <row r="30012">
      <c r="F30012" s="13"/>
      <c r="M30012" s="13"/>
    </row>
    <row r="30013">
      <c r="F30013" s="13"/>
      <c r="M30013" s="13"/>
    </row>
    <row r="30014">
      <c r="F30014" s="13"/>
      <c r="M30014" s="13"/>
    </row>
    <row r="30015">
      <c r="F30015" s="13"/>
      <c r="M30015" s="13"/>
    </row>
    <row r="30016">
      <c r="F30016" s="13"/>
      <c r="M30016" s="13"/>
    </row>
    <row r="30017">
      <c r="F30017" s="13"/>
      <c r="M30017" s="13"/>
    </row>
    <row r="30018">
      <c r="F30018" s="13"/>
      <c r="M30018" s="13"/>
    </row>
    <row r="30019">
      <c r="F30019" s="13"/>
      <c r="M30019" s="13"/>
    </row>
    <row r="30020">
      <c r="F30020" s="13"/>
      <c r="M30020" s="13"/>
    </row>
    <row r="30021">
      <c r="F30021" s="13"/>
      <c r="M30021" s="13"/>
    </row>
    <row r="30022">
      <c r="F30022" s="13"/>
      <c r="M30022" s="13"/>
    </row>
    <row r="30023">
      <c r="F30023" s="13"/>
      <c r="M30023" s="13"/>
    </row>
    <row r="30024">
      <c r="F30024" s="13"/>
      <c r="M30024" s="13"/>
    </row>
    <row r="30025">
      <c r="F30025" s="13"/>
      <c r="M30025" s="13"/>
    </row>
    <row r="30026">
      <c r="F30026" s="13"/>
      <c r="M30026" s="13"/>
    </row>
    <row r="30027">
      <c r="F30027" s="13"/>
      <c r="M30027" s="13"/>
    </row>
    <row r="30028">
      <c r="F30028" s="13"/>
      <c r="M30028" s="13"/>
    </row>
    <row r="30029">
      <c r="F30029" s="13"/>
      <c r="M30029" s="13"/>
    </row>
    <row r="30030">
      <c r="F30030" s="13"/>
      <c r="M30030" s="13"/>
    </row>
    <row r="30031">
      <c r="F30031" s="13"/>
      <c r="M30031" s="13"/>
    </row>
    <row r="30032">
      <c r="F30032" s="13"/>
      <c r="M30032" s="13"/>
    </row>
    <row r="30033">
      <c r="F30033" s="13"/>
      <c r="M30033" s="13"/>
    </row>
    <row r="30034">
      <c r="F30034" s="13"/>
      <c r="M30034" s="13"/>
    </row>
    <row r="30035">
      <c r="F30035" s="13"/>
      <c r="M30035" s="13"/>
    </row>
    <row r="30036">
      <c r="F30036" s="13"/>
      <c r="M30036" s="13"/>
    </row>
    <row r="30037">
      <c r="F30037" s="13"/>
      <c r="M30037" s="13"/>
    </row>
    <row r="30038">
      <c r="F30038" s="13"/>
      <c r="M30038" s="13"/>
    </row>
    <row r="30039">
      <c r="F30039" s="13"/>
      <c r="M30039" s="13"/>
    </row>
    <row r="30040">
      <c r="F30040" s="13"/>
      <c r="M30040" s="13"/>
    </row>
    <row r="30041">
      <c r="F30041" s="13"/>
      <c r="M30041" s="13"/>
    </row>
    <row r="30042">
      <c r="F30042" s="13"/>
      <c r="M30042" s="13"/>
    </row>
    <row r="30043">
      <c r="F30043" s="13"/>
      <c r="M30043" s="13"/>
    </row>
    <row r="30044">
      <c r="F30044" s="13"/>
      <c r="M30044" s="13"/>
    </row>
    <row r="30045">
      <c r="F30045" s="13"/>
      <c r="M30045" s="13"/>
    </row>
    <row r="30046">
      <c r="F30046" s="13"/>
      <c r="M30046" s="13"/>
    </row>
    <row r="30047">
      <c r="F30047" s="13"/>
      <c r="M30047" s="13"/>
    </row>
    <row r="30048">
      <c r="F30048" s="13"/>
      <c r="M30048" s="13"/>
    </row>
    <row r="30049">
      <c r="F30049" s="13"/>
      <c r="M30049" s="13"/>
    </row>
    <row r="30050">
      <c r="F30050" s="13"/>
      <c r="M30050" s="13"/>
    </row>
    <row r="30051">
      <c r="F30051" s="13"/>
      <c r="M30051" s="13"/>
    </row>
    <row r="30052">
      <c r="F30052" s="13"/>
      <c r="M30052" s="13"/>
    </row>
    <row r="30053">
      <c r="F30053" s="13"/>
      <c r="M30053" s="13"/>
    </row>
    <row r="30054">
      <c r="F30054" s="13"/>
      <c r="M30054" s="13"/>
    </row>
    <row r="30055">
      <c r="F30055" s="13"/>
      <c r="M30055" s="13"/>
    </row>
    <row r="30056">
      <c r="F30056" s="13"/>
      <c r="M30056" s="13"/>
    </row>
    <row r="30057">
      <c r="F30057" s="13"/>
      <c r="M30057" s="13"/>
    </row>
    <row r="30058">
      <c r="F30058" s="13"/>
      <c r="M30058" s="13"/>
    </row>
    <row r="30059">
      <c r="F30059" s="13"/>
      <c r="M30059" s="13"/>
    </row>
    <row r="30060">
      <c r="F30060" s="13"/>
      <c r="M30060" s="13"/>
    </row>
    <row r="30061">
      <c r="F30061" s="13"/>
      <c r="M30061" s="13"/>
    </row>
    <row r="30062">
      <c r="F30062" s="13"/>
      <c r="M30062" s="13"/>
    </row>
    <row r="30063">
      <c r="F30063" s="13"/>
      <c r="M30063" s="13"/>
    </row>
    <row r="30064">
      <c r="F30064" s="13"/>
      <c r="M30064" s="13"/>
    </row>
    <row r="30065">
      <c r="F30065" s="13"/>
      <c r="M30065" s="13"/>
    </row>
    <row r="30066">
      <c r="F30066" s="13"/>
      <c r="M30066" s="13"/>
    </row>
    <row r="30067">
      <c r="F30067" s="13"/>
      <c r="M30067" s="13"/>
    </row>
    <row r="30068">
      <c r="F30068" s="13"/>
      <c r="M30068" s="13"/>
    </row>
    <row r="30069">
      <c r="F30069" s="13"/>
      <c r="M30069" s="13"/>
    </row>
    <row r="30070">
      <c r="F30070" s="13"/>
      <c r="M30070" s="13"/>
    </row>
    <row r="30071">
      <c r="F30071" s="13"/>
      <c r="M30071" s="13"/>
    </row>
    <row r="30072">
      <c r="F30072" s="13"/>
      <c r="M30072" s="13"/>
    </row>
    <row r="30073">
      <c r="F30073" s="13"/>
      <c r="M30073" s="13"/>
    </row>
    <row r="30074">
      <c r="F30074" s="13"/>
      <c r="M30074" s="13"/>
    </row>
    <row r="30075">
      <c r="F30075" s="13"/>
      <c r="M30075" s="13"/>
    </row>
    <row r="30076">
      <c r="F30076" s="13"/>
      <c r="M30076" s="13"/>
    </row>
    <row r="30077">
      <c r="F30077" s="13"/>
      <c r="M30077" s="13"/>
    </row>
    <row r="30078">
      <c r="F30078" s="13"/>
      <c r="M30078" s="13"/>
    </row>
    <row r="30079">
      <c r="F30079" s="13"/>
      <c r="M30079" s="13"/>
    </row>
    <row r="30080">
      <c r="F30080" s="13"/>
      <c r="M30080" s="13"/>
    </row>
    <row r="30081">
      <c r="F30081" s="13"/>
      <c r="M30081" s="13"/>
    </row>
    <row r="30082">
      <c r="F30082" s="13"/>
      <c r="M30082" s="13"/>
    </row>
    <row r="30083">
      <c r="F30083" s="13"/>
      <c r="M30083" s="13"/>
    </row>
    <row r="30084">
      <c r="F30084" s="13"/>
      <c r="M30084" s="13"/>
    </row>
    <row r="30085">
      <c r="F30085" s="13"/>
      <c r="M30085" s="13"/>
    </row>
    <row r="30086">
      <c r="F30086" s="13"/>
      <c r="M30086" s="13"/>
    </row>
    <row r="30087">
      <c r="F30087" s="13"/>
      <c r="M30087" s="13"/>
    </row>
    <row r="30088">
      <c r="F30088" s="13"/>
      <c r="M30088" s="13"/>
    </row>
    <row r="30089">
      <c r="F30089" s="13"/>
      <c r="M30089" s="13"/>
    </row>
    <row r="30090">
      <c r="F30090" s="13"/>
      <c r="M30090" s="13"/>
    </row>
    <row r="30091">
      <c r="F30091" s="13"/>
      <c r="M30091" s="13"/>
    </row>
    <row r="30092">
      <c r="F30092" s="13"/>
      <c r="M30092" s="13"/>
    </row>
    <row r="30093">
      <c r="F30093" s="13"/>
      <c r="M30093" s="13"/>
    </row>
    <row r="30094">
      <c r="F30094" s="13"/>
      <c r="M30094" s="13"/>
    </row>
    <row r="30095">
      <c r="F30095" s="13"/>
      <c r="M30095" s="13"/>
    </row>
    <row r="30096">
      <c r="F30096" s="13"/>
      <c r="M30096" s="13"/>
    </row>
    <row r="30097">
      <c r="F30097" s="13"/>
      <c r="M30097" s="13"/>
    </row>
    <row r="30098">
      <c r="F30098" s="13"/>
      <c r="M30098" s="13"/>
    </row>
    <row r="30099">
      <c r="F30099" s="13"/>
      <c r="M30099" s="13"/>
    </row>
    <row r="30100">
      <c r="F30100" s="13"/>
      <c r="M30100" s="13"/>
    </row>
    <row r="30101">
      <c r="F30101" s="13"/>
      <c r="M30101" s="13"/>
    </row>
    <row r="30102">
      <c r="F30102" s="13"/>
      <c r="M30102" s="13"/>
    </row>
    <row r="30103">
      <c r="F30103" s="13"/>
      <c r="M30103" s="13"/>
    </row>
    <row r="30104">
      <c r="F30104" s="13"/>
      <c r="M30104" s="13"/>
    </row>
    <row r="30105">
      <c r="F30105" s="13"/>
      <c r="M30105" s="13"/>
    </row>
    <row r="30106">
      <c r="F30106" s="13"/>
      <c r="M30106" s="13"/>
    </row>
    <row r="30107">
      <c r="F30107" s="13"/>
      <c r="M30107" s="13"/>
    </row>
    <row r="30108">
      <c r="F30108" s="13"/>
      <c r="M30108" s="13"/>
    </row>
    <row r="30109">
      <c r="F30109" s="13"/>
      <c r="M30109" s="13"/>
    </row>
    <row r="30110">
      <c r="F30110" s="13"/>
      <c r="M30110" s="13"/>
    </row>
    <row r="30111">
      <c r="F30111" s="13"/>
      <c r="M30111" s="13"/>
    </row>
    <row r="30112">
      <c r="F30112" s="13"/>
      <c r="M30112" s="13"/>
    </row>
    <row r="30113">
      <c r="F30113" s="13"/>
      <c r="M30113" s="13"/>
    </row>
    <row r="30114">
      <c r="F30114" s="13"/>
      <c r="M30114" s="13"/>
    </row>
    <row r="30115">
      <c r="F30115" s="13"/>
      <c r="M30115" s="13"/>
    </row>
    <row r="30116">
      <c r="F30116" s="13"/>
      <c r="M30116" s="13"/>
    </row>
    <row r="30117">
      <c r="F30117" s="13"/>
      <c r="M30117" s="13"/>
    </row>
    <row r="30118">
      <c r="F30118" s="13"/>
      <c r="M30118" s="13"/>
    </row>
    <row r="30119">
      <c r="F30119" s="13"/>
      <c r="M30119" s="13"/>
    </row>
    <row r="30120">
      <c r="F30120" s="13"/>
      <c r="M30120" s="13"/>
    </row>
    <row r="30121">
      <c r="F30121" s="13"/>
      <c r="M30121" s="13"/>
    </row>
    <row r="30122">
      <c r="F30122" s="13"/>
      <c r="M30122" s="13"/>
    </row>
    <row r="30123">
      <c r="F30123" s="13"/>
      <c r="M30123" s="13"/>
    </row>
    <row r="30124">
      <c r="F30124" s="13"/>
      <c r="M30124" s="13"/>
    </row>
    <row r="30125">
      <c r="F30125" s="13"/>
      <c r="M30125" s="13"/>
    </row>
    <row r="30126">
      <c r="F30126" s="13"/>
      <c r="M30126" s="13"/>
    </row>
    <row r="30127">
      <c r="F30127" s="13"/>
      <c r="M30127" s="13"/>
    </row>
    <row r="30128">
      <c r="F30128" s="13"/>
      <c r="M30128" s="13"/>
    </row>
    <row r="30129">
      <c r="F30129" s="13"/>
      <c r="M30129" s="13"/>
    </row>
    <row r="30130">
      <c r="F30130" s="13"/>
      <c r="M30130" s="13"/>
    </row>
    <row r="30131">
      <c r="F30131" s="13"/>
      <c r="M30131" s="13"/>
    </row>
    <row r="30132">
      <c r="F30132" s="13"/>
      <c r="M30132" s="13"/>
    </row>
    <row r="30133">
      <c r="F30133" s="13"/>
      <c r="M30133" s="13"/>
    </row>
    <row r="30134">
      <c r="F30134" s="13"/>
      <c r="M30134" s="13"/>
    </row>
    <row r="30135">
      <c r="F30135" s="13"/>
      <c r="M30135" s="13"/>
    </row>
    <row r="30136">
      <c r="F30136" s="13"/>
      <c r="M30136" s="13"/>
    </row>
    <row r="30137">
      <c r="F30137" s="13"/>
      <c r="M30137" s="13"/>
    </row>
    <row r="30138">
      <c r="F30138" s="13"/>
      <c r="M30138" s="13"/>
    </row>
    <row r="30139">
      <c r="F30139" s="13"/>
      <c r="M30139" s="13"/>
    </row>
    <row r="30140">
      <c r="F30140" s="13"/>
      <c r="M30140" s="13"/>
    </row>
    <row r="30141">
      <c r="F30141" s="13"/>
      <c r="M30141" s="13"/>
    </row>
    <row r="30142">
      <c r="F30142" s="13"/>
      <c r="M30142" s="13"/>
    </row>
    <row r="30143">
      <c r="F30143" s="13"/>
      <c r="M30143" s="13"/>
    </row>
    <row r="30144">
      <c r="F30144" s="13"/>
      <c r="M30144" s="13"/>
    </row>
    <row r="30145">
      <c r="F30145" s="13"/>
      <c r="M30145" s="13"/>
    </row>
    <row r="30146">
      <c r="F30146" s="13"/>
      <c r="M30146" s="13"/>
    </row>
    <row r="30147">
      <c r="F30147" s="13"/>
      <c r="M30147" s="13"/>
    </row>
    <row r="30148">
      <c r="F30148" s="13"/>
      <c r="M30148" s="13"/>
    </row>
    <row r="30149">
      <c r="F30149" s="13"/>
      <c r="M30149" s="13"/>
    </row>
    <row r="30150">
      <c r="F30150" s="13"/>
      <c r="M30150" s="13"/>
    </row>
    <row r="30151">
      <c r="F30151" s="13"/>
      <c r="M30151" s="13"/>
    </row>
    <row r="30152">
      <c r="F30152" s="13"/>
      <c r="M30152" s="13"/>
    </row>
    <row r="30153">
      <c r="F30153" s="13"/>
      <c r="M30153" s="13"/>
    </row>
    <row r="30154">
      <c r="F30154" s="13"/>
      <c r="M30154" s="13"/>
    </row>
    <row r="30155">
      <c r="F30155" s="13"/>
      <c r="M30155" s="13"/>
    </row>
    <row r="30156">
      <c r="F30156" s="13"/>
      <c r="M30156" s="13"/>
    </row>
    <row r="30157">
      <c r="F30157" s="13"/>
      <c r="M30157" s="13"/>
    </row>
    <row r="30158">
      <c r="F30158" s="13"/>
      <c r="M30158" s="13"/>
    </row>
    <row r="30159">
      <c r="F30159" s="13"/>
      <c r="M30159" s="13"/>
    </row>
    <row r="30160">
      <c r="F30160" s="13"/>
      <c r="M30160" s="13"/>
    </row>
    <row r="30161">
      <c r="F30161" s="13"/>
      <c r="M30161" s="13"/>
    </row>
    <row r="30162">
      <c r="F30162" s="13"/>
      <c r="M30162" s="13"/>
    </row>
    <row r="30163">
      <c r="F30163" s="13"/>
      <c r="M30163" s="13"/>
    </row>
    <row r="30164">
      <c r="F30164" s="13"/>
      <c r="M30164" s="13"/>
    </row>
    <row r="30165">
      <c r="F30165" s="13"/>
      <c r="M30165" s="13"/>
    </row>
    <row r="30166">
      <c r="F30166" s="13"/>
      <c r="M30166" s="13"/>
    </row>
    <row r="30167">
      <c r="F30167" s="13"/>
      <c r="M30167" s="13"/>
    </row>
    <row r="30168">
      <c r="F30168" s="13"/>
      <c r="M30168" s="13"/>
    </row>
    <row r="30169">
      <c r="F30169" s="13"/>
      <c r="M30169" s="13"/>
    </row>
    <row r="30170">
      <c r="F30170" s="13"/>
      <c r="M30170" s="13"/>
    </row>
    <row r="30171">
      <c r="F30171" s="13"/>
      <c r="M30171" s="13"/>
    </row>
    <row r="30172">
      <c r="F30172" s="13"/>
      <c r="M30172" s="13"/>
    </row>
    <row r="30173">
      <c r="F30173" s="13"/>
      <c r="M30173" s="13"/>
    </row>
    <row r="30174">
      <c r="F30174" s="13"/>
      <c r="M30174" s="13"/>
    </row>
    <row r="30175">
      <c r="F30175" s="13"/>
      <c r="M30175" s="13"/>
    </row>
    <row r="30176">
      <c r="F30176" s="13"/>
      <c r="M30176" s="13"/>
    </row>
    <row r="30177">
      <c r="F30177" s="13"/>
      <c r="M30177" s="13"/>
    </row>
    <row r="30178">
      <c r="F30178" s="13"/>
      <c r="M30178" s="13"/>
    </row>
    <row r="30179">
      <c r="F30179" s="13"/>
      <c r="M30179" s="13"/>
    </row>
    <row r="30180">
      <c r="F30180" s="13"/>
      <c r="M30180" s="13"/>
    </row>
    <row r="30181">
      <c r="F30181" s="13"/>
      <c r="M30181" s="13"/>
    </row>
    <row r="30182">
      <c r="F30182" s="13"/>
      <c r="M30182" s="13"/>
    </row>
    <row r="30183">
      <c r="F30183" s="13"/>
      <c r="M30183" s="13"/>
    </row>
    <row r="30184">
      <c r="F30184" s="13"/>
      <c r="M30184" s="13"/>
    </row>
    <row r="30185">
      <c r="F30185" s="13"/>
      <c r="M30185" s="13"/>
    </row>
    <row r="30186">
      <c r="F30186" s="13"/>
      <c r="M30186" s="13"/>
    </row>
    <row r="30187">
      <c r="F30187" s="13"/>
      <c r="M30187" s="13"/>
    </row>
    <row r="30188">
      <c r="F30188" s="13"/>
      <c r="M30188" s="13"/>
    </row>
    <row r="30189">
      <c r="F30189" s="13"/>
      <c r="M30189" s="13"/>
    </row>
    <row r="30190">
      <c r="F30190" s="13"/>
      <c r="M30190" s="13"/>
    </row>
    <row r="30191">
      <c r="F30191" s="13"/>
      <c r="M30191" s="13"/>
    </row>
    <row r="30192">
      <c r="F30192" s="13"/>
      <c r="M30192" s="13"/>
    </row>
    <row r="30193">
      <c r="F30193" s="13"/>
      <c r="M30193" s="13"/>
    </row>
    <row r="30194">
      <c r="F30194" s="13"/>
      <c r="M30194" s="13"/>
    </row>
    <row r="30195">
      <c r="F30195" s="13"/>
      <c r="M30195" s="13"/>
    </row>
    <row r="30196">
      <c r="F30196" s="13"/>
      <c r="M30196" s="13"/>
    </row>
    <row r="30197">
      <c r="F30197" s="13"/>
      <c r="M30197" s="13"/>
    </row>
    <row r="30198">
      <c r="F30198" s="13"/>
      <c r="M30198" s="13"/>
    </row>
    <row r="30199">
      <c r="F30199" s="13"/>
      <c r="M30199" s="13"/>
    </row>
    <row r="30200">
      <c r="F30200" s="13"/>
      <c r="M30200" s="13"/>
    </row>
    <row r="30201">
      <c r="F30201" s="13"/>
      <c r="M30201" s="13"/>
    </row>
    <row r="30202">
      <c r="F30202" s="13"/>
      <c r="M30202" s="13"/>
    </row>
    <row r="30203">
      <c r="F30203" s="13"/>
      <c r="M30203" s="13"/>
    </row>
    <row r="30204">
      <c r="F30204" s="13"/>
      <c r="M30204" s="13"/>
    </row>
    <row r="30205">
      <c r="F30205" s="13"/>
      <c r="M30205" s="13"/>
    </row>
    <row r="30206">
      <c r="F30206" s="13"/>
      <c r="M30206" s="13"/>
    </row>
    <row r="30207">
      <c r="F30207" s="13"/>
      <c r="M30207" s="13"/>
    </row>
    <row r="30208">
      <c r="F30208" s="13"/>
      <c r="M30208" s="13"/>
    </row>
    <row r="30209">
      <c r="F30209" s="13"/>
      <c r="M30209" s="13"/>
    </row>
    <row r="30210">
      <c r="F30210" s="13"/>
      <c r="M30210" s="13"/>
    </row>
    <row r="30211">
      <c r="F30211" s="13"/>
      <c r="M30211" s="13"/>
    </row>
    <row r="30212">
      <c r="F30212" s="13"/>
      <c r="M30212" s="13"/>
    </row>
    <row r="30213">
      <c r="F30213" s="13"/>
      <c r="M30213" s="13"/>
    </row>
    <row r="30214">
      <c r="F30214" s="13"/>
      <c r="M30214" s="13"/>
    </row>
    <row r="30215">
      <c r="F30215" s="13"/>
      <c r="M30215" s="13"/>
    </row>
    <row r="30216">
      <c r="F30216" s="13"/>
      <c r="M30216" s="13"/>
    </row>
    <row r="30217">
      <c r="F30217" s="13"/>
      <c r="M30217" s="13"/>
    </row>
    <row r="30218">
      <c r="F30218" s="13"/>
      <c r="M30218" s="13"/>
    </row>
    <row r="30219">
      <c r="F30219" s="13"/>
      <c r="M30219" s="13"/>
    </row>
    <row r="30220">
      <c r="F30220" s="13"/>
      <c r="M30220" s="13"/>
    </row>
    <row r="30221">
      <c r="F30221" s="13"/>
      <c r="M30221" s="13"/>
    </row>
    <row r="30222">
      <c r="F30222" s="13"/>
      <c r="M30222" s="13"/>
    </row>
    <row r="30223">
      <c r="F30223" s="13"/>
      <c r="M30223" s="13"/>
    </row>
    <row r="30224">
      <c r="F30224" s="13"/>
      <c r="M30224" s="13"/>
    </row>
    <row r="30225">
      <c r="F30225" s="13"/>
      <c r="M30225" s="13"/>
    </row>
    <row r="30226">
      <c r="F30226" s="13"/>
      <c r="M30226" s="13"/>
    </row>
    <row r="30227">
      <c r="F30227" s="13"/>
      <c r="M30227" s="13"/>
    </row>
    <row r="30228">
      <c r="F30228" s="13"/>
      <c r="M30228" s="13"/>
    </row>
    <row r="30229">
      <c r="F30229" s="13"/>
      <c r="M30229" s="13"/>
    </row>
    <row r="30230">
      <c r="F30230" s="13"/>
      <c r="M30230" s="13"/>
    </row>
    <row r="30231">
      <c r="F30231" s="13"/>
      <c r="M30231" s="13"/>
    </row>
    <row r="30232">
      <c r="F30232" s="13"/>
      <c r="M30232" s="13"/>
    </row>
    <row r="30233">
      <c r="F30233" s="13"/>
      <c r="M30233" s="13"/>
    </row>
    <row r="30234">
      <c r="F30234" s="13"/>
      <c r="M30234" s="13"/>
    </row>
    <row r="30235">
      <c r="F30235" s="13"/>
      <c r="M30235" s="13"/>
    </row>
    <row r="30236">
      <c r="F30236" s="13"/>
      <c r="M30236" s="13"/>
    </row>
    <row r="30237">
      <c r="F30237" s="13"/>
      <c r="M30237" s="13"/>
    </row>
    <row r="30238">
      <c r="F30238" s="13"/>
      <c r="M30238" s="13"/>
    </row>
    <row r="30239">
      <c r="F30239" s="13"/>
      <c r="M30239" s="13"/>
    </row>
    <row r="30240">
      <c r="F30240" s="13"/>
      <c r="M30240" s="13"/>
    </row>
    <row r="30241">
      <c r="F30241" s="13"/>
      <c r="M30241" s="13"/>
    </row>
    <row r="30242">
      <c r="F30242" s="13"/>
      <c r="M30242" s="13"/>
    </row>
    <row r="30243">
      <c r="F30243" s="13"/>
      <c r="M30243" s="13"/>
    </row>
    <row r="30244">
      <c r="F30244" s="13"/>
      <c r="M30244" s="13"/>
    </row>
    <row r="30245">
      <c r="F30245" s="13"/>
      <c r="M30245" s="13"/>
    </row>
    <row r="30246">
      <c r="F30246" s="13"/>
      <c r="M30246" s="13"/>
    </row>
    <row r="30247">
      <c r="F30247" s="13"/>
      <c r="M30247" s="13"/>
    </row>
    <row r="30248">
      <c r="F30248" s="13"/>
      <c r="M30248" s="13"/>
    </row>
    <row r="30249">
      <c r="F30249" s="13"/>
      <c r="M30249" s="13"/>
    </row>
    <row r="30250">
      <c r="F30250" s="13"/>
      <c r="M30250" s="13"/>
    </row>
    <row r="30251">
      <c r="F30251" s="13"/>
      <c r="M30251" s="13"/>
    </row>
    <row r="30252">
      <c r="F30252" s="13"/>
      <c r="M30252" s="13"/>
    </row>
    <row r="30253">
      <c r="F30253" s="13"/>
      <c r="M30253" s="13"/>
    </row>
    <row r="30254">
      <c r="F30254" s="13"/>
      <c r="M30254" s="13"/>
    </row>
    <row r="30255">
      <c r="F30255" s="13"/>
      <c r="M30255" s="13"/>
    </row>
    <row r="30256">
      <c r="F30256" s="13"/>
      <c r="M30256" s="13"/>
    </row>
    <row r="30257">
      <c r="F30257" s="13"/>
      <c r="M30257" s="13"/>
    </row>
    <row r="30258">
      <c r="F30258" s="13"/>
      <c r="M30258" s="13"/>
    </row>
    <row r="30259">
      <c r="F30259" s="13"/>
      <c r="M30259" s="13"/>
    </row>
    <row r="30260">
      <c r="F30260" s="13"/>
      <c r="M30260" s="13"/>
    </row>
    <row r="30261">
      <c r="F30261" s="13"/>
      <c r="M30261" s="13"/>
    </row>
    <row r="30262">
      <c r="F30262" s="13"/>
      <c r="M30262" s="13"/>
    </row>
    <row r="30263">
      <c r="F30263" s="13"/>
      <c r="M30263" s="13"/>
    </row>
    <row r="30264">
      <c r="F30264" s="13"/>
      <c r="M30264" s="13"/>
    </row>
    <row r="30265">
      <c r="F30265" s="13"/>
      <c r="M30265" s="13"/>
    </row>
    <row r="30266">
      <c r="F30266" s="13"/>
      <c r="M30266" s="13"/>
    </row>
    <row r="30267">
      <c r="F30267" s="13"/>
      <c r="M30267" s="13"/>
    </row>
    <row r="30268">
      <c r="F30268" s="13"/>
      <c r="M30268" s="13"/>
    </row>
    <row r="30269">
      <c r="F30269" s="13"/>
      <c r="M30269" s="13"/>
    </row>
    <row r="30270">
      <c r="F30270" s="13"/>
      <c r="M30270" s="13"/>
    </row>
    <row r="30271">
      <c r="F30271" s="13"/>
      <c r="M30271" s="13"/>
    </row>
    <row r="30272">
      <c r="F30272" s="13"/>
      <c r="M30272" s="13"/>
    </row>
    <row r="30273">
      <c r="F30273" s="13"/>
      <c r="M30273" s="13"/>
    </row>
    <row r="30274">
      <c r="F30274" s="13"/>
      <c r="M30274" s="13"/>
    </row>
    <row r="30275">
      <c r="F30275" s="13"/>
      <c r="M30275" s="13"/>
    </row>
    <row r="30276">
      <c r="F30276" s="13"/>
      <c r="M30276" s="13"/>
    </row>
    <row r="30277">
      <c r="F30277" s="13"/>
      <c r="M30277" s="13"/>
    </row>
    <row r="30278">
      <c r="F30278" s="13"/>
      <c r="M30278" s="13"/>
    </row>
    <row r="30279">
      <c r="F30279" s="13"/>
      <c r="M30279" s="13"/>
    </row>
    <row r="30280">
      <c r="F30280" s="13"/>
      <c r="M30280" s="13"/>
    </row>
    <row r="30281">
      <c r="F30281" s="13"/>
      <c r="M30281" s="13"/>
    </row>
    <row r="30282">
      <c r="F30282" s="13"/>
      <c r="M30282" s="13"/>
    </row>
    <row r="30283">
      <c r="F30283" s="13"/>
      <c r="M30283" s="13"/>
    </row>
    <row r="30284">
      <c r="F30284" s="13"/>
      <c r="M30284" s="13"/>
    </row>
    <row r="30285">
      <c r="F30285" s="13"/>
      <c r="M30285" s="13"/>
    </row>
    <row r="30286">
      <c r="F30286" s="13"/>
      <c r="M30286" s="13"/>
    </row>
    <row r="30287">
      <c r="F30287" s="13"/>
      <c r="M30287" s="13"/>
    </row>
    <row r="30288">
      <c r="F30288" s="13"/>
      <c r="M30288" s="13"/>
    </row>
    <row r="30289">
      <c r="F30289" s="13"/>
      <c r="M30289" s="13"/>
    </row>
    <row r="30290">
      <c r="F30290" s="13"/>
      <c r="M30290" s="13"/>
    </row>
    <row r="30291">
      <c r="F30291" s="13"/>
      <c r="M30291" s="13"/>
    </row>
    <row r="30292">
      <c r="F30292" s="13"/>
      <c r="M30292" s="13"/>
    </row>
    <row r="30293">
      <c r="F30293" s="13"/>
      <c r="M30293" s="13"/>
    </row>
    <row r="30294">
      <c r="F30294" s="13"/>
      <c r="M30294" s="13"/>
    </row>
    <row r="30295">
      <c r="F30295" s="13"/>
      <c r="M30295" s="13"/>
    </row>
    <row r="30296">
      <c r="F30296" s="13"/>
      <c r="M30296" s="13"/>
    </row>
    <row r="30297">
      <c r="F30297" s="13"/>
      <c r="M30297" s="13"/>
    </row>
    <row r="30298">
      <c r="F30298" s="13"/>
      <c r="M30298" s="13"/>
    </row>
    <row r="30299">
      <c r="F30299" s="13"/>
      <c r="M30299" s="13"/>
    </row>
    <row r="30300">
      <c r="F30300" s="13"/>
      <c r="M30300" s="13"/>
    </row>
    <row r="30301">
      <c r="F30301" s="13"/>
      <c r="M30301" s="13"/>
    </row>
    <row r="30302">
      <c r="F30302" s="13"/>
      <c r="M30302" s="13"/>
    </row>
    <row r="30303">
      <c r="F30303" s="13"/>
      <c r="M30303" s="13"/>
    </row>
    <row r="30304">
      <c r="F30304" s="13"/>
      <c r="M30304" s="13"/>
    </row>
    <row r="30305">
      <c r="F30305" s="13"/>
      <c r="M30305" s="13"/>
    </row>
    <row r="30306">
      <c r="F30306" s="13"/>
      <c r="M30306" s="13"/>
    </row>
    <row r="30307">
      <c r="F30307" s="13"/>
      <c r="M30307" s="13"/>
    </row>
    <row r="30308">
      <c r="F30308" s="13"/>
      <c r="M30308" s="13"/>
    </row>
    <row r="30309">
      <c r="F30309" s="13"/>
      <c r="M30309" s="13"/>
    </row>
    <row r="30310">
      <c r="F30310" s="13"/>
      <c r="M30310" s="13"/>
    </row>
    <row r="30311">
      <c r="F30311" s="13"/>
      <c r="M30311" s="13"/>
    </row>
    <row r="30312">
      <c r="F30312" s="13"/>
      <c r="M30312" s="13"/>
    </row>
    <row r="30313">
      <c r="F30313" s="13"/>
      <c r="M30313" s="13"/>
    </row>
    <row r="30314">
      <c r="F30314" s="13"/>
      <c r="M30314" s="13"/>
    </row>
    <row r="30315">
      <c r="F30315" s="13"/>
      <c r="M30315" s="13"/>
    </row>
    <row r="30316">
      <c r="F30316" s="13"/>
      <c r="M30316" s="13"/>
    </row>
    <row r="30317">
      <c r="F30317" s="13"/>
      <c r="M30317" s="13"/>
    </row>
    <row r="30318">
      <c r="F30318" s="13"/>
      <c r="M30318" s="13"/>
    </row>
    <row r="30319">
      <c r="F30319" s="13"/>
      <c r="M30319" s="13"/>
    </row>
    <row r="30320">
      <c r="F30320" s="13"/>
      <c r="M30320" s="13"/>
    </row>
    <row r="30321">
      <c r="F30321" s="13"/>
      <c r="M30321" s="13"/>
    </row>
    <row r="30322">
      <c r="F30322" s="13"/>
      <c r="M30322" s="13"/>
    </row>
    <row r="30323">
      <c r="F30323" s="13"/>
      <c r="M30323" s="13"/>
    </row>
    <row r="30324">
      <c r="F30324" s="13"/>
      <c r="M30324" s="13"/>
    </row>
    <row r="30325">
      <c r="F30325" s="13"/>
      <c r="M30325" s="13"/>
    </row>
    <row r="30326">
      <c r="F30326" s="13"/>
      <c r="M30326" s="13"/>
    </row>
    <row r="30327">
      <c r="F30327" s="13"/>
      <c r="M30327" s="13"/>
    </row>
    <row r="30328">
      <c r="F30328" s="13"/>
      <c r="M30328" s="13"/>
    </row>
    <row r="30329">
      <c r="F30329" s="13"/>
      <c r="M30329" s="13"/>
    </row>
    <row r="30330">
      <c r="F30330" s="13"/>
      <c r="M30330" s="13"/>
    </row>
    <row r="30331">
      <c r="F30331" s="13"/>
      <c r="M30331" s="13"/>
    </row>
    <row r="30332">
      <c r="F30332" s="13"/>
      <c r="M30332" s="13"/>
    </row>
    <row r="30333">
      <c r="F30333" s="13"/>
      <c r="M30333" s="13"/>
    </row>
    <row r="30334">
      <c r="F30334" s="13"/>
      <c r="M30334" s="13"/>
    </row>
    <row r="30335">
      <c r="F30335" s="13"/>
      <c r="M30335" s="13"/>
    </row>
    <row r="30336">
      <c r="F30336" s="13"/>
      <c r="M30336" s="13"/>
    </row>
    <row r="30337">
      <c r="F30337" s="13"/>
      <c r="M30337" s="13"/>
    </row>
    <row r="30338">
      <c r="F30338" s="13"/>
      <c r="M30338" s="13"/>
    </row>
    <row r="30339">
      <c r="F30339" s="13"/>
      <c r="M30339" s="13"/>
    </row>
    <row r="30340">
      <c r="F30340" s="13"/>
      <c r="M30340" s="13"/>
    </row>
    <row r="30341">
      <c r="F30341" s="13"/>
      <c r="M30341" s="13"/>
    </row>
    <row r="30342">
      <c r="F30342" s="13"/>
      <c r="M30342" s="13"/>
    </row>
    <row r="30343">
      <c r="F30343" s="13"/>
      <c r="M30343" s="13"/>
    </row>
    <row r="30344">
      <c r="F30344" s="13"/>
      <c r="M30344" s="13"/>
    </row>
    <row r="30345">
      <c r="F30345" s="13"/>
      <c r="M30345" s="13"/>
    </row>
    <row r="30346">
      <c r="F30346" s="13"/>
      <c r="M30346" s="13"/>
    </row>
    <row r="30347">
      <c r="F30347" s="13"/>
      <c r="M30347" s="13"/>
    </row>
    <row r="30348">
      <c r="F30348" s="13"/>
      <c r="M30348" s="13"/>
    </row>
    <row r="30349">
      <c r="F30349" s="13"/>
      <c r="M30349" s="13"/>
    </row>
    <row r="30350">
      <c r="F30350" s="13"/>
      <c r="M30350" s="13"/>
    </row>
    <row r="30351">
      <c r="F30351" s="13"/>
      <c r="M30351" s="13"/>
    </row>
    <row r="30352">
      <c r="F30352" s="13"/>
      <c r="M30352" s="13"/>
    </row>
    <row r="30353">
      <c r="F30353" s="13"/>
      <c r="M30353" s="13"/>
    </row>
    <row r="30354">
      <c r="F30354" s="13"/>
      <c r="M30354" s="13"/>
    </row>
    <row r="30355">
      <c r="F30355" s="13"/>
      <c r="M30355" s="13"/>
    </row>
    <row r="30356">
      <c r="F30356" s="13"/>
      <c r="M30356" s="13"/>
    </row>
    <row r="30357">
      <c r="F30357" s="13"/>
      <c r="M30357" s="13"/>
    </row>
    <row r="30358">
      <c r="F30358" s="13"/>
      <c r="M30358" s="13"/>
    </row>
    <row r="30359">
      <c r="F30359" s="13"/>
      <c r="M30359" s="13"/>
    </row>
    <row r="30360">
      <c r="F30360" s="13"/>
      <c r="M30360" s="13"/>
    </row>
    <row r="30361">
      <c r="F30361" s="13"/>
      <c r="M30361" s="13"/>
    </row>
    <row r="30362">
      <c r="F30362" s="13"/>
      <c r="M30362" s="13"/>
    </row>
    <row r="30363">
      <c r="F30363" s="13"/>
      <c r="M30363" s="13"/>
    </row>
    <row r="30364">
      <c r="F30364" s="13"/>
      <c r="M30364" s="13"/>
    </row>
    <row r="30365">
      <c r="F30365" s="13"/>
      <c r="M30365" s="13"/>
    </row>
    <row r="30366">
      <c r="F30366" s="13"/>
      <c r="M30366" s="13"/>
    </row>
    <row r="30367">
      <c r="F30367" s="13"/>
      <c r="M30367" s="13"/>
    </row>
    <row r="30368">
      <c r="F30368" s="13"/>
      <c r="M30368" s="13"/>
    </row>
    <row r="30369">
      <c r="F30369" s="13"/>
      <c r="M30369" s="13"/>
    </row>
    <row r="30370">
      <c r="F30370" s="13"/>
      <c r="M30370" s="13"/>
    </row>
    <row r="30371">
      <c r="F30371" s="13"/>
      <c r="M30371" s="13"/>
    </row>
    <row r="30372">
      <c r="F30372" s="13"/>
      <c r="M30372" s="13"/>
    </row>
    <row r="30373">
      <c r="F30373" s="13"/>
      <c r="M30373" s="13"/>
    </row>
    <row r="30374">
      <c r="F30374" s="13"/>
      <c r="M30374" s="13"/>
    </row>
    <row r="30375">
      <c r="F30375" s="13"/>
      <c r="M30375" s="13"/>
    </row>
    <row r="30376">
      <c r="F30376" s="13"/>
      <c r="M30376" s="13"/>
    </row>
    <row r="30377">
      <c r="F30377" s="13"/>
      <c r="M30377" s="13"/>
    </row>
    <row r="30378">
      <c r="F30378" s="13"/>
      <c r="M30378" s="13"/>
    </row>
    <row r="30379">
      <c r="F30379" s="13"/>
      <c r="M30379" s="13"/>
    </row>
    <row r="30380">
      <c r="F30380" s="13"/>
      <c r="M30380" s="13"/>
    </row>
    <row r="30381">
      <c r="F30381" s="13"/>
      <c r="M30381" s="13"/>
    </row>
    <row r="30382">
      <c r="F30382" s="13"/>
      <c r="M30382" s="13"/>
    </row>
    <row r="30383">
      <c r="F30383" s="13"/>
      <c r="M30383" s="13"/>
    </row>
    <row r="30384">
      <c r="F30384" s="13"/>
      <c r="M30384" s="13"/>
    </row>
    <row r="30385">
      <c r="F30385" s="13"/>
      <c r="M30385" s="13"/>
    </row>
    <row r="30386">
      <c r="F30386" s="13"/>
      <c r="M30386" s="13"/>
    </row>
    <row r="30387">
      <c r="F30387" s="13"/>
      <c r="M30387" s="13"/>
    </row>
    <row r="30388">
      <c r="F30388" s="13"/>
      <c r="M30388" s="13"/>
    </row>
    <row r="30389">
      <c r="F30389" s="13"/>
      <c r="M30389" s="13"/>
    </row>
    <row r="30390">
      <c r="F30390" s="13"/>
      <c r="M30390" s="13"/>
    </row>
    <row r="30391">
      <c r="F30391" s="13"/>
      <c r="M30391" s="13"/>
    </row>
    <row r="30392">
      <c r="F30392" s="13"/>
      <c r="M30392" s="13"/>
    </row>
    <row r="30393">
      <c r="F30393" s="13"/>
      <c r="M30393" s="13"/>
    </row>
    <row r="30394">
      <c r="F30394" s="13"/>
      <c r="M30394" s="13"/>
    </row>
    <row r="30395">
      <c r="F30395" s="13"/>
      <c r="M30395" s="13"/>
    </row>
    <row r="30396">
      <c r="F30396" s="13"/>
      <c r="M30396" s="13"/>
    </row>
    <row r="30397">
      <c r="F30397" s="13"/>
      <c r="M30397" s="13"/>
    </row>
    <row r="30398">
      <c r="F30398" s="13"/>
      <c r="M30398" s="13"/>
    </row>
    <row r="30399">
      <c r="F30399" s="13"/>
      <c r="M30399" s="13"/>
    </row>
    <row r="30400">
      <c r="F30400" s="13"/>
      <c r="M30400" s="13"/>
    </row>
    <row r="30401">
      <c r="F30401" s="13"/>
      <c r="M30401" s="13"/>
    </row>
    <row r="30402">
      <c r="F30402" s="13"/>
      <c r="M30402" s="13"/>
    </row>
    <row r="30403">
      <c r="F30403" s="13"/>
      <c r="M30403" s="13"/>
    </row>
    <row r="30404">
      <c r="F30404" s="13"/>
      <c r="M30404" s="13"/>
    </row>
    <row r="30405">
      <c r="F30405" s="13"/>
      <c r="M30405" s="13"/>
    </row>
    <row r="30406">
      <c r="F30406" s="13"/>
      <c r="M30406" s="13"/>
    </row>
    <row r="30407">
      <c r="F30407" s="13"/>
      <c r="M30407" s="13"/>
    </row>
    <row r="30408">
      <c r="F30408" s="13"/>
      <c r="M30408" s="13"/>
    </row>
    <row r="30409">
      <c r="F30409" s="13"/>
      <c r="M30409" s="13"/>
    </row>
    <row r="30410">
      <c r="F30410" s="13"/>
      <c r="M30410" s="13"/>
    </row>
    <row r="30411">
      <c r="F30411" s="13"/>
      <c r="M30411" s="13"/>
    </row>
    <row r="30412">
      <c r="F30412" s="13"/>
      <c r="M30412" s="13"/>
    </row>
    <row r="30413">
      <c r="F30413" s="13"/>
      <c r="M30413" s="13"/>
    </row>
    <row r="30414">
      <c r="F30414" s="13"/>
      <c r="M30414" s="13"/>
    </row>
    <row r="30415">
      <c r="F30415" s="13"/>
      <c r="M30415" s="13"/>
    </row>
    <row r="30416">
      <c r="F30416" s="13"/>
      <c r="M30416" s="13"/>
    </row>
    <row r="30417">
      <c r="F30417" s="13"/>
      <c r="M30417" s="13"/>
    </row>
    <row r="30418">
      <c r="F30418" s="13"/>
      <c r="M30418" s="13"/>
    </row>
    <row r="30419">
      <c r="F30419" s="13"/>
      <c r="M30419" s="13"/>
    </row>
    <row r="30420">
      <c r="F30420" s="13"/>
      <c r="M30420" s="13"/>
    </row>
    <row r="30421">
      <c r="F30421" s="13"/>
      <c r="M30421" s="13"/>
    </row>
    <row r="30422">
      <c r="F30422" s="13"/>
      <c r="M30422" s="13"/>
    </row>
    <row r="30423">
      <c r="F30423" s="13"/>
      <c r="M30423" s="13"/>
    </row>
    <row r="30424">
      <c r="F30424" s="13"/>
      <c r="M30424" s="13"/>
    </row>
    <row r="30425">
      <c r="F30425" s="13"/>
      <c r="M30425" s="13"/>
    </row>
    <row r="30426">
      <c r="F30426" s="13"/>
      <c r="M30426" s="13"/>
    </row>
    <row r="30427">
      <c r="F30427" s="13"/>
      <c r="M30427" s="13"/>
    </row>
    <row r="30428">
      <c r="F30428" s="13"/>
      <c r="M30428" s="13"/>
    </row>
    <row r="30429">
      <c r="F30429" s="13"/>
      <c r="M30429" s="13"/>
    </row>
    <row r="30430">
      <c r="F30430" s="13"/>
      <c r="M30430" s="13"/>
    </row>
    <row r="30431">
      <c r="F30431" s="13"/>
      <c r="M30431" s="13"/>
    </row>
    <row r="30432">
      <c r="F30432" s="13"/>
      <c r="M30432" s="13"/>
    </row>
    <row r="30433">
      <c r="F30433" s="13"/>
      <c r="M30433" s="13"/>
    </row>
    <row r="30434">
      <c r="F30434" s="13"/>
      <c r="M30434" s="13"/>
    </row>
    <row r="30435">
      <c r="F30435" s="13"/>
      <c r="M30435" s="13"/>
    </row>
    <row r="30436">
      <c r="F30436" s="13"/>
      <c r="M30436" s="13"/>
    </row>
    <row r="30437">
      <c r="F30437" s="13"/>
      <c r="M30437" s="13"/>
    </row>
    <row r="30438">
      <c r="F30438" s="13"/>
      <c r="M30438" s="13"/>
    </row>
    <row r="30439">
      <c r="F30439" s="13"/>
      <c r="M30439" s="13"/>
    </row>
    <row r="30440">
      <c r="F30440" s="13"/>
      <c r="M30440" s="13"/>
    </row>
    <row r="30441">
      <c r="F30441" s="13"/>
      <c r="M30441" s="13"/>
    </row>
    <row r="30442">
      <c r="F30442" s="13"/>
      <c r="M30442" s="13"/>
    </row>
    <row r="30443">
      <c r="F30443" s="13"/>
      <c r="M30443" s="13"/>
    </row>
    <row r="30444">
      <c r="F30444" s="13"/>
      <c r="M30444" s="13"/>
    </row>
    <row r="30445">
      <c r="F30445" s="13"/>
      <c r="M30445" s="13"/>
    </row>
    <row r="30446">
      <c r="F30446" s="13"/>
      <c r="M30446" s="13"/>
    </row>
    <row r="30447">
      <c r="F30447" s="13"/>
      <c r="M30447" s="13"/>
    </row>
    <row r="30448">
      <c r="F30448" s="13"/>
      <c r="M30448" s="13"/>
    </row>
    <row r="30449">
      <c r="F30449" s="13"/>
      <c r="M30449" s="13"/>
    </row>
    <row r="30450">
      <c r="F30450" s="13"/>
      <c r="M30450" s="13"/>
    </row>
    <row r="30451">
      <c r="F30451" s="13"/>
      <c r="M30451" s="13"/>
    </row>
    <row r="30452">
      <c r="F30452" s="13"/>
      <c r="M30452" s="13"/>
    </row>
    <row r="30453">
      <c r="F30453" s="13"/>
      <c r="M30453" s="13"/>
    </row>
    <row r="30454">
      <c r="F30454" s="13"/>
      <c r="M30454" s="13"/>
    </row>
    <row r="30455">
      <c r="F30455" s="13"/>
      <c r="M30455" s="13"/>
    </row>
    <row r="30456">
      <c r="F30456" s="13"/>
      <c r="M30456" s="13"/>
    </row>
    <row r="30457">
      <c r="F30457" s="13"/>
      <c r="M30457" s="13"/>
    </row>
    <row r="30458">
      <c r="F30458" s="13"/>
      <c r="M30458" s="13"/>
    </row>
    <row r="30459">
      <c r="F30459" s="13"/>
      <c r="M30459" s="13"/>
    </row>
    <row r="30460">
      <c r="F30460" s="13"/>
      <c r="M30460" s="13"/>
    </row>
    <row r="30461">
      <c r="F30461" s="13"/>
      <c r="M30461" s="13"/>
    </row>
    <row r="30462">
      <c r="F30462" s="13"/>
      <c r="M30462" s="13"/>
    </row>
    <row r="30463">
      <c r="F30463" s="13"/>
      <c r="M30463" s="13"/>
    </row>
    <row r="30464">
      <c r="F30464" s="13"/>
      <c r="M30464" s="13"/>
    </row>
    <row r="30465">
      <c r="F30465" s="13"/>
      <c r="M30465" s="13"/>
    </row>
    <row r="30466">
      <c r="F30466" s="13"/>
      <c r="M30466" s="13"/>
    </row>
    <row r="30467">
      <c r="F30467" s="13"/>
      <c r="M30467" s="13"/>
    </row>
    <row r="30468">
      <c r="F30468" s="13"/>
      <c r="M30468" s="13"/>
    </row>
    <row r="30469">
      <c r="F30469" s="13"/>
      <c r="M30469" s="13"/>
    </row>
    <row r="30470">
      <c r="F30470" s="13"/>
      <c r="M30470" s="13"/>
    </row>
    <row r="30471">
      <c r="F30471" s="13"/>
      <c r="M30471" s="13"/>
    </row>
    <row r="30472">
      <c r="F30472" s="13"/>
      <c r="M30472" s="13"/>
    </row>
    <row r="30473">
      <c r="F30473" s="13"/>
      <c r="M30473" s="13"/>
    </row>
    <row r="30474">
      <c r="F30474" s="13"/>
      <c r="M30474" s="13"/>
    </row>
    <row r="30475">
      <c r="F30475" s="13"/>
      <c r="M30475" s="13"/>
    </row>
    <row r="30476">
      <c r="F30476" s="13"/>
      <c r="M30476" s="13"/>
    </row>
    <row r="30477">
      <c r="F30477" s="13"/>
      <c r="M30477" s="13"/>
    </row>
    <row r="30478">
      <c r="F30478" s="13"/>
      <c r="M30478" s="13"/>
    </row>
    <row r="30479">
      <c r="F30479" s="13"/>
      <c r="M30479" s="13"/>
    </row>
    <row r="30480">
      <c r="F30480" s="13"/>
      <c r="M30480" s="13"/>
    </row>
    <row r="30481">
      <c r="F30481" s="13"/>
      <c r="M30481" s="13"/>
    </row>
    <row r="30482">
      <c r="F30482" s="13"/>
      <c r="M30482" s="13"/>
    </row>
    <row r="30483">
      <c r="F30483" s="13"/>
      <c r="M30483" s="13"/>
    </row>
    <row r="30484">
      <c r="F30484" s="13"/>
      <c r="M30484" s="13"/>
    </row>
    <row r="30485">
      <c r="F30485" s="13"/>
      <c r="M30485" s="13"/>
    </row>
    <row r="30486">
      <c r="F30486" s="13"/>
      <c r="M30486" s="13"/>
    </row>
    <row r="30487">
      <c r="F30487" s="13"/>
      <c r="M30487" s="13"/>
    </row>
    <row r="30488">
      <c r="F30488" s="13"/>
      <c r="M30488" s="13"/>
    </row>
    <row r="30489">
      <c r="F30489" s="13"/>
      <c r="M30489" s="13"/>
    </row>
    <row r="30490">
      <c r="F30490" s="13"/>
      <c r="M30490" s="13"/>
    </row>
    <row r="30491">
      <c r="F30491" s="13"/>
      <c r="M30491" s="13"/>
    </row>
    <row r="30492">
      <c r="F30492" s="13"/>
      <c r="M30492" s="13"/>
    </row>
    <row r="30493">
      <c r="F30493" s="13"/>
      <c r="M30493" s="13"/>
    </row>
    <row r="30494">
      <c r="F30494" s="13"/>
      <c r="M30494" s="13"/>
    </row>
    <row r="30495">
      <c r="F30495" s="13"/>
      <c r="M30495" s="13"/>
    </row>
    <row r="30496">
      <c r="F30496" s="13"/>
      <c r="M30496" s="13"/>
    </row>
    <row r="30497">
      <c r="F30497" s="13"/>
      <c r="M30497" s="13"/>
    </row>
    <row r="30498">
      <c r="F30498" s="13"/>
      <c r="M30498" s="13"/>
    </row>
    <row r="30499">
      <c r="F30499" s="13"/>
      <c r="M30499" s="13"/>
    </row>
    <row r="30500">
      <c r="F30500" s="13"/>
      <c r="M30500" s="13"/>
    </row>
    <row r="30501">
      <c r="F30501" s="13"/>
      <c r="M30501" s="13"/>
    </row>
    <row r="30502">
      <c r="F30502" s="13"/>
      <c r="M30502" s="13"/>
    </row>
    <row r="30503">
      <c r="F30503" s="13"/>
      <c r="M30503" s="13"/>
    </row>
    <row r="30504">
      <c r="F30504" s="13"/>
      <c r="M30504" s="13"/>
    </row>
    <row r="30505">
      <c r="F30505" s="13"/>
      <c r="M30505" s="13"/>
    </row>
    <row r="30506">
      <c r="F30506" s="13"/>
      <c r="M30506" s="13"/>
    </row>
    <row r="30507">
      <c r="F30507" s="13"/>
      <c r="M30507" s="13"/>
    </row>
    <row r="30508">
      <c r="F30508" s="13"/>
      <c r="M30508" s="13"/>
    </row>
    <row r="30509">
      <c r="F30509" s="13"/>
      <c r="M30509" s="13"/>
    </row>
    <row r="30510">
      <c r="F30510" s="13"/>
      <c r="M30510" s="13"/>
    </row>
    <row r="30511">
      <c r="F30511" s="13"/>
      <c r="M30511" s="13"/>
    </row>
    <row r="30512">
      <c r="F30512" s="13"/>
      <c r="M30512" s="13"/>
    </row>
    <row r="30513">
      <c r="F30513" s="13"/>
      <c r="M30513" s="13"/>
    </row>
    <row r="30514">
      <c r="F30514" s="13"/>
      <c r="M30514" s="13"/>
    </row>
    <row r="30515">
      <c r="F30515" s="13"/>
      <c r="M30515" s="13"/>
    </row>
    <row r="30516">
      <c r="F30516" s="13"/>
      <c r="M30516" s="13"/>
    </row>
    <row r="30517">
      <c r="F30517" s="13"/>
      <c r="M30517" s="13"/>
    </row>
    <row r="30518">
      <c r="F30518" s="13"/>
      <c r="M30518" s="13"/>
    </row>
    <row r="30519">
      <c r="F30519" s="13"/>
      <c r="M30519" s="13"/>
    </row>
    <row r="30520">
      <c r="F30520" s="13"/>
      <c r="M30520" s="13"/>
    </row>
    <row r="30521">
      <c r="F30521" s="13"/>
      <c r="M30521" s="13"/>
    </row>
    <row r="30522">
      <c r="F30522" s="13"/>
      <c r="M30522" s="13"/>
    </row>
    <row r="30523">
      <c r="F30523" s="13"/>
      <c r="M30523" s="13"/>
    </row>
    <row r="30524">
      <c r="F30524" s="13"/>
      <c r="M30524" s="13"/>
    </row>
    <row r="30525">
      <c r="F30525" s="13"/>
      <c r="M30525" s="13"/>
    </row>
    <row r="30526">
      <c r="F30526" s="13"/>
      <c r="M30526" s="13"/>
    </row>
    <row r="30527">
      <c r="F30527" s="13"/>
      <c r="M30527" s="13"/>
    </row>
    <row r="30528">
      <c r="F30528" s="13"/>
      <c r="M30528" s="13"/>
    </row>
    <row r="30529">
      <c r="F30529" s="13"/>
      <c r="M30529" s="13"/>
    </row>
    <row r="30530">
      <c r="F30530" s="13"/>
      <c r="M30530" s="13"/>
    </row>
    <row r="30531">
      <c r="F30531" s="13"/>
      <c r="M30531" s="13"/>
    </row>
    <row r="30532">
      <c r="F30532" s="13"/>
      <c r="M30532" s="13"/>
    </row>
    <row r="30533">
      <c r="F30533" s="13"/>
      <c r="M30533" s="13"/>
    </row>
    <row r="30534">
      <c r="F30534" s="13"/>
      <c r="M30534" s="13"/>
    </row>
    <row r="30535">
      <c r="F30535" s="13"/>
      <c r="M30535" s="13"/>
    </row>
    <row r="30536">
      <c r="F30536" s="13"/>
      <c r="M30536" s="13"/>
    </row>
    <row r="30537">
      <c r="F30537" s="13"/>
      <c r="M30537" s="13"/>
    </row>
    <row r="30538">
      <c r="F30538" s="13"/>
      <c r="M30538" s="13"/>
    </row>
    <row r="30539">
      <c r="F30539" s="13"/>
      <c r="M30539" s="13"/>
    </row>
    <row r="30540">
      <c r="F30540" s="13"/>
      <c r="M30540" s="13"/>
    </row>
    <row r="30541">
      <c r="F30541" s="13"/>
      <c r="M30541" s="13"/>
    </row>
    <row r="30542">
      <c r="F30542" s="13"/>
      <c r="M30542" s="13"/>
    </row>
    <row r="30543">
      <c r="F30543" s="13"/>
      <c r="M30543" s="13"/>
    </row>
    <row r="30544">
      <c r="F30544" s="13"/>
      <c r="M30544" s="13"/>
    </row>
    <row r="30545">
      <c r="F30545" s="13"/>
      <c r="M30545" s="13"/>
    </row>
    <row r="30546">
      <c r="F30546" s="13"/>
      <c r="M30546" s="13"/>
    </row>
    <row r="30547">
      <c r="F30547" s="13"/>
      <c r="M30547" s="13"/>
    </row>
    <row r="30548">
      <c r="F30548" s="13"/>
      <c r="M30548" s="13"/>
    </row>
    <row r="30549">
      <c r="F30549" s="13"/>
      <c r="M30549" s="13"/>
    </row>
    <row r="30550">
      <c r="F30550" s="13"/>
      <c r="M30550" s="13"/>
    </row>
    <row r="30551">
      <c r="F30551" s="13"/>
      <c r="M30551" s="13"/>
    </row>
    <row r="30552">
      <c r="F30552" s="13"/>
      <c r="M30552" s="13"/>
    </row>
    <row r="30553">
      <c r="F30553" s="13"/>
      <c r="M30553" s="13"/>
    </row>
    <row r="30554">
      <c r="F30554" s="13"/>
      <c r="M30554" s="13"/>
    </row>
    <row r="30555">
      <c r="F30555" s="13"/>
      <c r="M30555" s="13"/>
    </row>
    <row r="30556">
      <c r="F30556" s="13"/>
      <c r="M30556" s="13"/>
    </row>
    <row r="30557">
      <c r="F30557" s="13"/>
      <c r="M30557" s="13"/>
    </row>
    <row r="30558">
      <c r="F30558" s="13"/>
      <c r="M30558" s="13"/>
    </row>
    <row r="30559">
      <c r="F30559" s="13"/>
      <c r="M30559" s="13"/>
    </row>
    <row r="30560">
      <c r="F30560" s="13"/>
      <c r="M30560" s="13"/>
    </row>
    <row r="30561">
      <c r="F30561" s="13"/>
      <c r="M30561" s="13"/>
    </row>
    <row r="30562">
      <c r="F30562" s="13"/>
      <c r="M30562" s="13"/>
    </row>
    <row r="30563">
      <c r="F30563" s="13"/>
      <c r="M30563" s="13"/>
    </row>
    <row r="30564">
      <c r="F30564" s="13"/>
      <c r="M30564" s="13"/>
    </row>
    <row r="30565">
      <c r="F30565" s="13"/>
      <c r="M30565" s="13"/>
    </row>
    <row r="30566">
      <c r="F30566" s="13"/>
      <c r="M30566" s="13"/>
    </row>
    <row r="30567">
      <c r="F30567" s="13"/>
      <c r="M30567" s="13"/>
    </row>
    <row r="30568">
      <c r="F30568" s="13"/>
      <c r="M30568" s="13"/>
    </row>
    <row r="30569">
      <c r="F30569" s="13"/>
      <c r="M30569" s="13"/>
    </row>
    <row r="30570">
      <c r="F30570" s="13"/>
      <c r="M30570" s="13"/>
    </row>
    <row r="30571">
      <c r="F30571" s="13"/>
      <c r="M30571" s="13"/>
    </row>
    <row r="30572">
      <c r="F30572" s="13"/>
      <c r="M30572" s="13"/>
    </row>
    <row r="30573">
      <c r="F30573" s="13"/>
      <c r="M30573" s="13"/>
    </row>
    <row r="30574">
      <c r="F30574" s="13"/>
      <c r="M30574" s="13"/>
    </row>
    <row r="30575">
      <c r="F30575" s="13"/>
      <c r="M30575" s="13"/>
    </row>
    <row r="30576">
      <c r="F30576" s="13"/>
      <c r="M30576" s="13"/>
    </row>
    <row r="30577">
      <c r="F30577" s="13"/>
      <c r="M30577" s="13"/>
    </row>
    <row r="30578">
      <c r="F30578" s="13"/>
      <c r="M30578" s="13"/>
    </row>
    <row r="30579">
      <c r="F30579" s="13"/>
      <c r="M30579" s="13"/>
    </row>
    <row r="30580">
      <c r="F30580" s="13"/>
      <c r="M30580" s="13"/>
    </row>
    <row r="30581">
      <c r="F30581" s="13"/>
      <c r="M30581" s="13"/>
    </row>
    <row r="30582">
      <c r="F30582" s="13"/>
      <c r="M30582" s="13"/>
    </row>
    <row r="30583">
      <c r="F30583" s="13"/>
      <c r="M30583" s="13"/>
    </row>
    <row r="30584">
      <c r="F30584" s="13"/>
      <c r="M30584" s="13"/>
    </row>
    <row r="30585">
      <c r="F30585" s="13"/>
      <c r="M30585" s="13"/>
    </row>
    <row r="30586">
      <c r="F30586" s="13"/>
      <c r="M30586" s="13"/>
    </row>
    <row r="30587">
      <c r="F30587" s="13"/>
      <c r="M30587" s="13"/>
    </row>
    <row r="30588">
      <c r="F30588" s="13"/>
      <c r="M30588" s="13"/>
    </row>
    <row r="30589">
      <c r="F30589" s="13"/>
      <c r="M30589" s="13"/>
    </row>
    <row r="30590">
      <c r="F30590" s="13"/>
      <c r="M30590" s="13"/>
    </row>
    <row r="30591">
      <c r="F30591" s="13"/>
      <c r="M30591" s="13"/>
    </row>
    <row r="30592">
      <c r="F30592" s="13"/>
      <c r="M30592" s="13"/>
    </row>
    <row r="30593">
      <c r="F30593" s="13"/>
      <c r="M30593" s="13"/>
    </row>
    <row r="30594">
      <c r="F30594" s="13"/>
      <c r="M30594" s="13"/>
    </row>
    <row r="30595">
      <c r="F30595" s="13"/>
      <c r="M30595" s="13"/>
    </row>
    <row r="30596">
      <c r="F30596" s="13"/>
      <c r="M30596" s="13"/>
    </row>
    <row r="30597">
      <c r="F30597" s="13"/>
      <c r="M30597" s="13"/>
    </row>
    <row r="30598">
      <c r="F30598" s="13"/>
      <c r="M30598" s="13"/>
    </row>
    <row r="30599">
      <c r="F30599" s="13"/>
      <c r="M30599" s="13"/>
    </row>
    <row r="30600">
      <c r="F30600" s="13"/>
      <c r="M30600" s="13"/>
    </row>
    <row r="30601">
      <c r="F30601" s="13"/>
      <c r="M30601" s="13"/>
    </row>
    <row r="30602">
      <c r="F30602" s="13"/>
      <c r="M30602" s="13"/>
    </row>
    <row r="30603">
      <c r="F30603" s="13"/>
      <c r="M30603" s="13"/>
    </row>
    <row r="30604">
      <c r="F30604" s="13"/>
      <c r="M30604" s="13"/>
    </row>
    <row r="30605">
      <c r="F30605" s="13"/>
      <c r="M30605" s="13"/>
    </row>
    <row r="30606">
      <c r="F30606" s="13"/>
      <c r="M30606" s="13"/>
    </row>
    <row r="30607">
      <c r="F30607" s="13"/>
      <c r="M30607" s="13"/>
    </row>
    <row r="30608">
      <c r="F30608" s="13"/>
      <c r="M30608" s="13"/>
    </row>
    <row r="30609">
      <c r="F30609" s="13"/>
      <c r="M30609" s="13"/>
    </row>
    <row r="30610">
      <c r="F30610" s="13"/>
      <c r="M30610" s="13"/>
    </row>
    <row r="30611">
      <c r="F30611" s="13"/>
      <c r="M30611" s="13"/>
    </row>
    <row r="30612">
      <c r="F30612" s="13"/>
      <c r="M30612" s="13"/>
    </row>
    <row r="30613">
      <c r="F30613" s="13"/>
      <c r="M30613" s="13"/>
    </row>
    <row r="30614">
      <c r="F30614" s="13"/>
      <c r="M30614" s="13"/>
    </row>
    <row r="30615">
      <c r="F30615" s="13"/>
      <c r="M30615" s="13"/>
    </row>
    <row r="30616">
      <c r="F30616" s="13"/>
      <c r="M30616" s="13"/>
    </row>
    <row r="30617">
      <c r="F30617" s="13"/>
      <c r="M30617" s="13"/>
    </row>
    <row r="30618">
      <c r="F30618" s="13"/>
      <c r="M30618" s="13"/>
    </row>
    <row r="30619">
      <c r="F30619" s="13"/>
      <c r="M30619" s="13"/>
    </row>
    <row r="30620">
      <c r="F30620" s="13"/>
      <c r="M30620" s="13"/>
    </row>
    <row r="30621">
      <c r="F30621" s="13"/>
      <c r="M30621" s="13"/>
    </row>
    <row r="30622">
      <c r="F30622" s="13"/>
      <c r="M30622" s="13"/>
    </row>
    <row r="30623">
      <c r="F30623" s="13"/>
      <c r="M30623" s="13"/>
    </row>
    <row r="30624">
      <c r="F30624" s="13"/>
      <c r="M30624" s="13"/>
    </row>
    <row r="30625">
      <c r="F30625" s="13"/>
      <c r="M30625" s="13"/>
    </row>
    <row r="30626">
      <c r="F30626" s="13"/>
      <c r="M30626" s="13"/>
    </row>
    <row r="30627">
      <c r="F30627" s="13"/>
      <c r="M30627" s="13"/>
    </row>
    <row r="30628">
      <c r="F30628" s="13"/>
      <c r="M30628" s="13"/>
    </row>
    <row r="30629">
      <c r="F30629" s="13"/>
      <c r="M30629" s="13"/>
    </row>
    <row r="30630">
      <c r="F30630" s="13"/>
      <c r="M30630" s="13"/>
    </row>
    <row r="30631">
      <c r="F30631" s="13"/>
      <c r="M30631" s="13"/>
    </row>
    <row r="30632">
      <c r="F30632" s="13"/>
      <c r="M30632" s="13"/>
    </row>
    <row r="30633">
      <c r="F30633" s="13"/>
      <c r="M30633" s="13"/>
    </row>
    <row r="30634">
      <c r="F30634" s="13"/>
      <c r="M30634" s="13"/>
    </row>
    <row r="30635">
      <c r="F30635" s="13"/>
      <c r="M30635" s="13"/>
    </row>
    <row r="30636">
      <c r="F30636" s="13"/>
      <c r="M30636" s="13"/>
    </row>
    <row r="30637">
      <c r="F30637" s="13"/>
      <c r="M30637" s="13"/>
    </row>
    <row r="30638">
      <c r="F30638" s="13"/>
      <c r="M30638" s="13"/>
    </row>
    <row r="30639">
      <c r="F30639" s="13"/>
      <c r="M30639" s="13"/>
    </row>
    <row r="30640">
      <c r="F30640" s="13"/>
      <c r="M30640" s="13"/>
    </row>
    <row r="30641">
      <c r="F30641" s="13"/>
      <c r="M30641" s="13"/>
    </row>
    <row r="30642">
      <c r="F30642" s="13"/>
      <c r="M30642" s="13"/>
    </row>
    <row r="30643">
      <c r="F30643" s="13"/>
      <c r="M30643" s="13"/>
    </row>
    <row r="30644">
      <c r="F30644" s="13"/>
      <c r="M30644" s="13"/>
    </row>
    <row r="30645">
      <c r="F30645" s="13"/>
      <c r="M30645" s="13"/>
    </row>
    <row r="30646">
      <c r="F30646" s="13"/>
      <c r="M30646" s="13"/>
    </row>
    <row r="30647">
      <c r="F30647" s="13"/>
      <c r="M30647" s="13"/>
    </row>
    <row r="30648">
      <c r="F30648" s="13"/>
      <c r="M30648" s="13"/>
    </row>
    <row r="30649">
      <c r="F30649" s="13"/>
      <c r="M30649" s="13"/>
    </row>
    <row r="30650">
      <c r="F30650" s="13"/>
      <c r="M30650" s="13"/>
    </row>
    <row r="30651">
      <c r="F30651" s="13"/>
      <c r="M30651" s="13"/>
    </row>
    <row r="30652">
      <c r="F30652" s="13"/>
      <c r="M30652" s="13"/>
    </row>
    <row r="30653">
      <c r="F30653" s="13"/>
      <c r="M30653" s="13"/>
    </row>
    <row r="30654">
      <c r="F30654" s="13"/>
      <c r="M30654" s="13"/>
    </row>
    <row r="30655">
      <c r="F30655" s="13"/>
      <c r="M30655" s="13"/>
    </row>
    <row r="30656">
      <c r="F30656" s="13"/>
      <c r="M30656" s="13"/>
    </row>
    <row r="30657">
      <c r="F30657" s="13"/>
      <c r="M30657" s="13"/>
    </row>
    <row r="30658">
      <c r="F30658" s="13"/>
      <c r="M30658" s="13"/>
    </row>
    <row r="30659">
      <c r="F30659" s="13"/>
      <c r="M30659" s="13"/>
    </row>
    <row r="30660">
      <c r="F30660" s="13"/>
      <c r="M30660" s="13"/>
    </row>
    <row r="30661">
      <c r="F30661" s="13"/>
      <c r="M30661" s="13"/>
    </row>
    <row r="30662">
      <c r="F30662" s="13"/>
      <c r="M30662" s="13"/>
    </row>
    <row r="30663">
      <c r="F30663" s="13"/>
      <c r="M30663" s="13"/>
    </row>
    <row r="30664">
      <c r="F30664" s="13"/>
      <c r="M30664" s="13"/>
    </row>
    <row r="30665">
      <c r="F30665" s="13"/>
      <c r="M30665" s="13"/>
    </row>
    <row r="30666">
      <c r="F30666" s="13"/>
      <c r="M30666" s="13"/>
    </row>
    <row r="30667">
      <c r="F30667" s="13"/>
      <c r="M30667" s="13"/>
    </row>
    <row r="30668">
      <c r="F30668" s="13"/>
      <c r="M30668" s="13"/>
    </row>
    <row r="30669">
      <c r="F30669" s="13"/>
      <c r="M30669" s="13"/>
    </row>
    <row r="30670">
      <c r="F30670" s="13"/>
      <c r="M30670" s="13"/>
    </row>
    <row r="30671">
      <c r="F30671" s="13"/>
      <c r="M30671" s="13"/>
    </row>
    <row r="30672">
      <c r="F30672" s="13"/>
      <c r="M30672" s="13"/>
    </row>
    <row r="30673">
      <c r="F30673" s="13"/>
      <c r="M30673" s="13"/>
    </row>
    <row r="30674">
      <c r="F30674" s="13"/>
      <c r="M30674" s="13"/>
    </row>
    <row r="30675">
      <c r="F30675" s="13"/>
      <c r="M30675" s="13"/>
    </row>
    <row r="30676">
      <c r="F30676" s="13"/>
      <c r="M30676" s="13"/>
    </row>
    <row r="30677">
      <c r="F30677" s="13"/>
      <c r="M30677" s="13"/>
    </row>
    <row r="30678">
      <c r="F30678" s="13"/>
      <c r="M30678" s="13"/>
    </row>
    <row r="30679">
      <c r="F30679" s="13"/>
      <c r="M30679" s="13"/>
    </row>
    <row r="30680">
      <c r="F30680" s="13"/>
      <c r="M30680" s="13"/>
    </row>
    <row r="30681">
      <c r="F30681" s="13"/>
      <c r="M30681" s="13"/>
    </row>
    <row r="30682">
      <c r="F30682" s="13"/>
      <c r="M30682" s="13"/>
    </row>
    <row r="30683">
      <c r="F30683" s="13"/>
      <c r="M30683" s="13"/>
    </row>
    <row r="30684">
      <c r="F30684" s="13"/>
      <c r="M30684" s="13"/>
    </row>
    <row r="30685">
      <c r="F30685" s="13"/>
      <c r="M30685" s="13"/>
    </row>
    <row r="30686">
      <c r="F30686" s="13"/>
      <c r="M30686" s="13"/>
    </row>
    <row r="30687">
      <c r="F30687" s="13"/>
      <c r="M30687" s="13"/>
    </row>
    <row r="30688">
      <c r="F30688" s="13"/>
      <c r="M30688" s="13"/>
    </row>
    <row r="30689">
      <c r="F30689" s="13"/>
      <c r="M30689" s="13"/>
    </row>
    <row r="30690">
      <c r="F30690" s="13"/>
      <c r="M30690" s="13"/>
    </row>
    <row r="30691">
      <c r="F30691" s="13"/>
      <c r="M30691" s="13"/>
    </row>
    <row r="30692">
      <c r="F30692" s="13"/>
      <c r="M30692" s="13"/>
    </row>
    <row r="30693">
      <c r="F30693" s="13"/>
      <c r="M30693" s="13"/>
    </row>
    <row r="30694">
      <c r="F30694" s="13"/>
      <c r="M30694" s="13"/>
    </row>
    <row r="30695">
      <c r="F30695" s="13"/>
      <c r="M30695" s="13"/>
    </row>
    <row r="30696">
      <c r="F30696" s="13"/>
      <c r="M30696" s="13"/>
    </row>
    <row r="30697">
      <c r="F30697" s="13"/>
      <c r="M30697" s="13"/>
    </row>
    <row r="30698">
      <c r="F30698" s="13"/>
      <c r="M30698" s="13"/>
    </row>
    <row r="30699">
      <c r="F30699" s="13"/>
      <c r="M30699" s="13"/>
    </row>
    <row r="30700">
      <c r="F30700" s="13"/>
      <c r="M30700" s="13"/>
    </row>
    <row r="30701">
      <c r="F30701" s="13"/>
      <c r="M30701" s="13"/>
    </row>
    <row r="30702">
      <c r="F30702" s="13"/>
      <c r="M30702" s="13"/>
    </row>
    <row r="30703">
      <c r="F30703" s="13"/>
      <c r="M30703" s="13"/>
    </row>
    <row r="30704">
      <c r="F30704" s="13"/>
      <c r="M30704" s="13"/>
    </row>
    <row r="30705">
      <c r="F30705" s="13"/>
      <c r="M30705" s="13"/>
    </row>
    <row r="30706">
      <c r="F30706" s="13"/>
      <c r="M30706" s="13"/>
    </row>
    <row r="30707">
      <c r="F30707" s="13"/>
      <c r="M30707" s="13"/>
    </row>
    <row r="30708">
      <c r="F30708" s="13"/>
      <c r="M30708" s="13"/>
    </row>
    <row r="30709">
      <c r="F30709" s="13"/>
      <c r="M30709" s="13"/>
    </row>
    <row r="30710">
      <c r="F30710" s="13"/>
      <c r="M30710" s="13"/>
    </row>
    <row r="30711">
      <c r="F30711" s="13"/>
      <c r="M30711" s="13"/>
    </row>
    <row r="30712">
      <c r="F30712" s="13"/>
      <c r="M30712" s="13"/>
    </row>
    <row r="30713">
      <c r="F30713" s="13"/>
      <c r="M30713" s="13"/>
    </row>
    <row r="30714">
      <c r="F30714" s="13"/>
      <c r="M30714" s="13"/>
    </row>
    <row r="30715">
      <c r="F30715" s="13"/>
      <c r="M30715" s="13"/>
    </row>
    <row r="30716">
      <c r="F30716" s="13"/>
      <c r="M30716" s="13"/>
    </row>
    <row r="30717">
      <c r="F30717" s="13"/>
      <c r="M30717" s="13"/>
    </row>
    <row r="30718">
      <c r="F30718" s="13"/>
      <c r="M30718" s="13"/>
    </row>
    <row r="30719">
      <c r="F30719" s="13"/>
      <c r="M30719" s="13"/>
    </row>
    <row r="30720">
      <c r="F30720" s="13"/>
      <c r="M30720" s="13"/>
    </row>
    <row r="30721">
      <c r="F30721" s="13"/>
      <c r="M30721" s="13"/>
    </row>
    <row r="30722">
      <c r="F30722" s="13"/>
      <c r="M30722" s="13"/>
    </row>
    <row r="30723">
      <c r="F30723" s="13"/>
      <c r="M30723" s="13"/>
    </row>
    <row r="30724">
      <c r="F30724" s="13"/>
      <c r="M30724" s="13"/>
    </row>
    <row r="30725">
      <c r="F30725" s="13"/>
      <c r="M30725" s="13"/>
    </row>
    <row r="30726">
      <c r="F30726" s="13"/>
      <c r="M30726" s="13"/>
    </row>
    <row r="30727">
      <c r="F30727" s="13"/>
      <c r="M30727" s="13"/>
    </row>
    <row r="30728">
      <c r="F30728" s="13"/>
      <c r="M30728" s="13"/>
    </row>
    <row r="30729">
      <c r="F30729" s="13"/>
      <c r="M30729" s="13"/>
    </row>
    <row r="30730">
      <c r="F30730" s="13"/>
      <c r="M30730" s="13"/>
    </row>
    <row r="30731">
      <c r="F30731" s="13"/>
      <c r="M30731" s="13"/>
    </row>
    <row r="30732">
      <c r="F30732" s="13"/>
      <c r="M30732" s="13"/>
    </row>
    <row r="30733">
      <c r="F30733" s="13"/>
      <c r="M30733" s="13"/>
    </row>
    <row r="30734">
      <c r="F30734" s="13"/>
      <c r="M30734" s="13"/>
    </row>
    <row r="30735">
      <c r="F30735" s="13"/>
      <c r="M30735" s="13"/>
    </row>
    <row r="30736">
      <c r="F30736" s="13"/>
      <c r="M30736" s="13"/>
    </row>
    <row r="30737">
      <c r="F30737" s="13"/>
      <c r="M30737" s="13"/>
    </row>
    <row r="30738">
      <c r="F30738" s="13"/>
      <c r="M30738" s="13"/>
    </row>
    <row r="30739">
      <c r="F30739" s="13"/>
      <c r="M30739" s="13"/>
    </row>
    <row r="30740">
      <c r="F30740" s="13"/>
      <c r="M30740" s="13"/>
    </row>
    <row r="30741">
      <c r="F30741" s="13"/>
      <c r="M30741" s="13"/>
    </row>
    <row r="30742">
      <c r="F30742" s="13"/>
      <c r="M30742" s="13"/>
    </row>
    <row r="30743">
      <c r="F30743" s="13"/>
      <c r="M30743" s="13"/>
    </row>
    <row r="30744">
      <c r="F30744" s="13"/>
      <c r="M30744" s="13"/>
    </row>
    <row r="30745">
      <c r="F30745" s="13"/>
      <c r="M30745" s="13"/>
    </row>
    <row r="30746">
      <c r="F30746" s="13"/>
      <c r="M30746" s="13"/>
    </row>
    <row r="30747">
      <c r="F30747" s="13"/>
      <c r="M30747" s="13"/>
    </row>
    <row r="30748">
      <c r="F30748" s="13"/>
      <c r="M30748" s="13"/>
    </row>
    <row r="30749">
      <c r="F30749" s="13"/>
      <c r="M30749" s="13"/>
    </row>
    <row r="30750">
      <c r="F30750" s="13"/>
      <c r="M30750" s="13"/>
    </row>
    <row r="30751">
      <c r="F30751" s="13"/>
      <c r="M30751" s="13"/>
    </row>
    <row r="30752">
      <c r="F30752" s="13"/>
      <c r="M30752" s="13"/>
    </row>
    <row r="30753">
      <c r="F30753" s="13"/>
      <c r="M30753" s="13"/>
    </row>
    <row r="30754">
      <c r="F30754" s="13"/>
      <c r="M30754" s="13"/>
    </row>
    <row r="30755">
      <c r="F30755" s="13"/>
      <c r="M30755" s="13"/>
    </row>
    <row r="30756">
      <c r="F30756" s="13"/>
      <c r="M30756" s="13"/>
    </row>
    <row r="30757">
      <c r="F30757" s="13"/>
      <c r="M30757" s="13"/>
    </row>
    <row r="30758">
      <c r="F30758" s="13"/>
      <c r="M30758" s="13"/>
    </row>
    <row r="30759">
      <c r="F30759" s="13"/>
      <c r="M30759" s="13"/>
    </row>
    <row r="30760">
      <c r="F30760" s="13"/>
      <c r="M30760" s="13"/>
    </row>
    <row r="30761">
      <c r="F30761" s="13"/>
      <c r="M30761" s="13"/>
    </row>
    <row r="30762">
      <c r="F30762" s="13"/>
      <c r="M30762" s="13"/>
    </row>
    <row r="30763">
      <c r="F30763" s="13"/>
      <c r="M30763" s="13"/>
    </row>
    <row r="30764">
      <c r="F30764" s="13"/>
      <c r="M30764" s="13"/>
    </row>
    <row r="30765">
      <c r="F30765" s="13"/>
      <c r="M30765" s="13"/>
    </row>
    <row r="30766">
      <c r="F30766" s="13"/>
      <c r="M30766" s="13"/>
    </row>
    <row r="30767">
      <c r="F30767" s="13"/>
      <c r="M30767" s="13"/>
    </row>
    <row r="30768">
      <c r="F30768" s="13"/>
      <c r="M30768" s="13"/>
    </row>
    <row r="30769">
      <c r="F30769" s="13"/>
      <c r="M30769" s="13"/>
    </row>
    <row r="30770">
      <c r="F30770" s="13"/>
      <c r="M30770" s="13"/>
    </row>
    <row r="30771">
      <c r="F30771" s="13"/>
      <c r="M30771" s="13"/>
    </row>
    <row r="30772">
      <c r="F30772" s="13"/>
      <c r="M30772" s="13"/>
    </row>
    <row r="30773">
      <c r="F30773" s="13"/>
      <c r="M30773" s="13"/>
    </row>
    <row r="30774">
      <c r="F30774" s="13"/>
      <c r="M30774" s="13"/>
    </row>
    <row r="30775">
      <c r="F30775" s="13"/>
      <c r="M30775" s="13"/>
    </row>
    <row r="30776">
      <c r="F30776" s="13"/>
      <c r="M30776" s="13"/>
    </row>
    <row r="30777">
      <c r="F30777" s="13"/>
      <c r="M30777" s="13"/>
    </row>
    <row r="30778">
      <c r="F30778" s="13"/>
      <c r="M30778" s="13"/>
    </row>
    <row r="30779">
      <c r="F30779" s="13"/>
      <c r="M30779" s="13"/>
    </row>
    <row r="30780">
      <c r="F30780" s="13"/>
      <c r="M30780" s="13"/>
    </row>
    <row r="30781">
      <c r="F30781" s="13"/>
      <c r="M30781" s="13"/>
    </row>
    <row r="30782">
      <c r="F30782" s="13"/>
      <c r="M30782" s="13"/>
    </row>
    <row r="30783">
      <c r="F30783" s="13"/>
      <c r="M30783" s="13"/>
    </row>
    <row r="30784">
      <c r="F30784" s="13"/>
      <c r="M30784" s="13"/>
    </row>
    <row r="30785">
      <c r="F30785" s="13"/>
      <c r="M30785" s="13"/>
    </row>
    <row r="30786">
      <c r="F30786" s="13"/>
      <c r="M30786" s="13"/>
    </row>
    <row r="30787">
      <c r="F30787" s="13"/>
      <c r="M30787" s="13"/>
    </row>
    <row r="30788">
      <c r="F30788" s="13"/>
      <c r="M30788" s="13"/>
    </row>
    <row r="30789">
      <c r="F30789" s="13"/>
      <c r="M30789" s="13"/>
    </row>
    <row r="30790">
      <c r="F30790" s="13"/>
      <c r="M30790" s="13"/>
    </row>
    <row r="30791">
      <c r="F30791" s="13"/>
      <c r="M30791" s="13"/>
    </row>
    <row r="30792">
      <c r="F30792" s="13"/>
      <c r="M30792" s="13"/>
    </row>
    <row r="30793">
      <c r="F30793" s="13"/>
      <c r="M30793" s="13"/>
    </row>
    <row r="30794">
      <c r="F30794" s="13"/>
      <c r="M30794" s="13"/>
    </row>
    <row r="30795">
      <c r="F30795" s="13"/>
      <c r="M30795" s="13"/>
    </row>
    <row r="30796">
      <c r="F30796" s="13"/>
      <c r="M30796" s="13"/>
    </row>
    <row r="30797">
      <c r="F30797" s="13"/>
      <c r="M30797" s="13"/>
    </row>
    <row r="30798">
      <c r="F30798" s="13"/>
      <c r="M30798" s="13"/>
    </row>
    <row r="30799">
      <c r="F30799" s="13"/>
      <c r="M30799" s="13"/>
    </row>
    <row r="30800">
      <c r="F30800" s="13"/>
      <c r="M30800" s="13"/>
    </row>
    <row r="30801">
      <c r="F30801" s="13"/>
      <c r="M30801" s="13"/>
    </row>
    <row r="30802">
      <c r="F30802" s="13"/>
      <c r="M30802" s="13"/>
    </row>
    <row r="30803">
      <c r="F30803" s="13"/>
      <c r="M30803" s="13"/>
    </row>
    <row r="30804">
      <c r="F30804" s="13"/>
      <c r="M30804" s="13"/>
    </row>
    <row r="30805">
      <c r="F30805" s="13"/>
      <c r="M30805" s="13"/>
    </row>
    <row r="30806">
      <c r="F30806" s="13"/>
      <c r="M30806" s="13"/>
    </row>
    <row r="30807">
      <c r="F30807" s="13"/>
      <c r="M30807" s="13"/>
    </row>
    <row r="30808">
      <c r="F30808" s="13"/>
      <c r="M30808" s="13"/>
    </row>
    <row r="30809">
      <c r="F30809" s="13"/>
      <c r="M30809" s="13"/>
    </row>
    <row r="30810">
      <c r="F30810" s="13"/>
      <c r="M30810" s="13"/>
    </row>
    <row r="30811">
      <c r="F30811" s="13"/>
      <c r="M30811" s="13"/>
    </row>
    <row r="30812">
      <c r="F30812" s="13"/>
      <c r="M30812" s="13"/>
    </row>
    <row r="30813">
      <c r="F30813" s="13"/>
      <c r="M30813" s="13"/>
    </row>
    <row r="30814">
      <c r="F30814" s="13"/>
      <c r="M30814" s="13"/>
    </row>
    <row r="30815">
      <c r="F30815" s="13"/>
      <c r="M30815" s="13"/>
    </row>
    <row r="30816">
      <c r="F30816" s="13"/>
      <c r="M30816" s="13"/>
    </row>
    <row r="30817">
      <c r="F30817" s="13"/>
      <c r="M30817" s="13"/>
    </row>
    <row r="30818">
      <c r="F30818" s="13"/>
      <c r="M30818" s="13"/>
    </row>
    <row r="30819">
      <c r="F30819" s="13"/>
      <c r="M30819" s="13"/>
    </row>
    <row r="30820">
      <c r="F30820" s="13"/>
      <c r="M30820" s="13"/>
    </row>
    <row r="30821">
      <c r="F30821" s="13"/>
      <c r="M30821" s="13"/>
    </row>
    <row r="30822">
      <c r="F30822" s="13"/>
      <c r="M30822" s="13"/>
    </row>
    <row r="30823">
      <c r="F30823" s="13"/>
      <c r="M30823" s="13"/>
    </row>
    <row r="30824">
      <c r="F30824" s="13"/>
      <c r="M30824" s="13"/>
    </row>
    <row r="30825">
      <c r="F30825" s="13"/>
      <c r="M30825" s="13"/>
    </row>
    <row r="30826">
      <c r="F30826" s="13"/>
      <c r="M30826" s="13"/>
    </row>
    <row r="30827">
      <c r="F30827" s="13"/>
      <c r="M30827" s="13"/>
    </row>
    <row r="30828">
      <c r="F30828" s="13"/>
      <c r="M30828" s="13"/>
    </row>
    <row r="30829">
      <c r="F30829" s="13"/>
      <c r="M30829" s="13"/>
    </row>
    <row r="30830">
      <c r="F30830" s="13"/>
      <c r="M30830" s="13"/>
    </row>
    <row r="30831">
      <c r="F30831" s="13"/>
      <c r="M30831" s="13"/>
    </row>
    <row r="30832">
      <c r="F30832" s="13"/>
      <c r="M30832" s="13"/>
    </row>
    <row r="30833">
      <c r="F30833" s="13"/>
      <c r="M30833" s="13"/>
    </row>
    <row r="30834">
      <c r="F30834" s="13"/>
      <c r="M30834" s="13"/>
    </row>
    <row r="30835">
      <c r="F30835" s="13"/>
      <c r="M30835" s="13"/>
    </row>
    <row r="30836">
      <c r="F30836" s="13"/>
      <c r="M30836" s="13"/>
    </row>
    <row r="30837">
      <c r="F30837" s="13"/>
      <c r="M30837" s="13"/>
    </row>
    <row r="30838">
      <c r="F30838" s="13"/>
      <c r="M30838" s="13"/>
    </row>
    <row r="30839">
      <c r="F30839" s="13"/>
      <c r="M30839" s="13"/>
    </row>
    <row r="30840">
      <c r="F30840" s="13"/>
      <c r="M30840" s="13"/>
    </row>
    <row r="30841">
      <c r="F30841" s="13"/>
      <c r="M30841" s="13"/>
    </row>
    <row r="30842">
      <c r="F30842" s="13"/>
      <c r="M30842" s="13"/>
    </row>
    <row r="30843">
      <c r="F30843" s="13"/>
      <c r="M30843" s="13"/>
    </row>
    <row r="30844">
      <c r="F30844" s="13"/>
      <c r="M30844" s="13"/>
    </row>
    <row r="30845">
      <c r="F30845" s="13"/>
      <c r="M30845" s="13"/>
    </row>
    <row r="30846">
      <c r="F30846" s="13"/>
      <c r="M30846" s="13"/>
    </row>
    <row r="30847">
      <c r="F30847" s="13"/>
      <c r="M30847" s="13"/>
    </row>
    <row r="30848">
      <c r="F30848" s="13"/>
      <c r="M30848" s="13"/>
    </row>
    <row r="30849">
      <c r="F30849" s="13"/>
      <c r="M30849" s="13"/>
    </row>
    <row r="30850">
      <c r="F30850" s="13"/>
      <c r="M30850" s="13"/>
    </row>
    <row r="30851">
      <c r="F30851" s="13"/>
      <c r="M30851" s="13"/>
    </row>
    <row r="30852">
      <c r="F30852" s="13"/>
      <c r="M30852" s="13"/>
    </row>
    <row r="30853">
      <c r="F30853" s="13"/>
      <c r="M30853" s="13"/>
    </row>
    <row r="30854">
      <c r="F30854" s="13"/>
      <c r="M30854" s="13"/>
    </row>
    <row r="30855">
      <c r="F30855" s="13"/>
      <c r="M30855" s="13"/>
    </row>
    <row r="30856">
      <c r="F30856" s="13"/>
      <c r="M30856" s="13"/>
    </row>
    <row r="30857">
      <c r="F30857" s="13"/>
      <c r="M30857" s="13"/>
    </row>
    <row r="30858">
      <c r="F30858" s="13"/>
      <c r="M30858" s="13"/>
    </row>
    <row r="30859">
      <c r="F30859" s="13"/>
      <c r="M30859" s="13"/>
    </row>
    <row r="30860">
      <c r="F30860" s="13"/>
      <c r="M30860" s="13"/>
    </row>
    <row r="30861">
      <c r="F30861" s="13"/>
      <c r="M30861" s="13"/>
    </row>
    <row r="30862">
      <c r="F30862" s="13"/>
      <c r="M30862" s="13"/>
    </row>
    <row r="30863">
      <c r="F30863" s="13"/>
      <c r="M30863" s="13"/>
    </row>
    <row r="30864">
      <c r="F30864" s="13"/>
      <c r="M30864" s="13"/>
    </row>
    <row r="30865">
      <c r="F30865" s="13"/>
      <c r="M30865" s="13"/>
    </row>
    <row r="30866">
      <c r="F30866" s="13"/>
      <c r="M30866" s="13"/>
    </row>
    <row r="30867">
      <c r="F30867" s="13"/>
      <c r="M30867" s="13"/>
    </row>
    <row r="30868">
      <c r="F30868" s="13"/>
      <c r="M30868" s="13"/>
    </row>
    <row r="30869">
      <c r="F30869" s="13"/>
      <c r="M30869" s="13"/>
    </row>
    <row r="30870">
      <c r="F30870" s="13"/>
      <c r="M30870" s="13"/>
    </row>
    <row r="30871">
      <c r="F30871" s="13"/>
      <c r="M30871" s="13"/>
    </row>
    <row r="30872">
      <c r="F30872" s="13"/>
      <c r="M30872" s="13"/>
    </row>
    <row r="30873">
      <c r="F30873" s="13"/>
      <c r="M30873" s="13"/>
    </row>
    <row r="30874">
      <c r="F30874" s="13"/>
      <c r="M30874" s="13"/>
    </row>
    <row r="30875">
      <c r="F30875" s="13"/>
      <c r="M30875" s="13"/>
    </row>
    <row r="30876">
      <c r="F30876" s="13"/>
      <c r="M30876" s="13"/>
    </row>
    <row r="30877">
      <c r="F30877" s="13"/>
      <c r="M30877" s="13"/>
    </row>
    <row r="30878">
      <c r="F30878" s="13"/>
      <c r="M30878" s="13"/>
    </row>
    <row r="30879">
      <c r="F30879" s="13"/>
      <c r="M30879" s="13"/>
    </row>
    <row r="30880">
      <c r="F30880" s="13"/>
      <c r="M30880" s="13"/>
    </row>
    <row r="30881">
      <c r="F30881" s="13"/>
      <c r="M30881" s="13"/>
    </row>
    <row r="30882">
      <c r="F30882" s="13"/>
      <c r="M30882" s="13"/>
    </row>
    <row r="30883">
      <c r="F30883" s="13"/>
      <c r="M30883" s="13"/>
    </row>
    <row r="30884">
      <c r="F30884" s="13"/>
      <c r="M30884" s="13"/>
    </row>
    <row r="30885">
      <c r="F30885" s="13"/>
      <c r="M30885" s="13"/>
    </row>
    <row r="30886">
      <c r="F30886" s="13"/>
      <c r="M30886" s="13"/>
    </row>
    <row r="30887">
      <c r="F30887" s="13"/>
      <c r="M30887" s="13"/>
    </row>
    <row r="30888">
      <c r="F30888" s="13"/>
      <c r="M30888" s="13"/>
    </row>
    <row r="30889">
      <c r="F30889" s="13"/>
      <c r="M30889" s="13"/>
    </row>
    <row r="30890">
      <c r="F30890" s="13"/>
      <c r="M30890" s="13"/>
    </row>
    <row r="30891">
      <c r="F30891" s="13"/>
      <c r="M30891" s="13"/>
    </row>
    <row r="30892">
      <c r="F30892" s="13"/>
      <c r="M30892" s="13"/>
    </row>
    <row r="30893">
      <c r="F30893" s="13"/>
      <c r="M30893" s="13"/>
    </row>
    <row r="30894">
      <c r="F30894" s="13"/>
      <c r="M30894" s="13"/>
    </row>
    <row r="30895">
      <c r="F30895" s="13"/>
      <c r="M30895" s="13"/>
    </row>
    <row r="30896">
      <c r="F30896" s="13"/>
      <c r="M30896" s="13"/>
    </row>
    <row r="30897">
      <c r="F30897" s="13"/>
      <c r="M30897" s="13"/>
    </row>
    <row r="30898">
      <c r="F30898" s="13"/>
      <c r="M30898" s="13"/>
    </row>
    <row r="30899">
      <c r="F30899" s="13"/>
      <c r="M30899" s="13"/>
    </row>
    <row r="30900">
      <c r="F30900" s="13"/>
      <c r="M30900" s="13"/>
    </row>
    <row r="30901">
      <c r="F30901" s="13"/>
      <c r="M30901" s="13"/>
    </row>
    <row r="30902">
      <c r="F30902" s="13"/>
      <c r="M30902" s="13"/>
    </row>
    <row r="30903">
      <c r="F30903" s="13"/>
      <c r="M30903" s="13"/>
    </row>
    <row r="30904">
      <c r="F30904" s="13"/>
      <c r="M30904" s="13"/>
    </row>
    <row r="30905">
      <c r="F30905" s="13"/>
      <c r="M30905" s="13"/>
    </row>
    <row r="30906">
      <c r="F30906" s="13"/>
      <c r="M30906" s="13"/>
    </row>
    <row r="30907">
      <c r="F30907" s="13"/>
      <c r="M30907" s="13"/>
    </row>
    <row r="30908">
      <c r="F30908" s="13"/>
      <c r="M30908" s="13"/>
    </row>
    <row r="30909">
      <c r="F30909" s="13"/>
      <c r="M30909" s="13"/>
    </row>
    <row r="30910">
      <c r="F30910" s="13"/>
      <c r="M30910" s="13"/>
    </row>
    <row r="30911">
      <c r="F30911" s="13"/>
      <c r="M30911" s="13"/>
    </row>
    <row r="30912">
      <c r="F30912" s="13"/>
      <c r="M30912" s="13"/>
    </row>
    <row r="30913">
      <c r="F30913" s="13"/>
      <c r="M30913" s="13"/>
    </row>
    <row r="30914">
      <c r="F30914" s="13"/>
      <c r="M30914" s="13"/>
    </row>
    <row r="30915">
      <c r="F30915" s="13"/>
      <c r="M30915" s="13"/>
    </row>
    <row r="30916">
      <c r="F30916" s="13"/>
      <c r="M30916" s="13"/>
    </row>
    <row r="30917">
      <c r="F30917" s="13"/>
      <c r="M30917" s="13"/>
    </row>
    <row r="30918">
      <c r="F30918" s="13"/>
      <c r="M30918" s="13"/>
    </row>
    <row r="30919">
      <c r="F30919" s="13"/>
      <c r="M30919" s="13"/>
    </row>
    <row r="30920">
      <c r="F30920" s="13"/>
      <c r="M30920" s="13"/>
    </row>
    <row r="30921">
      <c r="F30921" s="13"/>
      <c r="M30921" s="13"/>
    </row>
    <row r="30922">
      <c r="F30922" s="13"/>
      <c r="M30922" s="13"/>
    </row>
    <row r="30923">
      <c r="F30923" s="13"/>
      <c r="M30923" s="13"/>
    </row>
    <row r="30924">
      <c r="F30924" s="13"/>
      <c r="M30924" s="13"/>
    </row>
    <row r="30925">
      <c r="F30925" s="13"/>
      <c r="M30925" s="13"/>
    </row>
    <row r="30926">
      <c r="F30926" s="13"/>
      <c r="M30926" s="13"/>
    </row>
    <row r="30927">
      <c r="F30927" s="13"/>
      <c r="M30927" s="13"/>
    </row>
    <row r="30928">
      <c r="F30928" s="13"/>
      <c r="M30928" s="13"/>
    </row>
    <row r="30929">
      <c r="F30929" s="13"/>
      <c r="M30929" s="13"/>
    </row>
    <row r="30930">
      <c r="F30930" s="13"/>
      <c r="M30930" s="13"/>
    </row>
    <row r="30931">
      <c r="F30931" s="13"/>
      <c r="M30931" s="13"/>
    </row>
    <row r="30932">
      <c r="F30932" s="13"/>
      <c r="M30932" s="13"/>
    </row>
    <row r="30933">
      <c r="F30933" s="13"/>
      <c r="M30933" s="13"/>
    </row>
    <row r="30934">
      <c r="F30934" s="13"/>
      <c r="M30934" s="13"/>
    </row>
    <row r="30935">
      <c r="F30935" s="13"/>
      <c r="M30935" s="13"/>
    </row>
    <row r="30936">
      <c r="F30936" s="13"/>
      <c r="M30936" s="13"/>
    </row>
    <row r="30937">
      <c r="F30937" s="13"/>
      <c r="M30937" s="13"/>
    </row>
    <row r="30938">
      <c r="F30938" s="13"/>
      <c r="M30938" s="13"/>
    </row>
    <row r="30939">
      <c r="F30939" s="13"/>
      <c r="M30939" s="13"/>
    </row>
    <row r="30940">
      <c r="F30940" s="13"/>
      <c r="M30940" s="13"/>
    </row>
    <row r="30941">
      <c r="F30941" s="13"/>
      <c r="M30941" s="13"/>
    </row>
    <row r="30942">
      <c r="F30942" s="13"/>
      <c r="M30942" s="13"/>
    </row>
    <row r="30943">
      <c r="F30943" s="13"/>
      <c r="M30943" s="13"/>
    </row>
    <row r="30944">
      <c r="F30944" s="13"/>
      <c r="M30944" s="13"/>
    </row>
    <row r="30945">
      <c r="F30945" s="13"/>
      <c r="M30945" s="13"/>
    </row>
    <row r="30946">
      <c r="F30946" s="13"/>
      <c r="M30946" s="13"/>
    </row>
    <row r="30947">
      <c r="F30947" s="13"/>
      <c r="M30947" s="13"/>
    </row>
    <row r="30948">
      <c r="F30948" s="13"/>
      <c r="M30948" s="13"/>
    </row>
    <row r="30949">
      <c r="F30949" s="13"/>
      <c r="M30949" s="13"/>
    </row>
    <row r="30950">
      <c r="F30950" s="13"/>
      <c r="M30950" s="13"/>
    </row>
    <row r="30951">
      <c r="F30951" s="13"/>
      <c r="M30951" s="13"/>
    </row>
    <row r="30952">
      <c r="F30952" s="13"/>
      <c r="M30952" s="13"/>
    </row>
    <row r="30953">
      <c r="F30953" s="13"/>
      <c r="M30953" s="13"/>
    </row>
    <row r="30954">
      <c r="F30954" s="13"/>
      <c r="M30954" s="13"/>
    </row>
    <row r="30955">
      <c r="F30955" s="13"/>
      <c r="M30955" s="13"/>
    </row>
    <row r="30956">
      <c r="F30956" s="13"/>
      <c r="M30956" s="13"/>
    </row>
    <row r="30957">
      <c r="F30957" s="13"/>
      <c r="M30957" s="13"/>
    </row>
    <row r="30958">
      <c r="F30958" s="13"/>
      <c r="M30958" s="13"/>
    </row>
    <row r="30959">
      <c r="F30959" s="13"/>
      <c r="M30959" s="13"/>
    </row>
    <row r="30960">
      <c r="F30960" s="13"/>
      <c r="M30960" s="13"/>
    </row>
    <row r="30961">
      <c r="F30961" s="13"/>
      <c r="M30961" s="13"/>
    </row>
    <row r="30962">
      <c r="F30962" s="13"/>
      <c r="M30962" s="13"/>
    </row>
    <row r="30963">
      <c r="F30963" s="13"/>
      <c r="M30963" s="13"/>
    </row>
    <row r="30964">
      <c r="F30964" s="13"/>
      <c r="M30964" s="13"/>
    </row>
    <row r="30965">
      <c r="F30965" s="13"/>
      <c r="M30965" s="13"/>
    </row>
    <row r="30966">
      <c r="F30966" s="13"/>
      <c r="M30966" s="13"/>
    </row>
    <row r="30967">
      <c r="F30967" s="13"/>
      <c r="M30967" s="13"/>
    </row>
    <row r="30968">
      <c r="F30968" s="13"/>
      <c r="M30968" s="13"/>
    </row>
    <row r="30969">
      <c r="F30969" s="13"/>
      <c r="M30969" s="13"/>
    </row>
    <row r="30970">
      <c r="F30970" s="13"/>
      <c r="M30970" s="13"/>
    </row>
    <row r="30971">
      <c r="F30971" s="13"/>
      <c r="M30971" s="13"/>
    </row>
    <row r="30972">
      <c r="F30972" s="13"/>
      <c r="M30972" s="13"/>
    </row>
    <row r="30973">
      <c r="F30973" s="13"/>
      <c r="M30973" s="13"/>
    </row>
    <row r="30974">
      <c r="F30974" s="13"/>
      <c r="M30974" s="13"/>
    </row>
    <row r="30975">
      <c r="F30975" s="13"/>
      <c r="M30975" s="13"/>
    </row>
    <row r="30976">
      <c r="F30976" s="13"/>
      <c r="M30976" s="13"/>
    </row>
    <row r="30977">
      <c r="F30977" s="13"/>
      <c r="M30977" s="13"/>
    </row>
    <row r="30978">
      <c r="F30978" s="13"/>
      <c r="M30978" s="13"/>
    </row>
    <row r="30979">
      <c r="F30979" s="13"/>
      <c r="M30979" s="13"/>
    </row>
    <row r="30980">
      <c r="F30980" s="13"/>
      <c r="M30980" s="13"/>
    </row>
    <row r="30981">
      <c r="F30981" s="13"/>
      <c r="M30981" s="13"/>
    </row>
    <row r="30982">
      <c r="F30982" s="13"/>
      <c r="M30982" s="13"/>
    </row>
    <row r="30983">
      <c r="F30983" s="13"/>
      <c r="M30983" s="13"/>
    </row>
    <row r="30984">
      <c r="F30984" s="13"/>
      <c r="M30984" s="13"/>
    </row>
    <row r="30985">
      <c r="F30985" s="13"/>
      <c r="M30985" s="13"/>
    </row>
    <row r="30986">
      <c r="F30986" s="13"/>
      <c r="M30986" s="13"/>
    </row>
    <row r="30987">
      <c r="F30987" s="13"/>
      <c r="M30987" s="13"/>
    </row>
    <row r="30988">
      <c r="F30988" s="13"/>
      <c r="M30988" s="13"/>
    </row>
    <row r="30989">
      <c r="F30989" s="13"/>
      <c r="M30989" s="13"/>
    </row>
    <row r="30990">
      <c r="F30990" s="13"/>
      <c r="M30990" s="13"/>
    </row>
    <row r="30991">
      <c r="F30991" s="13"/>
      <c r="M30991" s="13"/>
    </row>
    <row r="30992">
      <c r="F30992" s="13"/>
      <c r="M30992" s="13"/>
    </row>
    <row r="30993">
      <c r="F30993" s="13"/>
      <c r="M30993" s="13"/>
    </row>
    <row r="30994">
      <c r="F30994" s="13"/>
      <c r="M30994" s="13"/>
    </row>
    <row r="30995">
      <c r="F30995" s="13"/>
      <c r="M30995" s="13"/>
    </row>
    <row r="30996">
      <c r="F30996" s="13"/>
      <c r="M30996" s="13"/>
    </row>
    <row r="30997">
      <c r="F30997" s="13"/>
      <c r="M30997" s="13"/>
    </row>
    <row r="30998">
      <c r="F30998" s="13"/>
      <c r="M30998" s="13"/>
    </row>
    <row r="30999">
      <c r="F30999" s="13"/>
      <c r="M30999" s="13"/>
    </row>
    <row r="31000">
      <c r="F31000" s="13"/>
      <c r="M31000" s="13"/>
    </row>
    <row r="31001">
      <c r="F31001" s="13"/>
      <c r="M31001" s="13"/>
    </row>
    <row r="31002">
      <c r="F31002" s="13"/>
      <c r="M31002" s="13"/>
    </row>
    <row r="31003">
      <c r="F31003" s="13"/>
      <c r="M31003" s="13"/>
    </row>
    <row r="31004">
      <c r="F31004" s="13"/>
      <c r="M31004" s="13"/>
    </row>
    <row r="31005">
      <c r="F31005" s="13"/>
      <c r="M31005" s="13"/>
    </row>
    <row r="31006">
      <c r="F31006" s="13"/>
      <c r="M31006" s="13"/>
    </row>
    <row r="31007">
      <c r="F31007" s="13"/>
      <c r="M31007" s="13"/>
    </row>
    <row r="31008">
      <c r="F31008" s="13"/>
      <c r="M31008" s="13"/>
    </row>
    <row r="31009">
      <c r="F31009" s="13"/>
      <c r="M31009" s="13"/>
    </row>
    <row r="31010">
      <c r="F31010" s="13"/>
      <c r="M31010" s="13"/>
    </row>
    <row r="31011">
      <c r="F31011" s="13"/>
      <c r="M31011" s="13"/>
    </row>
    <row r="31012">
      <c r="F31012" s="13"/>
      <c r="M31012" s="13"/>
    </row>
    <row r="31013">
      <c r="F31013" s="13"/>
      <c r="M31013" s="13"/>
    </row>
    <row r="31014">
      <c r="F31014" s="13"/>
      <c r="M31014" s="13"/>
    </row>
    <row r="31015">
      <c r="F31015" s="13"/>
      <c r="M31015" s="13"/>
    </row>
    <row r="31016">
      <c r="F31016" s="13"/>
      <c r="M31016" s="13"/>
    </row>
    <row r="31017">
      <c r="F31017" s="13"/>
      <c r="M31017" s="13"/>
    </row>
    <row r="31018">
      <c r="F31018" s="13"/>
      <c r="M31018" s="13"/>
    </row>
    <row r="31019">
      <c r="F31019" s="13"/>
      <c r="M31019" s="13"/>
    </row>
    <row r="31020">
      <c r="F31020" s="13"/>
      <c r="M31020" s="13"/>
    </row>
    <row r="31021">
      <c r="F31021" s="13"/>
      <c r="M31021" s="13"/>
    </row>
    <row r="31022">
      <c r="F31022" s="13"/>
      <c r="M31022" s="13"/>
    </row>
    <row r="31023">
      <c r="F31023" s="13"/>
      <c r="M31023" s="13"/>
    </row>
    <row r="31024">
      <c r="F31024" s="13"/>
      <c r="M31024" s="13"/>
    </row>
    <row r="31025">
      <c r="F31025" s="13"/>
      <c r="M31025" s="13"/>
    </row>
    <row r="31026">
      <c r="F31026" s="13"/>
      <c r="M31026" s="13"/>
    </row>
    <row r="31027">
      <c r="F31027" s="13"/>
      <c r="M31027" s="13"/>
    </row>
    <row r="31028">
      <c r="F31028" s="13"/>
      <c r="M31028" s="13"/>
    </row>
    <row r="31029">
      <c r="F31029" s="13"/>
      <c r="M31029" s="13"/>
    </row>
    <row r="31030">
      <c r="F31030" s="13"/>
      <c r="M31030" s="13"/>
    </row>
    <row r="31031">
      <c r="F31031" s="13"/>
      <c r="M31031" s="13"/>
    </row>
    <row r="31032">
      <c r="F31032" s="13"/>
      <c r="M31032" s="13"/>
    </row>
    <row r="31033">
      <c r="F31033" s="13"/>
      <c r="M31033" s="13"/>
    </row>
    <row r="31034">
      <c r="F31034" s="13"/>
      <c r="M31034" s="13"/>
    </row>
    <row r="31035">
      <c r="F31035" s="13"/>
      <c r="M31035" s="13"/>
    </row>
    <row r="31036">
      <c r="F31036" s="13"/>
      <c r="M31036" s="13"/>
    </row>
    <row r="31037">
      <c r="F31037" s="13"/>
      <c r="M31037" s="13"/>
    </row>
    <row r="31038">
      <c r="F31038" s="13"/>
      <c r="M31038" s="13"/>
    </row>
    <row r="31039">
      <c r="F31039" s="13"/>
      <c r="M31039" s="13"/>
    </row>
    <row r="31040">
      <c r="F31040" s="13"/>
      <c r="M31040" s="13"/>
    </row>
    <row r="31041">
      <c r="F31041" s="13"/>
      <c r="M31041" s="13"/>
    </row>
    <row r="31042">
      <c r="F31042" s="13"/>
      <c r="M31042" s="13"/>
    </row>
    <row r="31043">
      <c r="F31043" s="13"/>
      <c r="M31043" s="13"/>
    </row>
    <row r="31044">
      <c r="F31044" s="13"/>
      <c r="M31044" s="13"/>
    </row>
    <row r="31045">
      <c r="F31045" s="13"/>
      <c r="M31045" s="13"/>
    </row>
    <row r="31046">
      <c r="F31046" s="13"/>
      <c r="M31046" s="13"/>
    </row>
    <row r="31047">
      <c r="F31047" s="13"/>
      <c r="M31047" s="13"/>
    </row>
    <row r="31048">
      <c r="F31048" s="13"/>
      <c r="M31048" s="13"/>
    </row>
    <row r="31049">
      <c r="F31049" s="13"/>
      <c r="M31049" s="13"/>
    </row>
    <row r="31050">
      <c r="F31050" s="13"/>
      <c r="M31050" s="13"/>
    </row>
    <row r="31051">
      <c r="F31051" s="13"/>
      <c r="M31051" s="13"/>
    </row>
    <row r="31052">
      <c r="F31052" s="13"/>
      <c r="M31052" s="13"/>
    </row>
    <row r="31053">
      <c r="F31053" s="13"/>
      <c r="M31053" s="13"/>
    </row>
    <row r="31054">
      <c r="F31054" s="13"/>
      <c r="M31054" s="13"/>
    </row>
    <row r="31055">
      <c r="F31055" s="13"/>
      <c r="M31055" s="13"/>
    </row>
    <row r="31056">
      <c r="F31056" s="13"/>
      <c r="M31056" s="13"/>
    </row>
    <row r="31057">
      <c r="F31057" s="13"/>
      <c r="M31057" s="13"/>
    </row>
    <row r="31058">
      <c r="F31058" s="13"/>
      <c r="M31058" s="13"/>
    </row>
    <row r="31059">
      <c r="F31059" s="13"/>
      <c r="M31059" s="13"/>
    </row>
    <row r="31060">
      <c r="F31060" s="13"/>
      <c r="M31060" s="13"/>
    </row>
    <row r="31061">
      <c r="F31061" s="13"/>
      <c r="M31061" s="13"/>
    </row>
    <row r="31062">
      <c r="F31062" s="13"/>
      <c r="M31062" s="13"/>
    </row>
    <row r="31063">
      <c r="F31063" s="13"/>
      <c r="M31063" s="13"/>
    </row>
    <row r="31064">
      <c r="F31064" s="13"/>
      <c r="M31064" s="13"/>
    </row>
    <row r="31065">
      <c r="F31065" s="13"/>
      <c r="M31065" s="13"/>
    </row>
    <row r="31066">
      <c r="F31066" s="13"/>
      <c r="M31066" s="13"/>
    </row>
    <row r="31067">
      <c r="F31067" s="13"/>
      <c r="M31067" s="13"/>
    </row>
    <row r="31068">
      <c r="F31068" s="13"/>
      <c r="M31068" s="13"/>
    </row>
    <row r="31069">
      <c r="F31069" s="13"/>
      <c r="M31069" s="13"/>
    </row>
    <row r="31070">
      <c r="F31070" s="13"/>
      <c r="M31070" s="13"/>
    </row>
    <row r="31071">
      <c r="F31071" s="13"/>
      <c r="M31071" s="13"/>
    </row>
    <row r="31072">
      <c r="F31072" s="13"/>
      <c r="M31072" s="13"/>
    </row>
    <row r="31073">
      <c r="F31073" s="13"/>
      <c r="M31073" s="13"/>
    </row>
    <row r="31074">
      <c r="F31074" s="13"/>
      <c r="M31074" s="13"/>
    </row>
    <row r="31075">
      <c r="F31075" s="13"/>
      <c r="M31075" s="13"/>
    </row>
    <row r="31076">
      <c r="F31076" s="13"/>
      <c r="M31076" s="13"/>
    </row>
    <row r="31077">
      <c r="F31077" s="13"/>
      <c r="M31077" s="13"/>
    </row>
    <row r="31078">
      <c r="F31078" s="13"/>
      <c r="M31078" s="13"/>
    </row>
    <row r="31079">
      <c r="F31079" s="13"/>
      <c r="M31079" s="13"/>
    </row>
    <row r="31080">
      <c r="F31080" s="13"/>
      <c r="M31080" s="13"/>
    </row>
    <row r="31081">
      <c r="F31081" s="13"/>
      <c r="M31081" s="13"/>
    </row>
    <row r="31082">
      <c r="F31082" s="13"/>
      <c r="M31082" s="13"/>
    </row>
    <row r="31083">
      <c r="F31083" s="13"/>
      <c r="M31083" s="13"/>
    </row>
    <row r="31084">
      <c r="F31084" s="13"/>
      <c r="M31084" s="13"/>
    </row>
    <row r="31085">
      <c r="F31085" s="13"/>
      <c r="M31085" s="13"/>
    </row>
    <row r="31086">
      <c r="F31086" s="13"/>
      <c r="M31086" s="13"/>
    </row>
    <row r="31087">
      <c r="F31087" s="13"/>
      <c r="M31087" s="13"/>
    </row>
    <row r="31088">
      <c r="F31088" s="13"/>
      <c r="M31088" s="13"/>
    </row>
    <row r="31089">
      <c r="F31089" s="13"/>
      <c r="M31089" s="13"/>
    </row>
    <row r="31090">
      <c r="F31090" s="13"/>
      <c r="M31090" s="13"/>
    </row>
    <row r="31091">
      <c r="F31091" s="13"/>
      <c r="M31091" s="13"/>
    </row>
    <row r="31092">
      <c r="F31092" s="13"/>
      <c r="M31092" s="13"/>
    </row>
    <row r="31093">
      <c r="F31093" s="13"/>
      <c r="M31093" s="13"/>
    </row>
    <row r="31094">
      <c r="F31094" s="13"/>
      <c r="M31094" s="13"/>
    </row>
    <row r="31095">
      <c r="F31095" s="13"/>
      <c r="M31095" s="13"/>
    </row>
    <row r="31096">
      <c r="F31096" s="13"/>
      <c r="M31096" s="13"/>
    </row>
    <row r="31097">
      <c r="F31097" s="13"/>
      <c r="M31097" s="13"/>
    </row>
    <row r="31098">
      <c r="F31098" s="13"/>
      <c r="M31098" s="13"/>
    </row>
    <row r="31099">
      <c r="F31099" s="13"/>
      <c r="M31099" s="13"/>
    </row>
    <row r="31100">
      <c r="F31100" s="13"/>
      <c r="M31100" s="13"/>
    </row>
    <row r="31101">
      <c r="F31101" s="13"/>
      <c r="M31101" s="13"/>
    </row>
    <row r="31102">
      <c r="F31102" s="13"/>
      <c r="M31102" s="13"/>
    </row>
    <row r="31103">
      <c r="F31103" s="13"/>
      <c r="M31103" s="13"/>
    </row>
    <row r="31104">
      <c r="F31104" s="13"/>
      <c r="M31104" s="13"/>
    </row>
    <row r="31105">
      <c r="F31105" s="13"/>
      <c r="M31105" s="13"/>
    </row>
    <row r="31106">
      <c r="F31106" s="13"/>
      <c r="M31106" s="13"/>
    </row>
    <row r="31107">
      <c r="F31107" s="13"/>
      <c r="M31107" s="13"/>
    </row>
    <row r="31108">
      <c r="F31108" s="13"/>
      <c r="M31108" s="13"/>
    </row>
    <row r="31109">
      <c r="F31109" s="13"/>
      <c r="M31109" s="13"/>
    </row>
    <row r="31110">
      <c r="F31110" s="13"/>
      <c r="M31110" s="13"/>
    </row>
    <row r="31111">
      <c r="F31111" s="13"/>
      <c r="M31111" s="13"/>
    </row>
    <row r="31112">
      <c r="F31112" s="13"/>
      <c r="M31112" s="13"/>
    </row>
    <row r="31113">
      <c r="F31113" s="13"/>
      <c r="M31113" s="13"/>
    </row>
    <row r="31114">
      <c r="F31114" s="13"/>
      <c r="M31114" s="13"/>
    </row>
    <row r="31115">
      <c r="F31115" s="13"/>
      <c r="M31115" s="13"/>
    </row>
    <row r="31116">
      <c r="F31116" s="13"/>
      <c r="M31116" s="13"/>
    </row>
    <row r="31117">
      <c r="F31117" s="13"/>
      <c r="M31117" s="13"/>
    </row>
    <row r="31118">
      <c r="F31118" s="13"/>
      <c r="M31118" s="13"/>
    </row>
    <row r="31119">
      <c r="F31119" s="13"/>
      <c r="M31119" s="13"/>
    </row>
    <row r="31120">
      <c r="F31120" s="13"/>
      <c r="M31120" s="13"/>
    </row>
    <row r="31121">
      <c r="F31121" s="13"/>
      <c r="M31121" s="13"/>
    </row>
    <row r="31122">
      <c r="F31122" s="13"/>
      <c r="M31122" s="13"/>
    </row>
    <row r="31123">
      <c r="F31123" s="13"/>
      <c r="M31123" s="13"/>
    </row>
    <row r="31124">
      <c r="F31124" s="13"/>
      <c r="M31124" s="13"/>
    </row>
    <row r="31125">
      <c r="F31125" s="13"/>
      <c r="M31125" s="13"/>
    </row>
    <row r="31126">
      <c r="F31126" s="13"/>
      <c r="M31126" s="13"/>
    </row>
    <row r="31127">
      <c r="F31127" s="13"/>
      <c r="M31127" s="13"/>
    </row>
    <row r="31128">
      <c r="F31128" s="13"/>
      <c r="M31128" s="13"/>
    </row>
    <row r="31129">
      <c r="F31129" s="13"/>
      <c r="M31129" s="13"/>
    </row>
    <row r="31130">
      <c r="F31130" s="13"/>
      <c r="M31130" s="13"/>
    </row>
    <row r="31131">
      <c r="F31131" s="13"/>
      <c r="M31131" s="13"/>
    </row>
    <row r="31132">
      <c r="F31132" s="13"/>
      <c r="M31132" s="13"/>
    </row>
    <row r="31133">
      <c r="F31133" s="13"/>
      <c r="M31133" s="13"/>
    </row>
    <row r="31134">
      <c r="F31134" s="13"/>
      <c r="M31134" s="13"/>
    </row>
    <row r="31135">
      <c r="F31135" s="13"/>
      <c r="M31135" s="13"/>
    </row>
    <row r="31136">
      <c r="F31136" s="13"/>
      <c r="M31136" s="13"/>
    </row>
    <row r="31137">
      <c r="F31137" s="13"/>
      <c r="M31137" s="13"/>
    </row>
    <row r="31138">
      <c r="F31138" s="13"/>
      <c r="M31138" s="13"/>
    </row>
    <row r="31139">
      <c r="F31139" s="13"/>
      <c r="M31139" s="13"/>
    </row>
    <row r="31140">
      <c r="F31140" s="13"/>
      <c r="M31140" s="13"/>
    </row>
    <row r="31141">
      <c r="F31141" s="13"/>
      <c r="M31141" s="13"/>
    </row>
    <row r="31142">
      <c r="F31142" s="13"/>
      <c r="M31142" s="13"/>
    </row>
    <row r="31143">
      <c r="F31143" s="13"/>
      <c r="M31143" s="13"/>
    </row>
    <row r="31144">
      <c r="F31144" s="13"/>
      <c r="M31144" s="13"/>
    </row>
    <row r="31145">
      <c r="F31145" s="13"/>
      <c r="M31145" s="13"/>
    </row>
    <row r="31146">
      <c r="F31146" s="13"/>
      <c r="M31146" s="13"/>
    </row>
    <row r="31147">
      <c r="F31147" s="13"/>
      <c r="M31147" s="13"/>
    </row>
    <row r="31148">
      <c r="F31148" s="13"/>
      <c r="M31148" s="13"/>
    </row>
    <row r="31149">
      <c r="F31149" s="13"/>
      <c r="M31149" s="13"/>
    </row>
    <row r="31150">
      <c r="F31150" s="13"/>
      <c r="M31150" s="13"/>
    </row>
    <row r="31151">
      <c r="F31151" s="13"/>
      <c r="M31151" s="13"/>
    </row>
    <row r="31152">
      <c r="F31152" s="13"/>
      <c r="M31152" s="13"/>
    </row>
    <row r="31153">
      <c r="F31153" s="13"/>
      <c r="M31153" s="13"/>
    </row>
    <row r="31154">
      <c r="F31154" s="13"/>
      <c r="M31154" s="13"/>
    </row>
    <row r="31155">
      <c r="F31155" s="13"/>
      <c r="M31155" s="13"/>
    </row>
    <row r="31156">
      <c r="F31156" s="13"/>
      <c r="M31156" s="13"/>
    </row>
    <row r="31157">
      <c r="F31157" s="13"/>
      <c r="M31157" s="13"/>
    </row>
    <row r="31158">
      <c r="F31158" s="13"/>
      <c r="M31158" s="13"/>
    </row>
    <row r="31159">
      <c r="F31159" s="13"/>
      <c r="M31159" s="13"/>
    </row>
    <row r="31160">
      <c r="F31160" s="13"/>
      <c r="M31160" s="13"/>
    </row>
    <row r="31161">
      <c r="F31161" s="13"/>
      <c r="M31161" s="13"/>
    </row>
    <row r="31162">
      <c r="F31162" s="13"/>
      <c r="M31162" s="13"/>
    </row>
    <row r="31163">
      <c r="F31163" s="13"/>
      <c r="M31163" s="13"/>
    </row>
    <row r="31164">
      <c r="F31164" s="13"/>
      <c r="M31164" s="13"/>
    </row>
    <row r="31165">
      <c r="F31165" s="13"/>
      <c r="M31165" s="13"/>
    </row>
    <row r="31166">
      <c r="F31166" s="13"/>
      <c r="M31166" s="13"/>
    </row>
    <row r="31167">
      <c r="F31167" s="13"/>
      <c r="M31167" s="13"/>
    </row>
    <row r="31168">
      <c r="F31168" s="13"/>
      <c r="M31168" s="13"/>
    </row>
    <row r="31169">
      <c r="F31169" s="13"/>
      <c r="M31169" s="13"/>
    </row>
    <row r="31170">
      <c r="F31170" s="13"/>
      <c r="M31170" s="13"/>
    </row>
    <row r="31171">
      <c r="F31171" s="13"/>
      <c r="M31171" s="13"/>
    </row>
    <row r="31172">
      <c r="F31172" s="13"/>
      <c r="M31172" s="13"/>
    </row>
    <row r="31173">
      <c r="F31173" s="13"/>
      <c r="M31173" s="13"/>
    </row>
    <row r="31174">
      <c r="F31174" s="13"/>
      <c r="M31174" s="13"/>
    </row>
    <row r="31175">
      <c r="F31175" s="13"/>
      <c r="M31175" s="13"/>
    </row>
    <row r="31176">
      <c r="F31176" s="13"/>
      <c r="M31176" s="13"/>
    </row>
    <row r="31177">
      <c r="F31177" s="13"/>
      <c r="M31177" s="13"/>
    </row>
    <row r="31178">
      <c r="F31178" s="13"/>
      <c r="M31178" s="13"/>
    </row>
    <row r="31179">
      <c r="F31179" s="13"/>
      <c r="M31179" s="13"/>
    </row>
    <row r="31180">
      <c r="F31180" s="13"/>
      <c r="M31180" s="13"/>
    </row>
    <row r="31181">
      <c r="F31181" s="13"/>
      <c r="M31181" s="13"/>
    </row>
    <row r="31182">
      <c r="F31182" s="13"/>
      <c r="M31182" s="13"/>
    </row>
    <row r="31183">
      <c r="F31183" s="13"/>
      <c r="M31183" s="13"/>
    </row>
    <row r="31184">
      <c r="F31184" s="13"/>
      <c r="M31184" s="13"/>
    </row>
    <row r="31185">
      <c r="F31185" s="13"/>
      <c r="M31185" s="13"/>
    </row>
    <row r="31186">
      <c r="F31186" s="13"/>
      <c r="M31186" s="13"/>
    </row>
    <row r="31187">
      <c r="F31187" s="13"/>
      <c r="M31187" s="13"/>
    </row>
    <row r="31188">
      <c r="F31188" s="13"/>
      <c r="M31188" s="13"/>
    </row>
    <row r="31189">
      <c r="F31189" s="13"/>
      <c r="M31189" s="13"/>
    </row>
    <row r="31190">
      <c r="F31190" s="13"/>
      <c r="M31190" s="13"/>
    </row>
    <row r="31191">
      <c r="F31191" s="13"/>
      <c r="M31191" s="13"/>
    </row>
    <row r="31192">
      <c r="F31192" s="13"/>
      <c r="M31192" s="13"/>
    </row>
    <row r="31193">
      <c r="F31193" s="13"/>
      <c r="M31193" s="13"/>
    </row>
    <row r="31194">
      <c r="F31194" s="13"/>
      <c r="M31194" s="13"/>
    </row>
    <row r="31195">
      <c r="F31195" s="13"/>
      <c r="M31195" s="13"/>
    </row>
    <row r="31196">
      <c r="F31196" s="13"/>
      <c r="M31196" s="13"/>
    </row>
    <row r="31197">
      <c r="F31197" s="13"/>
      <c r="M31197" s="13"/>
    </row>
    <row r="31198">
      <c r="F31198" s="13"/>
      <c r="M31198" s="13"/>
    </row>
    <row r="31199">
      <c r="F31199" s="13"/>
      <c r="M31199" s="13"/>
    </row>
    <row r="31200">
      <c r="F31200" s="13"/>
      <c r="M31200" s="13"/>
    </row>
    <row r="31201">
      <c r="F31201" s="13"/>
      <c r="M31201" s="13"/>
    </row>
    <row r="31202">
      <c r="F31202" s="13"/>
      <c r="M31202" s="13"/>
    </row>
    <row r="31203">
      <c r="F31203" s="13"/>
      <c r="M31203" s="13"/>
    </row>
    <row r="31204">
      <c r="F31204" s="13"/>
      <c r="M31204" s="13"/>
    </row>
    <row r="31205">
      <c r="F31205" s="13"/>
      <c r="M31205" s="13"/>
    </row>
    <row r="31206">
      <c r="F31206" s="13"/>
      <c r="M31206" s="13"/>
    </row>
    <row r="31207">
      <c r="F31207" s="13"/>
      <c r="M31207" s="13"/>
    </row>
    <row r="31208">
      <c r="F31208" s="13"/>
      <c r="M31208" s="13"/>
    </row>
    <row r="31209">
      <c r="F31209" s="13"/>
      <c r="M31209" s="13"/>
    </row>
    <row r="31210">
      <c r="F31210" s="13"/>
      <c r="M31210" s="13"/>
    </row>
    <row r="31211">
      <c r="F31211" s="13"/>
      <c r="M31211" s="13"/>
    </row>
    <row r="31212">
      <c r="F31212" s="13"/>
      <c r="M31212" s="13"/>
    </row>
    <row r="31213">
      <c r="F31213" s="13"/>
      <c r="M31213" s="13"/>
    </row>
    <row r="31214">
      <c r="F31214" s="13"/>
      <c r="M31214" s="13"/>
    </row>
    <row r="31215">
      <c r="F31215" s="13"/>
      <c r="M31215" s="13"/>
    </row>
    <row r="31216">
      <c r="F31216" s="13"/>
      <c r="M31216" s="13"/>
    </row>
    <row r="31217">
      <c r="F31217" s="13"/>
      <c r="M31217" s="13"/>
    </row>
    <row r="31218">
      <c r="F31218" s="13"/>
      <c r="M31218" s="13"/>
    </row>
    <row r="31219">
      <c r="F31219" s="13"/>
      <c r="M31219" s="13"/>
    </row>
    <row r="31220">
      <c r="F31220" s="13"/>
      <c r="M31220" s="13"/>
    </row>
    <row r="31221">
      <c r="F31221" s="13"/>
      <c r="M31221" s="13"/>
    </row>
    <row r="31222">
      <c r="F31222" s="13"/>
      <c r="M31222" s="13"/>
    </row>
    <row r="31223">
      <c r="F31223" s="13"/>
      <c r="M31223" s="13"/>
    </row>
    <row r="31224">
      <c r="F31224" s="13"/>
      <c r="M31224" s="13"/>
    </row>
    <row r="31225">
      <c r="F31225" s="13"/>
      <c r="M31225" s="13"/>
    </row>
    <row r="31226">
      <c r="F31226" s="13"/>
      <c r="M31226" s="13"/>
    </row>
    <row r="31227">
      <c r="F31227" s="13"/>
      <c r="M31227" s="13"/>
    </row>
    <row r="31228">
      <c r="F31228" s="13"/>
      <c r="M31228" s="13"/>
    </row>
    <row r="31229">
      <c r="F31229" s="13"/>
      <c r="M31229" s="13"/>
    </row>
    <row r="31230">
      <c r="F31230" s="13"/>
      <c r="M31230" s="13"/>
    </row>
    <row r="31231">
      <c r="F31231" s="13"/>
      <c r="M31231" s="13"/>
    </row>
    <row r="31232">
      <c r="F31232" s="13"/>
      <c r="M31232" s="13"/>
    </row>
    <row r="31233">
      <c r="F31233" s="13"/>
      <c r="M31233" s="13"/>
    </row>
    <row r="31234">
      <c r="F31234" s="13"/>
      <c r="M31234" s="13"/>
    </row>
    <row r="31235">
      <c r="F31235" s="13"/>
      <c r="M31235" s="13"/>
    </row>
    <row r="31236">
      <c r="F31236" s="13"/>
      <c r="M31236" s="13"/>
    </row>
    <row r="31237">
      <c r="F31237" s="13"/>
      <c r="M31237" s="13"/>
    </row>
    <row r="31238">
      <c r="F31238" s="13"/>
      <c r="M31238" s="13"/>
    </row>
    <row r="31239">
      <c r="F31239" s="13"/>
      <c r="M31239" s="13"/>
    </row>
    <row r="31240">
      <c r="F31240" s="13"/>
      <c r="M31240" s="13"/>
    </row>
    <row r="31241">
      <c r="F31241" s="13"/>
      <c r="M31241" s="13"/>
    </row>
    <row r="31242">
      <c r="F31242" s="13"/>
      <c r="M31242" s="13"/>
    </row>
    <row r="31243">
      <c r="F31243" s="13"/>
      <c r="M31243" s="13"/>
    </row>
    <row r="31244">
      <c r="F31244" s="13"/>
      <c r="M31244" s="13"/>
    </row>
    <row r="31245">
      <c r="F31245" s="13"/>
      <c r="M31245" s="13"/>
    </row>
    <row r="31246">
      <c r="F31246" s="13"/>
      <c r="M31246" s="13"/>
    </row>
    <row r="31247">
      <c r="F31247" s="13"/>
      <c r="M31247" s="13"/>
    </row>
    <row r="31248">
      <c r="F31248" s="13"/>
      <c r="M31248" s="13"/>
    </row>
    <row r="31249">
      <c r="F31249" s="13"/>
      <c r="M31249" s="13"/>
    </row>
    <row r="31250">
      <c r="F31250" s="13"/>
      <c r="M31250" s="13"/>
    </row>
    <row r="31251">
      <c r="F31251" s="13"/>
      <c r="M31251" s="13"/>
    </row>
    <row r="31252">
      <c r="F31252" s="13"/>
      <c r="M31252" s="13"/>
    </row>
    <row r="31253">
      <c r="F31253" s="13"/>
      <c r="M31253" s="13"/>
    </row>
    <row r="31254">
      <c r="F31254" s="13"/>
      <c r="M31254" s="13"/>
    </row>
    <row r="31255">
      <c r="F31255" s="13"/>
      <c r="M31255" s="13"/>
    </row>
    <row r="31256">
      <c r="F31256" s="13"/>
      <c r="M31256" s="13"/>
    </row>
    <row r="31257">
      <c r="F31257" s="13"/>
      <c r="M31257" s="13"/>
    </row>
    <row r="31258">
      <c r="F31258" s="13"/>
      <c r="M31258" s="13"/>
    </row>
    <row r="31259">
      <c r="F31259" s="13"/>
      <c r="M31259" s="13"/>
    </row>
    <row r="31260">
      <c r="F31260" s="13"/>
      <c r="M31260" s="13"/>
    </row>
    <row r="31261">
      <c r="F31261" s="13"/>
      <c r="M31261" s="13"/>
    </row>
    <row r="31262">
      <c r="F31262" s="13"/>
      <c r="M31262" s="13"/>
    </row>
    <row r="31263">
      <c r="F31263" s="13"/>
      <c r="M31263" s="13"/>
    </row>
    <row r="31264">
      <c r="F31264" s="13"/>
      <c r="M31264" s="13"/>
    </row>
    <row r="31265">
      <c r="F31265" s="13"/>
      <c r="M31265" s="13"/>
    </row>
    <row r="31266">
      <c r="F31266" s="13"/>
      <c r="M31266" s="13"/>
    </row>
    <row r="31267">
      <c r="F31267" s="13"/>
      <c r="M31267" s="13"/>
    </row>
    <row r="31268">
      <c r="F31268" s="13"/>
      <c r="M31268" s="13"/>
    </row>
    <row r="31269">
      <c r="F31269" s="13"/>
      <c r="M31269" s="13"/>
    </row>
    <row r="31270">
      <c r="F31270" s="13"/>
      <c r="M31270" s="13"/>
    </row>
    <row r="31271">
      <c r="F31271" s="13"/>
      <c r="M31271" s="13"/>
    </row>
    <row r="31272">
      <c r="F31272" s="13"/>
      <c r="M31272" s="13"/>
    </row>
    <row r="31273">
      <c r="F31273" s="13"/>
      <c r="M31273" s="13"/>
    </row>
    <row r="31274">
      <c r="F31274" s="13"/>
      <c r="M31274" s="13"/>
    </row>
    <row r="31275">
      <c r="F31275" s="13"/>
      <c r="M31275" s="13"/>
    </row>
    <row r="31276">
      <c r="F31276" s="13"/>
      <c r="M31276" s="13"/>
    </row>
    <row r="31277">
      <c r="F31277" s="13"/>
      <c r="M31277" s="13"/>
    </row>
    <row r="31278">
      <c r="F31278" s="13"/>
      <c r="M31278" s="13"/>
    </row>
    <row r="31279">
      <c r="F31279" s="13"/>
      <c r="M31279" s="13"/>
    </row>
    <row r="31280">
      <c r="F31280" s="13"/>
      <c r="M31280" s="13"/>
    </row>
    <row r="31281">
      <c r="F31281" s="13"/>
      <c r="M31281" s="13"/>
    </row>
    <row r="31282">
      <c r="F31282" s="13"/>
      <c r="M31282" s="13"/>
    </row>
    <row r="31283">
      <c r="F31283" s="13"/>
      <c r="M31283" s="13"/>
    </row>
    <row r="31284">
      <c r="F31284" s="13"/>
      <c r="M31284" s="13"/>
    </row>
    <row r="31285">
      <c r="F31285" s="13"/>
      <c r="M31285" s="13"/>
    </row>
    <row r="31286">
      <c r="F31286" s="13"/>
      <c r="M31286" s="13"/>
    </row>
    <row r="31287">
      <c r="F31287" s="13"/>
      <c r="M31287" s="13"/>
    </row>
    <row r="31288">
      <c r="F31288" s="13"/>
      <c r="M31288" s="13"/>
    </row>
    <row r="31289">
      <c r="F31289" s="13"/>
      <c r="M31289" s="13"/>
    </row>
    <row r="31290">
      <c r="F31290" s="13"/>
      <c r="M31290" s="13"/>
    </row>
    <row r="31291">
      <c r="F31291" s="13"/>
      <c r="M31291" s="13"/>
    </row>
    <row r="31292">
      <c r="F31292" s="13"/>
      <c r="M31292" s="13"/>
    </row>
    <row r="31293">
      <c r="F31293" s="13"/>
      <c r="M31293" s="13"/>
    </row>
    <row r="31294">
      <c r="F31294" s="13"/>
      <c r="M31294" s="13"/>
    </row>
    <row r="31295">
      <c r="F31295" s="13"/>
      <c r="M31295" s="13"/>
    </row>
    <row r="31296">
      <c r="F31296" s="13"/>
      <c r="M31296" s="13"/>
    </row>
    <row r="31297">
      <c r="F31297" s="13"/>
      <c r="M31297" s="13"/>
    </row>
    <row r="31298">
      <c r="F31298" s="13"/>
      <c r="M31298" s="13"/>
    </row>
    <row r="31299">
      <c r="F31299" s="13"/>
      <c r="M31299" s="13"/>
    </row>
    <row r="31300">
      <c r="F31300" s="13"/>
      <c r="M31300" s="13"/>
    </row>
    <row r="31301">
      <c r="F31301" s="13"/>
      <c r="M31301" s="13"/>
    </row>
    <row r="31302">
      <c r="F31302" s="13"/>
      <c r="M31302" s="13"/>
    </row>
    <row r="31303">
      <c r="F31303" s="13"/>
      <c r="M31303" s="13"/>
    </row>
    <row r="31304">
      <c r="F31304" s="13"/>
      <c r="M31304" s="13"/>
    </row>
    <row r="31305">
      <c r="F31305" s="13"/>
      <c r="M31305" s="13"/>
    </row>
    <row r="31306">
      <c r="F31306" s="13"/>
      <c r="M31306" s="13"/>
    </row>
    <row r="31307">
      <c r="F31307" s="13"/>
      <c r="M31307" s="13"/>
    </row>
    <row r="31308">
      <c r="F31308" s="13"/>
      <c r="M31308" s="13"/>
    </row>
    <row r="31309">
      <c r="F31309" s="13"/>
      <c r="M31309" s="13"/>
    </row>
    <row r="31310">
      <c r="F31310" s="13"/>
      <c r="M31310" s="13"/>
    </row>
    <row r="31311">
      <c r="F31311" s="13"/>
      <c r="M31311" s="13"/>
    </row>
    <row r="31312">
      <c r="F31312" s="13"/>
      <c r="M31312" s="13"/>
    </row>
    <row r="31313">
      <c r="F31313" s="13"/>
      <c r="M31313" s="13"/>
    </row>
    <row r="31314">
      <c r="F31314" s="13"/>
      <c r="M31314" s="13"/>
    </row>
    <row r="31315">
      <c r="F31315" s="13"/>
      <c r="M31315" s="13"/>
    </row>
    <row r="31316">
      <c r="F31316" s="13"/>
      <c r="M31316" s="13"/>
    </row>
    <row r="31317">
      <c r="F31317" s="13"/>
      <c r="M31317" s="13"/>
    </row>
    <row r="31318">
      <c r="F31318" s="13"/>
      <c r="M31318" s="13"/>
    </row>
    <row r="31319">
      <c r="F31319" s="13"/>
      <c r="M31319" s="13"/>
    </row>
    <row r="31320">
      <c r="F31320" s="13"/>
      <c r="M31320" s="13"/>
    </row>
    <row r="31321">
      <c r="F31321" s="13"/>
      <c r="M31321" s="13"/>
    </row>
    <row r="31322">
      <c r="F31322" s="13"/>
      <c r="M31322" s="13"/>
    </row>
    <row r="31323">
      <c r="F31323" s="13"/>
      <c r="M31323" s="13"/>
    </row>
    <row r="31324">
      <c r="F31324" s="13"/>
      <c r="M31324" s="13"/>
    </row>
    <row r="31325">
      <c r="F31325" s="13"/>
      <c r="M31325" s="13"/>
    </row>
    <row r="31326">
      <c r="F31326" s="13"/>
      <c r="M31326" s="13"/>
    </row>
    <row r="31327">
      <c r="F31327" s="13"/>
      <c r="M31327" s="13"/>
    </row>
    <row r="31328">
      <c r="F31328" s="13"/>
      <c r="M31328" s="13"/>
    </row>
    <row r="31329">
      <c r="F31329" s="13"/>
      <c r="M31329" s="13"/>
    </row>
    <row r="31330">
      <c r="F31330" s="13"/>
      <c r="M31330" s="13"/>
    </row>
    <row r="31331">
      <c r="F31331" s="13"/>
      <c r="M31331" s="13"/>
    </row>
    <row r="31332">
      <c r="F31332" s="13"/>
      <c r="M31332" s="13"/>
    </row>
    <row r="31333">
      <c r="F31333" s="13"/>
      <c r="M31333" s="13"/>
    </row>
    <row r="31334">
      <c r="F31334" s="13"/>
      <c r="M31334" s="13"/>
    </row>
    <row r="31335">
      <c r="F31335" s="13"/>
      <c r="M31335" s="13"/>
    </row>
    <row r="31336">
      <c r="F31336" s="13"/>
      <c r="M31336" s="13"/>
    </row>
    <row r="31337">
      <c r="F31337" s="13"/>
      <c r="M31337" s="13"/>
    </row>
    <row r="31338">
      <c r="F31338" s="13"/>
      <c r="M31338" s="13"/>
    </row>
    <row r="31339">
      <c r="F31339" s="13"/>
      <c r="M31339" s="13"/>
    </row>
    <row r="31340">
      <c r="F31340" s="13"/>
      <c r="M31340" s="13"/>
    </row>
    <row r="31341">
      <c r="F31341" s="13"/>
      <c r="M31341" s="13"/>
    </row>
    <row r="31342">
      <c r="F31342" s="13"/>
      <c r="M31342" s="13"/>
    </row>
    <row r="31343">
      <c r="F31343" s="13"/>
      <c r="M31343" s="13"/>
    </row>
    <row r="31344">
      <c r="F31344" s="13"/>
      <c r="M31344" s="13"/>
    </row>
    <row r="31345">
      <c r="F31345" s="13"/>
      <c r="M31345" s="13"/>
    </row>
    <row r="31346">
      <c r="F31346" s="13"/>
      <c r="M31346" s="13"/>
    </row>
    <row r="31347">
      <c r="F31347" s="13"/>
      <c r="M31347" s="13"/>
    </row>
    <row r="31348">
      <c r="F31348" s="13"/>
      <c r="M31348" s="13"/>
    </row>
    <row r="31349">
      <c r="F31349" s="13"/>
      <c r="M31349" s="13"/>
    </row>
    <row r="31350">
      <c r="F31350" s="13"/>
      <c r="M31350" s="13"/>
    </row>
    <row r="31351">
      <c r="F31351" s="13"/>
      <c r="M31351" s="13"/>
    </row>
    <row r="31352">
      <c r="F31352" s="13"/>
      <c r="M31352" s="13"/>
    </row>
    <row r="31353">
      <c r="F31353" s="13"/>
      <c r="M31353" s="13"/>
    </row>
    <row r="31354">
      <c r="F31354" s="13"/>
      <c r="M31354" s="13"/>
    </row>
    <row r="31355">
      <c r="F31355" s="13"/>
      <c r="M31355" s="13"/>
    </row>
    <row r="31356">
      <c r="F31356" s="13"/>
      <c r="M31356" s="13"/>
    </row>
    <row r="31357">
      <c r="F31357" s="13"/>
      <c r="M31357" s="13"/>
    </row>
    <row r="31358">
      <c r="F31358" s="13"/>
      <c r="M31358" s="13"/>
    </row>
    <row r="31359">
      <c r="F31359" s="13"/>
      <c r="M31359" s="13"/>
    </row>
    <row r="31360">
      <c r="F31360" s="13"/>
      <c r="M31360" s="13"/>
    </row>
    <row r="31361">
      <c r="F31361" s="13"/>
      <c r="M31361" s="13"/>
    </row>
    <row r="31362">
      <c r="F31362" s="13"/>
      <c r="M31362" s="13"/>
    </row>
    <row r="31363">
      <c r="F31363" s="13"/>
      <c r="M31363" s="13"/>
    </row>
    <row r="31364">
      <c r="F31364" s="13"/>
      <c r="M31364" s="13"/>
    </row>
    <row r="31365">
      <c r="F31365" s="13"/>
      <c r="M31365" s="13"/>
    </row>
    <row r="31366">
      <c r="F31366" s="13"/>
      <c r="M31366" s="13"/>
    </row>
    <row r="31367">
      <c r="F31367" s="13"/>
      <c r="M31367" s="13"/>
    </row>
    <row r="31368">
      <c r="F31368" s="13"/>
      <c r="M31368" s="13"/>
    </row>
    <row r="31369">
      <c r="F31369" s="13"/>
      <c r="M31369" s="13"/>
    </row>
    <row r="31370">
      <c r="F31370" s="13"/>
      <c r="M31370" s="13"/>
    </row>
    <row r="31371">
      <c r="F31371" s="13"/>
      <c r="M31371" s="13"/>
    </row>
    <row r="31372">
      <c r="F31372" s="13"/>
      <c r="M31372" s="13"/>
    </row>
    <row r="31373">
      <c r="F31373" s="13"/>
      <c r="M31373" s="13"/>
    </row>
    <row r="31374">
      <c r="F31374" s="13"/>
      <c r="M31374" s="13"/>
    </row>
    <row r="31375">
      <c r="F31375" s="13"/>
      <c r="M31375" s="13"/>
    </row>
    <row r="31376">
      <c r="F31376" s="13"/>
      <c r="M31376" s="13"/>
    </row>
    <row r="31377">
      <c r="F31377" s="13"/>
      <c r="M31377" s="13"/>
    </row>
    <row r="31378">
      <c r="F31378" s="13"/>
      <c r="M31378" s="13"/>
    </row>
    <row r="31379">
      <c r="F31379" s="13"/>
      <c r="M31379" s="13"/>
    </row>
    <row r="31380">
      <c r="F31380" s="13"/>
      <c r="M31380" s="13"/>
    </row>
    <row r="31381">
      <c r="F31381" s="13"/>
      <c r="M31381" s="13"/>
    </row>
    <row r="31382">
      <c r="F31382" s="13"/>
      <c r="M31382" s="13"/>
    </row>
    <row r="31383">
      <c r="F31383" s="13"/>
      <c r="M31383" s="13"/>
    </row>
    <row r="31384">
      <c r="F31384" s="13"/>
      <c r="M31384" s="13"/>
    </row>
    <row r="31385">
      <c r="F31385" s="13"/>
      <c r="M31385" s="13"/>
    </row>
    <row r="31386">
      <c r="F31386" s="13"/>
      <c r="M31386" s="13"/>
    </row>
    <row r="31387">
      <c r="F31387" s="13"/>
      <c r="M31387" s="13"/>
    </row>
    <row r="31388">
      <c r="F31388" s="13"/>
      <c r="M31388" s="13"/>
    </row>
    <row r="31389">
      <c r="F31389" s="13"/>
      <c r="M31389" s="13"/>
    </row>
    <row r="31390">
      <c r="F31390" s="13"/>
      <c r="M31390" s="13"/>
    </row>
    <row r="31391">
      <c r="F31391" s="13"/>
      <c r="M31391" s="13"/>
    </row>
    <row r="31392">
      <c r="F31392" s="13"/>
      <c r="M31392" s="13"/>
    </row>
    <row r="31393">
      <c r="F31393" s="13"/>
      <c r="M31393" s="13"/>
    </row>
    <row r="31394">
      <c r="F31394" s="13"/>
      <c r="M31394" s="13"/>
    </row>
    <row r="31395">
      <c r="F31395" s="13"/>
      <c r="M31395" s="13"/>
    </row>
    <row r="31396">
      <c r="F31396" s="13"/>
      <c r="M31396" s="13"/>
    </row>
    <row r="31397">
      <c r="F31397" s="13"/>
      <c r="M31397" s="13"/>
    </row>
    <row r="31398">
      <c r="F31398" s="13"/>
      <c r="M31398" s="13"/>
    </row>
    <row r="31399">
      <c r="F31399" s="13"/>
      <c r="M31399" s="13"/>
    </row>
    <row r="31400">
      <c r="F31400" s="13"/>
      <c r="M31400" s="13"/>
    </row>
    <row r="31401">
      <c r="F31401" s="13"/>
      <c r="M31401" s="13"/>
    </row>
    <row r="31402">
      <c r="F31402" s="13"/>
      <c r="M31402" s="13"/>
    </row>
    <row r="31403">
      <c r="F31403" s="13"/>
      <c r="M31403" s="13"/>
    </row>
    <row r="31404">
      <c r="F31404" s="13"/>
      <c r="M31404" s="13"/>
    </row>
    <row r="31405">
      <c r="F31405" s="13"/>
      <c r="M31405" s="13"/>
    </row>
    <row r="31406">
      <c r="F31406" s="13"/>
      <c r="M31406" s="13"/>
    </row>
    <row r="31407">
      <c r="F31407" s="13"/>
      <c r="M31407" s="13"/>
    </row>
    <row r="31408">
      <c r="F31408" s="13"/>
      <c r="M31408" s="13"/>
    </row>
    <row r="31409">
      <c r="F31409" s="13"/>
      <c r="M31409" s="13"/>
    </row>
    <row r="31410">
      <c r="F31410" s="13"/>
      <c r="M31410" s="13"/>
    </row>
    <row r="31411">
      <c r="F31411" s="13"/>
      <c r="M31411" s="13"/>
    </row>
    <row r="31412">
      <c r="F31412" s="13"/>
      <c r="M31412" s="13"/>
    </row>
    <row r="31413">
      <c r="F31413" s="13"/>
      <c r="M31413" s="13"/>
    </row>
    <row r="31414">
      <c r="F31414" s="13"/>
      <c r="M31414" s="13"/>
    </row>
    <row r="31415">
      <c r="F31415" s="13"/>
      <c r="M31415" s="13"/>
    </row>
    <row r="31416">
      <c r="F31416" s="13"/>
      <c r="M31416" s="13"/>
    </row>
    <row r="31417">
      <c r="F31417" s="13"/>
      <c r="M31417" s="13"/>
    </row>
    <row r="31418">
      <c r="F31418" s="13"/>
      <c r="M31418" s="13"/>
    </row>
    <row r="31419">
      <c r="F31419" s="13"/>
      <c r="M31419" s="13"/>
    </row>
    <row r="31420">
      <c r="F31420" s="13"/>
      <c r="M31420" s="13"/>
    </row>
    <row r="31421">
      <c r="F31421" s="13"/>
      <c r="M31421" s="13"/>
    </row>
    <row r="31422">
      <c r="F31422" s="13"/>
      <c r="M31422" s="13"/>
    </row>
    <row r="31423">
      <c r="F31423" s="13"/>
      <c r="M31423" s="13"/>
    </row>
    <row r="31424">
      <c r="F31424" s="13"/>
      <c r="M31424" s="13"/>
    </row>
    <row r="31425">
      <c r="F31425" s="13"/>
      <c r="M31425" s="13"/>
    </row>
    <row r="31426">
      <c r="F31426" s="13"/>
      <c r="M31426" s="13"/>
    </row>
    <row r="31427">
      <c r="F31427" s="13"/>
      <c r="M31427" s="13"/>
    </row>
    <row r="31428">
      <c r="F31428" s="13"/>
      <c r="M31428" s="13"/>
    </row>
    <row r="31429">
      <c r="F31429" s="13"/>
      <c r="M31429" s="13"/>
    </row>
    <row r="31430">
      <c r="F31430" s="13"/>
      <c r="M31430" s="13"/>
    </row>
    <row r="31431">
      <c r="F31431" s="13"/>
      <c r="M31431" s="13"/>
    </row>
    <row r="31432">
      <c r="F31432" s="13"/>
      <c r="M31432" s="13"/>
    </row>
    <row r="31433">
      <c r="F31433" s="13"/>
      <c r="M31433" s="13"/>
    </row>
    <row r="31434">
      <c r="F31434" s="13"/>
      <c r="M31434" s="13"/>
    </row>
    <row r="31435">
      <c r="F31435" s="13"/>
      <c r="M31435" s="13"/>
    </row>
    <row r="31436">
      <c r="F31436" s="13"/>
      <c r="M31436" s="13"/>
    </row>
    <row r="31437">
      <c r="F31437" s="13"/>
      <c r="M31437" s="13"/>
    </row>
    <row r="31438">
      <c r="F31438" s="13"/>
      <c r="M31438" s="13"/>
    </row>
    <row r="31439">
      <c r="F31439" s="13"/>
      <c r="M31439" s="13"/>
    </row>
    <row r="31440">
      <c r="F31440" s="13"/>
      <c r="M31440" s="13"/>
    </row>
    <row r="31441">
      <c r="F31441" s="13"/>
      <c r="M31441" s="13"/>
    </row>
    <row r="31442">
      <c r="F31442" s="13"/>
      <c r="M31442" s="13"/>
    </row>
    <row r="31443">
      <c r="F31443" s="13"/>
      <c r="M31443" s="13"/>
    </row>
    <row r="31444">
      <c r="F31444" s="13"/>
      <c r="M31444" s="13"/>
    </row>
    <row r="31445">
      <c r="F31445" s="13"/>
      <c r="M31445" s="13"/>
    </row>
    <row r="31446">
      <c r="F31446" s="13"/>
      <c r="M31446" s="13"/>
    </row>
    <row r="31447">
      <c r="F31447" s="13"/>
      <c r="M31447" s="13"/>
    </row>
    <row r="31448">
      <c r="F31448" s="13"/>
      <c r="M31448" s="13"/>
    </row>
    <row r="31449">
      <c r="F31449" s="13"/>
      <c r="M31449" s="13"/>
    </row>
    <row r="31450">
      <c r="F31450" s="13"/>
      <c r="M31450" s="13"/>
    </row>
    <row r="31451">
      <c r="F31451" s="13"/>
      <c r="M31451" s="13"/>
    </row>
    <row r="31452">
      <c r="F31452" s="13"/>
      <c r="M31452" s="13"/>
    </row>
    <row r="31453">
      <c r="F31453" s="13"/>
      <c r="M31453" s="13"/>
    </row>
    <row r="31454">
      <c r="F31454" s="13"/>
      <c r="M31454" s="13"/>
    </row>
    <row r="31455">
      <c r="F31455" s="13"/>
      <c r="M31455" s="13"/>
    </row>
    <row r="31456">
      <c r="F31456" s="13"/>
      <c r="M31456" s="13"/>
    </row>
    <row r="31457">
      <c r="F31457" s="13"/>
      <c r="M31457" s="13"/>
    </row>
    <row r="31458">
      <c r="F31458" s="13"/>
      <c r="M31458" s="13"/>
    </row>
    <row r="31459">
      <c r="F31459" s="13"/>
      <c r="M31459" s="13"/>
    </row>
    <row r="31460">
      <c r="F31460" s="13"/>
      <c r="M31460" s="13"/>
    </row>
    <row r="31461">
      <c r="F31461" s="13"/>
      <c r="M31461" s="13"/>
    </row>
    <row r="31462">
      <c r="F31462" s="13"/>
      <c r="M31462" s="13"/>
    </row>
    <row r="31463">
      <c r="F31463" s="13"/>
      <c r="M31463" s="13"/>
    </row>
    <row r="31464">
      <c r="F31464" s="13"/>
      <c r="M31464" s="13"/>
    </row>
    <row r="31465">
      <c r="F31465" s="13"/>
      <c r="M31465" s="13"/>
    </row>
    <row r="31466">
      <c r="F31466" s="13"/>
      <c r="M31466" s="13"/>
    </row>
    <row r="31467">
      <c r="F31467" s="13"/>
      <c r="M31467" s="13"/>
    </row>
    <row r="31468">
      <c r="F31468" s="13"/>
      <c r="M31468" s="13"/>
    </row>
    <row r="31469">
      <c r="F31469" s="13"/>
      <c r="M31469" s="13"/>
    </row>
    <row r="31470">
      <c r="F31470" s="13"/>
      <c r="M31470" s="13"/>
    </row>
    <row r="31471">
      <c r="F31471" s="13"/>
      <c r="M31471" s="13"/>
    </row>
    <row r="31472">
      <c r="F31472" s="13"/>
      <c r="M31472" s="13"/>
    </row>
    <row r="31473">
      <c r="F31473" s="13"/>
      <c r="M31473" s="13"/>
    </row>
    <row r="31474">
      <c r="F31474" s="13"/>
      <c r="M31474" s="13"/>
    </row>
    <row r="31475">
      <c r="F31475" s="13"/>
      <c r="M31475" s="13"/>
    </row>
    <row r="31476">
      <c r="F31476" s="13"/>
      <c r="M31476" s="13"/>
    </row>
    <row r="31477">
      <c r="F31477" s="13"/>
      <c r="M31477" s="13"/>
    </row>
    <row r="31478">
      <c r="F31478" s="13"/>
      <c r="M31478" s="13"/>
    </row>
    <row r="31479">
      <c r="F31479" s="13"/>
      <c r="M31479" s="13"/>
    </row>
    <row r="31480">
      <c r="F31480" s="13"/>
      <c r="M31480" s="13"/>
    </row>
    <row r="31481">
      <c r="F31481" s="13"/>
      <c r="M31481" s="13"/>
    </row>
    <row r="31482">
      <c r="F31482" s="13"/>
      <c r="M31482" s="13"/>
    </row>
    <row r="31483">
      <c r="F31483" s="13"/>
      <c r="M31483" s="13"/>
    </row>
    <row r="31484">
      <c r="F31484" s="13"/>
      <c r="M31484" s="13"/>
    </row>
    <row r="31485">
      <c r="F31485" s="13"/>
      <c r="M31485" s="13"/>
    </row>
    <row r="31486">
      <c r="F31486" s="13"/>
      <c r="M31486" s="13"/>
    </row>
    <row r="31487">
      <c r="F31487" s="13"/>
      <c r="M31487" s="13"/>
    </row>
    <row r="31488">
      <c r="F31488" s="13"/>
      <c r="M31488" s="13"/>
    </row>
    <row r="31489">
      <c r="F31489" s="13"/>
      <c r="M31489" s="13"/>
    </row>
    <row r="31490">
      <c r="F31490" s="13"/>
      <c r="M31490" s="13"/>
    </row>
    <row r="31491">
      <c r="F31491" s="13"/>
      <c r="M31491" s="13"/>
    </row>
    <row r="31492">
      <c r="F31492" s="13"/>
      <c r="M31492" s="13"/>
    </row>
    <row r="31493">
      <c r="F31493" s="13"/>
      <c r="M31493" s="13"/>
    </row>
    <row r="31494">
      <c r="F31494" s="13"/>
      <c r="M31494" s="13"/>
    </row>
    <row r="31495">
      <c r="F31495" s="13"/>
      <c r="M31495" s="13"/>
    </row>
    <row r="31496">
      <c r="F31496" s="13"/>
      <c r="M31496" s="13"/>
    </row>
    <row r="31497">
      <c r="F31497" s="13"/>
      <c r="M31497" s="13"/>
    </row>
    <row r="31498">
      <c r="F31498" s="13"/>
      <c r="M31498" s="13"/>
    </row>
    <row r="31499">
      <c r="F31499" s="13"/>
      <c r="M31499" s="13"/>
    </row>
    <row r="31500">
      <c r="F31500" s="13"/>
      <c r="M31500" s="13"/>
    </row>
    <row r="31501">
      <c r="F31501" s="13"/>
      <c r="M31501" s="13"/>
    </row>
    <row r="31502">
      <c r="F31502" s="13"/>
      <c r="M31502" s="13"/>
    </row>
    <row r="31503">
      <c r="F31503" s="13"/>
      <c r="M31503" s="13"/>
    </row>
    <row r="31504">
      <c r="F31504" s="13"/>
      <c r="M31504" s="13"/>
    </row>
    <row r="31505">
      <c r="F31505" s="13"/>
      <c r="M31505" s="13"/>
    </row>
    <row r="31506">
      <c r="F31506" s="13"/>
      <c r="M31506" s="13"/>
    </row>
    <row r="31507">
      <c r="F31507" s="13"/>
      <c r="M31507" s="13"/>
    </row>
    <row r="31508">
      <c r="F31508" s="13"/>
      <c r="M31508" s="13"/>
    </row>
    <row r="31509">
      <c r="F31509" s="13"/>
      <c r="M31509" s="13"/>
    </row>
    <row r="31510">
      <c r="F31510" s="13"/>
      <c r="M31510" s="13"/>
    </row>
    <row r="31511">
      <c r="F31511" s="13"/>
      <c r="M31511" s="13"/>
    </row>
    <row r="31512">
      <c r="F31512" s="13"/>
      <c r="M31512" s="13"/>
    </row>
    <row r="31513">
      <c r="F31513" s="13"/>
      <c r="M31513" s="13"/>
    </row>
    <row r="31514">
      <c r="F31514" s="13"/>
      <c r="M31514" s="13"/>
    </row>
    <row r="31515">
      <c r="F31515" s="13"/>
      <c r="M31515" s="13"/>
    </row>
    <row r="31516">
      <c r="F31516" s="13"/>
      <c r="M31516" s="13"/>
    </row>
    <row r="31517">
      <c r="F31517" s="13"/>
      <c r="M31517" s="13"/>
    </row>
    <row r="31518">
      <c r="F31518" s="13"/>
      <c r="M31518" s="13"/>
    </row>
    <row r="31519">
      <c r="F31519" s="13"/>
      <c r="M31519" s="13"/>
    </row>
    <row r="31520">
      <c r="F31520" s="13"/>
      <c r="M31520" s="13"/>
    </row>
    <row r="31521">
      <c r="F31521" s="13"/>
      <c r="M31521" s="13"/>
    </row>
    <row r="31522">
      <c r="F31522" s="13"/>
      <c r="M31522" s="13"/>
    </row>
    <row r="31523">
      <c r="F31523" s="13"/>
      <c r="M31523" s="13"/>
    </row>
    <row r="31524">
      <c r="F31524" s="13"/>
      <c r="M31524" s="13"/>
    </row>
    <row r="31525">
      <c r="F31525" s="13"/>
      <c r="M31525" s="13"/>
    </row>
    <row r="31526">
      <c r="F31526" s="13"/>
      <c r="M31526" s="13"/>
    </row>
    <row r="31527">
      <c r="F31527" s="13"/>
      <c r="M31527" s="13"/>
    </row>
    <row r="31528">
      <c r="F31528" s="13"/>
      <c r="M31528" s="13"/>
    </row>
    <row r="31529">
      <c r="F31529" s="13"/>
      <c r="M31529" s="13"/>
    </row>
    <row r="31530">
      <c r="F31530" s="13"/>
      <c r="M31530" s="13"/>
    </row>
    <row r="31531">
      <c r="F31531" s="13"/>
      <c r="M31531" s="13"/>
    </row>
    <row r="31532">
      <c r="F31532" s="13"/>
      <c r="M31532" s="13"/>
    </row>
    <row r="31533">
      <c r="F31533" s="13"/>
      <c r="M31533" s="13"/>
    </row>
    <row r="31534">
      <c r="F31534" s="13"/>
      <c r="M31534" s="13"/>
    </row>
    <row r="31535">
      <c r="F31535" s="13"/>
      <c r="M31535" s="13"/>
    </row>
    <row r="31536">
      <c r="F31536" s="13"/>
      <c r="M31536" s="13"/>
    </row>
    <row r="31537">
      <c r="F31537" s="13"/>
      <c r="M31537" s="13"/>
    </row>
    <row r="31538">
      <c r="F31538" s="13"/>
      <c r="M31538" s="13"/>
    </row>
    <row r="31539">
      <c r="F31539" s="13"/>
      <c r="M31539" s="13"/>
    </row>
    <row r="31540">
      <c r="F31540" s="13"/>
      <c r="M31540" s="13"/>
    </row>
    <row r="31541">
      <c r="F31541" s="13"/>
      <c r="M31541" s="13"/>
    </row>
    <row r="31542">
      <c r="F31542" s="13"/>
      <c r="M31542" s="13"/>
    </row>
    <row r="31543">
      <c r="F31543" s="13"/>
      <c r="M31543" s="13"/>
    </row>
    <row r="31544">
      <c r="F31544" s="13"/>
      <c r="M31544" s="13"/>
    </row>
    <row r="31545">
      <c r="F31545" s="13"/>
      <c r="M31545" s="13"/>
    </row>
    <row r="31546">
      <c r="F31546" s="13"/>
      <c r="M31546" s="13"/>
    </row>
    <row r="31547">
      <c r="F31547" s="13"/>
      <c r="M31547" s="13"/>
    </row>
    <row r="31548">
      <c r="F31548" s="13"/>
      <c r="M31548" s="13"/>
    </row>
    <row r="31549">
      <c r="F31549" s="13"/>
      <c r="M31549" s="13"/>
    </row>
    <row r="31550">
      <c r="F31550" s="13"/>
      <c r="M31550" s="13"/>
    </row>
    <row r="31551">
      <c r="F31551" s="13"/>
      <c r="M31551" s="13"/>
    </row>
    <row r="31552">
      <c r="F31552" s="13"/>
      <c r="M31552" s="13"/>
    </row>
    <row r="31553">
      <c r="F31553" s="13"/>
      <c r="M31553" s="13"/>
    </row>
    <row r="31554">
      <c r="F31554" s="13"/>
      <c r="M31554" s="13"/>
    </row>
    <row r="31555">
      <c r="F31555" s="13"/>
      <c r="M31555" s="13"/>
    </row>
    <row r="31556">
      <c r="F31556" s="13"/>
      <c r="M31556" s="13"/>
    </row>
    <row r="31557">
      <c r="F31557" s="13"/>
      <c r="M31557" s="13"/>
    </row>
    <row r="31558">
      <c r="F31558" s="13"/>
      <c r="M31558" s="13"/>
    </row>
    <row r="31559">
      <c r="F31559" s="13"/>
      <c r="M31559" s="13"/>
    </row>
    <row r="31560">
      <c r="F31560" s="13"/>
      <c r="M31560" s="13"/>
    </row>
    <row r="31561">
      <c r="F31561" s="13"/>
      <c r="M31561" s="13"/>
    </row>
    <row r="31562">
      <c r="F31562" s="13"/>
      <c r="M31562" s="13"/>
    </row>
    <row r="31563">
      <c r="F31563" s="13"/>
      <c r="M31563" s="13"/>
    </row>
    <row r="31564">
      <c r="F31564" s="13"/>
      <c r="M31564" s="13"/>
    </row>
    <row r="31565">
      <c r="F31565" s="13"/>
      <c r="M31565" s="13"/>
    </row>
    <row r="31566">
      <c r="F31566" s="13"/>
      <c r="M31566" s="13"/>
    </row>
    <row r="31567">
      <c r="F31567" s="13"/>
      <c r="M31567" s="13"/>
    </row>
    <row r="31568">
      <c r="F31568" s="13"/>
      <c r="M31568" s="13"/>
    </row>
    <row r="31569">
      <c r="F31569" s="13"/>
      <c r="M31569" s="13"/>
    </row>
    <row r="31570">
      <c r="F31570" s="13"/>
      <c r="M31570" s="13"/>
    </row>
    <row r="31571">
      <c r="F31571" s="13"/>
      <c r="M31571" s="13"/>
    </row>
    <row r="31572">
      <c r="F31572" s="13"/>
      <c r="M31572" s="13"/>
    </row>
    <row r="31573">
      <c r="F31573" s="13"/>
      <c r="M31573" s="13"/>
    </row>
    <row r="31574">
      <c r="F31574" s="13"/>
      <c r="M31574" s="13"/>
    </row>
    <row r="31575">
      <c r="F31575" s="13"/>
      <c r="M31575" s="13"/>
    </row>
    <row r="31576">
      <c r="F31576" s="13"/>
      <c r="M31576" s="13"/>
    </row>
    <row r="31577">
      <c r="F31577" s="13"/>
      <c r="M31577" s="13"/>
    </row>
    <row r="31578">
      <c r="F31578" s="13"/>
      <c r="M31578" s="13"/>
    </row>
    <row r="31579">
      <c r="F31579" s="13"/>
      <c r="M31579" s="13"/>
    </row>
    <row r="31580">
      <c r="F31580" s="13"/>
      <c r="M31580" s="13"/>
    </row>
    <row r="31581">
      <c r="F31581" s="13"/>
      <c r="M31581" s="13"/>
    </row>
    <row r="31582">
      <c r="F31582" s="13"/>
      <c r="M31582" s="13"/>
    </row>
    <row r="31583">
      <c r="F31583" s="13"/>
      <c r="M31583" s="13"/>
    </row>
    <row r="31584">
      <c r="F31584" s="13"/>
      <c r="M31584" s="13"/>
    </row>
    <row r="31585">
      <c r="F31585" s="13"/>
      <c r="M31585" s="13"/>
    </row>
    <row r="31586">
      <c r="F31586" s="13"/>
      <c r="M31586" s="13"/>
    </row>
    <row r="31587">
      <c r="F31587" s="13"/>
      <c r="M31587" s="13"/>
    </row>
    <row r="31588">
      <c r="F31588" s="13"/>
      <c r="M31588" s="13"/>
    </row>
    <row r="31589">
      <c r="F31589" s="13"/>
      <c r="M31589" s="13"/>
    </row>
    <row r="31590">
      <c r="F31590" s="13"/>
      <c r="M31590" s="13"/>
    </row>
    <row r="31591">
      <c r="F31591" s="13"/>
      <c r="M31591" s="13"/>
    </row>
    <row r="31592">
      <c r="F31592" s="13"/>
      <c r="M31592" s="13"/>
    </row>
    <row r="31593">
      <c r="F31593" s="13"/>
      <c r="M31593" s="13"/>
    </row>
    <row r="31594">
      <c r="F31594" s="13"/>
      <c r="M31594" s="13"/>
    </row>
    <row r="31595">
      <c r="F31595" s="13"/>
      <c r="M31595" s="13"/>
    </row>
    <row r="31596">
      <c r="F31596" s="13"/>
      <c r="M31596" s="13"/>
    </row>
    <row r="31597">
      <c r="F31597" s="13"/>
      <c r="M31597" s="13"/>
    </row>
    <row r="31598">
      <c r="F31598" s="13"/>
      <c r="M31598" s="13"/>
    </row>
    <row r="31599">
      <c r="F31599" s="13"/>
      <c r="M31599" s="13"/>
    </row>
    <row r="31600">
      <c r="F31600" s="13"/>
      <c r="M31600" s="13"/>
    </row>
    <row r="31601">
      <c r="F31601" s="13"/>
      <c r="M31601" s="13"/>
    </row>
    <row r="31602">
      <c r="F31602" s="13"/>
      <c r="M31602" s="13"/>
    </row>
    <row r="31603">
      <c r="F31603" s="13"/>
      <c r="M31603" s="13"/>
    </row>
    <row r="31604">
      <c r="F31604" s="13"/>
      <c r="M31604" s="13"/>
    </row>
    <row r="31605">
      <c r="F31605" s="13"/>
      <c r="M31605" s="13"/>
    </row>
    <row r="31606">
      <c r="F31606" s="13"/>
      <c r="M31606" s="13"/>
    </row>
    <row r="31607">
      <c r="F31607" s="13"/>
      <c r="M31607" s="13"/>
    </row>
    <row r="31608">
      <c r="F31608" s="13"/>
      <c r="M31608" s="13"/>
    </row>
    <row r="31609">
      <c r="F31609" s="13"/>
      <c r="M31609" s="13"/>
    </row>
    <row r="31610">
      <c r="F31610" s="13"/>
      <c r="M31610" s="13"/>
    </row>
    <row r="31611">
      <c r="F31611" s="13"/>
      <c r="M31611" s="13"/>
    </row>
    <row r="31612">
      <c r="F31612" s="13"/>
      <c r="M31612" s="13"/>
    </row>
    <row r="31613">
      <c r="F31613" s="13"/>
      <c r="M31613" s="13"/>
    </row>
    <row r="31614">
      <c r="F31614" s="13"/>
      <c r="M31614" s="13"/>
    </row>
    <row r="31615">
      <c r="F31615" s="13"/>
      <c r="M31615" s="13"/>
    </row>
    <row r="31616">
      <c r="F31616" s="13"/>
      <c r="M31616" s="13"/>
    </row>
    <row r="31617">
      <c r="F31617" s="13"/>
      <c r="M31617" s="13"/>
    </row>
    <row r="31618">
      <c r="F31618" s="13"/>
      <c r="M31618" s="13"/>
    </row>
    <row r="31619">
      <c r="F31619" s="13"/>
      <c r="M31619" s="13"/>
    </row>
    <row r="31620">
      <c r="F31620" s="13"/>
      <c r="M31620" s="13"/>
    </row>
    <row r="31621">
      <c r="F31621" s="13"/>
      <c r="M31621" s="13"/>
    </row>
    <row r="31622">
      <c r="F31622" s="13"/>
      <c r="M31622" s="13"/>
    </row>
    <row r="31623">
      <c r="F31623" s="13"/>
      <c r="M31623" s="13"/>
    </row>
    <row r="31624">
      <c r="F31624" s="13"/>
      <c r="M31624" s="13"/>
    </row>
    <row r="31625">
      <c r="F31625" s="13"/>
      <c r="M31625" s="13"/>
    </row>
    <row r="31626">
      <c r="F31626" s="13"/>
      <c r="M31626" s="13"/>
    </row>
    <row r="31627">
      <c r="F31627" s="13"/>
      <c r="M31627" s="13"/>
    </row>
    <row r="31628">
      <c r="F31628" s="13"/>
      <c r="M31628" s="13"/>
    </row>
    <row r="31629">
      <c r="F31629" s="13"/>
      <c r="M31629" s="13"/>
    </row>
    <row r="31630">
      <c r="F31630" s="13"/>
      <c r="M31630" s="13"/>
    </row>
    <row r="31631">
      <c r="F31631" s="13"/>
      <c r="M31631" s="13"/>
    </row>
    <row r="31632">
      <c r="F31632" s="13"/>
      <c r="M31632" s="13"/>
    </row>
    <row r="31633">
      <c r="F31633" s="13"/>
      <c r="M31633" s="13"/>
    </row>
    <row r="31634">
      <c r="F31634" s="13"/>
      <c r="M31634" s="13"/>
    </row>
    <row r="31635">
      <c r="F31635" s="13"/>
      <c r="M31635" s="13"/>
    </row>
    <row r="31636">
      <c r="F31636" s="13"/>
      <c r="M31636" s="13"/>
    </row>
    <row r="31637">
      <c r="F31637" s="13"/>
      <c r="M31637" s="13"/>
    </row>
    <row r="31638">
      <c r="F31638" s="13"/>
      <c r="M31638" s="13"/>
    </row>
    <row r="31639">
      <c r="F31639" s="13"/>
      <c r="M31639" s="13"/>
    </row>
    <row r="31640">
      <c r="F31640" s="13"/>
      <c r="M31640" s="13"/>
    </row>
    <row r="31641">
      <c r="F31641" s="13"/>
      <c r="M31641" s="13"/>
    </row>
    <row r="31642">
      <c r="F31642" s="13"/>
      <c r="M31642" s="13"/>
    </row>
    <row r="31643">
      <c r="F31643" s="13"/>
      <c r="M31643" s="13"/>
    </row>
    <row r="31644">
      <c r="F31644" s="13"/>
      <c r="M31644" s="13"/>
    </row>
    <row r="31645">
      <c r="F31645" s="13"/>
      <c r="M31645" s="13"/>
    </row>
    <row r="31646">
      <c r="F31646" s="13"/>
      <c r="M31646" s="13"/>
    </row>
    <row r="31647">
      <c r="F31647" s="13"/>
      <c r="M31647" s="13"/>
    </row>
    <row r="31648">
      <c r="F31648" s="13"/>
      <c r="M31648" s="13"/>
    </row>
    <row r="31649">
      <c r="F31649" s="13"/>
      <c r="M31649" s="13"/>
    </row>
    <row r="31650">
      <c r="F31650" s="13"/>
      <c r="M31650" s="13"/>
    </row>
    <row r="31651">
      <c r="F31651" s="13"/>
      <c r="M31651" s="13"/>
    </row>
    <row r="31652">
      <c r="F31652" s="13"/>
      <c r="M31652" s="13"/>
    </row>
    <row r="31653">
      <c r="F31653" s="13"/>
      <c r="M31653" s="13"/>
    </row>
    <row r="31654">
      <c r="F31654" s="13"/>
      <c r="M31654" s="13"/>
    </row>
    <row r="31655">
      <c r="F31655" s="13"/>
      <c r="M31655" s="13"/>
    </row>
    <row r="31656">
      <c r="F31656" s="13"/>
      <c r="M31656" s="13"/>
    </row>
    <row r="31657">
      <c r="F31657" s="13"/>
      <c r="M31657" s="13"/>
    </row>
    <row r="31658">
      <c r="F31658" s="13"/>
      <c r="M31658" s="13"/>
    </row>
    <row r="31659">
      <c r="F31659" s="13"/>
      <c r="M31659" s="13"/>
    </row>
    <row r="31660">
      <c r="F31660" s="13"/>
      <c r="M31660" s="13"/>
    </row>
    <row r="31661">
      <c r="F31661" s="13"/>
      <c r="M31661" s="13"/>
    </row>
    <row r="31662">
      <c r="F31662" s="13"/>
      <c r="M31662" s="13"/>
    </row>
    <row r="31663">
      <c r="F31663" s="13"/>
      <c r="M31663" s="13"/>
    </row>
    <row r="31664">
      <c r="F31664" s="13"/>
      <c r="M31664" s="13"/>
    </row>
    <row r="31665">
      <c r="F31665" s="13"/>
      <c r="M31665" s="13"/>
    </row>
    <row r="31666">
      <c r="F31666" s="13"/>
      <c r="M31666" s="13"/>
    </row>
    <row r="31667">
      <c r="F31667" s="13"/>
      <c r="M31667" s="13"/>
    </row>
    <row r="31668">
      <c r="F31668" s="13"/>
      <c r="M31668" s="13"/>
    </row>
    <row r="31669">
      <c r="F31669" s="13"/>
      <c r="M31669" s="13"/>
    </row>
    <row r="31670">
      <c r="F31670" s="13"/>
      <c r="M31670" s="13"/>
    </row>
    <row r="31671">
      <c r="F31671" s="13"/>
      <c r="M31671" s="13"/>
    </row>
    <row r="31672">
      <c r="F31672" s="13"/>
      <c r="M31672" s="13"/>
    </row>
    <row r="31673">
      <c r="F31673" s="13"/>
      <c r="M31673" s="13"/>
    </row>
    <row r="31674">
      <c r="F31674" s="13"/>
      <c r="M31674" s="13"/>
    </row>
    <row r="31675">
      <c r="F31675" s="13"/>
      <c r="M31675" s="13"/>
    </row>
    <row r="31676">
      <c r="F31676" s="13"/>
      <c r="M31676" s="13"/>
    </row>
    <row r="31677">
      <c r="F31677" s="13"/>
      <c r="M31677" s="13"/>
    </row>
    <row r="31678">
      <c r="F31678" s="13"/>
      <c r="M31678" s="13"/>
    </row>
    <row r="31679">
      <c r="F31679" s="13"/>
      <c r="M31679" s="13"/>
    </row>
    <row r="31680">
      <c r="F31680" s="13"/>
      <c r="M31680" s="13"/>
    </row>
    <row r="31681">
      <c r="F31681" s="13"/>
      <c r="M31681" s="13"/>
    </row>
    <row r="31682">
      <c r="F31682" s="13"/>
      <c r="M31682" s="13"/>
    </row>
    <row r="31683">
      <c r="F31683" s="13"/>
      <c r="M31683" s="13"/>
    </row>
    <row r="31684">
      <c r="F31684" s="13"/>
      <c r="M31684" s="13"/>
    </row>
    <row r="31685">
      <c r="F31685" s="13"/>
      <c r="M31685" s="13"/>
    </row>
    <row r="31686">
      <c r="F31686" s="13"/>
      <c r="M31686" s="13"/>
    </row>
    <row r="31687">
      <c r="F31687" s="13"/>
      <c r="M31687" s="13"/>
    </row>
    <row r="31688">
      <c r="F31688" s="13"/>
      <c r="M31688" s="13"/>
    </row>
    <row r="31689">
      <c r="F31689" s="13"/>
      <c r="M31689" s="13"/>
    </row>
    <row r="31690">
      <c r="F31690" s="13"/>
      <c r="M31690" s="13"/>
    </row>
    <row r="31691">
      <c r="F31691" s="13"/>
      <c r="M31691" s="13"/>
    </row>
    <row r="31692">
      <c r="F31692" s="13"/>
      <c r="M31692" s="13"/>
    </row>
    <row r="31693">
      <c r="F31693" s="13"/>
      <c r="M31693" s="13"/>
    </row>
    <row r="31694">
      <c r="F31694" s="13"/>
      <c r="M31694" s="13"/>
    </row>
    <row r="31695">
      <c r="F31695" s="13"/>
      <c r="M31695" s="13"/>
    </row>
    <row r="31696">
      <c r="F31696" s="13"/>
      <c r="M31696" s="13"/>
    </row>
    <row r="31697">
      <c r="F31697" s="13"/>
      <c r="M31697" s="13"/>
    </row>
    <row r="31698">
      <c r="F31698" s="13"/>
      <c r="M31698" s="13"/>
    </row>
    <row r="31699">
      <c r="F31699" s="13"/>
      <c r="M31699" s="13"/>
    </row>
    <row r="31700">
      <c r="F31700" s="13"/>
      <c r="M31700" s="13"/>
    </row>
    <row r="31701">
      <c r="F31701" s="13"/>
      <c r="M31701" s="13"/>
    </row>
    <row r="31702">
      <c r="F31702" s="13"/>
      <c r="M31702" s="13"/>
    </row>
    <row r="31703">
      <c r="F31703" s="13"/>
      <c r="M31703" s="13"/>
    </row>
    <row r="31704">
      <c r="F31704" s="13"/>
      <c r="M31704" s="13"/>
    </row>
    <row r="31705">
      <c r="F31705" s="13"/>
      <c r="M31705" s="13"/>
    </row>
    <row r="31706">
      <c r="F31706" s="13"/>
      <c r="M31706" s="13"/>
    </row>
    <row r="31707">
      <c r="F31707" s="13"/>
      <c r="M31707" s="13"/>
    </row>
    <row r="31708">
      <c r="F31708" s="13"/>
      <c r="M31708" s="13"/>
    </row>
    <row r="31709">
      <c r="F31709" s="13"/>
      <c r="M31709" s="13"/>
    </row>
    <row r="31710">
      <c r="F31710" s="13"/>
      <c r="M31710" s="13"/>
    </row>
    <row r="31711">
      <c r="F31711" s="13"/>
      <c r="M31711" s="13"/>
    </row>
    <row r="31712">
      <c r="F31712" s="13"/>
      <c r="M31712" s="13"/>
    </row>
    <row r="31713">
      <c r="F31713" s="13"/>
      <c r="M31713" s="13"/>
    </row>
    <row r="31714">
      <c r="F31714" s="13"/>
      <c r="M31714" s="13"/>
    </row>
    <row r="31715">
      <c r="F31715" s="13"/>
      <c r="M31715" s="13"/>
    </row>
    <row r="31716">
      <c r="F31716" s="13"/>
      <c r="M31716" s="13"/>
    </row>
    <row r="31717">
      <c r="F31717" s="13"/>
      <c r="M31717" s="13"/>
    </row>
    <row r="31718">
      <c r="F31718" s="13"/>
      <c r="M31718" s="13"/>
    </row>
    <row r="31719">
      <c r="F31719" s="13"/>
      <c r="M31719" s="13"/>
    </row>
    <row r="31720">
      <c r="F31720" s="13"/>
      <c r="M31720" s="13"/>
    </row>
    <row r="31721">
      <c r="F31721" s="13"/>
      <c r="M31721" s="13"/>
    </row>
    <row r="31722">
      <c r="F31722" s="13"/>
      <c r="M31722" s="13"/>
    </row>
    <row r="31723">
      <c r="F31723" s="13"/>
      <c r="M31723" s="13"/>
    </row>
    <row r="31724">
      <c r="F31724" s="13"/>
      <c r="M31724" s="13"/>
    </row>
    <row r="31725">
      <c r="F31725" s="13"/>
      <c r="M31725" s="13"/>
    </row>
    <row r="31726">
      <c r="F31726" s="13"/>
      <c r="M31726" s="13"/>
    </row>
    <row r="31727">
      <c r="F31727" s="13"/>
      <c r="M31727" s="13"/>
    </row>
    <row r="31728">
      <c r="F31728" s="13"/>
      <c r="M31728" s="13"/>
    </row>
    <row r="31729">
      <c r="F31729" s="13"/>
      <c r="M31729" s="13"/>
    </row>
    <row r="31730">
      <c r="F31730" s="13"/>
      <c r="M31730" s="13"/>
    </row>
    <row r="31731">
      <c r="F31731" s="13"/>
      <c r="M31731" s="13"/>
    </row>
    <row r="31732">
      <c r="F31732" s="13"/>
      <c r="M31732" s="13"/>
    </row>
    <row r="31733">
      <c r="F31733" s="13"/>
      <c r="M31733" s="13"/>
    </row>
    <row r="31734">
      <c r="F31734" s="13"/>
      <c r="M31734" s="13"/>
    </row>
    <row r="31735">
      <c r="F31735" s="13"/>
      <c r="M31735" s="13"/>
    </row>
    <row r="31736">
      <c r="F31736" s="13"/>
      <c r="M31736" s="13"/>
    </row>
    <row r="31737">
      <c r="F31737" s="13"/>
      <c r="M31737" s="13"/>
    </row>
    <row r="31738">
      <c r="F31738" s="13"/>
      <c r="M31738" s="13"/>
    </row>
    <row r="31739">
      <c r="F31739" s="13"/>
      <c r="M31739" s="13"/>
    </row>
    <row r="31740">
      <c r="F31740" s="13"/>
      <c r="M31740" s="13"/>
    </row>
    <row r="31741">
      <c r="F31741" s="13"/>
      <c r="M31741" s="13"/>
    </row>
    <row r="31742">
      <c r="F31742" s="13"/>
      <c r="M31742" s="13"/>
    </row>
    <row r="31743">
      <c r="F31743" s="13"/>
      <c r="M31743" s="13"/>
    </row>
    <row r="31744">
      <c r="F31744" s="13"/>
      <c r="M31744" s="13"/>
    </row>
    <row r="31745">
      <c r="F31745" s="13"/>
      <c r="M31745" s="13"/>
    </row>
    <row r="31746">
      <c r="F31746" s="13"/>
      <c r="M31746" s="13"/>
    </row>
    <row r="31747">
      <c r="F31747" s="13"/>
      <c r="M31747" s="13"/>
    </row>
    <row r="31748">
      <c r="F31748" s="13"/>
      <c r="M31748" s="13"/>
    </row>
    <row r="31749">
      <c r="F31749" s="13"/>
      <c r="M31749" s="13"/>
    </row>
    <row r="31750">
      <c r="F31750" s="13"/>
      <c r="M31750" s="13"/>
    </row>
    <row r="31751">
      <c r="F31751" s="13"/>
      <c r="M31751" s="13"/>
    </row>
    <row r="31752">
      <c r="F31752" s="13"/>
      <c r="M31752" s="13"/>
    </row>
    <row r="31753">
      <c r="F31753" s="13"/>
      <c r="M31753" s="13"/>
    </row>
    <row r="31754">
      <c r="F31754" s="13"/>
      <c r="M31754" s="13"/>
    </row>
    <row r="31755">
      <c r="F31755" s="13"/>
      <c r="M31755" s="13"/>
    </row>
    <row r="31756">
      <c r="F31756" s="13"/>
      <c r="M31756" s="13"/>
    </row>
    <row r="31757">
      <c r="F31757" s="13"/>
      <c r="M31757" s="13"/>
    </row>
    <row r="31758">
      <c r="F31758" s="13"/>
      <c r="M31758" s="13"/>
    </row>
    <row r="31759">
      <c r="F31759" s="13"/>
      <c r="M31759" s="13"/>
    </row>
    <row r="31760">
      <c r="F31760" s="13"/>
      <c r="M31760" s="13"/>
    </row>
    <row r="31761">
      <c r="F31761" s="13"/>
      <c r="M31761" s="13"/>
    </row>
    <row r="31762">
      <c r="F31762" s="13"/>
      <c r="M31762" s="13"/>
    </row>
    <row r="31763">
      <c r="F31763" s="13"/>
      <c r="M31763" s="13"/>
    </row>
    <row r="31764">
      <c r="F31764" s="13"/>
      <c r="M31764" s="13"/>
    </row>
    <row r="31765">
      <c r="F31765" s="13"/>
      <c r="M31765" s="13"/>
    </row>
    <row r="31766">
      <c r="F31766" s="13"/>
      <c r="M31766" s="13"/>
    </row>
    <row r="31767">
      <c r="F31767" s="13"/>
      <c r="M31767" s="13"/>
    </row>
    <row r="31768">
      <c r="F31768" s="13"/>
      <c r="M31768" s="13"/>
    </row>
    <row r="31769">
      <c r="F31769" s="13"/>
      <c r="M31769" s="13"/>
    </row>
    <row r="31770">
      <c r="F31770" s="13"/>
      <c r="M31770" s="13"/>
    </row>
    <row r="31771">
      <c r="F31771" s="13"/>
      <c r="M31771" s="13"/>
    </row>
    <row r="31772">
      <c r="F31772" s="13"/>
      <c r="M31772" s="13"/>
    </row>
    <row r="31773">
      <c r="F31773" s="13"/>
      <c r="M31773" s="13"/>
    </row>
    <row r="31774">
      <c r="F31774" s="13"/>
      <c r="M31774" s="13"/>
    </row>
    <row r="31775">
      <c r="F31775" s="13"/>
      <c r="M31775" s="13"/>
    </row>
    <row r="31776">
      <c r="F31776" s="13"/>
      <c r="M31776" s="13"/>
    </row>
    <row r="31777">
      <c r="F31777" s="13"/>
      <c r="M31777" s="13"/>
    </row>
    <row r="31778">
      <c r="F31778" s="13"/>
      <c r="M31778" s="13"/>
    </row>
    <row r="31779">
      <c r="F31779" s="13"/>
      <c r="M31779" s="13"/>
    </row>
    <row r="31780">
      <c r="F31780" s="13"/>
      <c r="M31780" s="13"/>
    </row>
    <row r="31781">
      <c r="F31781" s="13"/>
      <c r="M31781" s="13"/>
    </row>
    <row r="31782">
      <c r="F31782" s="13"/>
      <c r="M31782" s="13"/>
    </row>
    <row r="31783">
      <c r="F31783" s="13"/>
      <c r="M31783" s="13"/>
    </row>
    <row r="31784">
      <c r="F31784" s="13"/>
      <c r="M31784" s="13"/>
    </row>
    <row r="31785">
      <c r="F31785" s="13"/>
      <c r="M31785" s="13"/>
    </row>
    <row r="31786">
      <c r="F31786" s="13"/>
      <c r="M31786" s="13"/>
    </row>
    <row r="31787">
      <c r="F31787" s="13"/>
      <c r="M31787" s="13"/>
    </row>
    <row r="31788">
      <c r="F31788" s="13"/>
      <c r="M31788" s="13"/>
    </row>
    <row r="31789">
      <c r="F31789" s="13"/>
      <c r="M31789" s="13"/>
    </row>
    <row r="31790">
      <c r="F31790" s="13"/>
      <c r="M31790" s="13"/>
    </row>
    <row r="31791">
      <c r="F31791" s="13"/>
      <c r="M31791" s="13"/>
    </row>
    <row r="31792">
      <c r="F31792" s="13"/>
      <c r="M31792" s="13"/>
    </row>
    <row r="31793">
      <c r="F31793" s="13"/>
      <c r="M31793" s="13"/>
    </row>
    <row r="31794">
      <c r="F31794" s="13"/>
      <c r="M31794" s="13"/>
    </row>
    <row r="31795">
      <c r="F31795" s="13"/>
      <c r="M31795" s="13"/>
    </row>
    <row r="31796">
      <c r="F31796" s="13"/>
      <c r="M31796" s="13"/>
    </row>
    <row r="31797">
      <c r="F31797" s="13"/>
      <c r="M31797" s="13"/>
    </row>
    <row r="31798">
      <c r="F31798" s="13"/>
      <c r="M31798" s="13"/>
    </row>
    <row r="31799">
      <c r="F31799" s="13"/>
      <c r="M31799" s="13"/>
    </row>
    <row r="31800">
      <c r="F31800" s="13"/>
      <c r="M31800" s="13"/>
    </row>
    <row r="31801">
      <c r="F31801" s="13"/>
      <c r="M31801" s="13"/>
    </row>
    <row r="31802">
      <c r="F31802" s="13"/>
      <c r="M31802" s="13"/>
    </row>
    <row r="31803">
      <c r="F31803" s="13"/>
      <c r="M31803" s="13"/>
    </row>
    <row r="31804">
      <c r="F31804" s="13"/>
      <c r="M31804" s="13"/>
    </row>
    <row r="31805">
      <c r="F31805" s="13"/>
      <c r="M31805" s="13"/>
    </row>
    <row r="31806">
      <c r="F31806" s="13"/>
      <c r="M31806" s="13"/>
    </row>
    <row r="31807">
      <c r="F31807" s="13"/>
      <c r="M31807" s="13"/>
    </row>
    <row r="31808">
      <c r="F31808" s="13"/>
      <c r="M31808" s="13"/>
    </row>
    <row r="31809">
      <c r="F31809" s="13"/>
      <c r="M31809" s="13"/>
    </row>
    <row r="31810">
      <c r="F31810" s="13"/>
      <c r="M31810" s="13"/>
    </row>
    <row r="31811">
      <c r="F31811" s="13"/>
      <c r="M31811" s="13"/>
    </row>
    <row r="31812">
      <c r="F31812" s="13"/>
      <c r="M31812" s="13"/>
    </row>
    <row r="31813">
      <c r="F31813" s="13"/>
      <c r="M31813" s="13"/>
    </row>
    <row r="31814">
      <c r="F31814" s="13"/>
      <c r="M31814" s="13"/>
    </row>
    <row r="31815">
      <c r="F31815" s="13"/>
      <c r="M31815" s="13"/>
    </row>
    <row r="31816">
      <c r="F31816" s="13"/>
      <c r="M31816" s="13"/>
    </row>
    <row r="31817">
      <c r="F31817" s="13"/>
      <c r="M31817" s="13"/>
    </row>
    <row r="31818">
      <c r="F31818" s="13"/>
      <c r="M31818" s="13"/>
    </row>
    <row r="31819">
      <c r="F31819" s="13"/>
      <c r="M31819" s="13"/>
    </row>
    <row r="31820">
      <c r="F31820" s="13"/>
      <c r="M31820" s="13"/>
    </row>
    <row r="31821">
      <c r="F31821" s="13"/>
      <c r="M31821" s="13"/>
    </row>
    <row r="31822">
      <c r="F31822" s="13"/>
      <c r="M31822" s="13"/>
    </row>
    <row r="31823">
      <c r="F31823" s="13"/>
      <c r="M31823" s="13"/>
    </row>
    <row r="31824">
      <c r="F31824" s="13"/>
      <c r="M31824" s="13"/>
    </row>
    <row r="31825">
      <c r="F31825" s="13"/>
      <c r="M31825" s="13"/>
    </row>
    <row r="31826">
      <c r="F31826" s="13"/>
      <c r="M31826" s="13"/>
    </row>
    <row r="31827">
      <c r="F31827" s="13"/>
      <c r="M31827" s="13"/>
    </row>
    <row r="31828">
      <c r="F31828" s="13"/>
      <c r="M31828" s="13"/>
    </row>
    <row r="31829">
      <c r="F31829" s="13"/>
      <c r="M31829" s="13"/>
    </row>
    <row r="31830">
      <c r="F31830" s="13"/>
      <c r="M31830" s="13"/>
    </row>
    <row r="31831">
      <c r="F31831" s="13"/>
      <c r="M31831" s="13"/>
    </row>
    <row r="31832">
      <c r="F31832" s="13"/>
      <c r="M31832" s="13"/>
    </row>
    <row r="31833">
      <c r="F31833" s="13"/>
      <c r="M31833" s="13"/>
    </row>
    <row r="31834">
      <c r="F31834" s="13"/>
      <c r="M31834" s="13"/>
    </row>
    <row r="31835">
      <c r="F31835" s="13"/>
      <c r="M31835" s="13"/>
    </row>
    <row r="31836">
      <c r="F31836" s="13"/>
      <c r="M31836" s="13"/>
    </row>
    <row r="31837">
      <c r="F31837" s="13"/>
      <c r="M31837" s="13"/>
    </row>
    <row r="31838">
      <c r="F31838" s="13"/>
      <c r="M31838" s="13"/>
    </row>
    <row r="31839">
      <c r="F31839" s="13"/>
      <c r="M31839" s="13"/>
    </row>
    <row r="31840">
      <c r="F31840" s="13"/>
      <c r="M31840" s="13"/>
    </row>
    <row r="31841">
      <c r="F31841" s="13"/>
      <c r="M31841" s="13"/>
    </row>
    <row r="31842">
      <c r="F31842" s="13"/>
      <c r="M31842" s="13"/>
    </row>
    <row r="31843">
      <c r="F31843" s="13"/>
      <c r="M31843" s="13"/>
    </row>
    <row r="31844">
      <c r="F31844" s="13"/>
      <c r="M31844" s="13"/>
    </row>
    <row r="31845">
      <c r="F31845" s="13"/>
      <c r="M31845" s="13"/>
    </row>
    <row r="31846">
      <c r="F31846" s="13"/>
      <c r="M31846" s="13"/>
    </row>
    <row r="31847">
      <c r="F31847" s="13"/>
      <c r="M31847" s="13"/>
    </row>
    <row r="31848">
      <c r="F31848" s="13"/>
      <c r="M31848" s="13"/>
    </row>
    <row r="31849">
      <c r="F31849" s="13"/>
      <c r="M31849" s="13"/>
    </row>
    <row r="31850">
      <c r="F31850" s="13"/>
      <c r="M31850" s="13"/>
    </row>
    <row r="31851">
      <c r="F31851" s="13"/>
      <c r="M31851" s="13"/>
    </row>
    <row r="31852">
      <c r="F31852" s="13"/>
      <c r="M31852" s="13"/>
    </row>
    <row r="31853">
      <c r="F31853" s="13"/>
      <c r="M31853" s="13"/>
    </row>
    <row r="31854">
      <c r="F31854" s="13"/>
      <c r="M31854" s="13"/>
    </row>
    <row r="31855">
      <c r="F31855" s="13"/>
      <c r="M31855" s="13"/>
    </row>
    <row r="31856">
      <c r="F31856" s="13"/>
      <c r="M31856" s="13"/>
    </row>
    <row r="31857">
      <c r="F31857" s="13"/>
      <c r="M31857" s="13"/>
    </row>
    <row r="31858">
      <c r="F31858" s="13"/>
      <c r="M31858" s="13"/>
    </row>
    <row r="31859">
      <c r="F31859" s="13"/>
      <c r="M31859" s="13"/>
    </row>
    <row r="31860">
      <c r="F31860" s="13"/>
      <c r="M31860" s="13"/>
    </row>
    <row r="31861">
      <c r="F31861" s="13"/>
      <c r="M31861" s="13"/>
    </row>
    <row r="31862">
      <c r="F31862" s="13"/>
      <c r="M31862" s="13"/>
    </row>
    <row r="31863">
      <c r="F31863" s="13"/>
      <c r="M31863" s="13"/>
    </row>
    <row r="31864">
      <c r="F31864" s="13"/>
      <c r="M31864" s="13"/>
    </row>
    <row r="31865">
      <c r="F31865" s="13"/>
      <c r="M31865" s="13"/>
    </row>
    <row r="31866">
      <c r="F31866" s="13"/>
      <c r="M31866" s="13"/>
    </row>
    <row r="31867">
      <c r="F31867" s="13"/>
      <c r="M31867" s="13"/>
    </row>
    <row r="31868">
      <c r="F31868" s="13"/>
      <c r="M31868" s="13"/>
    </row>
    <row r="31869">
      <c r="F31869" s="13"/>
      <c r="M31869" s="13"/>
    </row>
    <row r="31870">
      <c r="F31870" s="13"/>
      <c r="M31870" s="13"/>
    </row>
    <row r="31871">
      <c r="F31871" s="13"/>
      <c r="M31871" s="13"/>
    </row>
    <row r="31872">
      <c r="F31872" s="13"/>
      <c r="M31872" s="13"/>
    </row>
    <row r="31873">
      <c r="F31873" s="13"/>
      <c r="M31873" s="13"/>
    </row>
    <row r="31874">
      <c r="F31874" s="13"/>
      <c r="M31874" s="13"/>
    </row>
    <row r="31875">
      <c r="F31875" s="13"/>
      <c r="M31875" s="13"/>
    </row>
    <row r="31876">
      <c r="F31876" s="13"/>
      <c r="M31876" s="13"/>
    </row>
    <row r="31877">
      <c r="F31877" s="13"/>
      <c r="M31877" s="13"/>
    </row>
    <row r="31878">
      <c r="F31878" s="13"/>
      <c r="M31878" s="13"/>
    </row>
    <row r="31879">
      <c r="F31879" s="13"/>
      <c r="M31879" s="13"/>
    </row>
    <row r="31880">
      <c r="F31880" s="13"/>
      <c r="M31880" s="13"/>
    </row>
    <row r="31881">
      <c r="F31881" s="13"/>
      <c r="M31881" s="13"/>
    </row>
    <row r="31882">
      <c r="F31882" s="13"/>
      <c r="M31882" s="13"/>
    </row>
    <row r="31883">
      <c r="F31883" s="13"/>
      <c r="M31883" s="13"/>
    </row>
    <row r="31884">
      <c r="F31884" s="13"/>
      <c r="M31884" s="13"/>
    </row>
    <row r="31885">
      <c r="F31885" s="13"/>
      <c r="M31885" s="13"/>
    </row>
    <row r="31886">
      <c r="F31886" s="13"/>
      <c r="M31886" s="13"/>
    </row>
    <row r="31887">
      <c r="F31887" s="13"/>
      <c r="M31887" s="13"/>
    </row>
    <row r="31888">
      <c r="F31888" s="13"/>
      <c r="M31888" s="13"/>
    </row>
    <row r="31889">
      <c r="F31889" s="13"/>
      <c r="M31889" s="13"/>
    </row>
    <row r="31890">
      <c r="F31890" s="13"/>
      <c r="M31890" s="13"/>
    </row>
    <row r="31891">
      <c r="F31891" s="13"/>
      <c r="M31891" s="13"/>
    </row>
    <row r="31892">
      <c r="F31892" s="13"/>
      <c r="M31892" s="13"/>
    </row>
    <row r="31893">
      <c r="F31893" s="13"/>
      <c r="M31893" s="13"/>
    </row>
    <row r="31894">
      <c r="F31894" s="13"/>
      <c r="M31894" s="13"/>
    </row>
    <row r="31895">
      <c r="F31895" s="13"/>
      <c r="M31895" s="13"/>
    </row>
    <row r="31896">
      <c r="F31896" s="13"/>
      <c r="M31896" s="13"/>
    </row>
    <row r="31897">
      <c r="F31897" s="13"/>
      <c r="M31897" s="13"/>
    </row>
    <row r="31898">
      <c r="F31898" s="13"/>
      <c r="M31898" s="13"/>
    </row>
    <row r="31899">
      <c r="F31899" s="13"/>
      <c r="M31899" s="13"/>
    </row>
    <row r="31900">
      <c r="F31900" s="13"/>
      <c r="M31900" s="13"/>
    </row>
    <row r="31901">
      <c r="F31901" s="13"/>
      <c r="M31901" s="13"/>
    </row>
    <row r="31902">
      <c r="F31902" s="13"/>
      <c r="M31902" s="13"/>
    </row>
    <row r="31903">
      <c r="F31903" s="13"/>
      <c r="M31903" s="13"/>
    </row>
    <row r="31904">
      <c r="F31904" s="13"/>
      <c r="M31904" s="13"/>
    </row>
    <row r="31905">
      <c r="F31905" s="13"/>
      <c r="M31905" s="13"/>
    </row>
    <row r="31906">
      <c r="F31906" s="13"/>
      <c r="M31906" s="13"/>
    </row>
    <row r="31907">
      <c r="F31907" s="13"/>
      <c r="M31907" s="13"/>
    </row>
    <row r="31908">
      <c r="F31908" s="13"/>
      <c r="M31908" s="13"/>
    </row>
    <row r="31909">
      <c r="F31909" s="13"/>
      <c r="M31909" s="13"/>
    </row>
    <row r="31910">
      <c r="F31910" s="13"/>
      <c r="M31910" s="13"/>
    </row>
    <row r="31911">
      <c r="F31911" s="13"/>
      <c r="M31911" s="13"/>
    </row>
    <row r="31912">
      <c r="F31912" s="13"/>
      <c r="M31912" s="13"/>
    </row>
    <row r="31913">
      <c r="F31913" s="13"/>
      <c r="M31913" s="13"/>
    </row>
    <row r="31914">
      <c r="F31914" s="13"/>
      <c r="M31914" s="13"/>
    </row>
    <row r="31915">
      <c r="F31915" s="13"/>
      <c r="M31915" s="13"/>
    </row>
    <row r="31916">
      <c r="F31916" s="13"/>
      <c r="M31916" s="13"/>
    </row>
    <row r="31917">
      <c r="F31917" s="13"/>
      <c r="M31917" s="13"/>
    </row>
    <row r="31918">
      <c r="F31918" s="13"/>
      <c r="M31918" s="13"/>
    </row>
    <row r="31919">
      <c r="F31919" s="13"/>
      <c r="M31919" s="13"/>
    </row>
    <row r="31920">
      <c r="F31920" s="13"/>
      <c r="M31920" s="13"/>
    </row>
    <row r="31921">
      <c r="F31921" s="13"/>
      <c r="M31921" s="13"/>
    </row>
    <row r="31922">
      <c r="F31922" s="13"/>
      <c r="M31922" s="13"/>
    </row>
    <row r="31923">
      <c r="F31923" s="13"/>
      <c r="M31923" s="13"/>
    </row>
    <row r="31924">
      <c r="F31924" s="13"/>
      <c r="M31924" s="13"/>
    </row>
    <row r="31925">
      <c r="F31925" s="13"/>
      <c r="M31925" s="13"/>
    </row>
    <row r="31926">
      <c r="F31926" s="13"/>
      <c r="M31926" s="13"/>
    </row>
    <row r="31927">
      <c r="F31927" s="13"/>
      <c r="M31927" s="13"/>
    </row>
    <row r="31928">
      <c r="F31928" s="13"/>
      <c r="M31928" s="13"/>
    </row>
    <row r="31929">
      <c r="F31929" s="13"/>
      <c r="M31929" s="13"/>
    </row>
    <row r="31930">
      <c r="F31930" s="13"/>
      <c r="M31930" s="13"/>
    </row>
    <row r="31931">
      <c r="F31931" s="13"/>
      <c r="M31931" s="13"/>
    </row>
    <row r="31932">
      <c r="F31932" s="13"/>
      <c r="M31932" s="13"/>
    </row>
    <row r="31933">
      <c r="F31933" s="13"/>
      <c r="M31933" s="13"/>
    </row>
    <row r="31934">
      <c r="F31934" s="13"/>
      <c r="M31934" s="13"/>
    </row>
    <row r="31935">
      <c r="F31935" s="13"/>
      <c r="M31935" s="13"/>
    </row>
    <row r="31936">
      <c r="F31936" s="13"/>
      <c r="M31936" s="13"/>
    </row>
    <row r="31937">
      <c r="F31937" s="13"/>
      <c r="M31937" s="13"/>
    </row>
    <row r="31938">
      <c r="F31938" s="13"/>
      <c r="M31938" s="13"/>
    </row>
    <row r="31939">
      <c r="F31939" s="13"/>
      <c r="M31939" s="13"/>
    </row>
    <row r="31940">
      <c r="F31940" s="13"/>
      <c r="M31940" s="13"/>
    </row>
    <row r="31941">
      <c r="F31941" s="13"/>
      <c r="M31941" s="13"/>
    </row>
    <row r="31942">
      <c r="F31942" s="13"/>
      <c r="M31942" s="13"/>
    </row>
    <row r="31943">
      <c r="F31943" s="13"/>
      <c r="M31943" s="13"/>
    </row>
    <row r="31944">
      <c r="F31944" s="13"/>
      <c r="M31944" s="13"/>
    </row>
    <row r="31945">
      <c r="F31945" s="13"/>
      <c r="M31945" s="13"/>
    </row>
    <row r="31946">
      <c r="F31946" s="13"/>
      <c r="M31946" s="13"/>
    </row>
    <row r="31947">
      <c r="F31947" s="13"/>
      <c r="M31947" s="13"/>
    </row>
    <row r="31948">
      <c r="F31948" s="13"/>
      <c r="M31948" s="13"/>
    </row>
    <row r="31949">
      <c r="F31949" s="13"/>
      <c r="M31949" s="13"/>
    </row>
    <row r="31950">
      <c r="F31950" s="13"/>
      <c r="M31950" s="13"/>
    </row>
    <row r="31951">
      <c r="F31951" s="13"/>
      <c r="M31951" s="13"/>
    </row>
    <row r="31952">
      <c r="F31952" s="13"/>
      <c r="M31952" s="13"/>
    </row>
    <row r="31953">
      <c r="F31953" s="13"/>
      <c r="M31953" s="13"/>
    </row>
    <row r="31954">
      <c r="F31954" s="13"/>
      <c r="M31954" s="13"/>
    </row>
    <row r="31955">
      <c r="F31955" s="13"/>
      <c r="M31955" s="13"/>
    </row>
    <row r="31956">
      <c r="F31956" s="13"/>
      <c r="M31956" s="13"/>
    </row>
    <row r="31957">
      <c r="F31957" s="13"/>
      <c r="M31957" s="13"/>
    </row>
    <row r="31958">
      <c r="F31958" s="13"/>
      <c r="M31958" s="13"/>
    </row>
    <row r="31959">
      <c r="F31959" s="13"/>
      <c r="M31959" s="13"/>
    </row>
    <row r="31960">
      <c r="F31960" s="13"/>
      <c r="M31960" s="13"/>
    </row>
    <row r="31961">
      <c r="F31961" s="13"/>
      <c r="M31961" s="13"/>
    </row>
    <row r="31962">
      <c r="F31962" s="13"/>
      <c r="M31962" s="13"/>
    </row>
    <row r="31963">
      <c r="F31963" s="13"/>
      <c r="M31963" s="13"/>
    </row>
    <row r="31964">
      <c r="F31964" s="13"/>
      <c r="M31964" s="13"/>
    </row>
    <row r="31965">
      <c r="F31965" s="13"/>
      <c r="M31965" s="13"/>
    </row>
    <row r="31966">
      <c r="F31966" s="13"/>
      <c r="M31966" s="13"/>
    </row>
    <row r="31967">
      <c r="F31967" s="13"/>
      <c r="M31967" s="13"/>
    </row>
    <row r="31968">
      <c r="F31968" s="13"/>
      <c r="M31968" s="13"/>
    </row>
    <row r="31969">
      <c r="F31969" s="13"/>
      <c r="M31969" s="13"/>
    </row>
    <row r="31970">
      <c r="F31970" s="13"/>
      <c r="M31970" s="13"/>
    </row>
    <row r="31971">
      <c r="F31971" s="13"/>
      <c r="M31971" s="13"/>
    </row>
    <row r="31972">
      <c r="F31972" s="13"/>
      <c r="M31972" s="13"/>
    </row>
    <row r="31973">
      <c r="F31973" s="13"/>
      <c r="M31973" s="13"/>
    </row>
    <row r="31974">
      <c r="F31974" s="13"/>
      <c r="M31974" s="13"/>
    </row>
    <row r="31975">
      <c r="F31975" s="13"/>
      <c r="M31975" s="13"/>
    </row>
    <row r="31976">
      <c r="F31976" s="13"/>
      <c r="M31976" s="13"/>
    </row>
    <row r="31977">
      <c r="F31977" s="13"/>
      <c r="M31977" s="13"/>
    </row>
    <row r="31978">
      <c r="F31978" s="13"/>
      <c r="M31978" s="13"/>
    </row>
    <row r="31979">
      <c r="F31979" s="13"/>
      <c r="M31979" s="13"/>
    </row>
    <row r="31980">
      <c r="F31980" s="13"/>
      <c r="M31980" s="13"/>
    </row>
    <row r="31981">
      <c r="F31981" s="13"/>
      <c r="M31981" s="13"/>
    </row>
    <row r="31982">
      <c r="F31982" s="13"/>
      <c r="M31982" s="13"/>
    </row>
    <row r="31983">
      <c r="F31983" s="13"/>
      <c r="M31983" s="13"/>
    </row>
    <row r="31984">
      <c r="F31984" s="13"/>
      <c r="M31984" s="13"/>
    </row>
    <row r="31985">
      <c r="F31985" s="13"/>
      <c r="M31985" s="13"/>
    </row>
    <row r="31986">
      <c r="F31986" s="13"/>
      <c r="M31986" s="13"/>
    </row>
    <row r="31987">
      <c r="F31987" s="13"/>
      <c r="M31987" s="13"/>
    </row>
    <row r="31988">
      <c r="F31988" s="13"/>
      <c r="M31988" s="13"/>
    </row>
    <row r="31989">
      <c r="F31989" s="13"/>
      <c r="M31989" s="13"/>
    </row>
    <row r="31990">
      <c r="F31990" s="13"/>
      <c r="M31990" s="13"/>
    </row>
    <row r="31991">
      <c r="F31991" s="13"/>
      <c r="M31991" s="13"/>
    </row>
    <row r="31992">
      <c r="F31992" s="13"/>
      <c r="M31992" s="13"/>
    </row>
    <row r="31993">
      <c r="F31993" s="13"/>
      <c r="M31993" s="13"/>
    </row>
    <row r="31994">
      <c r="F31994" s="13"/>
      <c r="M31994" s="13"/>
    </row>
    <row r="31995">
      <c r="F31995" s="13"/>
      <c r="M31995" s="13"/>
    </row>
    <row r="31996">
      <c r="F31996" s="13"/>
      <c r="M31996" s="13"/>
    </row>
    <row r="31997">
      <c r="F31997" s="13"/>
      <c r="M31997" s="13"/>
    </row>
    <row r="31998">
      <c r="F31998" s="13"/>
      <c r="M31998" s="13"/>
    </row>
    <row r="31999">
      <c r="F31999" s="13"/>
      <c r="M31999" s="13"/>
    </row>
    <row r="32000">
      <c r="F32000" s="13"/>
      <c r="M32000" s="13"/>
    </row>
    <row r="32001">
      <c r="F32001" s="13"/>
      <c r="M32001" s="13"/>
    </row>
    <row r="32002">
      <c r="F32002" s="13"/>
      <c r="M32002" s="13"/>
    </row>
    <row r="32003">
      <c r="F32003" s="13"/>
      <c r="M32003" s="13"/>
    </row>
    <row r="32004">
      <c r="F32004" s="13"/>
      <c r="M32004" s="13"/>
    </row>
    <row r="32005">
      <c r="F32005" s="13"/>
      <c r="M32005" s="13"/>
    </row>
    <row r="32006">
      <c r="F32006" s="13"/>
      <c r="M32006" s="13"/>
    </row>
    <row r="32007">
      <c r="F32007" s="13"/>
      <c r="M32007" s="13"/>
    </row>
    <row r="32008">
      <c r="F32008" s="13"/>
      <c r="M32008" s="13"/>
    </row>
    <row r="32009">
      <c r="F32009" s="13"/>
      <c r="M32009" s="13"/>
    </row>
    <row r="32010">
      <c r="F32010" s="13"/>
      <c r="M32010" s="13"/>
    </row>
    <row r="32011">
      <c r="F32011" s="13"/>
      <c r="M32011" s="13"/>
    </row>
    <row r="32012">
      <c r="F32012" s="13"/>
      <c r="M32012" s="13"/>
    </row>
    <row r="32013">
      <c r="F32013" s="13"/>
      <c r="M32013" s="13"/>
    </row>
    <row r="32014">
      <c r="F32014" s="13"/>
      <c r="M32014" s="13"/>
    </row>
    <row r="32015">
      <c r="F32015" s="13"/>
      <c r="M32015" s="13"/>
    </row>
    <row r="32016">
      <c r="F32016" s="13"/>
      <c r="M32016" s="13"/>
    </row>
    <row r="32017">
      <c r="F32017" s="13"/>
      <c r="M32017" s="13"/>
    </row>
    <row r="32018">
      <c r="F32018" s="13"/>
      <c r="M32018" s="13"/>
    </row>
    <row r="32019">
      <c r="F32019" s="13"/>
      <c r="M32019" s="13"/>
    </row>
    <row r="32020">
      <c r="F32020" s="13"/>
      <c r="M32020" s="13"/>
    </row>
    <row r="32021">
      <c r="F32021" s="13"/>
      <c r="M32021" s="13"/>
    </row>
    <row r="32022">
      <c r="F32022" s="13"/>
      <c r="M32022" s="13"/>
    </row>
    <row r="32023">
      <c r="F32023" s="13"/>
      <c r="M32023" s="13"/>
    </row>
    <row r="32024">
      <c r="F32024" s="13"/>
      <c r="M32024" s="13"/>
    </row>
    <row r="32025">
      <c r="F32025" s="13"/>
      <c r="M32025" s="13"/>
    </row>
    <row r="32026">
      <c r="F32026" s="13"/>
      <c r="M32026" s="13"/>
    </row>
    <row r="32027">
      <c r="F32027" s="13"/>
      <c r="M32027" s="13"/>
    </row>
    <row r="32028">
      <c r="F32028" s="13"/>
      <c r="M32028" s="13"/>
    </row>
    <row r="32029">
      <c r="F32029" s="13"/>
      <c r="M32029" s="13"/>
    </row>
    <row r="32030">
      <c r="F32030" s="13"/>
      <c r="M32030" s="13"/>
    </row>
    <row r="32031">
      <c r="F32031" s="13"/>
      <c r="M32031" s="13"/>
    </row>
    <row r="32032">
      <c r="F32032" s="13"/>
      <c r="M32032" s="13"/>
    </row>
    <row r="32033">
      <c r="F32033" s="13"/>
      <c r="M32033" s="13"/>
    </row>
    <row r="32034">
      <c r="F32034" s="13"/>
      <c r="M32034" s="13"/>
    </row>
    <row r="32035">
      <c r="F32035" s="13"/>
      <c r="M32035" s="13"/>
    </row>
    <row r="32036">
      <c r="F32036" s="13"/>
      <c r="M32036" s="13"/>
    </row>
    <row r="32037">
      <c r="F32037" s="13"/>
      <c r="M32037" s="13"/>
    </row>
    <row r="32038">
      <c r="F32038" s="13"/>
      <c r="M32038" s="13"/>
    </row>
    <row r="32039">
      <c r="F32039" s="13"/>
      <c r="M32039" s="13"/>
    </row>
    <row r="32040">
      <c r="F32040" s="13"/>
      <c r="M32040" s="13"/>
    </row>
    <row r="32041">
      <c r="F32041" s="13"/>
      <c r="M32041" s="13"/>
    </row>
    <row r="32042">
      <c r="F32042" s="13"/>
      <c r="M32042" s="13"/>
    </row>
    <row r="32043">
      <c r="F32043" s="13"/>
      <c r="M32043" s="13"/>
    </row>
    <row r="32044">
      <c r="F32044" s="13"/>
      <c r="M32044" s="13"/>
    </row>
    <row r="32045">
      <c r="F32045" s="13"/>
      <c r="M32045" s="13"/>
    </row>
    <row r="32046">
      <c r="F32046" s="13"/>
      <c r="M32046" s="13"/>
    </row>
    <row r="32047">
      <c r="F32047" s="13"/>
      <c r="M32047" s="13"/>
    </row>
    <row r="32048">
      <c r="F32048" s="13"/>
      <c r="M32048" s="13"/>
    </row>
    <row r="32049">
      <c r="F32049" s="13"/>
      <c r="M32049" s="13"/>
    </row>
    <row r="32050">
      <c r="F32050" s="13"/>
      <c r="M32050" s="13"/>
    </row>
    <row r="32051">
      <c r="F32051" s="13"/>
      <c r="M32051" s="13"/>
    </row>
    <row r="32052">
      <c r="F32052" s="13"/>
      <c r="M32052" s="13"/>
    </row>
    <row r="32053">
      <c r="F32053" s="13"/>
      <c r="M32053" s="13"/>
    </row>
    <row r="32054">
      <c r="F32054" s="13"/>
      <c r="M32054" s="13"/>
    </row>
    <row r="32055">
      <c r="F32055" s="13"/>
      <c r="M32055" s="13"/>
    </row>
    <row r="32056">
      <c r="F32056" s="13"/>
      <c r="M32056" s="13"/>
    </row>
    <row r="32057">
      <c r="F32057" s="13"/>
      <c r="M32057" s="13"/>
    </row>
    <row r="32058">
      <c r="F32058" s="13"/>
      <c r="M32058" s="13"/>
    </row>
    <row r="32059">
      <c r="F32059" s="13"/>
      <c r="M32059" s="13"/>
    </row>
    <row r="32060">
      <c r="F32060" s="13"/>
      <c r="M32060" s="13"/>
    </row>
    <row r="32061">
      <c r="F32061" s="13"/>
      <c r="M32061" s="13"/>
    </row>
    <row r="32062">
      <c r="F32062" s="13"/>
      <c r="M32062" s="13"/>
    </row>
    <row r="32063">
      <c r="F32063" s="13"/>
      <c r="M32063" s="13"/>
    </row>
    <row r="32064">
      <c r="F32064" s="13"/>
      <c r="M32064" s="13"/>
    </row>
    <row r="32065">
      <c r="F32065" s="13"/>
      <c r="M32065" s="13"/>
    </row>
    <row r="32066">
      <c r="F32066" s="13"/>
      <c r="M32066" s="13"/>
    </row>
    <row r="32067">
      <c r="F32067" s="13"/>
      <c r="M32067" s="13"/>
    </row>
    <row r="32068">
      <c r="F32068" s="13"/>
      <c r="M32068" s="13"/>
    </row>
    <row r="32069">
      <c r="F32069" s="13"/>
      <c r="M32069" s="13"/>
    </row>
    <row r="32070">
      <c r="F32070" s="13"/>
      <c r="M32070" s="13"/>
    </row>
    <row r="32071">
      <c r="F32071" s="13"/>
      <c r="M32071" s="13"/>
    </row>
    <row r="32072">
      <c r="F32072" s="13"/>
      <c r="M32072" s="13"/>
    </row>
    <row r="32073">
      <c r="F32073" s="13"/>
      <c r="M32073" s="13"/>
    </row>
    <row r="32074">
      <c r="F32074" s="13"/>
      <c r="M32074" s="13"/>
    </row>
    <row r="32075">
      <c r="F32075" s="13"/>
      <c r="M32075" s="13"/>
    </row>
    <row r="32076">
      <c r="F32076" s="13"/>
      <c r="M32076" s="13"/>
    </row>
    <row r="32077">
      <c r="F32077" s="13"/>
      <c r="M32077" s="13"/>
    </row>
    <row r="32078">
      <c r="F32078" s="13"/>
      <c r="M32078" s="13"/>
    </row>
    <row r="32079">
      <c r="F32079" s="13"/>
      <c r="M32079" s="13"/>
    </row>
    <row r="32080">
      <c r="F32080" s="13"/>
      <c r="M32080" s="13"/>
    </row>
    <row r="32081">
      <c r="F32081" s="13"/>
      <c r="M32081" s="13"/>
    </row>
    <row r="32082">
      <c r="F32082" s="13"/>
      <c r="M32082" s="13"/>
    </row>
    <row r="32083">
      <c r="F32083" s="13"/>
      <c r="M32083" s="13"/>
    </row>
    <row r="32084">
      <c r="F32084" s="13"/>
      <c r="M32084" s="13"/>
    </row>
    <row r="32085">
      <c r="F32085" s="13"/>
      <c r="M32085" s="13"/>
    </row>
    <row r="32086">
      <c r="F32086" s="13"/>
      <c r="M32086" s="13"/>
    </row>
    <row r="32087">
      <c r="F32087" s="13"/>
      <c r="M32087" s="13"/>
    </row>
    <row r="32088">
      <c r="F32088" s="13"/>
      <c r="M32088" s="13"/>
    </row>
    <row r="32089">
      <c r="F32089" s="13"/>
      <c r="M32089" s="13"/>
    </row>
    <row r="32090">
      <c r="F32090" s="13"/>
      <c r="M32090" s="13"/>
    </row>
    <row r="32091">
      <c r="F32091" s="13"/>
      <c r="M32091" s="13"/>
    </row>
    <row r="32092">
      <c r="F32092" s="13"/>
      <c r="M32092" s="13"/>
    </row>
    <row r="32093">
      <c r="F32093" s="13"/>
      <c r="M32093" s="13"/>
    </row>
    <row r="32094">
      <c r="F32094" s="13"/>
      <c r="M32094" s="13"/>
    </row>
    <row r="32095">
      <c r="F32095" s="13"/>
      <c r="M32095" s="13"/>
    </row>
    <row r="32096">
      <c r="F32096" s="13"/>
      <c r="M32096" s="13"/>
    </row>
    <row r="32097">
      <c r="F32097" s="13"/>
      <c r="M32097" s="13"/>
    </row>
    <row r="32098">
      <c r="F32098" s="13"/>
      <c r="M32098" s="13"/>
    </row>
    <row r="32099">
      <c r="F32099" s="13"/>
      <c r="M32099" s="13"/>
    </row>
    <row r="32100">
      <c r="F32100" s="13"/>
      <c r="M32100" s="13"/>
    </row>
    <row r="32101">
      <c r="F32101" s="13"/>
      <c r="M32101" s="13"/>
    </row>
    <row r="32102">
      <c r="F32102" s="13"/>
      <c r="M32102" s="13"/>
    </row>
    <row r="32103">
      <c r="F32103" s="13"/>
      <c r="M32103" s="13"/>
    </row>
    <row r="32104">
      <c r="F32104" s="13"/>
      <c r="M32104" s="13"/>
    </row>
    <row r="32105">
      <c r="F32105" s="13"/>
      <c r="M32105" s="13"/>
    </row>
    <row r="32106">
      <c r="F32106" s="13"/>
      <c r="M32106" s="13"/>
    </row>
    <row r="32107">
      <c r="F32107" s="13"/>
      <c r="M32107" s="13"/>
    </row>
    <row r="32108">
      <c r="F32108" s="13"/>
      <c r="M32108" s="13"/>
    </row>
    <row r="32109">
      <c r="F32109" s="13"/>
      <c r="M32109" s="13"/>
    </row>
    <row r="32110">
      <c r="F32110" s="13"/>
      <c r="M32110" s="13"/>
    </row>
    <row r="32111">
      <c r="F32111" s="13"/>
      <c r="M32111" s="13"/>
    </row>
    <row r="32112">
      <c r="F32112" s="13"/>
      <c r="M32112" s="13"/>
    </row>
    <row r="32113">
      <c r="F32113" s="13"/>
      <c r="M32113" s="13"/>
    </row>
    <row r="32114">
      <c r="F32114" s="13"/>
      <c r="M32114" s="13"/>
    </row>
    <row r="32115">
      <c r="F32115" s="13"/>
      <c r="M32115" s="13"/>
    </row>
    <row r="32116">
      <c r="F32116" s="13"/>
      <c r="M32116" s="13"/>
    </row>
    <row r="32117">
      <c r="F32117" s="13"/>
      <c r="M32117" s="13"/>
    </row>
    <row r="32118">
      <c r="F32118" s="13"/>
      <c r="M32118" s="13"/>
    </row>
    <row r="32119">
      <c r="F32119" s="13"/>
      <c r="M32119" s="13"/>
    </row>
    <row r="32120">
      <c r="F32120" s="13"/>
      <c r="M32120" s="13"/>
    </row>
    <row r="32121">
      <c r="F32121" s="13"/>
      <c r="M32121" s="13"/>
    </row>
    <row r="32122">
      <c r="F32122" s="13"/>
      <c r="M32122" s="13"/>
    </row>
    <row r="32123">
      <c r="F32123" s="13"/>
      <c r="M32123" s="13"/>
    </row>
    <row r="32124">
      <c r="F32124" s="13"/>
      <c r="M32124" s="13"/>
    </row>
    <row r="32125">
      <c r="F32125" s="13"/>
      <c r="M32125" s="13"/>
    </row>
    <row r="32126">
      <c r="F32126" s="13"/>
      <c r="M32126" s="13"/>
    </row>
    <row r="32127">
      <c r="F32127" s="13"/>
      <c r="M32127" s="13"/>
    </row>
    <row r="32128">
      <c r="F32128" s="13"/>
      <c r="M32128" s="13"/>
    </row>
    <row r="32129">
      <c r="F32129" s="13"/>
      <c r="M32129" s="13"/>
    </row>
    <row r="32130">
      <c r="F32130" s="13"/>
      <c r="M32130" s="13"/>
    </row>
    <row r="32131">
      <c r="F32131" s="13"/>
      <c r="M32131" s="13"/>
    </row>
    <row r="32132">
      <c r="F32132" s="13"/>
      <c r="M32132" s="13"/>
    </row>
    <row r="32133">
      <c r="F32133" s="13"/>
      <c r="M32133" s="13"/>
    </row>
    <row r="32134">
      <c r="F32134" s="13"/>
      <c r="M32134" s="13"/>
    </row>
    <row r="32135">
      <c r="F32135" s="13"/>
      <c r="M32135" s="13"/>
    </row>
    <row r="32136">
      <c r="F32136" s="13"/>
      <c r="M32136" s="13"/>
    </row>
    <row r="32137">
      <c r="F32137" s="13"/>
      <c r="M32137" s="13"/>
    </row>
    <row r="32138">
      <c r="F32138" s="13"/>
      <c r="M32138" s="13"/>
    </row>
    <row r="32139">
      <c r="F32139" s="13"/>
      <c r="M32139" s="13"/>
    </row>
    <row r="32140">
      <c r="F32140" s="13"/>
      <c r="M32140" s="13"/>
    </row>
    <row r="32141">
      <c r="F32141" s="13"/>
      <c r="M32141" s="13"/>
    </row>
    <row r="32142">
      <c r="F32142" s="13"/>
      <c r="M32142" s="13"/>
    </row>
    <row r="32143">
      <c r="F32143" s="13"/>
      <c r="M32143" s="13"/>
    </row>
    <row r="32144">
      <c r="F32144" s="13"/>
      <c r="M32144" s="13"/>
    </row>
    <row r="32145">
      <c r="F32145" s="13"/>
      <c r="M32145" s="13"/>
    </row>
    <row r="32146">
      <c r="F32146" s="13"/>
      <c r="M32146" s="13"/>
    </row>
    <row r="32147">
      <c r="F32147" s="13"/>
      <c r="M32147" s="13"/>
    </row>
    <row r="32148">
      <c r="F32148" s="13"/>
      <c r="M32148" s="13"/>
    </row>
    <row r="32149">
      <c r="F32149" s="13"/>
      <c r="M32149" s="13"/>
    </row>
    <row r="32150">
      <c r="F32150" s="13"/>
      <c r="M32150" s="13"/>
    </row>
    <row r="32151">
      <c r="F32151" s="13"/>
      <c r="M32151" s="13"/>
    </row>
    <row r="32152">
      <c r="F32152" s="13"/>
      <c r="M32152" s="13"/>
    </row>
    <row r="32153">
      <c r="F32153" s="13"/>
      <c r="M32153" s="13"/>
    </row>
    <row r="32154">
      <c r="F32154" s="13"/>
      <c r="M32154" s="13"/>
    </row>
    <row r="32155">
      <c r="F32155" s="13"/>
      <c r="M32155" s="13"/>
    </row>
    <row r="32156">
      <c r="F32156" s="13"/>
      <c r="M32156" s="13"/>
    </row>
    <row r="32157">
      <c r="F32157" s="13"/>
      <c r="M32157" s="13"/>
    </row>
    <row r="32158">
      <c r="F32158" s="13"/>
      <c r="M32158" s="13"/>
    </row>
    <row r="32159">
      <c r="F32159" s="13"/>
      <c r="M32159" s="13"/>
    </row>
    <row r="32160">
      <c r="F32160" s="13"/>
      <c r="M32160" s="13"/>
    </row>
    <row r="32161">
      <c r="F32161" s="13"/>
      <c r="M32161" s="13"/>
    </row>
    <row r="32162">
      <c r="F32162" s="13"/>
      <c r="M32162" s="13"/>
    </row>
    <row r="32163">
      <c r="F32163" s="13"/>
      <c r="M32163" s="13"/>
    </row>
    <row r="32164">
      <c r="F32164" s="13"/>
      <c r="M32164" s="13"/>
    </row>
    <row r="32165">
      <c r="F32165" s="13"/>
      <c r="M32165" s="13"/>
    </row>
    <row r="32166">
      <c r="F32166" s="13"/>
      <c r="M32166" s="13"/>
    </row>
    <row r="32167">
      <c r="F32167" s="13"/>
      <c r="M32167" s="13"/>
    </row>
    <row r="32168">
      <c r="F32168" s="13"/>
      <c r="M32168" s="13"/>
    </row>
    <row r="32169">
      <c r="F32169" s="13"/>
      <c r="M32169" s="13"/>
    </row>
    <row r="32170">
      <c r="F32170" s="13"/>
      <c r="M32170" s="13"/>
    </row>
    <row r="32171">
      <c r="F32171" s="13"/>
      <c r="M32171" s="13"/>
    </row>
    <row r="32172">
      <c r="F32172" s="13"/>
      <c r="M32172" s="13"/>
    </row>
    <row r="32173">
      <c r="F32173" s="13"/>
      <c r="M32173" s="13"/>
    </row>
    <row r="32174">
      <c r="F32174" s="13"/>
      <c r="M32174" s="13"/>
    </row>
    <row r="32175">
      <c r="F32175" s="13"/>
      <c r="M32175" s="13"/>
    </row>
    <row r="32176">
      <c r="F32176" s="13"/>
      <c r="M32176" s="13"/>
    </row>
    <row r="32177">
      <c r="F32177" s="13"/>
      <c r="M32177" s="13"/>
    </row>
    <row r="32178">
      <c r="F32178" s="13"/>
      <c r="M32178" s="13"/>
    </row>
    <row r="32179">
      <c r="F32179" s="13"/>
      <c r="M32179" s="13"/>
    </row>
    <row r="32180">
      <c r="F32180" s="13"/>
      <c r="M32180" s="13"/>
    </row>
    <row r="32181">
      <c r="F32181" s="13"/>
      <c r="M32181" s="13"/>
    </row>
    <row r="32182">
      <c r="F32182" s="13"/>
      <c r="M32182" s="13"/>
    </row>
    <row r="32183">
      <c r="F32183" s="13"/>
      <c r="M32183" s="13"/>
    </row>
    <row r="32184">
      <c r="F32184" s="13"/>
      <c r="M32184" s="13"/>
    </row>
    <row r="32185">
      <c r="F32185" s="13"/>
      <c r="M32185" s="13"/>
    </row>
    <row r="32186">
      <c r="F32186" s="13"/>
      <c r="M32186" s="13"/>
    </row>
    <row r="32187">
      <c r="F32187" s="13"/>
      <c r="M32187" s="13"/>
    </row>
    <row r="32188">
      <c r="F32188" s="13"/>
      <c r="M32188" s="13"/>
    </row>
    <row r="32189">
      <c r="F32189" s="13"/>
      <c r="M32189" s="13"/>
    </row>
    <row r="32190">
      <c r="F32190" s="13"/>
      <c r="M32190" s="13"/>
    </row>
    <row r="32191">
      <c r="F32191" s="13"/>
      <c r="M32191" s="13"/>
    </row>
    <row r="32192">
      <c r="F32192" s="13"/>
      <c r="M32192" s="13"/>
    </row>
    <row r="32193">
      <c r="F32193" s="13"/>
      <c r="M32193" s="13"/>
    </row>
    <row r="32194">
      <c r="F32194" s="13"/>
      <c r="M32194" s="13"/>
    </row>
    <row r="32195">
      <c r="F32195" s="13"/>
      <c r="M32195" s="13"/>
    </row>
    <row r="32196">
      <c r="F32196" s="13"/>
      <c r="M32196" s="13"/>
    </row>
    <row r="32197">
      <c r="F32197" s="13"/>
      <c r="M32197" s="13"/>
    </row>
    <row r="32198">
      <c r="F32198" s="13"/>
      <c r="M32198" s="13"/>
    </row>
    <row r="32199">
      <c r="F32199" s="13"/>
      <c r="M32199" s="13"/>
    </row>
    <row r="32200">
      <c r="F32200" s="13"/>
      <c r="M32200" s="13"/>
    </row>
    <row r="32201">
      <c r="F32201" s="13"/>
      <c r="M32201" s="13"/>
    </row>
    <row r="32202">
      <c r="F32202" s="13"/>
      <c r="M32202" s="13"/>
    </row>
    <row r="32203">
      <c r="F32203" s="13"/>
      <c r="M32203" s="13"/>
    </row>
    <row r="32204">
      <c r="F32204" s="13"/>
      <c r="M32204" s="13"/>
    </row>
    <row r="32205">
      <c r="F32205" s="13"/>
      <c r="M32205" s="13"/>
    </row>
    <row r="32206">
      <c r="F32206" s="13"/>
      <c r="M32206" s="13"/>
    </row>
    <row r="32207">
      <c r="F32207" s="13"/>
      <c r="M32207" s="13"/>
    </row>
    <row r="32208">
      <c r="F32208" s="13"/>
      <c r="M32208" s="13"/>
    </row>
    <row r="32209">
      <c r="F32209" s="13"/>
      <c r="M32209" s="13"/>
    </row>
    <row r="32210">
      <c r="F32210" s="13"/>
      <c r="M32210" s="13"/>
    </row>
    <row r="32211">
      <c r="F32211" s="13"/>
      <c r="M32211" s="13"/>
    </row>
    <row r="32212">
      <c r="F32212" s="13"/>
      <c r="M32212" s="13"/>
    </row>
    <row r="32213">
      <c r="F32213" s="13"/>
      <c r="M32213" s="13"/>
    </row>
    <row r="32214">
      <c r="F32214" s="13"/>
      <c r="M32214" s="13"/>
    </row>
    <row r="32215">
      <c r="F32215" s="13"/>
      <c r="M32215" s="13"/>
    </row>
    <row r="32216">
      <c r="F32216" s="13"/>
      <c r="M32216" s="13"/>
    </row>
    <row r="32217">
      <c r="F32217" s="13"/>
      <c r="M32217" s="13"/>
    </row>
    <row r="32218">
      <c r="F32218" s="13"/>
      <c r="M32218" s="13"/>
    </row>
    <row r="32219">
      <c r="F32219" s="13"/>
      <c r="M32219" s="13"/>
    </row>
    <row r="32220">
      <c r="F32220" s="13"/>
      <c r="M32220" s="13"/>
    </row>
    <row r="32221">
      <c r="F32221" s="13"/>
      <c r="M32221" s="13"/>
    </row>
    <row r="32222">
      <c r="F32222" s="13"/>
      <c r="M32222" s="13"/>
    </row>
    <row r="32223">
      <c r="F32223" s="13"/>
      <c r="M32223" s="13"/>
    </row>
    <row r="32224">
      <c r="F32224" s="13"/>
      <c r="M32224" s="13"/>
    </row>
    <row r="32225">
      <c r="F32225" s="13"/>
      <c r="M32225" s="13"/>
    </row>
    <row r="32226">
      <c r="F32226" s="13"/>
      <c r="M32226" s="13"/>
    </row>
    <row r="32227">
      <c r="F32227" s="13"/>
      <c r="M32227" s="13"/>
    </row>
    <row r="32228">
      <c r="F32228" s="13"/>
      <c r="M32228" s="13"/>
    </row>
    <row r="32229">
      <c r="F32229" s="13"/>
      <c r="M32229" s="13"/>
    </row>
    <row r="32230">
      <c r="F32230" s="13"/>
      <c r="M32230" s="13"/>
    </row>
    <row r="32231">
      <c r="F32231" s="13"/>
      <c r="M32231" s="13"/>
    </row>
    <row r="32232">
      <c r="F32232" s="13"/>
      <c r="M32232" s="13"/>
    </row>
    <row r="32233">
      <c r="F32233" s="13"/>
      <c r="M32233" s="13"/>
    </row>
    <row r="32234">
      <c r="F32234" s="13"/>
      <c r="M32234" s="13"/>
    </row>
    <row r="32235">
      <c r="F32235" s="13"/>
      <c r="M32235" s="13"/>
    </row>
    <row r="32236">
      <c r="F32236" s="13"/>
      <c r="M32236" s="13"/>
    </row>
    <row r="32237">
      <c r="F32237" s="13"/>
      <c r="M32237" s="13"/>
    </row>
    <row r="32238">
      <c r="F32238" s="13"/>
      <c r="M32238" s="13"/>
    </row>
    <row r="32239">
      <c r="F32239" s="13"/>
      <c r="M32239" s="13"/>
    </row>
    <row r="32240">
      <c r="F32240" s="13"/>
      <c r="M32240" s="13"/>
    </row>
    <row r="32241">
      <c r="F32241" s="13"/>
      <c r="M32241" s="13"/>
    </row>
    <row r="32242">
      <c r="F32242" s="13"/>
      <c r="M32242" s="13"/>
    </row>
    <row r="32243">
      <c r="F32243" s="13"/>
      <c r="M32243" s="13"/>
    </row>
    <row r="32244">
      <c r="F32244" s="13"/>
      <c r="M32244" s="13"/>
    </row>
    <row r="32245">
      <c r="F32245" s="13"/>
      <c r="M32245" s="13"/>
    </row>
    <row r="32246">
      <c r="F32246" s="13"/>
      <c r="M32246" s="13"/>
    </row>
    <row r="32247">
      <c r="F32247" s="13"/>
      <c r="M32247" s="13"/>
    </row>
    <row r="32248">
      <c r="F32248" s="13"/>
      <c r="M32248" s="13"/>
    </row>
    <row r="32249">
      <c r="F32249" s="13"/>
      <c r="M32249" s="13"/>
    </row>
    <row r="32250">
      <c r="F32250" s="13"/>
      <c r="M32250" s="13"/>
    </row>
    <row r="32251">
      <c r="F32251" s="13"/>
      <c r="M32251" s="13"/>
    </row>
    <row r="32252">
      <c r="F32252" s="13"/>
      <c r="M32252" s="13"/>
    </row>
    <row r="32253">
      <c r="F32253" s="13"/>
      <c r="M32253" s="13"/>
    </row>
    <row r="32254">
      <c r="F32254" s="13"/>
      <c r="M32254" s="13"/>
    </row>
    <row r="32255">
      <c r="F32255" s="13"/>
      <c r="M32255" s="13"/>
    </row>
    <row r="32256">
      <c r="F32256" s="13"/>
      <c r="M32256" s="13"/>
    </row>
    <row r="32257">
      <c r="F32257" s="13"/>
      <c r="M32257" s="13"/>
    </row>
    <row r="32258">
      <c r="F32258" s="13"/>
      <c r="M32258" s="13"/>
    </row>
    <row r="32259">
      <c r="F32259" s="13"/>
      <c r="M32259" s="13"/>
    </row>
    <row r="32260">
      <c r="F32260" s="13"/>
      <c r="M32260" s="13"/>
    </row>
    <row r="32261">
      <c r="F32261" s="13"/>
      <c r="M32261" s="13"/>
    </row>
    <row r="32262">
      <c r="F32262" s="13"/>
      <c r="M32262" s="13"/>
    </row>
    <row r="32263">
      <c r="F32263" s="13"/>
      <c r="M32263" s="13"/>
    </row>
    <row r="32264">
      <c r="F32264" s="13"/>
      <c r="M32264" s="13"/>
    </row>
    <row r="32265">
      <c r="F32265" s="13"/>
      <c r="M32265" s="13"/>
    </row>
    <row r="32266">
      <c r="F32266" s="13"/>
      <c r="M32266" s="13"/>
    </row>
    <row r="32267">
      <c r="F32267" s="13"/>
      <c r="M32267" s="13"/>
    </row>
    <row r="32268">
      <c r="F32268" s="13"/>
      <c r="M32268" s="13"/>
    </row>
    <row r="32269">
      <c r="F32269" s="13"/>
      <c r="M32269" s="13"/>
    </row>
    <row r="32270">
      <c r="F32270" s="13"/>
      <c r="M32270" s="13"/>
    </row>
    <row r="32271">
      <c r="F32271" s="13"/>
      <c r="M32271" s="13"/>
    </row>
    <row r="32272">
      <c r="F32272" s="13"/>
      <c r="M32272" s="13"/>
    </row>
    <row r="32273">
      <c r="F32273" s="13"/>
      <c r="M32273" s="13"/>
    </row>
    <row r="32274">
      <c r="F32274" s="13"/>
      <c r="M32274" s="13"/>
    </row>
    <row r="32275">
      <c r="F32275" s="13"/>
      <c r="M32275" s="13"/>
    </row>
    <row r="32276">
      <c r="F32276" s="13"/>
      <c r="M32276" s="13"/>
    </row>
    <row r="32277">
      <c r="F32277" s="13"/>
      <c r="M32277" s="13"/>
    </row>
    <row r="32278">
      <c r="F32278" s="13"/>
      <c r="M32278" s="13"/>
    </row>
    <row r="32279">
      <c r="F32279" s="13"/>
      <c r="M32279" s="13"/>
    </row>
    <row r="32280">
      <c r="F32280" s="13"/>
      <c r="M32280" s="13"/>
    </row>
    <row r="32281">
      <c r="F32281" s="13"/>
      <c r="M32281" s="13"/>
    </row>
    <row r="32282">
      <c r="F32282" s="13"/>
      <c r="M32282" s="13"/>
    </row>
    <row r="32283">
      <c r="F32283" s="13"/>
      <c r="M32283" s="13"/>
    </row>
    <row r="32284">
      <c r="F32284" s="13"/>
      <c r="M32284" s="13"/>
    </row>
    <row r="32285">
      <c r="F32285" s="13"/>
      <c r="M32285" s="13"/>
    </row>
    <row r="32286">
      <c r="F32286" s="13"/>
      <c r="M32286" s="13"/>
    </row>
    <row r="32287">
      <c r="F32287" s="13"/>
      <c r="M32287" s="13"/>
    </row>
    <row r="32288">
      <c r="F32288" s="13"/>
      <c r="M32288" s="13"/>
    </row>
    <row r="32289">
      <c r="F32289" s="13"/>
      <c r="M32289" s="13"/>
    </row>
    <row r="32290">
      <c r="F32290" s="13"/>
      <c r="M32290" s="13"/>
    </row>
    <row r="32291">
      <c r="F32291" s="13"/>
      <c r="M32291" s="13"/>
    </row>
    <row r="32292">
      <c r="F32292" s="13"/>
      <c r="M32292" s="13"/>
    </row>
    <row r="32293">
      <c r="F32293" s="13"/>
      <c r="M32293" s="13"/>
    </row>
    <row r="32294">
      <c r="F32294" s="13"/>
      <c r="M32294" s="13"/>
    </row>
    <row r="32295">
      <c r="F32295" s="13"/>
      <c r="M32295" s="13"/>
    </row>
    <row r="32296">
      <c r="F32296" s="13"/>
      <c r="M32296" s="13"/>
    </row>
    <row r="32297">
      <c r="F32297" s="13"/>
      <c r="M32297" s="13"/>
    </row>
    <row r="32298">
      <c r="F32298" s="13"/>
      <c r="M32298" s="13"/>
    </row>
    <row r="32299">
      <c r="F32299" s="13"/>
      <c r="M32299" s="13"/>
    </row>
    <row r="32300">
      <c r="F32300" s="13"/>
      <c r="M32300" s="13"/>
    </row>
    <row r="32301">
      <c r="F32301" s="13"/>
      <c r="M32301" s="13"/>
    </row>
    <row r="32302">
      <c r="F32302" s="13"/>
      <c r="M32302" s="13"/>
    </row>
    <row r="32303">
      <c r="F32303" s="13"/>
      <c r="M32303" s="13"/>
    </row>
    <row r="32304">
      <c r="F32304" s="13"/>
      <c r="M32304" s="13"/>
    </row>
    <row r="32305">
      <c r="F32305" s="13"/>
      <c r="M32305" s="13"/>
    </row>
    <row r="32306">
      <c r="F32306" s="13"/>
      <c r="M32306" s="13"/>
    </row>
    <row r="32307">
      <c r="F32307" s="13"/>
      <c r="M32307" s="13"/>
    </row>
    <row r="32308">
      <c r="F32308" s="13"/>
      <c r="M32308" s="13"/>
    </row>
    <row r="32309">
      <c r="F32309" s="13"/>
      <c r="M32309" s="13"/>
    </row>
    <row r="32310">
      <c r="F32310" s="13"/>
      <c r="M32310" s="13"/>
    </row>
    <row r="32311">
      <c r="F32311" s="13"/>
      <c r="M32311" s="13"/>
    </row>
    <row r="32312">
      <c r="F32312" s="13"/>
      <c r="M32312" s="13"/>
    </row>
    <row r="32313">
      <c r="F32313" s="13"/>
      <c r="M32313" s="13"/>
    </row>
    <row r="32314">
      <c r="F32314" s="13"/>
      <c r="M32314" s="13"/>
    </row>
    <row r="32315">
      <c r="F32315" s="13"/>
      <c r="M32315" s="13"/>
    </row>
    <row r="32316">
      <c r="F32316" s="13"/>
      <c r="M32316" s="13"/>
    </row>
    <row r="32317">
      <c r="F32317" s="13"/>
      <c r="M32317" s="13"/>
    </row>
    <row r="32318">
      <c r="F32318" s="13"/>
      <c r="M32318" s="13"/>
    </row>
    <row r="32319">
      <c r="F32319" s="13"/>
      <c r="M32319" s="13"/>
    </row>
    <row r="32320">
      <c r="F32320" s="13"/>
      <c r="M32320" s="13"/>
    </row>
    <row r="32321">
      <c r="F32321" s="13"/>
      <c r="M32321" s="13"/>
    </row>
    <row r="32322">
      <c r="F32322" s="13"/>
      <c r="M32322" s="13"/>
    </row>
    <row r="32323">
      <c r="F32323" s="13"/>
      <c r="M32323" s="13"/>
    </row>
    <row r="32324">
      <c r="F32324" s="13"/>
      <c r="M32324" s="13"/>
    </row>
    <row r="32325">
      <c r="F32325" s="13"/>
      <c r="M32325" s="13"/>
    </row>
    <row r="32326">
      <c r="F32326" s="13"/>
      <c r="M32326" s="13"/>
    </row>
    <row r="32327">
      <c r="F32327" s="13"/>
      <c r="M32327" s="13"/>
    </row>
    <row r="32328">
      <c r="F32328" s="13"/>
      <c r="M32328" s="13"/>
    </row>
    <row r="32329">
      <c r="F32329" s="13"/>
      <c r="M32329" s="13"/>
    </row>
    <row r="32330">
      <c r="F32330" s="13"/>
      <c r="M32330" s="13"/>
    </row>
    <row r="32331">
      <c r="F32331" s="13"/>
      <c r="M32331" s="13"/>
    </row>
    <row r="32332">
      <c r="F32332" s="13"/>
      <c r="M32332" s="13"/>
    </row>
    <row r="32333">
      <c r="F32333" s="13"/>
      <c r="M32333" s="13"/>
    </row>
    <row r="32334">
      <c r="F32334" s="13"/>
      <c r="M32334" s="13"/>
    </row>
    <row r="32335">
      <c r="F32335" s="13"/>
      <c r="M32335" s="13"/>
    </row>
    <row r="32336">
      <c r="F32336" s="13"/>
      <c r="M32336" s="13"/>
    </row>
    <row r="32337">
      <c r="F32337" s="13"/>
      <c r="M32337" s="13"/>
    </row>
    <row r="32338">
      <c r="F32338" s="13"/>
      <c r="M32338" s="13"/>
    </row>
    <row r="32339">
      <c r="F32339" s="13"/>
      <c r="M32339" s="13"/>
    </row>
    <row r="32340">
      <c r="F32340" s="13"/>
      <c r="M32340" s="13"/>
    </row>
    <row r="32341">
      <c r="F32341" s="13"/>
      <c r="M32341" s="13"/>
    </row>
    <row r="32342">
      <c r="F32342" s="13"/>
      <c r="M32342" s="13"/>
    </row>
    <row r="32343">
      <c r="F32343" s="13"/>
      <c r="M32343" s="13"/>
    </row>
    <row r="32344">
      <c r="F32344" s="13"/>
      <c r="M32344" s="13"/>
    </row>
    <row r="32345">
      <c r="F32345" s="13"/>
      <c r="M32345" s="13"/>
    </row>
    <row r="32346">
      <c r="F32346" s="13"/>
      <c r="M32346" s="13"/>
    </row>
    <row r="32347">
      <c r="F32347" s="13"/>
      <c r="M32347" s="13"/>
    </row>
    <row r="32348">
      <c r="F32348" s="13"/>
      <c r="M32348" s="13"/>
    </row>
    <row r="32349">
      <c r="F32349" s="13"/>
      <c r="M32349" s="13"/>
    </row>
    <row r="32350">
      <c r="F32350" s="13"/>
      <c r="M32350" s="13"/>
    </row>
    <row r="32351">
      <c r="F32351" s="13"/>
      <c r="M32351" s="13"/>
    </row>
    <row r="32352">
      <c r="F32352" s="13"/>
      <c r="M32352" s="13"/>
    </row>
    <row r="32353">
      <c r="F32353" s="13"/>
      <c r="M32353" s="13"/>
    </row>
    <row r="32354">
      <c r="F32354" s="13"/>
      <c r="M32354" s="13"/>
    </row>
    <row r="32355">
      <c r="F32355" s="13"/>
      <c r="M32355" s="13"/>
    </row>
    <row r="32356">
      <c r="F32356" s="13"/>
      <c r="M32356" s="13"/>
    </row>
    <row r="32357">
      <c r="F32357" s="13"/>
      <c r="M32357" s="13"/>
    </row>
    <row r="32358">
      <c r="F32358" s="13"/>
      <c r="M32358" s="13"/>
    </row>
    <row r="32359">
      <c r="F32359" s="13"/>
      <c r="M32359" s="13"/>
    </row>
    <row r="32360">
      <c r="F32360" s="13"/>
      <c r="M32360" s="13"/>
    </row>
    <row r="32361">
      <c r="F32361" s="13"/>
      <c r="M32361" s="13"/>
    </row>
    <row r="32362">
      <c r="F32362" s="13"/>
      <c r="M32362" s="13"/>
    </row>
    <row r="32363">
      <c r="F32363" s="13"/>
      <c r="M32363" s="13"/>
    </row>
    <row r="32364">
      <c r="F32364" s="13"/>
      <c r="M32364" s="13"/>
    </row>
    <row r="32365">
      <c r="F32365" s="13"/>
      <c r="M32365" s="13"/>
    </row>
    <row r="32366">
      <c r="F32366" s="13"/>
      <c r="M32366" s="13"/>
    </row>
    <row r="32367">
      <c r="F32367" s="13"/>
      <c r="M32367" s="13"/>
    </row>
    <row r="32368">
      <c r="F32368" s="13"/>
      <c r="M32368" s="13"/>
    </row>
    <row r="32369">
      <c r="F32369" s="13"/>
      <c r="M32369" s="13"/>
    </row>
    <row r="32370">
      <c r="F32370" s="13"/>
      <c r="M32370" s="13"/>
    </row>
    <row r="32371">
      <c r="F32371" s="13"/>
      <c r="M32371" s="13"/>
    </row>
    <row r="32372">
      <c r="F32372" s="13"/>
      <c r="M32372" s="13"/>
    </row>
    <row r="32373">
      <c r="F32373" s="13"/>
      <c r="M32373" s="13"/>
    </row>
    <row r="32374">
      <c r="F32374" s="13"/>
      <c r="M32374" s="13"/>
    </row>
    <row r="32375">
      <c r="F32375" s="13"/>
      <c r="M32375" s="13"/>
    </row>
    <row r="32376">
      <c r="F32376" s="13"/>
      <c r="M32376" s="13"/>
    </row>
    <row r="32377">
      <c r="F32377" s="13"/>
      <c r="M32377" s="13"/>
    </row>
    <row r="32378">
      <c r="F32378" s="13"/>
      <c r="M32378" s="13"/>
    </row>
    <row r="32379">
      <c r="F32379" s="13"/>
      <c r="M32379" s="13"/>
    </row>
    <row r="32380">
      <c r="F32380" s="13"/>
      <c r="M32380" s="13"/>
    </row>
    <row r="32381">
      <c r="F32381" s="13"/>
      <c r="M32381" s="13"/>
    </row>
    <row r="32382">
      <c r="F32382" s="13"/>
      <c r="M32382" s="13"/>
    </row>
    <row r="32383">
      <c r="F32383" s="13"/>
      <c r="M32383" s="13"/>
    </row>
    <row r="32384">
      <c r="F32384" s="13"/>
      <c r="M32384" s="13"/>
    </row>
    <row r="32385">
      <c r="F32385" s="13"/>
      <c r="M32385" s="13"/>
    </row>
    <row r="32386">
      <c r="F32386" s="13"/>
      <c r="M32386" s="13"/>
    </row>
    <row r="32387">
      <c r="F32387" s="13"/>
      <c r="M32387" s="13"/>
    </row>
    <row r="32388">
      <c r="F32388" s="13"/>
      <c r="M32388" s="13"/>
    </row>
    <row r="32389">
      <c r="F32389" s="13"/>
      <c r="M32389" s="13"/>
    </row>
    <row r="32390">
      <c r="F32390" s="13"/>
      <c r="M32390" s="13"/>
    </row>
    <row r="32391">
      <c r="F32391" s="13"/>
      <c r="M32391" s="13"/>
    </row>
    <row r="32392">
      <c r="F32392" s="13"/>
      <c r="M32392" s="13"/>
    </row>
    <row r="32393">
      <c r="F32393" s="13"/>
      <c r="M32393" s="13"/>
    </row>
    <row r="32394">
      <c r="F32394" s="13"/>
      <c r="M32394" s="13"/>
    </row>
    <row r="32395">
      <c r="F32395" s="13"/>
      <c r="M32395" s="13"/>
    </row>
    <row r="32396">
      <c r="F32396" s="13"/>
      <c r="M32396" s="13"/>
    </row>
    <row r="32397">
      <c r="F32397" s="13"/>
      <c r="M32397" s="13"/>
    </row>
    <row r="32398">
      <c r="F32398" s="13"/>
      <c r="M32398" s="13"/>
    </row>
    <row r="32399">
      <c r="F32399" s="13"/>
      <c r="M32399" s="13"/>
    </row>
    <row r="32400">
      <c r="F32400" s="13"/>
      <c r="M32400" s="13"/>
    </row>
    <row r="32401">
      <c r="F32401" s="13"/>
      <c r="M32401" s="13"/>
    </row>
    <row r="32402">
      <c r="F32402" s="13"/>
      <c r="M32402" s="13"/>
    </row>
    <row r="32403">
      <c r="F32403" s="13"/>
      <c r="M32403" s="13"/>
    </row>
    <row r="32404">
      <c r="F32404" s="13"/>
      <c r="M32404" s="13"/>
    </row>
    <row r="32405">
      <c r="F32405" s="13"/>
      <c r="M32405" s="13"/>
    </row>
    <row r="32406">
      <c r="F32406" s="13"/>
      <c r="M32406" s="13"/>
    </row>
    <row r="32407">
      <c r="F32407" s="13"/>
      <c r="M32407" s="13"/>
    </row>
    <row r="32408">
      <c r="F32408" s="13"/>
      <c r="M32408" s="13"/>
    </row>
    <row r="32409">
      <c r="F32409" s="13"/>
      <c r="M32409" s="13"/>
    </row>
    <row r="32410">
      <c r="F32410" s="13"/>
      <c r="M32410" s="13"/>
    </row>
    <row r="32411">
      <c r="F32411" s="13"/>
      <c r="M32411" s="13"/>
    </row>
    <row r="32412">
      <c r="F32412" s="13"/>
      <c r="M32412" s="13"/>
    </row>
    <row r="32413">
      <c r="F32413" s="13"/>
      <c r="M32413" s="13"/>
    </row>
    <row r="32414">
      <c r="F32414" s="13"/>
      <c r="M32414" s="13"/>
    </row>
    <row r="32415">
      <c r="F32415" s="13"/>
      <c r="M32415" s="13"/>
    </row>
    <row r="32416">
      <c r="F32416" s="13"/>
      <c r="M32416" s="13"/>
    </row>
    <row r="32417">
      <c r="F32417" s="13"/>
      <c r="M32417" s="13"/>
    </row>
    <row r="32418">
      <c r="F32418" s="13"/>
      <c r="M32418" s="13"/>
    </row>
    <row r="32419">
      <c r="F32419" s="13"/>
      <c r="M32419" s="13"/>
    </row>
    <row r="32420">
      <c r="F32420" s="13"/>
      <c r="M32420" s="13"/>
    </row>
    <row r="32421">
      <c r="F32421" s="13"/>
      <c r="M32421" s="13"/>
    </row>
    <row r="32422">
      <c r="F32422" s="13"/>
      <c r="M32422" s="13"/>
    </row>
    <row r="32423">
      <c r="F32423" s="13"/>
      <c r="M32423" s="13"/>
    </row>
    <row r="32424">
      <c r="F32424" s="13"/>
      <c r="M32424" s="13"/>
    </row>
    <row r="32425">
      <c r="F32425" s="13"/>
      <c r="M32425" s="13"/>
    </row>
    <row r="32426">
      <c r="F32426" s="13"/>
      <c r="M32426" s="13"/>
    </row>
    <row r="32427">
      <c r="F32427" s="13"/>
      <c r="M32427" s="13"/>
    </row>
    <row r="32428">
      <c r="F32428" s="13"/>
      <c r="M32428" s="13"/>
    </row>
    <row r="32429">
      <c r="F32429" s="13"/>
      <c r="M32429" s="13"/>
    </row>
    <row r="32430">
      <c r="F32430" s="13"/>
      <c r="M32430" s="13"/>
    </row>
    <row r="32431">
      <c r="F32431" s="13"/>
      <c r="M32431" s="13"/>
    </row>
    <row r="32432">
      <c r="F32432" s="13"/>
      <c r="M32432" s="13"/>
    </row>
    <row r="32433">
      <c r="F32433" s="13"/>
      <c r="M32433" s="13"/>
    </row>
    <row r="32434">
      <c r="F32434" s="13"/>
      <c r="M32434" s="13"/>
    </row>
    <row r="32435">
      <c r="F32435" s="13"/>
      <c r="M32435" s="13"/>
    </row>
    <row r="32436">
      <c r="F32436" s="13"/>
      <c r="M32436" s="13"/>
    </row>
    <row r="32437">
      <c r="F32437" s="13"/>
      <c r="M32437" s="13"/>
    </row>
    <row r="32438">
      <c r="F32438" s="13"/>
      <c r="M32438" s="13"/>
    </row>
    <row r="32439">
      <c r="F32439" s="13"/>
      <c r="M32439" s="13"/>
    </row>
    <row r="32440">
      <c r="F32440" s="13"/>
      <c r="M32440" s="13"/>
    </row>
    <row r="32441">
      <c r="F32441" s="13"/>
      <c r="M32441" s="13"/>
    </row>
    <row r="32442">
      <c r="F32442" s="13"/>
      <c r="M32442" s="13"/>
    </row>
    <row r="32443">
      <c r="F32443" s="13"/>
      <c r="M32443" s="13"/>
    </row>
    <row r="32444">
      <c r="F32444" s="13"/>
      <c r="M32444" s="13"/>
    </row>
    <row r="32445">
      <c r="F32445" s="13"/>
      <c r="M32445" s="13"/>
    </row>
    <row r="32446">
      <c r="F32446" s="13"/>
      <c r="M32446" s="13"/>
    </row>
    <row r="32447">
      <c r="F32447" s="13"/>
      <c r="M32447" s="13"/>
    </row>
    <row r="32448">
      <c r="F32448" s="13"/>
      <c r="M32448" s="13"/>
    </row>
    <row r="32449">
      <c r="F32449" s="13"/>
      <c r="M32449" s="13"/>
    </row>
    <row r="32450">
      <c r="F32450" s="13"/>
      <c r="M32450" s="13"/>
    </row>
    <row r="32451">
      <c r="F32451" s="13"/>
      <c r="M32451" s="13"/>
    </row>
    <row r="32452">
      <c r="F32452" s="13"/>
      <c r="M32452" s="13"/>
    </row>
    <row r="32453">
      <c r="F32453" s="13"/>
      <c r="M32453" s="13"/>
    </row>
    <row r="32454">
      <c r="F32454" s="13"/>
      <c r="M32454" s="13"/>
    </row>
    <row r="32455">
      <c r="F32455" s="13"/>
      <c r="M32455" s="13"/>
    </row>
    <row r="32456">
      <c r="F32456" s="13"/>
      <c r="M32456" s="13"/>
    </row>
    <row r="32457">
      <c r="F32457" s="13"/>
      <c r="M32457" s="13"/>
    </row>
    <row r="32458">
      <c r="F32458" s="13"/>
      <c r="M32458" s="13"/>
    </row>
    <row r="32459">
      <c r="F32459" s="13"/>
      <c r="M32459" s="13"/>
    </row>
    <row r="32460">
      <c r="F32460" s="13"/>
      <c r="M32460" s="13"/>
    </row>
    <row r="32461">
      <c r="F32461" s="13"/>
      <c r="M32461" s="13"/>
    </row>
    <row r="32462">
      <c r="F32462" s="13"/>
      <c r="M32462" s="13"/>
    </row>
    <row r="32463">
      <c r="F32463" s="13"/>
      <c r="M32463" s="13"/>
    </row>
    <row r="32464">
      <c r="F32464" s="13"/>
      <c r="M32464" s="13"/>
    </row>
    <row r="32465">
      <c r="F32465" s="13"/>
      <c r="M32465" s="13"/>
    </row>
    <row r="32466">
      <c r="F32466" s="13"/>
      <c r="M32466" s="13"/>
    </row>
    <row r="32467">
      <c r="F32467" s="13"/>
      <c r="M32467" s="13"/>
    </row>
    <row r="32468">
      <c r="F32468" s="13"/>
      <c r="M32468" s="13"/>
    </row>
    <row r="32469">
      <c r="F32469" s="13"/>
      <c r="M32469" s="13"/>
    </row>
    <row r="32470">
      <c r="F32470" s="13"/>
      <c r="M32470" s="13"/>
    </row>
    <row r="32471">
      <c r="F32471" s="13"/>
      <c r="M32471" s="13"/>
    </row>
    <row r="32472">
      <c r="F32472" s="13"/>
      <c r="M32472" s="13"/>
    </row>
    <row r="32473">
      <c r="F32473" s="13"/>
      <c r="M32473" s="13"/>
    </row>
    <row r="32474">
      <c r="F32474" s="13"/>
      <c r="M32474" s="13"/>
    </row>
    <row r="32475">
      <c r="F32475" s="13"/>
      <c r="M32475" s="13"/>
    </row>
    <row r="32476">
      <c r="F32476" s="13"/>
      <c r="M32476" s="13"/>
    </row>
    <row r="32477">
      <c r="F32477" s="13"/>
      <c r="M32477" s="13"/>
    </row>
    <row r="32478">
      <c r="F32478" s="13"/>
      <c r="M32478" s="13"/>
    </row>
    <row r="32479">
      <c r="F32479" s="13"/>
      <c r="M32479" s="13"/>
    </row>
    <row r="32480">
      <c r="F32480" s="13"/>
      <c r="M32480" s="13"/>
    </row>
    <row r="32481">
      <c r="F32481" s="13"/>
      <c r="M32481" s="13"/>
    </row>
    <row r="32482">
      <c r="F32482" s="13"/>
      <c r="M32482" s="13"/>
    </row>
    <row r="32483">
      <c r="F32483" s="13"/>
      <c r="M32483" s="13"/>
    </row>
    <row r="32484">
      <c r="F32484" s="13"/>
      <c r="M32484" s="13"/>
    </row>
    <row r="32485">
      <c r="F32485" s="13"/>
      <c r="M32485" s="13"/>
    </row>
    <row r="32486">
      <c r="F32486" s="13"/>
      <c r="M32486" s="13"/>
    </row>
    <row r="32487">
      <c r="F32487" s="13"/>
      <c r="M32487" s="13"/>
    </row>
    <row r="32488">
      <c r="F32488" s="13"/>
      <c r="M32488" s="13"/>
    </row>
    <row r="32489">
      <c r="F32489" s="13"/>
      <c r="M32489" s="13"/>
    </row>
    <row r="32490">
      <c r="F32490" s="13"/>
      <c r="M32490" s="13"/>
    </row>
    <row r="32491">
      <c r="F32491" s="13"/>
      <c r="M32491" s="13"/>
    </row>
    <row r="32492">
      <c r="F32492" s="13"/>
      <c r="M32492" s="13"/>
    </row>
    <row r="32493">
      <c r="F32493" s="13"/>
      <c r="M32493" s="13"/>
    </row>
    <row r="32494">
      <c r="F32494" s="13"/>
      <c r="M32494" s="13"/>
    </row>
    <row r="32495">
      <c r="F32495" s="13"/>
      <c r="M32495" s="13"/>
    </row>
    <row r="32496">
      <c r="F32496" s="13"/>
      <c r="M32496" s="13"/>
    </row>
    <row r="32497">
      <c r="F32497" s="13"/>
      <c r="M32497" s="13"/>
    </row>
    <row r="32498">
      <c r="F32498" s="13"/>
      <c r="M32498" s="13"/>
    </row>
    <row r="32499">
      <c r="F32499" s="13"/>
      <c r="M32499" s="13"/>
    </row>
    <row r="32500">
      <c r="F32500" s="13"/>
      <c r="M32500" s="13"/>
    </row>
    <row r="32501">
      <c r="F32501" s="13"/>
      <c r="M32501" s="13"/>
    </row>
    <row r="32502">
      <c r="F32502" s="13"/>
      <c r="M32502" s="13"/>
    </row>
    <row r="32503">
      <c r="F32503" s="13"/>
      <c r="M32503" s="13"/>
    </row>
    <row r="32504">
      <c r="F32504" s="13"/>
      <c r="M32504" s="13"/>
    </row>
    <row r="32505">
      <c r="F32505" s="13"/>
      <c r="M32505" s="13"/>
    </row>
    <row r="32506">
      <c r="F32506" s="13"/>
      <c r="M32506" s="13"/>
    </row>
    <row r="32507">
      <c r="F32507" s="13"/>
      <c r="M32507" s="13"/>
    </row>
    <row r="32508">
      <c r="F32508" s="13"/>
      <c r="M32508" s="13"/>
    </row>
    <row r="32509">
      <c r="F32509" s="13"/>
      <c r="M32509" s="13"/>
    </row>
    <row r="32510">
      <c r="F32510" s="13"/>
      <c r="M32510" s="13"/>
    </row>
    <row r="32511">
      <c r="F32511" s="13"/>
      <c r="M32511" s="13"/>
    </row>
    <row r="32512">
      <c r="F32512" s="13"/>
      <c r="M32512" s="13"/>
    </row>
    <row r="32513">
      <c r="F32513" s="13"/>
      <c r="M32513" s="13"/>
    </row>
    <row r="32514">
      <c r="F32514" s="13"/>
      <c r="M32514" s="13"/>
    </row>
    <row r="32515">
      <c r="F32515" s="13"/>
      <c r="M32515" s="13"/>
    </row>
    <row r="32516">
      <c r="F32516" s="13"/>
      <c r="M32516" s="13"/>
    </row>
    <row r="32517">
      <c r="F32517" s="13"/>
      <c r="M32517" s="13"/>
    </row>
    <row r="32518">
      <c r="F32518" s="13"/>
      <c r="M32518" s="13"/>
    </row>
    <row r="32519">
      <c r="F32519" s="13"/>
      <c r="M32519" s="13"/>
    </row>
    <row r="32520">
      <c r="F32520" s="13"/>
      <c r="M32520" s="13"/>
    </row>
    <row r="32521">
      <c r="F32521" s="13"/>
      <c r="M32521" s="13"/>
    </row>
    <row r="32522">
      <c r="F32522" s="13"/>
      <c r="M32522" s="13"/>
    </row>
    <row r="32523">
      <c r="F32523" s="13"/>
      <c r="M32523" s="13"/>
    </row>
    <row r="32524">
      <c r="F32524" s="13"/>
      <c r="M32524" s="13"/>
    </row>
    <row r="32525">
      <c r="F32525" s="13"/>
      <c r="M32525" s="13"/>
    </row>
    <row r="32526">
      <c r="F32526" s="13"/>
      <c r="M32526" s="13"/>
    </row>
    <row r="32527">
      <c r="F32527" s="13"/>
      <c r="M32527" s="13"/>
    </row>
    <row r="32528">
      <c r="F32528" s="13"/>
      <c r="M32528" s="13"/>
    </row>
    <row r="32529">
      <c r="F32529" s="13"/>
      <c r="M32529" s="13"/>
    </row>
    <row r="32530">
      <c r="F32530" s="13"/>
      <c r="M32530" s="13"/>
    </row>
    <row r="32531">
      <c r="F32531" s="13"/>
      <c r="M32531" s="13"/>
    </row>
    <row r="32532">
      <c r="F32532" s="13"/>
      <c r="M32532" s="13"/>
    </row>
    <row r="32533">
      <c r="F32533" s="13"/>
      <c r="M32533" s="13"/>
    </row>
    <row r="32534">
      <c r="F32534" s="13"/>
      <c r="M32534" s="13"/>
    </row>
    <row r="32535">
      <c r="F32535" s="13"/>
      <c r="M32535" s="13"/>
    </row>
    <row r="32536">
      <c r="F32536" s="13"/>
      <c r="M32536" s="13"/>
    </row>
    <row r="32537">
      <c r="F32537" s="13"/>
      <c r="M32537" s="13"/>
    </row>
    <row r="32538">
      <c r="F32538" s="13"/>
      <c r="M32538" s="13"/>
    </row>
    <row r="32539">
      <c r="F32539" s="13"/>
      <c r="M32539" s="13"/>
    </row>
    <row r="32540">
      <c r="F32540" s="13"/>
      <c r="M32540" s="13"/>
    </row>
    <row r="32541">
      <c r="F32541" s="13"/>
      <c r="M32541" s="13"/>
    </row>
    <row r="32542">
      <c r="F32542" s="13"/>
      <c r="M32542" s="13"/>
    </row>
    <row r="32543">
      <c r="F32543" s="13"/>
      <c r="M32543" s="13"/>
    </row>
    <row r="32544">
      <c r="F32544" s="13"/>
      <c r="M32544" s="13"/>
    </row>
    <row r="32545">
      <c r="F32545" s="13"/>
      <c r="M32545" s="13"/>
    </row>
    <row r="32546">
      <c r="F32546" s="13"/>
      <c r="M32546" s="13"/>
    </row>
    <row r="32547">
      <c r="F32547" s="13"/>
      <c r="M32547" s="13"/>
    </row>
    <row r="32548">
      <c r="F32548" s="13"/>
      <c r="M32548" s="13"/>
    </row>
    <row r="32549">
      <c r="F32549" s="13"/>
      <c r="M32549" s="13"/>
    </row>
    <row r="32550">
      <c r="F32550" s="13"/>
      <c r="M32550" s="13"/>
    </row>
    <row r="32551">
      <c r="F32551" s="13"/>
      <c r="M32551" s="13"/>
    </row>
    <row r="32552">
      <c r="F32552" s="13"/>
      <c r="M32552" s="13"/>
    </row>
    <row r="32553">
      <c r="F32553" s="13"/>
      <c r="M32553" s="13"/>
    </row>
    <row r="32554">
      <c r="F32554" s="13"/>
      <c r="M32554" s="13"/>
    </row>
    <row r="32555">
      <c r="F32555" s="13"/>
      <c r="M32555" s="13"/>
    </row>
    <row r="32556">
      <c r="F32556" s="13"/>
      <c r="M32556" s="13"/>
    </row>
    <row r="32557">
      <c r="F32557" s="13"/>
      <c r="M32557" s="13"/>
    </row>
    <row r="32558">
      <c r="F32558" s="13"/>
      <c r="M32558" s="13"/>
    </row>
    <row r="32559">
      <c r="F32559" s="13"/>
      <c r="M32559" s="13"/>
    </row>
    <row r="32560">
      <c r="F32560" s="13"/>
      <c r="M32560" s="13"/>
    </row>
    <row r="32561">
      <c r="F32561" s="13"/>
      <c r="M32561" s="13"/>
    </row>
    <row r="32562">
      <c r="F32562" s="13"/>
      <c r="M32562" s="13"/>
    </row>
    <row r="32563">
      <c r="F32563" s="13"/>
      <c r="M32563" s="13"/>
    </row>
    <row r="32564">
      <c r="F32564" s="13"/>
      <c r="M32564" s="13"/>
    </row>
    <row r="32565">
      <c r="F32565" s="13"/>
      <c r="M32565" s="13"/>
    </row>
    <row r="32566">
      <c r="F32566" s="13"/>
      <c r="M32566" s="13"/>
    </row>
    <row r="32567">
      <c r="F32567" s="13"/>
      <c r="M32567" s="13"/>
    </row>
    <row r="32568">
      <c r="F32568" s="13"/>
      <c r="M32568" s="13"/>
    </row>
    <row r="32569">
      <c r="F32569" s="13"/>
      <c r="M32569" s="13"/>
    </row>
    <row r="32570">
      <c r="F32570" s="13"/>
      <c r="M32570" s="13"/>
    </row>
    <row r="32571">
      <c r="F32571" s="13"/>
      <c r="M32571" s="13"/>
    </row>
    <row r="32572">
      <c r="F32572" s="13"/>
      <c r="M32572" s="13"/>
    </row>
    <row r="32573">
      <c r="F32573" s="13"/>
      <c r="M32573" s="13"/>
    </row>
    <row r="32574">
      <c r="F32574" s="13"/>
      <c r="M32574" s="13"/>
    </row>
    <row r="32575">
      <c r="F32575" s="13"/>
      <c r="M32575" s="13"/>
    </row>
    <row r="32576">
      <c r="F32576" s="13"/>
      <c r="M32576" s="13"/>
    </row>
    <row r="32577">
      <c r="F32577" s="13"/>
      <c r="M32577" s="13"/>
    </row>
    <row r="32578">
      <c r="F32578" s="13"/>
      <c r="M32578" s="13"/>
    </row>
    <row r="32579">
      <c r="F32579" s="13"/>
      <c r="M32579" s="13"/>
    </row>
    <row r="32580">
      <c r="F32580" s="13"/>
      <c r="M32580" s="13"/>
    </row>
    <row r="32581">
      <c r="F32581" s="13"/>
      <c r="M32581" s="13"/>
    </row>
    <row r="32582">
      <c r="F32582" s="13"/>
      <c r="M32582" s="13"/>
    </row>
    <row r="32583">
      <c r="F32583" s="13"/>
      <c r="M32583" s="13"/>
    </row>
    <row r="32584">
      <c r="F32584" s="13"/>
      <c r="M32584" s="13"/>
    </row>
    <row r="32585">
      <c r="F32585" s="13"/>
      <c r="M32585" s="13"/>
    </row>
    <row r="32586">
      <c r="F32586" s="13"/>
      <c r="M32586" s="13"/>
    </row>
    <row r="32587">
      <c r="F32587" s="13"/>
      <c r="M32587" s="13"/>
    </row>
    <row r="32588">
      <c r="F32588" s="13"/>
      <c r="M32588" s="13"/>
    </row>
    <row r="32589">
      <c r="F32589" s="13"/>
      <c r="M32589" s="13"/>
    </row>
    <row r="32590">
      <c r="F32590" s="13"/>
      <c r="M32590" s="13"/>
    </row>
    <row r="32591">
      <c r="F32591" s="13"/>
      <c r="M32591" s="13"/>
    </row>
    <row r="32592">
      <c r="F32592" s="13"/>
      <c r="M32592" s="13"/>
    </row>
    <row r="32593">
      <c r="F32593" s="13"/>
      <c r="M32593" s="13"/>
    </row>
    <row r="32594">
      <c r="F32594" s="13"/>
      <c r="M32594" s="13"/>
    </row>
    <row r="32595">
      <c r="F32595" s="13"/>
      <c r="M32595" s="13"/>
    </row>
    <row r="32596">
      <c r="F32596" s="13"/>
      <c r="M32596" s="13"/>
    </row>
    <row r="32597">
      <c r="F32597" s="13"/>
      <c r="M32597" s="13"/>
    </row>
    <row r="32598">
      <c r="F32598" s="13"/>
      <c r="M32598" s="13"/>
    </row>
    <row r="32599">
      <c r="F32599" s="13"/>
      <c r="M32599" s="13"/>
    </row>
    <row r="32600">
      <c r="F32600" s="13"/>
      <c r="M32600" s="13"/>
    </row>
    <row r="32601">
      <c r="F32601" s="13"/>
      <c r="M32601" s="13"/>
    </row>
    <row r="32602">
      <c r="F32602" s="13"/>
      <c r="M32602" s="13"/>
    </row>
    <row r="32603">
      <c r="F32603" s="13"/>
      <c r="M32603" s="13"/>
    </row>
    <row r="32604">
      <c r="F32604" s="13"/>
      <c r="M32604" s="13"/>
    </row>
    <row r="32605">
      <c r="F32605" s="13"/>
      <c r="M32605" s="13"/>
    </row>
    <row r="32606">
      <c r="F32606" s="13"/>
      <c r="M32606" s="13"/>
    </row>
    <row r="32607">
      <c r="F32607" s="13"/>
      <c r="M32607" s="13"/>
    </row>
    <row r="32608">
      <c r="F32608" s="13"/>
      <c r="M32608" s="13"/>
    </row>
    <row r="32609">
      <c r="F32609" s="13"/>
      <c r="M32609" s="13"/>
    </row>
    <row r="32610">
      <c r="F32610" s="13"/>
      <c r="M32610" s="13"/>
    </row>
    <row r="32611">
      <c r="F32611" s="13"/>
      <c r="M32611" s="13"/>
    </row>
    <row r="32612">
      <c r="F32612" s="13"/>
      <c r="M32612" s="13"/>
    </row>
    <row r="32613">
      <c r="F32613" s="13"/>
      <c r="M32613" s="13"/>
    </row>
    <row r="32614">
      <c r="F32614" s="13"/>
      <c r="M32614" s="13"/>
    </row>
    <row r="32615">
      <c r="F32615" s="13"/>
      <c r="M32615" s="13"/>
    </row>
    <row r="32616">
      <c r="F32616" s="13"/>
      <c r="M32616" s="13"/>
    </row>
    <row r="32617">
      <c r="F32617" s="13"/>
      <c r="M32617" s="13"/>
    </row>
    <row r="32618">
      <c r="F32618" s="13"/>
      <c r="M32618" s="13"/>
    </row>
    <row r="32619">
      <c r="F32619" s="13"/>
      <c r="M32619" s="13"/>
    </row>
    <row r="32620">
      <c r="F32620" s="13"/>
      <c r="M32620" s="13"/>
    </row>
    <row r="32621">
      <c r="F32621" s="13"/>
      <c r="M32621" s="13"/>
    </row>
    <row r="32622">
      <c r="F32622" s="13"/>
      <c r="M32622" s="13"/>
    </row>
    <row r="32623">
      <c r="F32623" s="13"/>
      <c r="M32623" s="13"/>
    </row>
    <row r="32624">
      <c r="F32624" s="13"/>
      <c r="M32624" s="13"/>
    </row>
    <row r="32625">
      <c r="F32625" s="13"/>
      <c r="M32625" s="13"/>
    </row>
    <row r="32626">
      <c r="F32626" s="13"/>
      <c r="M32626" s="13"/>
    </row>
    <row r="32627">
      <c r="F32627" s="13"/>
      <c r="M32627" s="13"/>
    </row>
    <row r="32628">
      <c r="F32628" s="13"/>
      <c r="M32628" s="13"/>
    </row>
    <row r="32629">
      <c r="F32629" s="13"/>
      <c r="M32629" s="13"/>
    </row>
    <row r="32630">
      <c r="F32630" s="13"/>
      <c r="M32630" s="13"/>
    </row>
    <row r="32631">
      <c r="F32631" s="13"/>
      <c r="M32631" s="13"/>
    </row>
    <row r="32632">
      <c r="F32632" s="13"/>
      <c r="M32632" s="13"/>
    </row>
    <row r="32633">
      <c r="F32633" s="13"/>
      <c r="M32633" s="13"/>
    </row>
    <row r="32634">
      <c r="F32634" s="13"/>
      <c r="M32634" s="13"/>
    </row>
    <row r="32635">
      <c r="F32635" s="13"/>
      <c r="M32635" s="13"/>
    </row>
    <row r="32636">
      <c r="F32636" s="13"/>
      <c r="M32636" s="13"/>
    </row>
    <row r="32637">
      <c r="F32637" s="13"/>
      <c r="M32637" s="13"/>
    </row>
    <row r="32638">
      <c r="F32638" s="13"/>
      <c r="M32638" s="13"/>
    </row>
    <row r="32639">
      <c r="F32639" s="13"/>
      <c r="M32639" s="13"/>
    </row>
    <row r="32640">
      <c r="F32640" s="13"/>
      <c r="M32640" s="13"/>
    </row>
    <row r="32641">
      <c r="F32641" s="13"/>
      <c r="M32641" s="13"/>
    </row>
    <row r="32642">
      <c r="F32642" s="13"/>
      <c r="M32642" s="13"/>
    </row>
    <row r="32643">
      <c r="F32643" s="13"/>
      <c r="M32643" s="13"/>
    </row>
    <row r="32644">
      <c r="F32644" s="13"/>
      <c r="M32644" s="13"/>
    </row>
    <row r="32645">
      <c r="F32645" s="13"/>
      <c r="M32645" s="13"/>
    </row>
    <row r="32646">
      <c r="F32646" s="13"/>
      <c r="M32646" s="13"/>
    </row>
    <row r="32647">
      <c r="F32647" s="13"/>
      <c r="M32647" s="13"/>
    </row>
    <row r="32648">
      <c r="F32648" s="13"/>
      <c r="M32648" s="13"/>
    </row>
    <row r="32649">
      <c r="F32649" s="13"/>
      <c r="M32649" s="13"/>
    </row>
    <row r="32650">
      <c r="F32650" s="13"/>
      <c r="M32650" s="13"/>
    </row>
    <row r="32651">
      <c r="F32651" s="13"/>
      <c r="M32651" s="13"/>
    </row>
    <row r="32652">
      <c r="F32652" s="13"/>
      <c r="M32652" s="13"/>
    </row>
    <row r="32653">
      <c r="F32653" s="13"/>
      <c r="M32653" s="13"/>
    </row>
    <row r="32654">
      <c r="F32654" s="13"/>
      <c r="M32654" s="13"/>
    </row>
    <row r="32655">
      <c r="F32655" s="13"/>
      <c r="M32655" s="13"/>
    </row>
    <row r="32656">
      <c r="F32656" s="13"/>
      <c r="M32656" s="13"/>
    </row>
    <row r="32657">
      <c r="F32657" s="13"/>
      <c r="M32657" s="13"/>
    </row>
    <row r="32658">
      <c r="F32658" s="13"/>
      <c r="M32658" s="13"/>
    </row>
    <row r="32659">
      <c r="F32659" s="13"/>
      <c r="M32659" s="13"/>
    </row>
    <row r="32660">
      <c r="F32660" s="13"/>
      <c r="M32660" s="13"/>
    </row>
    <row r="32661">
      <c r="F32661" s="13"/>
      <c r="M32661" s="13"/>
    </row>
    <row r="32662">
      <c r="F32662" s="13"/>
      <c r="M32662" s="13"/>
    </row>
    <row r="32663">
      <c r="F32663" s="13"/>
      <c r="M32663" s="13"/>
    </row>
    <row r="32664">
      <c r="F32664" s="13"/>
      <c r="M32664" s="13"/>
    </row>
    <row r="32665">
      <c r="F32665" s="13"/>
      <c r="M32665" s="13"/>
    </row>
    <row r="32666">
      <c r="F32666" s="13"/>
      <c r="M32666" s="13"/>
    </row>
    <row r="32667">
      <c r="F32667" s="13"/>
      <c r="M32667" s="13"/>
    </row>
    <row r="32668">
      <c r="F32668" s="13"/>
      <c r="M32668" s="13"/>
    </row>
    <row r="32669">
      <c r="F32669" s="13"/>
      <c r="M32669" s="13"/>
    </row>
    <row r="32670">
      <c r="F32670" s="13"/>
      <c r="M32670" s="13"/>
    </row>
    <row r="32671">
      <c r="F32671" s="13"/>
      <c r="M32671" s="13"/>
    </row>
    <row r="32672">
      <c r="F32672" s="13"/>
      <c r="M32672" s="13"/>
    </row>
    <row r="32673">
      <c r="F32673" s="13"/>
      <c r="M32673" s="13"/>
    </row>
    <row r="32674">
      <c r="F32674" s="13"/>
      <c r="M32674" s="13"/>
    </row>
    <row r="32675">
      <c r="F32675" s="13"/>
      <c r="M32675" s="13"/>
    </row>
    <row r="32676">
      <c r="F32676" s="13"/>
      <c r="M32676" s="13"/>
    </row>
    <row r="32677">
      <c r="F32677" s="13"/>
      <c r="M32677" s="13"/>
    </row>
    <row r="32678">
      <c r="F32678" s="13"/>
      <c r="M32678" s="13"/>
    </row>
    <row r="32679">
      <c r="F32679" s="13"/>
      <c r="M32679" s="13"/>
    </row>
    <row r="32680">
      <c r="F32680" s="13"/>
      <c r="M32680" s="13"/>
    </row>
    <row r="32681">
      <c r="F32681" s="13"/>
      <c r="M32681" s="13"/>
    </row>
    <row r="32682">
      <c r="F32682" s="13"/>
      <c r="M32682" s="13"/>
    </row>
    <row r="32683">
      <c r="F32683" s="13"/>
      <c r="M32683" s="13"/>
    </row>
    <row r="32684">
      <c r="F32684" s="13"/>
      <c r="M32684" s="13"/>
    </row>
    <row r="32685">
      <c r="F32685" s="13"/>
      <c r="M32685" s="13"/>
    </row>
    <row r="32686">
      <c r="F32686" s="13"/>
      <c r="M32686" s="13"/>
    </row>
    <row r="32687">
      <c r="F32687" s="13"/>
      <c r="M32687" s="13"/>
    </row>
    <row r="32688">
      <c r="F32688" s="13"/>
      <c r="M32688" s="13"/>
    </row>
    <row r="32689">
      <c r="F32689" s="13"/>
      <c r="M32689" s="13"/>
    </row>
    <row r="32690">
      <c r="F32690" s="13"/>
      <c r="M32690" s="13"/>
    </row>
    <row r="32691">
      <c r="F32691" s="13"/>
      <c r="M32691" s="13"/>
    </row>
    <row r="32692">
      <c r="F32692" s="13"/>
      <c r="M32692" s="13"/>
    </row>
    <row r="32693">
      <c r="F32693" s="13"/>
      <c r="M32693" s="13"/>
    </row>
    <row r="32694">
      <c r="F32694" s="13"/>
      <c r="M32694" s="13"/>
    </row>
    <row r="32695">
      <c r="F32695" s="13"/>
      <c r="M32695" s="13"/>
    </row>
    <row r="32696">
      <c r="F32696" s="13"/>
      <c r="M32696" s="13"/>
    </row>
    <row r="32697">
      <c r="F32697" s="13"/>
      <c r="M32697" s="13"/>
    </row>
    <row r="32698">
      <c r="F32698" s="13"/>
      <c r="M32698" s="13"/>
    </row>
    <row r="32699">
      <c r="F32699" s="13"/>
      <c r="M32699" s="13"/>
    </row>
    <row r="32700">
      <c r="F32700" s="13"/>
      <c r="M32700" s="13"/>
    </row>
    <row r="32701">
      <c r="F32701" s="13"/>
      <c r="M32701" s="13"/>
    </row>
    <row r="32702">
      <c r="F32702" s="13"/>
      <c r="M32702" s="13"/>
    </row>
    <row r="32703">
      <c r="F32703" s="13"/>
      <c r="M32703" s="13"/>
    </row>
    <row r="32704">
      <c r="F32704" s="13"/>
      <c r="M32704" s="13"/>
    </row>
    <row r="32705">
      <c r="F32705" s="13"/>
      <c r="M32705" s="13"/>
    </row>
    <row r="32706">
      <c r="F32706" s="13"/>
      <c r="M32706" s="13"/>
    </row>
    <row r="32707">
      <c r="F32707" s="13"/>
      <c r="M32707" s="13"/>
    </row>
    <row r="32708">
      <c r="F32708" s="13"/>
      <c r="M32708" s="13"/>
    </row>
    <row r="32709">
      <c r="F32709" s="13"/>
      <c r="M32709" s="13"/>
    </row>
    <row r="32710">
      <c r="F32710" s="13"/>
      <c r="M32710" s="13"/>
    </row>
    <row r="32711">
      <c r="F32711" s="13"/>
      <c r="M32711" s="13"/>
    </row>
    <row r="32712">
      <c r="F32712" s="13"/>
      <c r="M32712" s="13"/>
    </row>
    <row r="32713">
      <c r="F32713" s="13"/>
      <c r="M32713" s="13"/>
    </row>
    <row r="32714">
      <c r="F32714" s="13"/>
      <c r="M32714" s="13"/>
    </row>
    <row r="32715">
      <c r="F32715" s="13"/>
      <c r="M32715" s="13"/>
    </row>
    <row r="32716">
      <c r="F32716" s="13"/>
      <c r="M32716" s="13"/>
    </row>
    <row r="32717">
      <c r="F32717" s="13"/>
      <c r="M32717" s="13"/>
    </row>
    <row r="32718">
      <c r="F32718" s="13"/>
      <c r="M32718" s="13"/>
    </row>
    <row r="32719">
      <c r="F32719" s="13"/>
      <c r="M32719" s="13"/>
    </row>
    <row r="32720">
      <c r="F32720" s="13"/>
      <c r="M32720" s="13"/>
    </row>
    <row r="32721">
      <c r="F32721" s="13"/>
      <c r="M32721" s="13"/>
    </row>
    <row r="32722">
      <c r="F32722" s="13"/>
      <c r="M32722" s="13"/>
    </row>
    <row r="32723">
      <c r="F32723" s="13"/>
      <c r="M32723" s="13"/>
    </row>
    <row r="32724">
      <c r="F32724" s="13"/>
      <c r="M32724" s="13"/>
    </row>
    <row r="32725">
      <c r="F32725" s="13"/>
      <c r="M32725" s="13"/>
    </row>
    <row r="32726">
      <c r="F32726" s="13"/>
      <c r="M32726" s="13"/>
    </row>
    <row r="32727">
      <c r="F32727" s="13"/>
      <c r="M32727" s="13"/>
    </row>
    <row r="32728">
      <c r="F32728" s="13"/>
      <c r="M32728" s="13"/>
    </row>
    <row r="32729">
      <c r="F32729" s="13"/>
      <c r="M32729" s="13"/>
    </row>
    <row r="32730">
      <c r="F32730" s="13"/>
      <c r="M32730" s="13"/>
    </row>
    <row r="32731">
      <c r="F32731" s="13"/>
      <c r="M32731" s="13"/>
    </row>
    <row r="32732">
      <c r="F32732" s="13"/>
      <c r="M32732" s="13"/>
    </row>
    <row r="32733">
      <c r="F32733" s="13"/>
      <c r="M32733" s="13"/>
    </row>
    <row r="32734">
      <c r="F32734" s="13"/>
      <c r="M32734" s="13"/>
    </row>
    <row r="32735">
      <c r="F32735" s="13"/>
      <c r="M32735" s="13"/>
    </row>
    <row r="32736">
      <c r="F32736" s="13"/>
      <c r="M32736" s="13"/>
    </row>
    <row r="32737">
      <c r="F32737" s="13"/>
      <c r="M32737" s="13"/>
    </row>
    <row r="32738">
      <c r="F32738" s="13"/>
      <c r="M32738" s="13"/>
    </row>
    <row r="32739">
      <c r="F32739" s="13"/>
      <c r="M32739" s="13"/>
    </row>
    <row r="32740">
      <c r="F32740" s="13"/>
      <c r="M32740" s="13"/>
    </row>
    <row r="32741">
      <c r="F32741" s="13"/>
      <c r="M32741" s="13"/>
    </row>
    <row r="32742">
      <c r="F32742" s="13"/>
      <c r="M32742" s="13"/>
    </row>
    <row r="32743">
      <c r="F32743" s="13"/>
      <c r="M32743" s="13"/>
    </row>
    <row r="32744">
      <c r="F32744" s="13"/>
      <c r="M32744" s="13"/>
    </row>
    <row r="32745">
      <c r="F32745" s="13"/>
      <c r="M32745" s="13"/>
    </row>
    <row r="32746">
      <c r="F32746" s="13"/>
      <c r="M32746" s="13"/>
    </row>
    <row r="32747">
      <c r="F32747" s="13"/>
      <c r="M32747" s="13"/>
    </row>
    <row r="32748">
      <c r="F32748" s="13"/>
      <c r="M32748" s="13"/>
    </row>
    <row r="32749">
      <c r="F32749" s="13"/>
      <c r="M32749" s="13"/>
    </row>
    <row r="32750">
      <c r="F32750" s="13"/>
      <c r="M32750" s="13"/>
    </row>
    <row r="32751">
      <c r="F32751" s="13"/>
      <c r="M32751" s="13"/>
    </row>
    <row r="32752">
      <c r="F32752" s="13"/>
      <c r="M32752" s="13"/>
    </row>
    <row r="32753">
      <c r="F32753" s="13"/>
      <c r="M32753" s="13"/>
    </row>
    <row r="32754">
      <c r="F32754" s="13"/>
      <c r="M32754" s="13"/>
    </row>
    <row r="32755">
      <c r="F32755" s="13"/>
      <c r="M32755" s="13"/>
    </row>
    <row r="32756">
      <c r="F32756" s="13"/>
      <c r="M32756" s="13"/>
    </row>
    <row r="32757">
      <c r="F32757" s="13"/>
      <c r="M32757" s="13"/>
    </row>
    <row r="32758">
      <c r="F32758" s="13"/>
      <c r="M32758" s="13"/>
    </row>
    <row r="32759">
      <c r="F32759" s="13"/>
      <c r="M32759" s="13"/>
    </row>
    <row r="32760">
      <c r="F32760" s="13"/>
      <c r="M32760" s="13"/>
    </row>
    <row r="32761">
      <c r="F32761" s="13"/>
      <c r="M32761" s="13"/>
    </row>
    <row r="32762">
      <c r="F32762" s="13"/>
      <c r="M32762" s="13"/>
    </row>
    <row r="32763">
      <c r="F32763" s="13"/>
      <c r="M32763" s="13"/>
    </row>
    <row r="32764">
      <c r="F32764" s="13"/>
      <c r="M32764" s="13"/>
    </row>
    <row r="32765">
      <c r="F32765" s="13"/>
      <c r="M32765" s="13"/>
    </row>
    <row r="32766">
      <c r="F32766" s="13"/>
      <c r="M32766" s="13"/>
    </row>
    <row r="32767">
      <c r="F32767" s="13"/>
      <c r="M32767" s="13"/>
    </row>
    <row r="32768">
      <c r="F32768" s="13"/>
      <c r="M32768" s="13"/>
    </row>
    <row r="32769">
      <c r="F32769" s="13"/>
      <c r="M32769" s="13"/>
    </row>
    <row r="32770">
      <c r="F32770" s="13"/>
      <c r="M32770" s="13"/>
    </row>
    <row r="32771">
      <c r="F32771" s="13"/>
      <c r="M32771" s="13"/>
    </row>
    <row r="32772">
      <c r="F32772" s="13"/>
      <c r="M32772" s="13"/>
    </row>
    <row r="32773">
      <c r="F32773" s="13"/>
      <c r="M32773" s="13"/>
    </row>
    <row r="32774">
      <c r="F32774" s="13"/>
      <c r="M32774" s="13"/>
    </row>
    <row r="32775">
      <c r="F32775" s="13"/>
      <c r="M32775" s="13"/>
    </row>
    <row r="32776">
      <c r="F32776" s="13"/>
      <c r="M32776" s="13"/>
    </row>
    <row r="32777">
      <c r="F32777" s="13"/>
      <c r="M32777" s="13"/>
    </row>
    <row r="32778">
      <c r="F32778" s="13"/>
      <c r="M32778" s="13"/>
    </row>
    <row r="32779">
      <c r="F32779" s="13"/>
      <c r="M32779" s="13"/>
    </row>
    <row r="32780">
      <c r="F32780" s="13"/>
      <c r="M32780" s="13"/>
    </row>
    <row r="32781">
      <c r="F32781" s="13"/>
      <c r="M32781" s="13"/>
    </row>
    <row r="32782">
      <c r="F32782" s="13"/>
      <c r="M32782" s="13"/>
    </row>
    <row r="32783">
      <c r="F32783" s="13"/>
      <c r="M32783" s="13"/>
    </row>
    <row r="32784">
      <c r="F32784" s="13"/>
      <c r="M32784" s="13"/>
    </row>
    <row r="32785">
      <c r="F32785" s="13"/>
      <c r="M32785" s="13"/>
    </row>
    <row r="32786">
      <c r="F32786" s="13"/>
      <c r="M32786" s="13"/>
    </row>
    <row r="32787">
      <c r="F32787" s="13"/>
      <c r="M32787" s="13"/>
    </row>
    <row r="32788">
      <c r="F32788" s="13"/>
      <c r="M32788" s="13"/>
    </row>
    <row r="32789">
      <c r="F32789" s="13"/>
      <c r="M32789" s="13"/>
    </row>
    <row r="32790">
      <c r="F32790" s="13"/>
      <c r="M32790" s="13"/>
    </row>
    <row r="32791">
      <c r="F32791" s="13"/>
      <c r="M32791" s="13"/>
    </row>
    <row r="32792">
      <c r="F32792" s="13"/>
      <c r="M32792" s="13"/>
    </row>
    <row r="32793">
      <c r="F32793" s="13"/>
      <c r="M32793" s="13"/>
    </row>
    <row r="32794">
      <c r="F32794" s="13"/>
      <c r="M32794" s="13"/>
    </row>
    <row r="32795">
      <c r="F32795" s="13"/>
      <c r="M32795" s="13"/>
    </row>
    <row r="32796">
      <c r="F32796" s="13"/>
      <c r="M32796" s="13"/>
    </row>
    <row r="32797">
      <c r="F32797" s="13"/>
      <c r="M32797" s="13"/>
    </row>
    <row r="32798">
      <c r="F32798" s="13"/>
      <c r="M32798" s="13"/>
    </row>
    <row r="32799">
      <c r="F32799" s="13"/>
      <c r="M32799" s="13"/>
    </row>
    <row r="32800">
      <c r="F32800" s="13"/>
      <c r="M32800" s="13"/>
    </row>
    <row r="32801">
      <c r="F32801" s="13"/>
      <c r="M32801" s="13"/>
    </row>
    <row r="32802">
      <c r="F32802" s="13"/>
      <c r="M32802" s="13"/>
    </row>
    <row r="32803">
      <c r="F32803" s="13"/>
      <c r="M32803" s="13"/>
    </row>
    <row r="32804">
      <c r="F32804" s="13"/>
      <c r="M32804" s="13"/>
    </row>
    <row r="32805">
      <c r="F32805" s="13"/>
      <c r="M32805" s="13"/>
    </row>
    <row r="32806">
      <c r="F32806" s="13"/>
      <c r="M32806" s="13"/>
    </row>
    <row r="32807">
      <c r="F32807" s="13"/>
      <c r="M32807" s="13"/>
    </row>
    <row r="32808">
      <c r="F32808" s="13"/>
      <c r="M32808" s="13"/>
    </row>
    <row r="32809">
      <c r="F32809" s="13"/>
      <c r="M32809" s="13"/>
    </row>
    <row r="32810">
      <c r="F32810" s="13"/>
      <c r="M32810" s="13"/>
    </row>
    <row r="32811">
      <c r="F32811" s="13"/>
      <c r="M32811" s="13"/>
    </row>
    <row r="32812">
      <c r="F32812" s="13"/>
      <c r="M32812" s="13"/>
    </row>
    <row r="32813">
      <c r="F32813" s="13"/>
      <c r="M32813" s="13"/>
    </row>
    <row r="32814">
      <c r="F32814" s="13"/>
      <c r="M32814" s="13"/>
    </row>
    <row r="32815">
      <c r="F32815" s="13"/>
      <c r="M32815" s="13"/>
    </row>
    <row r="32816">
      <c r="F32816" s="13"/>
      <c r="M32816" s="13"/>
    </row>
    <row r="32817">
      <c r="F32817" s="13"/>
      <c r="M32817" s="13"/>
    </row>
    <row r="32818">
      <c r="F32818" s="13"/>
      <c r="M32818" s="13"/>
    </row>
    <row r="32819">
      <c r="F32819" s="13"/>
      <c r="M32819" s="13"/>
    </row>
    <row r="32820">
      <c r="F32820" s="13"/>
      <c r="M32820" s="13"/>
    </row>
    <row r="32821">
      <c r="F32821" s="13"/>
      <c r="M32821" s="13"/>
    </row>
    <row r="32822">
      <c r="F32822" s="13"/>
      <c r="M32822" s="13"/>
    </row>
    <row r="32823">
      <c r="F32823" s="13"/>
      <c r="M32823" s="13"/>
    </row>
    <row r="32824">
      <c r="F32824" s="13"/>
      <c r="M32824" s="13"/>
    </row>
    <row r="32825">
      <c r="F32825" s="13"/>
      <c r="M32825" s="13"/>
    </row>
    <row r="32826">
      <c r="F32826" s="13"/>
      <c r="M32826" s="13"/>
    </row>
    <row r="32827">
      <c r="F32827" s="13"/>
      <c r="M32827" s="13"/>
    </row>
    <row r="32828">
      <c r="F32828" s="13"/>
      <c r="M32828" s="13"/>
    </row>
    <row r="32829">
      <c r="F32829" s="13"/>
      <c r="M32829" s="13"/>
    </row>
    <row r="32830">
      <c r="F32830" s="13"/>
      <c r="M32830" s="13"/>
    </row>
    <row r="32831">
      <c r="F32831" s="13"/>
      <c r="M32831" s="13"/>
    </row>
    <row r="32832">
      <c r="F32832" s="13"/>
      <c r="M32832" s="13"/>
    </row>
    <row r="32833">
      <c r="F32833" s="13"/>
      <c r="M32833" s="13"/>
    </row>
    <row r="32834">
      <c r="F32834" s="13"/>
      <c r="M32834" s="13"/>
    </row>
    <row r="32835">
      <c r="F32835" s="13"/>
      <c r="M32835" s="13"/>
    </row>
    <row r="32836">
      <c r="F32836" s="13"/>
      <c r="M32836" s="13"/>
    </row>
    <row r="32837">
      <c r="F32837" s="13"/>
      <c r="M32837" s="13"/>
    </row>
    <row r="32838">
      <c r="F32838" s="13"/>
      <c r="M32838" s="13"/>
    </row>
    <row r="32839">
      <c r="F32839" s="13"/>
      <c r="M32839" s="13"/>
    </row>
    <row r="32840">
      <c r="F32840" s="13"/>
      <c r="M32840" s="13"/>
    </row>
    <row r="32841">
      <c r="F32841" s="13"/>
      <c r="M32841" s="13"/>
    </row>
    <row r="32842">
      <c r="F32842" s="13"/>
      <c r="M32842" s="13"/>
    </row>
    <row r="32843">
      <c r="F32843" s="13"/>
      <c r="M32843" s="13"/>
    </row>
    <row r="32844">
      <c r="F32844" s="13"/>
      <c r="M32844" s="13"/>
    </row>
    <row r="32845">
      <c r="F32845" s="13"/>
      <c r="M32845" s="13"/>
    </row>
    <row r="32846">
      <c r="F32846" s="13"/>
      <c r="M32846" s="13"/>
    </row>
    <row r="32847">
      <c r="F32847" s="13"/>
      <c r="M32847" s="13"/>
    </row>
    <row r="32848">
      <c r="F32848" s="13"/>
      <c r="M32848" s="13"/>
    </row>
    <row r="32849">
      <c r="F32849" s="13"/>
      <c r="M32849" s="13"/>
    </row>
    <row r="32850">
      <c r="F32850" s="13"/>
      <c r="M32850" s="13"/>
    </row>
    <row r="32851">
      <c r="F32851" s="13"/>
      <c r="M32851" s="13"/>
    </row>
    <row r="32852">
      <c r="F32852" s="13"/>
      <c r="M32852" s="13"/>
    </row>
    <row r="32853">
      <c r="F32853" s="13"/>
      <c r="M32853" s="13"/>
    </row>
    <row r="32854">
      <c r="F32854" s="13"/>
      <c r="M32854" s="13"/>
    </row>
    <row r="32855">
      <c r="F32855" s="13"/>
      <c r="M32855" s="13"/>
    </row>
    <row r="32856">
      <c r="F32856" s="13"/>
      <c r="M32856" s="13"/>
    </row>
    <row r="32857">
      <c r="F32857" s="13"/>
      <c r="M32857" s="13"/>
    </row>
    <row r="32858">
      <c r="F32858" s="13"/>
      <c r="M32858" s="13"/>
    </row>
    <row r="32859">
      <c r="F32859" s="13"/>
      <c r="M32859" s="13"/>
    </row>
    <row r="32860">
      <c r="F32860" s="13"/>
      <c r="M32860" s="13"/>
    </row>
    <row r="32861">
      <c r="F32861" s="13"/>
      <c r="M32861" s="13"/>
    </row>
    <row r="32862">
      <c r="F32862" s="13"/>
      <c r="M32862" s="13"/>
    </row>
    <row r="32863">
      <c r="F32863" s="13"/>
      <c r="M32863" s="13"/>
    </row>
    <row r="32864">
      <c r="F32864" s="13"/>
      <c r="M32864" s="13"/>
    </row>
    <row r="32865">
      <c r="F32865" s="13"/>
      <c r="M32865" s="13"/>
    </row>
    <row r="32866">
      <c r="F32866" s="13"/>
      <c r="M32866" s="13"/>
    </row>
    <row r="32867">
      <c r="F32867" s="13"/>
      <c r="M32867" s="13"/>
    </row>
    <row r="32868">
      <c r="F32868" s="13"/>
      <c r="M32868" s="13"/>
    </row>
    <row r="32869">
      <c r="F32869" s="13"/>
      <c r="M32869" s="13"/>
    </row>
    <row r="32870">
      <c r="F32870" s="13"/>
      <c r="M32870" s="13"/>
    </row>
    <row r="32871">
      <c r="F32871" s="13"/>
      <c r="M32871" s="13"/>
    </row>
    <row r="32872">
      <c r="F32872" s="13"/>
      <c r="M32872" s="13"/>
    </row>
    <row r="32873">
      <c r="F32873" s="13"/>
      <c r="M32873" s="13"/>
    </row>
    <row r="32874">
      <c r="F32874" s="13"/>
      <c r="M32874" s="13"/>
    </row>
    <row r="32875">
      <c r="F32875" s="13"/>
      <c r="M32875" s="13"/>
    </row>
    <row r="32876">
      <c r="F32876" s="13"/>
      <c r="M32876" s="13"/>
    </row>
    <row r="32877">
      <c r="F32877" s="13"/>
      <c r="M32877" s="13"/>
    </row>
    <row r="32878">
      <c r="F32878" s="13"/>
      <c r="M32878" s="13"/>
    </row>
    <row r="32879">
      <c r="F32879" s="13"/>
      <c r="M32879" s="13"/>
    </row>
    <row r="32880">
      <c r="F32880" s="13"/>
      <c r="M32880" s="13"/>
    </row>
    <row r="32881">
      <c r="F32881" s="13"/>
      <c r="M32881" s="13"/>
    </row>
    <row r="32882">
      <c r="F32882" s="13"/>
      <c r="M32882" s="13"/>
    </row>
    <row r="32883">
      <c r="F32883" s="13"/>
      <c r="M32883" s="13"/>
    </row>
    <row r="32884">
      <c r="F32884" s="13"/>
      <c r="M32884" s="13"/>
    </row>
    <row r="32885">
      <c r="F32885" s="13"/>
      <c r="M32885" s="13"/>
    </row>
    <row r="32886">
      <c r="F32886" s="13"/>
      <c r="M32886" s="13"/>
    </row>
    <row r="32887">
      <c r="F32887" s="13"/>
      <c r="M32887" s="13"/>
    </row>
    <row r="32888">
      <c r="F32888" s="13"/>
      <c r="M32888" s="13"/>
    </row>
    <row r="32889">
      <c r="F32889" s="13"/>
      <c r="M32889" s="13"/>
    </row>
    <row r="32890">
      <c r="F32890" s="13"/>
      <c r="M32890" s="13"/>
    </row>
    <row r="32891">
      <c r="F32891" s="13"/>
      <c r="M32891" s="13"/>
    </row>
    <row r="32892">
      <c r="F32892" s="13"/>
      <c r="M32892" s="13"/>
    </row>
    <row r="32893">
      <c r="F32893" s="13"/>
      <c r="M32893" s="13"/>
    </row>
    <row r="32894">
      <c r="F32894" s="13"/>
      <c r="M32894" s="13"/>
    </row>
    <row r="32895">
      <c r="F32895" s="13"/>
      <c r="M32895" s="13"/>
    </row>
    <row r="32896">
      <c r="F32896" s="13"/>
      <c r="M32896" s="13"/>
    </row>
    <row r="32897">
      <c r="F32897" s="13"/>
      <c r="M32897" s="13"/>
    </row>
    <row r="32898">
      <c r="F32898" s="13"/>
      <c r="M32898" s="13"/>
    </row>
    <row r="32899">
      <c r="F32899" s="13"/>
      <c r="M32899" s="13"/>
    </row>
    <row r="32900">
      <c r="F32900" s="13"/>
      <c r="M32900" s="13"/>
    </row>
    <row r="32901">
      <c r="F32901" s="13"/>
      <c r="M32901" s="13"/>
    </row>
    <row r="32902">
      <c r="F32902" s="13"/>
      <c r="M32902" s="13"/>
    </row>
    <row r="32903">
      <c r="F32903" s="13"/>
      <c r="M32903" s="13"/>
    </row>
    <row r="32904">
      <c r="F32904" s="13"/>
      <c r="M32904" s="13"/>
    </row>
    <row r="32905">
      <c r="F32905" s="13"/>
      <c r="M32905" s="13"/>
    </row>
    <row r="32906">
      <c r="F32906" s="13"/>
      <c r="M32906" s="13"/>
    </row>
    <row r="32907">
      <c r="F32907" s="13"/>
      <c r="M32907" s="13"/>
    </row>
    <row r="32908">
      <c r="F32908" s="13"/>
      <c r="M32908" s="13"/>
    </row>
    <row r="32909">
      <c r="F32909" s="13"/>
      <c r="M32909" s="13"/>
    </row>
    <row r="32910">
      <c r="F32910" s="13"/>
      <c r="M32910" s="13"/>
    </row>
    <row r="32911">
      <c r="F32911" s="13"/>
      <c r="M32911" s="13"/>
    </row>
    <row r="32912">
      <c r="F32912" s="13"/>
      <c r="M32912" s="13"/>
    </row>
    <row r="32913">
      <c r="F32913" s="13"/>
      <c r="M32913" s="13"/>
    </row>
    <row r="32914">
      <c r="F32914" s="13"/>
      <c r="M32914" s="13"/>
    </row>
    <row r="32915">
      <c r="F32915" s="13"/>
      <c r="M32915" s="13"/>
    </row>
    <row r="32916">
      <c r="F32916" s="13"/>
      <c r="M32916" s="13"/>
    </row>
    <row r="32917">
      <c r="F32917" s="13"/>
      <c r="M32917" s="13"/>
    </row>
    <row r="32918">
      <c r="F32918" s="13"/>
      <c r="M32918" s="13"/>
    </row>
    <row r="32919">
      <c r="F32919" s="13"/>
      <c r="M32919" s="13"/>
    </row>
    <row r="32920">
      <c r="F32920" s="13"/>
      <c r="M32920" s="13"/>
    </row>
    <row r="32921">
      <c r="F32921" s="13"/>
      <c r="M32921" s="13"/>
    </row>
    <row r="32922">
      <c r="F32922" s="13"/>
      <c r="M32922" s="13"/>
    </row>
    <row r="32923">
      <c r="F32923" s="13"/>
      <c r="M32923" s="13"/>
    </row>
    <row r="32924">
      <c r="F32924" s="13"/>
      <c r="M32924" s="13"/>
    </row>
    <row r="32925">
      <c r="F32925" s="13"/>
      <c r="M32925" s="13"/>
    </row>
    <row r="32926">
      <c r="F32926" s="13"/>
      <c r="M32926" s="13"/>
    </row>
    <row r="32927">
      <c r="F32927" s="13"/>
      <c r="M32927" s="13"/>
    </row>
    <row r="32928">
      <c r="F32928" s="13"/>
      <c r="M32928" s="13"/>
    </row>
    <row r="32929">
      <c r="F32929" s="13"/>
      <c r="M32929" s="13"/>
    </row>
    <row r="32930">
      <c r="F32930" s="13"/>
      <c r="M32930" s="13"/>
    </row>
    <row r="32931">
      <c r="F32931" s="13"/>
      <c r="M32931" s="13"/>
    </row>
    <row r="32932">
      <c r="F32932" s="13"/>
      <c r="M32932" s="13"/>
    </row>
    <row r="32933">
      <c r="F32933" s="13"/>
      <c r="M32933" s="13"/>
    </row>
    <row r="32934">
      <c r="F32934" s="13"/>
      <c r="M32934" s="13"/>
    </row>
    <row r="32935">
      <c r="F32935" s="13"/>
      <c r="M32935" s="13"/>
    </row>
    <row r="32936">
      <c r="F32936" s="13"/>
      <c r="M32936" s="13"/>
    </row>
    <row r="32937">
      <c r="F32937" s="13"/>
      <c r="M32937" s="13"/>
    </row>
    <row r="32938">
      <c r="F32938" s="13"/>
      <c r="M32938" s="13"/>
    </row>
    <row r="32939">
      <c r="F32939" s="13"/>
      <c r="M32939" s="13"/>
    </row>
    <row r="32940">
      <c r="F32940" s="13"/>
      <c r="M32940" s="13"/>
    </row>
    <row r="32941">
      <c r="F32941" s="13"/>
      <c r="M32941" s="13"/>
    </row>
    <row r="32942">
      <c r="F32942" s="13"/>
      <c r="M32942" s="13"/>
    </row>
    <row r="32943">
      <c r="F32943" s="13"/>
      <c r="M32943" s="13"/>
    </row>
    <row r="32944">
      <c r="F32944" s="13"/>
      <c r="M32944" s="13"/>
    </row>
    <row r="32945">
      <c r="F32945" s="13"/>
      <c r="M32945" s="13"/>
    </row>
    <row r="32946">
      <c r="F32946" s="13"/>
      <c r="M32946" s="13"/>
    </row>
    <row r="32947">
      <c r="F32947" s="13"/>
      <c r="M32947" s="13"/>
    </row>
    <row r="32948">
      <c r="F32948" s="13"/>
      <c r="M32948" s="13"/>
    </row>
    <row r="32949">
      <c r="F32949" s="13"/>
      <c r="M32949" s="13"/>
    </row>
    <row r="32950">
      <c r="F32950" s="13"/>
      <c r="M32950" s="13"/>
    </row>
    <row r="32951">
      <c r="F32951" s="13"/>
      <c r="M32951" s="13"/>
    </row>
    <row r="32952">
      <c r="F32952" s="13"/>
      <c r="M32952" s="13"/>
    </row>
    <row r="32953">
      <c r="F32953" s="13"/>
      <c r="M32953" s="13"/>
    </row>
    <row r="32954">
      <c r="F32954" s="13"/>
      <c r="M32954" s="13"/>
    </row>
    <row r="32955">
      <c r="F32955" s="13"/>
      <c r="M32955" s="13"/>
    </row>
    <row r="32956">
      <c r="F32956" s="13"/>
      <c r="M32956" s="13"/>
    </row>
    <row r="32957">
      <c r="F32957" s="13"/>
      <c r="M32957" s="13"/>
    </row>
    <row r="32958">
      <c r="F32958" s="13"/>
      <c r="M32958" s="13"/>
    </row>
    <row r="32959">
      <c r="F32959" s="13"/>
      <c r="M32959" s="13"/>
    </row>
    <row r="32960">
      <c r="F32960" s="13"/>
      <c r="M32960" s="13"/>
    </row>
    <row r="32961">
      <c r="F32961" s="13"/>
      <c r="M32961" s="13"/>
    </row>
    <row r="32962">
      <c r="F32962" s="13"/>
      <c r="M32962" s="13"/>
    </row>
    <row r="32963">
      <c r="F32963" s="13"/>
      <c r="M32963" s="13"/>
    </row>
    <row r="32964">
      <c r="F32964" s="13"/>
      <c r="M32964" s="13"/>
    </row>
    <row r="32965">
      <c r="F32965" s="13"/>
      <c r="M32965" s="13"/>
    </row>
    <row r="32966">
      <c r="F32966" s="13"/>
      <c r="M32966" s="13"/>
    </row>
    <row r="32967">
      <c r="F32967" s="13"/>
      <c r="M32967" s="13"/>
    </row>
    <row r="32968">
      <c r="F32968" s="13"/>
      <c r="M32968" s="13"/>
    </row>
    <row r="32969">
      <c r="F32969" s="13"/>
      <c r="M32969" s="13"/>
    </row>
    <row r="32970">
      <c r="F32970" s="13"/>
      <c r="M32970" s="13"/>
    </row>
    <row r="32971">
      <c r="F32971" s="13"/>
      <c r="M32971" s="13"/>
    </row>
    <row r="32972">
      <c r="F32972" s="13"/>
      <c r="M32972" s="13"/>
    </row>
    <row r="32973">
      <c r="F32973" s="13"/>
      <c r="M32973" s="13"/>
    </row>
    <row r="32974">
      <c r="F32974" s="13"/>
      <c r="M32974" s="13"/>
    </row>
    <row r="32975">
      <c r="F32975" s="13"/>
      <c r="M32975" s="13"/>
    </row>
    <row r="32976">
      <c r="F32976" s="13"/>
      <c r="M32976" s="13"/>
    </row>
    <row r="32977">
      <c r="F32977" s="13"/>
      <c r="M32977" s="13"/>
    </row>
    <row r="32978">
      <c r="F32978" s="13"/>
      <c r="M32978" s="13"/>
    </row>
    <row r="32979">
      <c r="F32979" s="13"/>
      <c r="M32979" s="13"/>
    </row>
    <row r="32980">
      <c r="F32980" s="13"/>
      <c r="M32980" s="13"/>
    </row>
    <row r="32981">
      <c r="F32981" s="13"/>
      <c r="M32981" s="13"/>
    </row>
    <row r="32982">
      <c r="F32982" s="13"/>
      <c r="M32982" s="13"/>
    </row>
    <row r="32983">
      <c r="F32983" s="13"/>
      <c r="M32983" s="13"/>
    </row>
    <row r="32984">
      <c r="F32984" s="13"/>
      <c r="M32984" s="13"/>
    </row>
    <row r="32985">
      <c r="F32985" s="13"/>
      <c r="M32985" s="13"/>
    </row>
    <row r="32986">
      <c r="F32986" s="13"/>
      <c r="M32986" s="13"/>
    </row>
    <row r="32987">
      <c r="F32987" s="13"/>
      <c r="M32987" s="13"/>
    </row>
    <row r="32988">
      <c r="F32988" s="13"/>
      <c r="M32988" s="13"/>
    </row>
    <row r="32989">
      <c r="F32989" s="13"/>
      <c r="M32989" s="13"/>
    </row>
    <row r="32990">
      <c r="F32990" s="13"/>
      <c r="M32990" s="13"/>
    </row>
    <row r="32991">
      <c r="F32991" s="13"/>
      <c r="M32991" s="13"/>
    </row>
    <row r="32992">
      <c r="F32992" s="13"/>
      <c r="M32992" s="13"/>
    </row>
    <row r="32993">
      <c r="F32993" s="13"/>
      <c r="M32993" s="13"/>
    </row>
    <row r="32994">
      <c r="F32994" s="13"/>
      <c r="M32994" s="13"/>
    </row>
    <row r="32995">
      <c r="F32995" s="13"/>
      <c r="M32995" s="13"/>
    </row>
    <row r="32996">
      <c r="F32996" s="13"/>
      <c r="M32996" s="13"/>
    </row>
    <row r="32997">
      <c r="F32997" s="13"/>
      <c r="M32997" s="13"/>
    </row>
    <row r="32998">
      <c r="F32998" s="13"/>
      <c r="M32998" s="13"/>
    </row>
    <row r="32999">
      <c r="F32999" s="13"/>
      <c r="M32999" s="13"/>
    </row>
    <row r="33000">
      <c r="F33000" s="13"/>
      <c r="M33000" s="13"/>
    </row>
    <row r="33001">
      <c r="F33001" s="13"/>
      <c r="M33001" s="13"/>
    </row>
    <row r="33002">
      <c r="F33002" s="13"/>
      <c r="M33002" s="13"/>
    </row>
    <row r="33003">
      <c r="F33003" s="13"/>
      <c r="M33003" s="13"/>
    </row>
    <row r="33004">
      <c r="F33004" s="13"/>
      <c r="M33004" s="13"/>
    </row>
    <row r="33005">
      <c r="F33005" s="13"/>
      <c r="M33005" s="13"/>
    </row>
    <row r="33006">
      <c r="F33006" s="13"/>
      <c r="M33006" s="13"/>
    </row>
    <row r="33007">
      <c r="F33007" s="13"/>
      <c r="M33007" s="13"/>
    </row>
    <row r="33008">
      <c r="F33008" s="13"/>
      <c r="M33008" s="13"/>
    </row>
    <row r="33009">
      <c r="F33009" s="13"/>
      <c r="M33009" s="13"/>
    </row>
    <row r="33010">
      <c r="F33010" s="13"/>
      <c r="M33010" s="13"/>
    </row>
    <row r="33011">
      <c r="F33011" s="13"/>
      <c r="M33011" s="13"/>
    </row>
    <row r="33012">
      <c r="F33012" s="13"/>
      <c r="M33012" s="13"/>
    </row>
    <row r="33013">
      <c r="F33013" s="13"/>
      <c r="M33013" s="13"/>
    </row>
    <row r="33014">
      <c r="F33014" s="13"/>
      <c r="M33014" s="13"/>
    </row>
    <row r="33015">
      <c r="F33015" s="13"/>
      <c r="M33015" s="13"/>
    </row>
    <row r="33016">
      <c r="F33016" s="13"/>
      <c r="M33016" s="13"/>
    </row>
    <row r="33017">
      <c r="F33017" s="13"/>
      <c r="M33017" s="13"/>
    </row>
    <row r="33018">
      <c r="F33018" s="13"/>
      <c r="M33018" s="13"/>
    </row>
    <row r="33019">
      <c r="F33019" s="13"/>
      <c r="M33019" s="13"/>
    </row>
    <row r="33020">
      <c r="F33020" s="13"/>
      <c r="M33020" s="13"/>
    </row>
    <row r="33021">
      <c r="F33021" s="13"/>
      <c r="M33021" s="13"/>
    </row>
    <row r="33022">
      <c r="F33022" s="13"/>
      <c r="M33022" s="13"/>
    </row>
    <row r="33023">
      <c r="F33023" s="13"/>
      <c r="M33023" s="13"/>
    </row>
    <row r="33024">
      <c r="F33024" s="13"/>
      <c r="M33024" s="13"/>
    </row>
    <row r="33025">
      <c r="F33025" s="13"/>
      <c r="M33025" s="13"/>
    </row>
    <row r="33026">
      <c r="F33026" s="13"/>
      <c r="M33026" s="13"/>
    </row>
    <row r="33027">
      <c r="F33027" s="13"/>
      <c r="M33027" s="13"/>
    </row>
    <row r="33028">
      <c r="F33028" s="13"/>
      <c r="M33028" s="13"/>
    </row>
    <row r="33029">
      <c r="F33029" s="13"/>
      <c r="M33029" s="13"/>
    </row>
    <row r="33030">
      <c r="F33030" s="13"/>
      <c r="M33030" s="13"/>
    </row>
    <row r="33031">
      <c r="F33031" s="13"/>
      <c r="M33031" s="13"/>
    </row>
    <row r="33032">
      <c r="F33032" s="13"/>
      <c r="M33032" s="13"/>
    </row>
    <row r="33033">
      <c r="F33033" s="13"/>
      <c r="M33033" s="13"/>
    </row>
    <row r="33034">
      <c r="F33034" s="13"/>
      <c r="M33034" s="13"/>
    </row>
    <row r="33035">
      <c r="F33035" s="13"/>
      <c r="M33035" s="13"/>
    </row>
    <row r="33036">
      <c r="F33036" s="13"/>
      <c r="M33036" s="13"/>
    </row>
    <row r="33037">
      <c r="F33037" s="13"/>
      <c r="M33037" s="13"/>
    </row>
    <row r="33038">
      <c r="F33038" s="13"/>
      <c r="M33038" s="13"/>
    </row>
    <row r="33039">
      <c r="F33039" s="13"/>
      <c r="M33039" s="13"/>
    </row>
    <row r="33040">
      <c r="F33040" s="13"/>
      <c r="M33040" s="13"/>
    </row>
    <row r="33041">
      <c r="F33041" s="13"/>
      <c r="M33041" s="13"/>
    </row>
    <row r="33042">
      <c r="F33042" s="13"/>
      <c r="M33042" s="13"/>
    </row>
    <row r="33043">
      <c r="F33043" s="13"/>
      <c r="M33043" s="13"/>
    </row>
    <row r="33044">
      <c r="F33044" s="13"/>
      <c r="M33044" s="13"/>
    </row>
    <row r="33045">
      <c r="F33045" s="13"/>
      <c r="M33045" s="13"/>
    </row>
    <row r="33046">
      <c r="F33046" s="13"/>
      <c r="M33046" s="13"/>
    </row>
    <row r="33047">
      <c r="F33047" s="13"/>
      <c r="M33047" s="13"/>
    </row>
    <row r="33048">
      <c r="F33048" s="13"/>
      <c r="M33048" s="13"/>
    </row>
    <row r="33049">
      <c r="F33049" s="13"/>
      <c r="M33049" s="13"/>
    </row>
    <row r="33050">
      <c r="F33050" s="13"/>
      <c r="M33050" s="13"/>
    </row>
    <row r="33051">
      <c r="F33051" s="13"/>
      <c r="M33051" s="13"/>
    </row>
    <row r="33052">
      <c r="F33052" s="13"/>
      <c r="M33052" s="13"/>
    </row>
    <row r="33053">
      <c r="F33053" s="13"/>
      <c r="M33053" s="13"/>
    </row>
    <row r="33054">
      <c r="F33054" s="13"/>
      <c r="M33054" s="13"/>
    </row>
    <row r="33055">
      <c r="F33055" s="13"/>
      <c r="M33055" s="13"/>
    </row>
    <row r="33056">
      <c r="F33056" s="13"/>
      <c r="M33056" s="13"/>
    </row>
    <row r="33057">
      <c r="F33057" s="13"/>
      <c r="M33057" s="13"/>
    </row>
    <row r="33058">
      <c r="F33058" s="13"/>
      <c r="M33058" s="13"/>
    </row>
    <row r="33059">
      <c r="F33059" s="13"/>
      <c r="M33059" s="13"/>
    </row>
    <row r="33060">
      <c r="F33060" s="13"/>
      <c r="M33060" s="13"/>
    </row>
    <row r="33061">
      <c r="F33061" s="13"/>
      <c r="M33061" s="13"/>
    </row>
    <row r="33062">
      <c r="F33062" s="13"/>
      <c r="M33062" s="13"/>
    </row>
    <row r="33063">
      <c r="F33063" s="13"/>
      <c r="M33063" s="13"/>
    </row>
    <row r="33064">
      <c r="F33064" s="13"/>
      <c r="M33064" s="13"/>
    </row>
    <row r="33065">
      <c r="F33065" s="13"/>
      <c r="M33065" s="13"/>
    </row>
    <row r="33066">
      <c r="F33066" s="13"/>
      <c r="M33066" s="13"/>
    </row>
    <row r="33067">
      <c r="F33067" s="13"/>
      <c r="M33067" s="13"/>
    </row>
    <row r="33068">
      <c r="F33068" s="13"/>
      <c r="M33068" s="13"/>
    </row>
    <row r="33069">
      <c r="F33069" s="13"/>
      <c r="M33069" s="13"/>
    </row>
    <row r="33070">
      <c r="F33070" s="13"/>
      <c r="M33070" s="13"/>
    </row>
    <row r="33071">
      <c r="F33071" s="13"/>
      <c r="M33071" s="13"/>
    </row>
    <row r="33072">
      <c r="F33072" s="13"/>
      <c r="M33072" s="13"/>
    </row>
    <row r="33073">
      <c r="F33073" s="13"/>
      <c r="M33073" s="13"/>
    </row>
    <row r="33074">
      <c r="F33074" s="13"/>
      <c r="M33074" s="13"/>
    </row>
    <row r="33075">
      <c r="F33075" s="13"/>
      <c r="M33075" s="13"/>
    </row>
    <row r="33076">
      <c r="F33076" s="13"/>
      <c r="M33076" s="13"/>
    </row>
    <row r="33077">
      <c r="F33077" s="13"/>
      <c r="M33077" s="13"/>
    </row>
    <row r="33078">
      <c r="F33078" s="13"/>
      <c r="M33078" s="13"/>
    </row>
    <row r="33079">
      <c r="F33079" s="13"/>
      <c r="M33079" s="13"/>
    </row>
    <row r="33080">
      <c r="F33080" s="13"/>
      <c r="M33080" s="13"/>
    </row>
    <row r="33081">
      <c r="F33081" s="13"/>
      <c r="M33081" s="13"/>
    </row>
    <row r="33082">
      <c r="F33082" s="13"/>
      <c r="M33082" s="13"/>
    </row>
    <row r="33083">
      <c r="F33083" s="13"/>
      <c r="M33083" s="13"/>
    </row>
    <row r="33084">
      <c r="F33084" s="13"/>
      <c r="M33084" s="13"/>
    </row>
    <row r="33085">
      <c r="F33085" s="13"/>
      <c r="M33085" s="13"/>
    </row>
    <row r="33086">
      <c r="F33086" s="13"/>
      <c r="M33086" s="13"/>
    </row>
    <row r="33087">
      <c r="F33087" s="13"/>
      <c r="M33087" s="13"/>
    </row>
    <row r="33088">
      <c r="F33088" s="13"/>
      <c r="M33088" s="13"/>
    </row>
    <row r="33089">
      <c r="F33089" s="13"/>
      <c r="M33089" s="13"/>
    </row>
    <row r="33090">
      <c r="F33090" s="13"/>
      <c r="M33090" s="13"/>
    </row>
    <row r="33091">
      <c r="F33091" s="13"/>
      <c r="M33091" s="13"/>
    </row>
    <row r="33092">
      <c r="F33092" s="13"/>
      <c r="M33092" s="13"/>
    </row>
    <row r="33093">
      <c r="F33093" s="13"/>
      <c r="M33093" s="13"/>
    </row>
    <row r="33094">
      <c r="F33094" s="13"/>
      <c r="M33094" s="13"/>
    </row>
    <row r="33095">
      <c r="F33095" s="13"/>
      <c r="M33095" s="13"/>
    </row>
    <row r="33096">
      <c r="F33096" s="13"/>
      <c r="M33096" s="13"/>
    </row>
    <row r="33097">
      <c r="F33097" s="13"/>
      <c r="M33097" s="13"/>
    </row>
    <row r="33098">
      <c r="F33098" s="13"/>
      <c r="M33098" s="13"/>
    </row>
    <row r="33099">
      <c r="F33099" s="13"/>
      <c r="M33099" s="13"/>
    </row>
    <row r="33100">
      <c r="F33100" s="13"/>
      <c r="M33100" s="13"/>
    </row>
    <row r="33101">
      <c r="F33101" s="13"/>
      <c r="M33101" s="13"/>
    </row>
    <row r="33102">
      <c r="F33102" s="13"/>
      <c r="M33102" s="13"/>
    </row>
    <row r="33103">
      <c r="F33103" s="13"/>
      <c r="M33103" s="13"/>
    </row>
    <row r="33104">
      <c r="F33104" s="13"/>
      <c r="M33104" s="13"/>
    </row>
    <row r="33105">
      <c r="F33105" s="13"/>
      <c r="M33105" s="13"/>
    </row>
    <row r="33106">
      <c r="F33106" s="13"/>
      <c r="M33106" s="13"/>
    </row>
    <row r="33107">
      <c r="F33107" s="13"/>
      <c r="M33107" s="13"/>
    </row>
    <row r="33108">
      <c r="F33108" s="13"/>
      <c r="M33108" s="13"/>
    </row>
    <row r="33109">
      <c r="F33109" s="13"/>
      <c r="M33109" s="13"/>
    </row>
    <row r="33110">
      <c r="F33110" s="13"/>
      <c r="M33110" s="13"/>
    </row>
    <row r="33111">
      <c r="F33111" s="13"/>
      <c r="M33111" s="13"/>
    </row>
    <row r="33112">
      <c r="F33112" s="13"/>
      <c r="M33112" s="13"/>
    </row>
    <row r="33113">
      <c r="F33113" s="13"/>
      <c r="M33113" s="13"/>
    </row>
    <row r="33114">
      <c r="F33114" s="13"/>
      <c r="M33114" s="13"/>
    </row>
    <row r="33115">
      <c r="F33115" s="13"/>
      <c r="M33115" s="13"/>
    </row>
    <row r="33116">
      <c r="F33116" s="13"/>
      <c r="M33116" s="13"/>
    </row>
    <row r="33117">
      <c r="F33117" s="13"/>
      <c r="M33117" s="13"/>
    </row>
    <row r="33118">
      <c r="F33118" s="13"/>
      <c r="M33118" s="13"/>
    </row>
    <row r="33119">
      <c r="F33119" s="13"/>
      <c r="M33119" s="13"/>
    </row>
    <row r="33120">
      <c r="F33120" s="13"/>
      <c r="M33120" s="13"/>
    </row>
    <row r="33121">
      <c r="F33121" s="13"/>
      <c r="M33121" s="13"/>
    </row>
    <row r="33122">
      <c r="F33122" s="13"/>
      <c r="M33122" s="13"/>
    </row>
    <row r="33123">
      <c r="F33123" s="13"/>
      <c r="M33123" s="13"/>
    </row>
    <row r="33124">
      <c r="F33124" s="13"/>
      <c r="M33124" s="13"/>
    </row>
    <row r="33125">
      <c r="F33125" s="13"/>
      <c r="M33125" s="13"/>
    </row>
    <row r="33126">
      <c r="F33126" s="13"/>
      <c r="M33126" s="13"/>
    </row>
    <row r="33127">
      <c r="F33127" s="13"/>
      <c r="M33127" s="13"/>
    </row>
    <row r="33128">
      <c r="F33128" s="13"/>
      <c r="M33128" s="13"/>
    </row>
    <row r="33129">
      <c r="F33129" s="13"/>
      <c r="M33129" s="13"/>
    </row>
    <row r="33130">
      <c r="F33130" s="13"/>
      <c r="M33130" s="13"/>
    </row>
    <row r="33131">
      <c r="F33131" s="13"/>
      <c r="M33131" s="13"/>
    </row>
    <row r="33132">
      <c r="F33132" s="13"/>
      <c r="M33132" s="13"/>
    </row>
    <row r="33133">
      <c r="F33133" s="13"/>
      <c r="M33133" s="13"/>
    </row>
    <row r="33134">
      <c r="F33134" s="13"/>
      <c r="M33134" s="13"/>
    </row>
    <row r="33135">
      <c r="F33135" s="13"/>
      <c r="M33135" s="13"/>
    </row>
    <row r="33136">
      <c r="F33136" s="13"/>
      <c r="M33136" s="13"/>
    </row>
    <row r="33137">
      <c r="F33137" s="13"/>
      <c r="M33137" s="13"/>
    </row>
    <row r="33138">
      <c r="F33138" s="13"/>
      <c r="M33138" s="13"/>
    </row>
    <row r="33139">
      <c r="F33139" s="13"/>
      <c r="M33139" s="13"/>
    </row>
    <row r="33140">
      <c r="F33140" s="13"/>
      <c r="M33140" s="13"/>
    </row>
    <row r="33141">
      <c r="F33141" s="13"/>
      <c r="M33141" s="13"/>
    </row>
    <row r="33142">
      <c r="F33142" s="13"/>
      <c r="M33142" s="13"/>
    </row>
    <row r="33143">
      <c r="F33143" s="13"/>
      <c r="M33143" s="13"/>
    </row>
    <row r="33144">
      <c r="F33144" s="13"/>
      <c r="M33144" s="13"/>
    </row>
    <row r="33145">
      <c r="F33145" s="13"/>
      <c r="M33145" s="13"/>
    </row>
    <row r="33146">
      <c r="F33146" s="13"/>
      <c r="M33146" s="13"/>
    </row>
    <row r="33147">
      <c r="F33147" s="13"/>
      <c r="M33147" s="13"/>
    </row>
    <row r="33148">
      <c r="F33148" s="13"/>
      <c r="M33148" s="13"/>
    </row>
    <row r="33149">
      <c r="F33149" s="13"/>
      <c r="M33149" s="13"/>
    </row>
    <row r="33150">
      <c r="F33150" s="13"/>
      <c r="M33150" s="13"/>
    </row>
    <row r="33151">
      <c r="F33151" s="13"/>
      <c r="M33151" s="13"/>
    </row>
    <row r="33152">
      <c r="F33152" s="13"/>
      <c r="M33152" s="13"/>
    </row>
    <row r="33153">
      <c r="F33153" s="13"/>
      <c r="M33153" s="13"/>
    </row>
    <row r="33154">
      <c r="F33154" s="13"/>
      <c r="M33154" s="13"/>
    </row>
    <row r="33155">
      <c r="F33155" s="13"/>
      <c r="M33155" s="13"/>
    </row>
    <row r="33156">
      <c r="F33156" s="13"/>
      <c r="M33156" s="13"/>
    </row>
    <row r="33157">
      <c r="F33157" s="13"/>
      <c r="M33157" s="13"/>
    </row>
    <row r="33158">
      <c r="F33158" s="13"/>
      <c r="M33158" s="13"/>
    </row>
    <row r="33159">
      <c r="F33159" s="13"/>
      <c r="M33159" s="13"/>
    </row>
    <row r="33160">
      <c r="F33160" s="13"/>
      <c r="M33160" s="13"/>
    </row>
    <row r="33161">
      <c r="F33161" s="13"/>
      <c r="M33161" s="13"/>
    </row>
    <row r="33162">
      <c r="F33162" s="13"/>
      <c r="M33162" s="13"/>
    </row>
    <row r="33163">
      <c r="F33163" s="13"/>
      <c r="M33163" s="13"/>
    </row>
    <row r="33164">
      <c r="F33164" s="13"/>
      <c r="M33164" s="13"/>
    </row>
    <row r="33165">
      <c r="F33165" s="13"/>
      <c r="M33165" s="13"/>
    </row>
    <row r="33166">
      <c r="F33166" s="13"/>
      <c r="M33166" s="13"/>
    </row>
    <row r="33167">
      <c r="F33167" s="13"/>
      <c r="M33167" s="13"/>
    </row>
    <row r="33168">
      <c r="F33168" s="13"/>
      <c r="M33168" s="13"/>
    </row>
    <row r="33169">
      <c r="F33169" s="13"/>
      <c r="M33169" s="13"/>
    </row>
    <row r="33170">
      <c r="F33170" s="13"/>
      <c r="M33170" s="13"/>
    </row>
    <row r="33171">
      <c r="F33171" s="13"/>
      <c r="M33171" s="13"/>
    </row>
    <row r="33172">
      <c r="F33172" s="13"/>
      <c r="M33172" s="13"/>
    </row>
    <row r="33173">
      <c r="F33173" s="13"/>
      <c r="M33173" s="13"/>
    </row>
    <row r="33174">
      <c r="F33174" s="13"/>
      <c r="M33174" s="13"/>
    </row>
    <row r="33175">
      <c r="F33175" s="13"/>
      <c r="M33175" s="13"/>
    </row>
    <row r="33176">
      <c r="F33176" s="13"/>
      <c r="M33176" s="13"/>
    </row>
    <row r="33177">
      <c r="F33177" s="13"/>
      <c r="M33177" s="13"/>
    </row>
    <row r="33178">
      <c r="F33178" s="13"/>
      <c r="M33178" s="13"/>
    </row>
    <row r="33179">
      <c r="F33179" s="13"/>
      <c r="M33179" s="13"/>
    </row>
    <row r="33180">
      <c r="F33180" s="13"/>
      <c r="M33180" s="13"/>
    </row>
    <row r="33181">
      <c r="F33181" s="13"/>
      <c r="M33181" s="13"/>
    </row>
    <row r="33182">
      <c r="F33182" s="13"/>
      <c r="M33182" s="13"/>
    </row>
    <row r="33183">
      <c r="F33183" s="13"/>
      <c r="M33183" s="13"/>
    </row>
    <row r="33184">
      <c r="F33184" s="13"/>
      <c r="M33184" s="13"/>
    </row>
    <row r="33185">
      <c r="F33185" s="13"/>
      <c r="M33185" s="13"/>
    </row>
    <row r="33186">
      <c r="F33186" s="13"/>
      <c r="M33186" s="13"/>
    </row>
    <row r="33187">
      <c r="F33187" s="13"/>
      <c r="M33187" s="13"/>
    </row>
    <row r="33188">
      <c r="F33188" s="13"/>
      <c r="M33188" s="13"/>
    </row>
    <row r="33189">
      <c r="F33189" s="13"/>
      <c r="M33189" s="13"/>
    </row>
    <row r="33190">
      <c r="F33190" s="13"/>
      <c r="M33190" s="13"/>
    </row>
    <row r="33191">
      <c r="F33191" s="13"/>
      <c r="M33191" s="13"/>
    </row>
    <row r="33192">
      <c r="F33192" s="13"/>
      <c r="M33192" s="13"/>
    </row>
    <row r="33193">
      <c r="F33193" s="13"/>
      <c r="M33193" s="13"/>
    </row>
    <row r="33194">
      <c r="F33194" s="13"/>
      <c r="M33194" s="13"/>
    </row>
    <row r="33195">
      <c r="F33195" s="13"/>
      <c r="M33195" s="13"/>
    </row>
    <row r="33196">
      <c r="F33196" s="13"/>
      <c r="M33196" s="13"/>
    </row>
    <row r="33197">
      <c r="F33197" s="13"/>
      <c r="M33197" s="13"/>
    </row>
    <row r="33198">
      <c r="F33198" s="13"/>
      <c r="M33198" s="13"/>
    </row>
    <row r="33199">
      <c r="F33199" s="13"/>
      <c r="M33199" s="13"/>
    </row>
    <row r="33200">
      <c r="F33200" s="13"/>
      <c r="M33200" s="13"/>
    </row>
    <row r="33201">
      <c r="F33201" s="13"/>
      <c r="M33201" s="13"/>
    </row>
    <row r="33202">
      <c r="F33202" s="13"/>
      <c r="M33202" s="13"/>
    </row>
    <row r="33203">
      <c r="F33203" s="13"/>
      <c r="M33203" s="13"/>
    </row>
    <row r="33204">
      <c r="F33204" s="13"/>
      <c r="M33204" s="13"/>
    </row>
    <row r="33205">
      <c r="F33205" s="13"/>
      <c r="M33205" s="13"/>
    </row>
    <row r="33206">
      <c r="F33206" s="13"/>
      <c r="M33206" s="13"/>
    </row>
    <row r="33207">
      <c r="F33207" s="13"/>
      <c r="M33207" s="13"/>
    </row>
    <row r="33208">
      <c r="F33208" s="13"/>
      <c r="M33208" s="13"/>
    </row>
    <row r="33209">
      <c r="F33209" s="13"/>
      <c r="M33209" s="13"/>
    </row>
    <row r="33210">
      <c r="F33210" s="13"/>
      <c r="M33210" s="13"/>
    </row>
    <row r="33211">
      <c r="F33211" s="13"/>
      <c r="M33211" s="13"/>
    </row>
    <row r="33212">
      <c r="F33212" s="13"/>
      <c r="M33212" s="13"/>
    </row>
    <row r="33213">
      <c r="F33213" s="13"/>
      <c r="M33213" s="13"/>
    </row>
    <row r="33214">
      <c r="F33214" s="13"/>
      <c r="M33214" s="13"/>
    </row>
    <row r="33215">
      <c r="F33215" s="13"/>
      <c r="M33215" s="13"/>
    </row>
    <row r="33216">
      <c r="F33216" s="13"/>
      <c r="M33216" s="13"/>
    </row>
    <row r="33217">
      <c r="F33217" s="13"/>
      <c r="M33217" s="13"/>
    </row>
    <row r="33218">
      <c r="F33218" s="13"/>
      <c r="M33218" s="13"/>
    </row>
    <row r="33219">
      <c r="F33219" s="13"/>
      <c r="M33219" s="13"/>
    </row>
    <row r="33220">
      <c r="F33220" s="13"/>
      <c r="M33220" s="13"/>
    </row>
    <row r="33221">
      <c r="F33221" s="13"/>
      <c r="M33221" s="13"/>
    </row>
    <row r="33222">
      <c r="F33222" s="13"/>
      <c r="M33222" s="13"/>
    </row>
    <row r="33223">
      <c r="F33223" s="13"/>
      <c r="M33223" s="13"/>
    </row>
    <row r="33224">
      <c r="F33224" s="13"/>
      <c r="M33224" s="13"/>
    </row>
    <row r="33225">
      <c r="F33225" s="13"/>
      <c r="M33225" s="13"/>
    </row>
    <row r="33226">
      <c r="F33226" s="13"/>
      <c r="M33226" s="13"/>
    </row>
    <row r="33227">
      <c r="F33227" s="13"/>
      <c r="M33227" s="13"/>
    </row>
    <row r="33228">
      <c r="F33228" s="13"/>
      <c r="M33228" s="13"/>
    </row>
    <row r="33229">
      <c r="F33229" s="13"/>
      <c r="M33229" s="13"/>
    </row>
    <row r="33230">
      <c r="F33230" s="13"/>
      <c r="M33230" s="13"/>
    </row>
    <row r="33231">
      <c r="F33231" s="13"/>
      <c r="M33231" s="13"/>
    </row>
    <row r="33232">
      <c r="F33232" s="13"/>
      <c r="M33232" s="13"/>
    </row>
    <row r="33233">
      <c r="F33233" s="13"/>
      <c r="M33233" s="13"/>
    </row>
    <row r="33234">
      <c r="F33234" s="13"/>
      <c r="M33234" s="13"/>
    </row>
    <row r="33235">
      <c r="F33235" s="13"/>
      <c r="M33235" s="13"/>
    </row>
    <row r="33236">
      <c r="F33236" s="13"/>
      <c r="M33236" s="13"/>
    </row>
    <row r="33237">
      <c r="F33237" s="13"/>
      <c r="M33237" s="13"/>
    </row>
    <row r="33238">
      <c r="F33238" s="13"/>
      <c r="M33238" s="13"/>
    </row>
    <row r="33239">
      <c r="F33239" s="13"/>
      <c r="M33239" s="13"/>
    </row>
    <row r="33240">
      <c r="F33240" s="13"/>
      <c r="M33240" s="13"/>
    </row>
    <row r="33241">
      <c r="F33241" s="13"/>
      <c r="M33241" s="13"/>
    </row>
    <row r="33242">
      <c r="F33242" s="13"/>
      <c r="M33242" s="13"/>
    </row>
    <row r="33243">
      <c r="F33243" s="13"/>
      <c r="M33243" s="13"/>
    </row>
    <row r="33244">
      <c r="F33244" s="13"/>
      <c r="M33244" s="13"/>
    </row>
    <row r="33245">
      <c r="F33245" s="13"/>
      <c r="M33245" s="13"/>
    </row>
    <row r="33246">
      <c r="F33246" s="13"/>
      <c r="M33246" s="13"/>
    </row>
    <row r="33247">
      <c r="F33247" s="13"/>
      <c r="M33247" s="13"/>
    </row>
    <row r="33248">
      <c r="F33248" s="13"/>
      <c r="M33248" s="13"/>
    </row>
    <row r="33249">
      <c r="F33249" s="13"/>
      <c r="M33249" s="13"/>
    </row>
    <row r="33250">
      <c r="F33250" s="13"/>
      <c r="M33250" s="13"/>
    </row>
    <row r="33251">
      <c r="F33251" s="13"/>
      <c r="M33251" s="13"/>
    </row>
    <row r="33252">
      <c r="F33252" s="13"/>
      <c r="M33252" s="13"/>
    </row>
    <row r="33253">
      <c r="F33253" s="13"/>
      <c r="M33253" s="13"/>
    </row>
    <row r="33254">
      <c r="F33254" s="13"/>
      <c r="M33254" s="13"/>
    </row>
    <row r="33255">
      <c r="F33255" s="13"/>
      <c r="M33255" s="13"/>
    </row>
    <row r="33256">
      <c r="F33256" s="13"/>
      <c r="M33256" s="13"/>
    </row>
    <row r="33257">
      <c r="F33257" s="13"/>
      <c r="M33257" s="13"/>
    </row>
    <row r="33258">
      <c r="F33258" s="13"/>
      <c r="M33258" s="13"/>
    </row>
    <row r="33259">
      <c r="F33259" s="13"/>
      <c r="M33259" s="13"/>
    </row>
    <row r="33260">
      <c r="F33260" s="13"/>
      <c r="M33260" s="13"/>
    </row>
    <row r="33261">
      <c r="F33261" s="13"/>
      <c r="M33261" s="13"/>
    </row>
    <row r="33262">
      <c r="F33262" s="13"/>
      <c r="M33262" s="13"/>
    </row>
    <row r="33263">
      <c r="F33263" s="13"/>
      <c r="M33263" s="13"/>
    </row>
    <row r="33264">
      <c r="F33264" s="13"/>
      <c r="M33264" s="13"/>
    </row>
    <row r="33265">
      <c r="F33265" s="13"/>
      <c r="M33265" s="13"/>
    </row>
    <row r="33266">
      <c r="F33266" s="13"/>
      <c r="M33266" s="13"/>
    </row>
    <row r="33267">
      <c r="F33267" s="13"/>
      <c r="M33267" s="13"/>
    </row>
    <row r="33268">
      <c r="F33268" s="13"/>
      <c r="M33268" s="13"/>
    </row>
    <row r="33269">
      <c r="F33269" s="13"/>
      <c r="M33269" s="13"/>
    </row>
    <row r="33270">
      <c r="F33270" s="13"/>
      <c r="M33270" s="13"/>
    </row>
    <row r="33271">
      <c r="F33271" s="13"/>
      <c r="M33271" s="13"/>
    </row>
    <row r="33272">
      <c r="F33272" s="13"/>
      <c r="M33272" s="13"/>
    </row>
    <row r="33273">
      <c r="F33273" s="13"/>
      <c r="M33273" s="13"/>
    </row>
    <row r="33274">
      <c r="F33274" s="13"/>
      <c r="M33274" s="13"/>
    </row>
    <row r="33275">
      <c r="F33275" s="13"/>
      <c r="M33275" s="13"/>
    </row>
    <row r="33276">
      <c r="F33276" s="13"/>
      <c r="M33276" s="13"/>
    </row>
    <row r="33277">
      <c r="F33277" s="13"/>
      <c r="M33277" s="13"/>
    </row>
    <row r="33278">
      <c r="F33278" s="13"/>
      <c r="M33278" s="13"/>
    </row>
    <row r="33279">
      <c r="F33279" s="13"/>
      <c r="M33279" s="13"/>
    </row>
    <row r="33280">
      <c r="F33280" s="13"/>
      <c r="M33280" s="13"/>
    </row>
    <row r="33281">
      <c r="F33281" s="13"/>
      <c r="M33281" s="13"/>
    </row>
    <row r="33282">
      <c r="F33282" s="13"/>
      <c r="M33282" s="13"/>
    </row>
    <row r="33283">
      <c r="F33283" s="13"/>
      <c r="M33283" s="13"/>
    </row>
    <row r="33284">
      <c r="F33284" s="13"/>
      <c r="M33284" s="13"/>
    </row>
    <row r="33285">
      <c r="F33285" s="13"/>
      <c r="M33285" s="13"/>
    </row>
    <row r="33286">
      <c r="F33286" s="13"/>
      <c r="M33286" s="13"/>
    </row>
    <row r="33287">
      <c r="F33287" s="13"/>
      <c r="M33287" s="13"/>
    </row>
    <row r="33288">
      <c r="F33288" s="13"/>
      <c r="M33288" s="13"/>
    </row>
    <row r="33289">
      <c r="F33289" s="13"/>
      <c r="M33289" s="13"/>
    </row>
    <row r="33290">
      <c r="F33290" s="13"/>
      <c r="M33290" s="13"/>
    </row>
    <row r="33291">
      <c r="F33291" s="13"/>
      <c r="M33291" s="13"/>
    </row>
    <row r="33292">
      <c r="F33292" s="13"/>
      <c r="M33292" s="13"/>
    </row>
    <row r="33293">
      <c r="F33293" s="13"/>
      <c r="M33293" s="13"/>
    </row>
    <row r="33294">
      <c r="F33294" s="13"/>
      <c r="M33294" s="13"/>
    </row>
    <row r="33295">
      <c r="F33295" s="13"/>
      <c r="M33295" s="13"/>
    </row>
    <row r="33296">
      <c r="F33296" s="13"/>
      <c r="M33296" s="13"/>
    </row>
    <row r="33297">
      <c r="F33297" s="13"/>
      <c r="M33297" s="13"/>
    </row>
    <row r="33298">
      <c r="F33298" s="13"/>
      <c r="M33298" s="13"/>
    </row>
    <row r="33299">
      <c r="F33299" s="13"/>
      <c r="M33299" s="13"/>
    </row>
    <row r="33300">
      <c r="F33300" s="13"/>
      <c r="M33300" s="13"/>
    </row>
    <row r="33301">
      <c r="F33301" s="13"/>
      <c r="M33301" s="13"/>
    </row>
    <row r="33302">
      <c r="F33302" s="13"/>
      <c r="M33302" s="13"/>
    </row>
    <row r="33303">
      <c r="F33303" s="13"/>
      <c r="M33303" s="13"/>
    </row>
    <row r="33304">
      <c r="F33304" s="13"/>
      <c r="M33304" s="13"/>
    </row>
    <row r="33305">
      <c r="F33305" s="13"/>
      <c r="M33305" s="13"/>
    </row>
    <row r="33306">
      <c r="F33306" s="13"/>
      <c r="M33306" s="13"/>
    </row>
    <row r="33307">
      <c r="F33307" s="13"/>
      <c r="M33307" s="13"/>
    </row>
    <row r="33308">
      <c r="F33308" s="13"/>
      <c r="M33308" s="13"/>
    </row>
    <row r="33309">
      <c r="F33309" s="13"/>
      <c r="M33309" s="13"/>
    </row>
    <row r="33310">
      <c r="F33310" s="13"/>
      <c r="M33310" s="13"/>
    </row>
    <row r="33311">
      <c r="F33311" s="13"/>
      <c r="M33311" s="13"/>
    </row>
    <row r="33312">
      <c r="F33312" s="13"/>
      <c r="M33312" s="13"/>
    </row>
    <row r="33313">
      <c r="F33313" s="13"/>
      <c r="M33313" s="13"/>
    </row>
    <row r="33314">
      <c r="F33314" s="13"/>
      <c r="M33314" s="13"/>
    </row>
    <row r="33315">
      <c r="F33315" s="13"/>
      <c r="M33315" s="13"/>
    </row>
    <row r="33316">
      <c r="F33316" s="13"/>
      <c r="M33316" s="13"/>
    </row>
    <row r="33317">
      <c r="F33317" s="13"/>
      <c r="M33317" s="13"/>
    </row>
    <row r="33318">
      <c r="F33318" s="13"/>
      <c r="M33318" s="13"/>
    </row>
    <row r="33319">
      <c r="F33319" s="13"/>
      <c r="M33319" s="13"/>
    </row>
    <row r="33320">
      <c r="F33320" s="13"/>
      <c r="M33320" s="13"/>
    </row>
    <row r="33321">
      <c r="F33321" s="13"/>
      <c r="M33321" s="13"/>
    </row>
    <row r="33322">
      <c r="F33322" s="13"/>
      <c r="M33322" s="13"/>
    </row>
    <row r="33323">
      <c r="F33323" s="13"/>
      <c r="M33323" s="13"/>
    </row>
    <row r="33324">
      <c r="F33324" s="13"/>
      <c r="M33324" s="13"/>
    </row>
    <row r="33325">
      <c r="F33325" s="13"/>
      <c r="M33325" s="13"/>
    </row>
    <row r="33326">
      <c r="F33326" s="13"/>
      <c r="M33326" s="13"/>
    </row>
    <row r="33327">
      <c r="F33327" s="13"/>
      <c r="M33327" s="13"/>
    </row>
    <row r="33328">
      <c r="F33328" s="13"/>
      <c r="M33328" s="13"/>
    </row>
    <row r="33329">
      <c r="F33329" s="13"/>
      <c r="M33329" s="13"/>
    </row>
    <row r="33330">
      <c r="F33330" s="13"/>
      <c r="M33330" s="13"/>
    </row>
    <row r="33331">
      <c r="F33331" s="13"/>
      <c r="M33331" s="13"/>
    </row>
    <row r="33332">
      <c r="F33332" s="13"/>
      <c r="M33332" s="13"/>
    </row>
    <row r="33333">
      <c r="F33333" s="13"/>
      <c r="M33333" s="13"/>
    </row>
    <row r="33334">
      <c r="F33334" s="13"/>
      <c r="M33334" s="13"/>
    </row>
    <row r="33335">
      <c r="F33335" s="13"/>
      <c r="M33335" s="13"/>
    </row>
    <row r="33336">
      <c r="F33336" s="13"/>
      <c r="M33336" s="13"/>
    </row>
    <row r="33337">
      <c r="F33337" s="13"/>
      <c r="M33337" s="13"/>
    </row>
    <row r="33338">
      <c r="F33338" s="13"/>
      <c r="M33338" s="13"/>
    </row>
    <row r="33339">
      <c r="F33339" s="13"/>
      <c r="M33339" s="13"/>
    </row>
    <row r="33340">
      <c r="F33340" s="13"/>
      <c r="M33340" s="13"/>
    </row>
    <row r="33341">
      <c r="F33341" s="13"/>
      <c r="M33341" s="13"/>
    </row>
    <row r="33342">
      <c r="F33342" s="13"/>
      <c r="M33342" s="13"/>
    </row>
    <row r="33343">
      <c r="F33343" s="13"/>
      <c r="M33343" s="13"/>
    </row>
    <row r="33344">
      <c r="F33344" s="13"/>
      <c r="M33344" s="13"/>
    </row>
    <row r="33345">
      <c r="F33345" s="13"/>
      <c r="M33345" s="13"/>
    </row>
    <row r="33346">
      <c r="F33346" s="13"/>
      <c r="M33346" s="13"/>
    </row>
    <row r="33347">
      <c r="F33347" s="13"/>
      <c r="M33347" s="13"/>
    </row>
    <row r="33348">
      <c r="F33348" s="13"/>
      <c r="M33348" s="13"/>
    </row>
    <row r="33349">
      <c r="F33349" s="13"/>
      <c r="M33349" s="13"/>
    </row>
    <row r="33350">
      <c r="F33350" s="13"/>
      <c r="M33350" s="13"/>
    </row>
    <row r="33351">
      <c r="F33351" s="13"/>
      <c r="M33351" s="13"/>
    </row>
    <row r="33352">
      <c r="F33352" s="13"/>
      <c r="M33352" s="13"/>
    </row>
    <row r="33353">
      <c r="F33353" s="13"/>
      <c r="M33353" s="13"/>
    </row>
    <row r="33354">
      <c r="F33354" s="13"/>
      <c r="M33354" s="13"/>
    </row>
    <row r="33355">
      <c r="F33355" s="13"/>
      <c r="M33355" s="13"/>
    </row>
    <row r="33356">
      <c r="F33356" s="13"/>
      <c r="M33356" s="13"/>
    </row>
    <row r="33357">
      <c r="F33357" s="13"/>
      <c r="M33357" s="13"/>
    </row>
    <row r="33358">
      <c r="F33358" s="13"/>
      <c r="M33358" s="13"/>
    </row>
    <row r="33359">
      <c r="F33359" s="13"/>
      <c r="M33359" s="13"/>
    </row>
    <row r="33360">
      <c r="F33360" s="13"/>
      <c r="M33360" s="13"/>
    </row>
    <row r="33361">
      <c r="F33361" s="13"/>
      <c r="M33361" s="13"/>
    </row>
    <row r="33362">
      <c r="F33362" s="13"/>
      <c r="M33362" s="13"/>
    </row>
    <row r="33363">
      <c r="F33363" s="13"/>
      <c r="M33363" s="13"/>
    </row>
    <row r="33364">
      <c r="F33364" s="13"/>
      <c r="M33364" s="13"/>
    </row>
    <row r="33365">
      <c r="F33365" s="13"/>
      <c r="M33365" s="13"/>
    </row>
    <row r="33366">
      <c r="F33366" s="13"/>
      <c r="M33366" s="13"/>
    </row>
    <row r="33367">
      <c r="F33367" s="13"/>
      <c r="M33367" s="13"/>
    </row>
    <row r="33368">
      <c r="F33368" s="13"/>
      <c r="M33368" s="13"/>
    </row>
    <row r="33369">
      <c r="F33369" s="13"/>
      <c r="M33369" s="13"/>
    </row>
    <row r="33370">
      <c r="F33370" s="13"/>
      <c r="M33370" s="13"/>
    </row>
    <row r="33371">
      <c r="F33371" s="13"/>
      <c r="M33371" s="13"/>
    </row>
    <row r="33372">
      <c r="F33372" s="13"/>
      <c r="M33372" s="13"/>
    </row>
    <row r="33373">
      <c r="F33373" s="13"/>
      <c r="M33373" s="13"/>
    </row>
    <row r="33374">
      <c r="F33374" s="13"/>
      <c r="M33374" s="13"/>
    </row>
    <row r="33375">
      <c r="F33375" s="13"/>
      <c r="M33375" s="13"/>
    </row>
    <row r="33376">
      <c r="F33376" s="13"/>
      <c r="M33376" s="13"/>
    </row>
    <row r="33377">
      <c r="F33377" s="13"/>
      <c r="M33377" s="13"/>
    </row>
    <row r="33378">
      <c r="F33378" s="13"/>
      <c r="M33378" s="13"/>
    </row>
    <row r="33379">
      <c r="F33379" s="13"/>
      <c r="M33379" s="13"/>
    </row>
    <row r="33380">
      <c r="F33380" s="13"/>
      <c r="M33380" s="13"/>
    </row>
    <row r="33381">
      <c r="F33381" s="13"/>
      <c r="M33381" s="13"/>
    </row>
    <row r="33382">
      <c r="F33382" s="13"/>
      <c r="M33382" s="13"/>
    </row>
    <row r="33383">
      <c r="F33383" s="13"/>
      <c r="M33383" s="13"/>
    </row>
    <row r="33384">
      <c r="F33384" s="13"/>
      <c r="M33384" s="13"/>
    </row>
    <row r="33385">
      <c r="F33385" s="13"/>
      <c r="M33385" s="13"/>
    </row>
    <row r="33386">
      <c r="F33386" s="13"/>
      <c r="M33386" s="13"/>
    </row>
    <row r="33387">
      <c r="F33387" s="13"/>
      <c r="M33387" s="13"/>
    </row>
    <row r="33388">
      <c r="F33388" s="13"/>
      <c r="M33388" s="13"/>
    </row>
    <row r="33389">
      <c r="F33389" s="13"/>
      <c r="M33389" s="13"/>
    </row>
    <row r="33390">
      <c r="F33390" s="13"/>
      <c r="M33390" s="13"/>
    </row>
    <row r="33391">
      <c r="F33391" s="13"/>
      <c r="M33391" s="13"/>
    </row>
    <row r="33392">
      <c r="F33392" s="13"/>
      <c r="M33392" s="13"/>
    </row>
    <row r="33393">
      <c r="F33393" s="13"/>
      <c r="M33393" s="13"/>
    </row>
    <row r="33394">
      <c r="F33394" s="13"/>
      <c r="M33394" s="13"/>
    </row>
    <row r="33395">
      <c r="F33395" s="13"/>
      <c r="M33395" s="13"/>
    </row>
    <row r="33396">
      <c r="F33396" s="13"/>
      <c r="M33396" s="13"/>
    </row>
    <row r="33397">
      <c r="F33397" s="13"/>
      <c r="M33397" s="13"/>
    </row>
    <row r="33398">
      <c r="F33398" s="13"/>
      <c r="M33398" s="13"/>
    </row>
    <row r="33399">
      <c r="F33399" s="13"/>
      <c r="M33399" s="13"/>
    </row>
    <row r="33400">
      <c r="F33400" s="13"/>
      <c r="M33400" s="13"/>
    </row>
    <row r="33401">
      <c r="F33401" s="13"/>
      <c r="M33401" s="13"/>
    </row>
    <row r="33402">
      <c r="F33402" s="13"/>
      <c r="M33402" s="13"/>
    </row>
    <row r="33403">
      <c r="F33403" s="13"/>
      <c r="M33403" s="13"/>
    </row>
    <row r="33404">
      <c r="F33404" s="13"/>
      <c r="M33404" s="13"/>
    </row>
    <row r="33405">
      <c r="F33405" s="13"/>
      <c r="M33405" s="13"/>
    </row>
    <row r="33406">
      <c r="F33406" s="13"/>
      <c r="M33406" s="13"/>
    </row>
    <row r="33407">
      <c r="F33407" s="13"/>
      <c r="M33407" s="13"/>
    </row>
    <row r="33408">
      <c r="F33408" s="13"/>
      <c r="M33408" s="13"/>
    </row>
    <row r="33409">
      <c r="F33409" s="13"/>
      <c r="M33409" s="13"/>
    </row>
    <row r="33410">
      <c r="F33410" s="13"/>
      <c r="M33410" s="13"/>
    </row>
    <row r="33411">
      <c r="F33411" s="13"/>
      <c r="M33411" s="13"/>
    </row>
    <row r="33412">
      <c r="F33412" s="13"/>
      <c r="M33412" s="13"/>
    </row>
    <row r="33413">
      <c r="F33413" s="13"/>
      <c r="M33413" s="13"/>
    </row>
    <row r="33414">
      <c r="F33414" s="13"/>
      <c r="M33414" s="13"/>
    </row>
    <row r="33415">
      <c r="F33415" s="13"/>
      <c r="M33415" s="13"/>
    </row>
    <row r="33416">
      <c r="F33416" s="13"/>
      <c r="M33416" s="13"/>
    </row>
    <row r="33417">
      <c r="F33417" s="13"/>
      <c r="M33417" s="13"/>
    </row>
    <row r="33418">
      <c r="F33418" s="13"/>
      <c r="M33418" s="13"/>
    </row>
    <row r="33419">
      <c r="F33419" s="13"/>
      <c r="M33419" s="13"/>
    </row>
    <row r="33420">
      <c r="F33420" s="13"/>
      <c r="M33420" s="13"/>
    </row>
    <row r="33421">
      <c r="F33421" s="13"/>
      <c r="M33421" s="13"/>
    </row>
    <row r="33422">
      <c r="F33422" s="13"/>
      <c r="M33422" s="13"/>
    </row>
    <row r="33423">
      <c r="F33423" s="13"/>
      <c r="M33423" s="13"/>
    </row>
    <row r="33424">
      <c r="F33424" s="13"/>
      <c r="M33424" s="13"/>
    </row>
    <row r="33425">
      <c r="F33425" s="13"/>
      <c r="M33425" s="13"/>
    </row>
    <row r="33426">
      <c r="F33426" s="13"/>
      <c r="M33426" s="13"/>
    </row>
    <row r="33427">
      <c r="F33427" s="13"/>
      <c r="M33427" s="13"/>
    </row>
    <row r="33428">
      <c r="F33428" s="13"/>
      <c r="M33428" s="13"/>
    </row>
    <row r="33429">
      <c r="F33429" s="13"/>
      <c r="M33429" s="13"/>
    </row>
    <row r="33430">
      <c r="F33430" s="13"/>
      <c r="M33430" s="13"/>
    </row>
    <row r="33431">
      <c r="F33431" s="13"/>
      <c r="M33431" s="13"/>
    </row>
    <row r="33432">
      <c r="F33432" s="13"/>
      <c r="M33432" s="13"/>
    </row>
    <row r="33433">
      <c r="F33433" s="13"/>
      <c r="M33433" s="13"/>
    </row>
    <row r="33434">
      <c r="F33434" s="13"/>
      <c r="M33434" s="13"/>
    </row>
    <row r="33435">
      <c r="F33435" s="13"/>
      <c r="M33435" s="13"/>
    </row>
    <row r="33436">
      <c r="F33436" s="13"/>
      <c r="M33436" s="13"/>
    </row>
    <row r="33437">
      <c r="F33437" s="13"/>
      <c r="M33437" s="13"/>
    </row>
    <row r="33438">
      <c r="F33438" s="13"/>
      <c r="M33438" s="13"/>
    </row>
    <row r="33439">
      <c r="F33439" s="13"/>
      <c r="M33439" s="13"/>
    </row>
    <row r="33440">
      <c r="F33440" s="13"/>
      <c r="M33440" s="13"/>
    </row>
    <row r="33441">
      <c r="F33441" s="13"/>
      <c r="M33441" s="13"/>
    </row>
    <row r="33442">
      <c r="F33442" s="13"/>
      <c r="M33442" s="13"/>
    </row>
    <row r="33443">
      <c r="F33443" s="13"/>
      <c r="M33443" s="13"/>
    </row>
    <row r="33444">
      <c r="F33444" s="13"/>
      <c r="M33444" s="13"/>
    </row>
    <row r="33445">
      <c r="F33445" s="13"/>
      <c r="M33445" s="13"/>
    </row>
    <row r="33446">
      <c r="F33446" s="13"/>
      <c r="M33446" s="13"/>
    </row>
    <row r="33447">
      <c r="F33447" s="13"/>
      <c r="M33447" s="13"/>
    </row>
    <row r="33448">
      <c r="F33448" s="13"/>
      <c r="M33448" s="13"/>
    </row>
    <row r="33449">
      <c r="F33449" s="13"/>
      <c r="M33449" s="13"/>
    </row>
    <row r="33450">
      <c r="F33450" s="13"/>
      <c r="M33450" s="13"/>
    </row>
    <row r="33451">
      <c r="F33451" s="13"/>
      <c r="M33451" s="13"/>
    </row>
    <row r="33452">
      <c r="F33452" s="13"/>
      <c r="M33452" s="13"/>
    </row>
    <row r="33453">
      <c r="F33453" s="13"/>
      <c r="M33453" s="13"/>
    </row>
    <row r="33454">
      <c r="F33454" s="13"/>
      <c r="M33454" s="13"/>
    </row>
    <row r="33455">
      <c r="F33455" s="13"/>
      <c r="M33455" s="13"/>
    </row>
    <row r="33456">
      <c r="F33456" s="13"/>
      <c r="M33456" s="13"/>
    </row>
    <row r="33457">
      <c r="F33457" s="13"/>
      <c r="M33457" s="13"/>
    </row>
    <row r="33458">
      <c r="F33458" s="13"/>
      <c r="M33458" s="13"/>
    </row>
    <row r="33459">
      <c r="F33459" s="13"/>
      <c r="M33459" s="13"/>
    </row>
    <row r="33460">
      <c r="F33460" s="13"/>
      <c r="M33460" s="13"/>
    </row>
    <row r="33461">
      <c r="F33461" s="13"/>
      <c r="M33461" s="13"/>
    </row>
    <row r="33462">
      <c r="F33462" s="13"/>
      <c r="M33462" s="13"/>
    </row>
    <row r="33463">
      <c r="F33463" s="13"/>
      <c r="M33463" s="13"/>
    </row>
    <row r="33464">
      <c r="F33464" s="13"/>
      <c r="M33464" s="13"/>
    </row>
    <row r="33465">
      <c r="F33465" s="13"/>
      <c r="M33465" s="13"/>
    </row>
    <row r="33466">
      <c r="F33466" s="13"/>
      <c r="M33466" s="13"/>
    </row>
    <row r="33467">
      <c r="F33467" s="13"/>
      <c r="M33467" s="13"/>
    </row>
    <row r="33468">
      <c r="F33468" s="13"/>
      <c r="M33468" s="13"/>
    </row>
    <row r="33469">
      <c r="F33469" s="13"/>
      <c r="M33469" s="13"/>
    </row>
    <row r="33470">
      <c r="F33470" s="13"/>
      <c r="M33470" s="13"/>
    </row>
    <row r="33471">
      <c r="F33471" s="13"/>
      <c r="M33471" s="13"/>
    </row>
    <row r="33472">
      <c r="F33472" s="13"/>
      <c r="M33472" s="13"/>
    </row>
    <row r="33473">
      <c r="F33473" s="13"/>
      <c r="M33473" s="13"/>
    </row>
    <row r="33474">
      <c r="F33474" s="13"/>
      <c r="M33474" s="13"/>
    </row>
    <row r="33475">
      <c r="F33475" s="13"/>
      <c r="M33475" s="13"/>
    </row>
    <row r="33476">
      <c r="F33476" s="13"/>
      <c r="M33476" s="13"/>
    </row>
    <row r="33477">
      <c r="F33477" s="13"/>
      <c r="M33477" s="13"/>
    </row>
    <row r="33478">
      <c r="F33478" s="13"/>
      <c r="M33478" s="13"/>
    </row>
    <row r="33479">
      <c r="F33479" s="13"/>
      <c r="M33479" s="13"/>
    </row>
    <row r="33480">
      <c r="F33480" s="13"/>
      <c r="M33480" s="13"/>
    </row>
    <row r="33481">
      <c r="F33481" s="13"/>
      <c r="M33481" s="13"/>
    </row>
    <row r="33482">
      <c r="F33482" s="13"/>
      <c r="M33482" s="13"/>
    </row>
    <row r="33483">
      <c r="F33483" s="13"/>
      <c r="M33483" s="13"/>
    </row>
    <row r="33484">
      <c r="F33484" s="13"/>
      <c r="M33484" s="13"/>
    </row>
    <row r="33485">
      <c r="F33485" s="13"/>
      <c r="M33485" s="13"/>
    </row>
    <row r="33486">
      <c r="F33486" s="13"/>
      <c r="M33486" s="13"/>
    </row>
    <row r="33487">
      <c r="F33487" s="13"/>
      <c r="M33487" s="13"/>
    </row>
    <row r="33488">
      <c r="F33488" s="13"/>
      <c r="M33488" s="13"/>
    </row>
    <row r="33489">
      <c r="F33489" s="13"/>
      <c r="M33489" s="13"/>
    </row>
    <row r="33490">
      <c r="F33490" s="13"/>
      <c r="M33490" s="13"/>
    </row>
    <row r="33491">
      <c r="F33491" s="13"/>
      <c r="M33491" s="13"/>
    </row>
    <row r="33492">
      <c r="F33492" s="13"/>
      <c r="M33492" s="13"/>
    </row>
    <row r="33493">
      <c r="F33493" s="13"/>
      <c r="M33493" s="13"/>
    </row>
    <row r="33494">
      <c r="F33494" s="13"/>
      <c r="M33494" s="13"/>
    </row>
    <row r="33495">
      <c r="F33495" s="13"/>
      <c r="M33495" s="13"/>
    </row>
    <row r="33496">
      <c r="F33496" s="13"/>
      <c r="M33496" s="13"/>
    </row>
    <row r="33497">
      <c r="F33497" s="13"/>
      <c r="M33497" s="13"/>
    </row>
    <row r="33498">
      <c r="F33498" s="13"/>
      <c r="M33498" s="13"/>
    </row>
    <row r="33499">
      <c r="F33499" s="13"/>
      <c r="M33499" s="13"/>
    </row>
    <row r="33500">
      <c r="F33500" s="13"/>
      <c r="M33500" s="13"/>
    </row>
    <row r="33501">
      <c r="F33501" s="13"/>
      <c r="M33501" s="13"/>
    </row>
    <row r="33502">
      <c r="F33502" s="13"/>
      <c r="M33502" s="13"/>
    </row>
    <row r="33503">
      <c r="F33503" s="13"/>
      <c r="M33503" s="13"/>
    </row>
    <row r="33504">
      <c r="F33504" s="13"/>
      <c r="M33504" s="13"/>
    </row>
    <row r="33505">
      <c r="F33505" s="13"/>
      <c r="M33505" s="13"/>
    </row>
    <row r="33506">
      <c r="F33506" s="13"/>
      <c r="M33506" s="13"/>
    </row>
    <row r="33507">
      <c r="F33507" s="13"/>
      <c r="M33507" s="13"/>
    </row>
    <row r="33508">
      <c r="F33508" s="13"/>
      <c r="M33508" s="13"/>
    </row>
    <row r="33509">
      <c r="F33509" s="13"/>
      <c r="M33509" s="13"/>
    </row>
    <row r="33510">
      <c r="F33510" s="13"/>
      <c r="M33510" s="13"/>
    </row>
    <row r="33511">
      <c r="F33511" s="13"/>
      <c r="M33511" s="13"/>
    </row>
    <row r="33512">
      <c r="F33512" s="13"/>
      <c r="M33512" s="13"/>
    </row>
    <row r="33513">
      <c r="F33513" s="13"/>
      <c r="M33513" s="13"/>
    </row>
    <row r="33514">
      <c r="F33514" s="13"/>
      <c r="M33514" s="13"/>
    </row>
    <row r="33515">
      <c r="F33515" s="13"/>
      <c r="M33515" s="13"/>
    </row>
    <row r="33516">
      <c r="F33516" s="13"/>
      <c r="M33516" s="13"/>
    </row>
    <row r="33517">
      <c r="F33517" s="13"/>
      <c r="M33517" s="13"/>
    </row>
    <row r="33518">
      <c r="F33518" s="13"/>
      <c r="M33518" s="13"/>
    </row>
    <row r="33519">
      <c r="F33519" s="13"/>
      <c r="M33519" s="13"/>
    </row>
    <row r="33520">
      <c r="F33520" s="13"/>
      <c r="M33520" s="13"/>
    </row>
    <row r="33521">
      <c r="F33521" s="13"/>
      <c r="M33521" s="13"/>
    </row>
    <row r="33522">
      <c r="F33522" s="13"/>
      <c r="M33522" s="13"/>
    </row>
    <row r="33523">
      <c r="F33523" s="13"/>
      <c r="M33523" s="13"/>
    </row>
    <row r="33524">
      <c r="F33524" s="13"/>
      <c r="M33524" s="13"/>
    </row>
    <row r="33525">
      <c r="F33525" s="13"/>
      <c r="M33525" s="13"/>
    </row>
    <row r="33526">
      <c r="F33526" s="13"/>
      <c r="M33526" s="13"/>
    </row>
    <row r="33527">
      <c r="F33527" s="13"/>
      <c r="M33527" s="13"/>
    </row>
    <row r="33528">
      <c r="F33528" s="13"/>
      <c r="M33528" s="13"/>
    </row>
    <row r="33529">
      <c r="F33529" s="13"/>
      <c r="M33529" s="13"/>
    </row>
    <row r="33530">
      <c r="F33530" s="13"/>
      <c r="M33530" s="13"/>
    </row>
    <row r="33531">
      <c r="F33531" s="13"/>
      <c r="M33531" s="13"/>
    </row>
    <row r="33532">
      <c r="F33532" s="13"/>
      <c r="M33532" s="13"/>
    </row>
    <row r="33533">
      <c r="F33533" s="13"/>
      <c r="M33533" s="13"/>
    </row>
    <row r="33534">
      <c r="F33534" s="13"/>
      <c r="M33534" s="13"/>
    </row>
    <row r="33535">
      <c r="F33535" s="13"/>
      <c r="M33535" s="13"/>
    </row>
    <row r="33536">
      <c r="F33536" s="13"/>
      <c r="M33536" s="13"/>
    </row>
    <row r="33537">
      <c r="F33537" s="13"/>
      <c r="M33537" s="13"/>
    </row>
    <row r="33538">
      <c r="F33538" s="13"/>
      <c r="M33538" s="13"/>
    </row>
    <row r="33539">
      <c r="F33539" s="13"/>
      <c r="M33539" s="13"/>
    </row>
    <row r="33540">
      <c r="F33540" s="13"/>
      <c r="M33540" s="13"/>
    </row>
    <row r="33541">
      <c r="F33541" s="13"/>
      <c r="M33541" s="13"/>
    </row>
    <row r="33542">
      <c r="F33542" s="13"/>
      <c r="M33542" s="13"/>
    </row>
    <row r="33543">
      <c r="F33543" s="13"/>
      <c r="M33543" s="13"/>
    </row>
    <row r="33544">
      <c r="F33544" s="13"/>
      <c r="M33544" s="13"/>
    </row>
    <row r="33545">
      <c r="F33545" s="13"/>
      <c r="M33545" s="13"/>
    </row>
    <row r="33546">
      <c r="F33546" s="13"/>
      <c r="M33546" s="13"/>
    </row>
    <row r="33547">
      <c r="F33547" s="13"/>
      <c r="M33547" s="13"/>
    </row>
    <row r="33548">
      <c r="F33548" s="13"/>
      <c r="M33548" s="13"/>
    </row>
    <row r="33549">
      <c r="F33549" s="13"/>
      <c r="M33549" s="13"/>
    </row>
    <row r="33550">
      <c r="F33550" s="13"/>
      <c r="M33550" s="13"/>
    </row>
    <row r="33551">
      <c r="F33551" s="13"/>
      <c r="M33551" s="13"/>
    </row>
    <row r="33552">
      <c r="F33552" s="13"/>
      <c r="M33552" s="13"/>
    </row>
    <row r="33553">
      <c r="F33553" s="13"/>
      <c r="M33553" s="13"/>
    </row>
    <row r="33554">
      <c r="F33554" s="13"/>
      <c r="M33554" s="13"/>
    </row>
    <row r="33555">
      <c r="F33555" s="13"/>
      <c r="M33555" s="13"/>
    </row>
    <row r="33556">
      <c r="F33556" s="13"/>
      <c r="M33556" s="13"/>
    </row>
    <row r="33557">
      <c r="F33557" s="13"/>
      <c r="M33557" s="13"/>
    </row>
    <row r="33558">
      <c r="F33558" s="13"/>
      <c r="M33558" s="13"/>
    </row>
    <row r="33559">
      <c r="F33559" s="13"/>
      <c r="M33559" s="13"/>
    </row>
    <row r="33560">
      <c r="F33560" s="13"/>
      <c r="M33560" s="13"/>
    </row>
    <row r="33561">
      <c r="F33561" s="13"/>
      <c r="M33561" s="13"/>
    </row>
    <row r="33562">
      <c r="F33562" s="13"/>
      <c r="M33562" s="13"/>
    </row>
    <row r="33563">
      <c r="F33563" s="13"/>
      <c r="M33563" s="13"/>
    </row>
    <row r="33564">
      <c r="F33564" s="13"/>
      <c r="M33564" s="13"/>
    </row>
    <row r="33565">
      <c r="F33565" s="13"/>
      <c r="M33565" s="13"/>
    </row>
    <row r="33566">
      <c r="F33566" s="13"/>
      <c r="M33566" s="13"/>
    </row>
    <row r="33567">
      <c r="F33567" s="13"/>
      <c r="M33567" s="13"/>
    </row>
    <row r="33568">
      <c r="F33568" s="13"/>
      <c r="M33568" s="13"/>
    </row>
    <row r="33569">
      <c r="F33569" s="13"/>
      <c r="M33569" s="13"/>
    </row>
    <row r="33570">
      <c r="F33570" s="13"/>
      <c r="M33570" s="13"/>
    </row>
    <row r="33571">
      <c r="F33571" s="13"/>
      <c r="M33571" s="13"/>
    </row>
    <row r="33572">
      <c r="F33572" s="13"/>
      <c r="M33572" s="13"/>
    </row>
    <row r="33573">
      <c r="F33573" s="13"/>
      <c r="M33573" s="13"/>
    </row>
    <row r="33574">
      <c r="F33574" s="13"/>
      <c r="M33574" s="13"/>
    </row>
    <row r="33575">
      <c r="F33575" s="13"/>
      <c r="M33575" s="13"/>
    </row>
    <row r="33576">
      <c r="F33576" s="13"/>
      <c r="M33576" s="13"/>
    </row>
    <row r="33577">
      <c r="F33577" s="13"/>
      <c r="M33577" s="13"/>
    </row>
    <row r="33578">
      <c r="F33578" s="13"/>
      <c r="M33578" s="13"/>
    </row>
    <row r="33579">
      <c r="F33579" s="13"/>
      <c r="M33579" s="13"/>
    </row>
    <row r="33580">
      <c r="F33580" s="13"/>
      <c r="M33580" s="13"/>
    </row>
    <row r="33581">
      <c r="F33581" s="13"/>
      <c r="M33581" s="13"/>
    </row>
    <row r="33582">
      <c r="F33582" s="13"/>
      <c r="M33582" s="13"/>
    </row>
    <row r="33583">
      <c r="F33583" s="13"/>
      <c r="M33583" s="13"/>
    </row>
    <row r="33584">
      <c r="F33584" s="13"/>
      <c r="M33584" s="13"/>
    </row>
    <row r="33585">
      <c r="F33585" s="13"/>
      <c r="M33585" s="13"/>
    </row>
    <row r="33586">
      <c r="F33586" s="13"/>
      <c r="M33586" s="13"/>
    </row>
    <row r="33587">
      <c r="F33587" s="13"/>
      <c r="M33587" s="13"/>
    </row>
    <row r="33588">
      <c r="F33588" s="13"/>
      <c r="M33588" s="13"/>
    </row>
    <row r="33589">
      <c r="F33589" s="13"/>
      <c r="M33589" s="13"/>
    </row>
    <row r="33590">
      <c r="F33590" s="13"/>
      <c r="M33590" s="13"/>
    </row>
    <row r="33591">
      <c r="F33591" s="13"/>
      <c r="M33591" s="13"/>
    </row>
    <row r="33592">
      <c r="F33592" s="13"/>
      <c r="M33592" s="13"/>
    </row>
    <row r="33593">
      <c r="F33593" s="13"/>
      <c r="M33593" s="13"/>
    </row>
    <row r="33594">
      <c r="F33594" s="13"/>
      <c r="M33594" s="13"/>
    </row>
    <row r="33595">
      <c r="F33595" s="13"/>
      <c r="M33595" s="13"/>
    </row>
    <row r="33596">
      <c r="F33596" s="13"/>
      <c r="M33596" s="13"/>
    </row>
    <row r="33597">
      <c r="F33597" s="13"/>
      <c r="M33597" s="13"/>
    </row>
    <row r="33598">
      <c r="F33598" s="13"/>
      <c r="M33598" s="13"/>
    </row>
    <row r="33599">
      <c r="F33599" s="13"/>
      <c r="M33599" s="13"/>
    </row>
    <row r="33600">
      <c r="F33600" s="13"/>
      <c r="M33600" s="13"/>
    </row>
    <row r="33601">
      <c r="F33601" s="13"/>
      <c r="M33601" s="13"/>
    </row>
    <row r="33602">
      <c r="F33602" s="13"/>
      <c r="M33602" s="13"/>
    </row>
    <row r="33603">
      <c r="F33603" s="13"/>
      <c r="M33603" s="13"/>
    </row>
    <row r="33604">
      <c r="F33604" s="13"/>
      <c r="M33604" s="13"/>
    </row>
    <row r="33605">
      <c r="F33605" s="13"/>
      <c r="M33605" s="13"/>
    </row>
    <row r="33606">
      <c r="F33606" s="13"/>
      <c r="M33606" s="13"/>
    </row>
    <row r="33607">
      <c r="F33607" s="13"/>
      <c r="M33607" s="13"/>
    </row>
    <row r="33608">
      <c r="F33608" s="13"/>
      <c r="M33608" s="13"/>
    </row>
    <row r="33609">
      <c r="F33609" s="13"/>
      <c r="M33609" s="13"/>
    </row>
    <row r="33610">
      <c r="F33610" s="13"/>
      <c r="M33610" s="13"/>
    </row>
    <row r="33611">
      <c r="F33611" s="13"/>
      <c r="M33611" s="13"/>
    </row>
    <row r="33612">
      <c r="F33612" s="13"/>
      <c r="M33612" s="13"/>
    </row>
    <row r="33613">
      <c r="F33613" s="13"/>
      <c r="M33613" s="13"/>
    </row>
    <row r="33614">
      <c r="F33614" s="13"/>
      <c r="M33614" s="13"/>
    </row>
    <row r="33615">
      <c r="F33615" s="13"/>
      <c r="M33615" s="13"/>
    </row>
    <row r="33616">
      <c r="F33616" s="13"/>
      <c r="M33616" s="13"/>
    </row>
    <row r="33617">
      <c r="F33617" s="13"/>
      <c r="M33617" s="13"/>
    </row>
    <row r="33618">
      <c r="F33618" s="13"/>
      <c r="M33618" s="13"/>
    </row>
    <row r="33619">
      <c r="F33619" s="13"/>
      <c r="M33619" s="13"/>
    </row>
    <row r="33620">
      <c r="F33620" s="13"/>
      <c r="M33620" s="13"/>
    </row>
    <row r="33621">
      <c r="F33621" s="13"/>
      <c r="M33621" s="13"/>
    </row>
    <row r="33622">
      <c r="F33622" s="13"/>
      <c r="M33622" s="13"/>
    </row>
    <row r="33623">
      <c r="F33623" s="13"/>
      <c r="M33623" s="13"/>
    </row>
    <row r="33624">
      <c r="F33624" s="13"/>
      <c r="M33624" s="13"/>
    </row>
    <row r="33625">
      <c r="F33625" s="13"/>
      <c r="M33625" s="13"/>
    </row>
    <row r="33626">
      <c r="F33626" s="13"/>
      <c r="M33626" s="13"/>
    </row>
    <row r="33627">
      <c r="F33627" s="13"/>
      <c r="M33627" s="13"/>
    </row>
    <row r="33628">
      <c r="F33628" s="13"/>
      <c r="M33628" s="13"/>
    </row>
    <row r="33629">
      <c r="F33629" s="13"/>
      <c r="M33629" s="13"/>
    </row>
    <row r="33630">
      <c r="F33630" s="13"/>
      <c r="M33630" s="13"/>
    </row>
    <row r="33631">
      <c r="F33631" s="13"/>
      <c r="M33631" s="13"/>
    </row>
    <row r="33632">
      <c r="F33632" s="13"/>
      <c r="M33632" s="13"/>
    </row>
    <row r="33633">
      <c r="F33633" s="13"/>
      <c r="M33633" s="13"/>
    </row>
    <row r="33634">
      <c r="F33634" s="13"/>
      <c r="M33634" s="13"/>
    </row>
    <row r="33635">
      <c r="F33635" s="13"/>
      <c r="M33635" s="13"/>
    </row>
    <row r="33636">
      <c r="F33636" s="13"/>
      <c r="M33636" s="13"/>
    </row>
    <row r="33637">
      <c r="F33637" s="13"/>
      <c r="M33637" s="13"/>
    </row>
    <row r="33638">
      <c r="F33638" s="13"/>
      <c r="M33638" s="13"/>
    </row>
    <row r="33639">
      <c r="F33639" s="13"/>
      <c r="M33639" s="13"/>
    </row>
    <row r="33640">
      <c r="F33640" s="13"/>
      <c r="M33640" s="13"/>
    </row>
    <row r="33641">
      <c r="F33641" s="13"/>
      <c r="M33641" s="13"/>
    </row>
    <row r="33642">
      <c r="F33642" s="13"/>
      <c r="M33642" s="13"/>
    </row>
    <row r="33643">
      <c r="F33643" s="13"/>
      <c r="M33643" s="13"/>
    </row>
    <row r="33644">
      <c r="F33644" s="13"/>
      <c r="M33644" s="13"/>
    </row>
    <row r="33645">
      <c r="F33645" s="13"/>
      <c r="M33645" s="13"/>
    </row>
    <row r="33646">
      <c r="F33646" s="13"/>
      <c r="M33646" s="13"/>
    </row>
    <row r="33647">
      <c r="F33647" s="13"/>
      <c r="M33647" s="13"/>
    </row>
    <row r="33648">
      <c r="F33648" s="13"/>
      <c r="M33648" s="13"/>
    </row>
    <row r="33649">
      <c r="F33649" s="13"/>
      <c r="M33649" s="13"/>
    </row>
    <row r="33650">
      <c r="F33650" s="13"/>
      <c r="M33650" s="13"/>
    </row>
    <row r="33651">
      <c r="F33651" s="13"/>
      <c r="M33651" s="13"/>
    </row>
    <row r="33652">
      <c r="F33652" s="13"/>
      <c r="M33652" s="13"/>
    </row>
    <row r="33653">
      <c r="F33653" s="13"/>
      <c r="M33653" s="13"/>
    </row>
    <row r="33654">
      <c r="F33654" s="13"/>
      <c r="M33654" s="13"/>
    </row>
    <row r="33655">
      <c r="F33655" s="13"/>
      <c r="M33655" s="13"/>
    </row>
    <row r="33656">
      <c r="F33656" s="13"/>
      <c r="M33656" s="13"/>
    </row>
    <row r="33657">
      <c r="F33657" s="13"/>
      <c r="M33657" s="13"/>
    </row>
    <row r="33658">
      <c r="F33658" s="13"/>
      <c r="M33658" s="13"/>
    </row>
    <row r="33659">
      <c r="F33659" s="13"/>
      <c r="M33659" s="13"/>
    </row>
    <row r="33660">
      <c r="F33660" s="13"/>
      <c r="M33660" s="13"/>
    </row>
    <row r="33661">
      <c r="F33661" s="13"/>
      <c r="M33661" s="13"/>
    </row>
    <row r="33662">
      <c r="F33662" s="13"/>
      <c r="M33662" s="13"/>
    </row>
    <row r="33663">
      <c r="F33663" s="13"/>
      <c r="M33663" s="13"/>
    </row>
    <row r="33664">
      <c r="F33664" s="13"/>
      <c r="M33664" s="13"/>
    </row>
    <row r="33665">
      <c r="F33665" s="13"/>
      <c r="M33665" s="13"/>
    </row>
    <row r="33666">
      <c r="F33666" s="13"/>
      <c r="M33666" s="13"/>
    </row>
    <row r="33667">
      <c r="F33667" s="13"/>
      <c r="M33667" s="13"/>
    </row>
    <row r="33668">
      <c r="F33668" s="13"/>
      <c r="M33668" s="13"/>
    </row>
    <row r="33669">
      <c r="F33669" s="13"/>
      <c r="M33669" s="13"/>
    </row>
    <row r="33670">
      <c r="F33670" s="13"/>
      <c r="M33670" s="13"/>
    </row>
    <row r="33671">
      <c r="F33671" s="13"/>
      <c r="M33671" s="13"/>
    </row>
    <row r="33672">
      <c r="F33672" s="13"/>
      <c r="M33672" s="13"/>
    </row>
    <row r="33673">
      <c r="F33673" s="13"/>
      <c r="M33673" s="13"/>
    </row>
    <row r="33674">
      <c r="F33674" s="13"/>
      <c r="M33674" s="13"/>
    </row>
    <row r="33675">
      <c r="F33675" s="13"/>
      <c r="M33675" s="13"/>
    </row>
    <row r="33676">
      <c r="F33676" s="13"/>
      <c r="M33676" s="13"/>
    </row>
    <row r="33677">
      <c r="F33677" s="13"/>
      <c r="M33677" s="13"/>
    </row>
    <row r="33678">
      <c r="F33678" s="13"/>
      <c r="M33678" s="13"/>
    </row>
    <row r="33679">
      <c r="F33679" s="13"/>
      <c r="M33679" s="13"/>
    </row>
    <row r="33680">
      <c r="F33680" s="13"/>
      <c r="M33680" s="13"/>
    </row>
    <row r="33681">
      <c r="F33681" s="13"/>
      <c r="M33681" s="13"/>
    </row>
    <row r="33682">
      <c r="F33682" s="13"/>
      <c r="M33682" s="13"/>
    </row>
    <row r="33683">
      <c r="F33683" s="13"/>
      <c r="M33683" s="13"/>
    </row>
    <row r="33684">
      <c r="F33684" s="13"/>
      <c r="M33684" s="13"/>
    </row>
    <row r="33685">
      <c r="F33685" s="13"/>
      <c r="M33685" s="13"/>
    </row>
    <row r="33686">
      <c r="F33686" s="13"/>
      <c r="M33686" s="13"/>
    </row>
    <row r="33687">
      <c r="F33687" s="13"/>
      <c r="M33687" s="13"/>
    </row>
    <row r="33688">
      <c r="F33688" s="13"/>
      <c r="M33688" s="13"/>
    </row>
    <row r="33689">
      <c r="F33689" s="13"/>
      <c r="M33689" s="13"/>
    </row>
    <row r="33690">
      <c r="F33690" s="13"/>
      <c r="M33690" s="13"/>
    </row>
    <row r="33691">
      <c r="F33691" s="13"/>
      <c r="M33691" s="13"/>
    </row>
    <row r="33692">
      <c r="F33692" s="13"/>
      <c r="M33692" s="13"/>
    </row>
    <row r="33693">
      <c r="F33693" s="13"/>
      <c r="M33693" s="13"/>
    </row>
    <row r="33694">
      <c r="F33694" s="13"/>
      <c r="M33694" s="13"/>
    </row>
    <row r="33695">
      <c r="F33695" s="13"/>
      <c r="M33695" s="13"/>
    </row>
    <row r="33696">
      <c r="F33696" s="13"/>
      <c r="M33696" s="13"/>
    </row>
    <row r="33697">
      <c r="F33697" s="13"/>
      <c r="M33697" s="13"/>
    </row>
    <row r="33698">
      <c r="F33698" s="13"/>
      <c r="M33698" s="13"/>
    </row>
    <row r="33699">
      <c r="F33699" s="13"/>
      <c r="M33699" s="13"/>
    </row>
    <row r="33700">
      <c r="F33700" s="13"/>
      <c r="M33700" s="13"/>
    </row>
    <row r="33701">
      <c r="F33701" s="13"/>
      <c r="M33701" s="13"/>
    </row>
    <row r="33702">
      <c r="F33702" s="13"/>
      <c r="M33702" s="13"/>
    </row>
    <row r="33703">
      <c r="F33703" s="13"/>
      <c r="M33703" s="13"/>
    </row>
    <row r="33704">
      <c r="F33704" s="13"/>
      <c r="M33704" s="13"/>
    </row>
    <row r="33705">
      <c r="F33705" s="13"/>
      <c r="M33705" s="13"/>
    </row>
    <row r="33706">
      <c r="F33706" s="13"/>
      <c r="M33706" s="13"/>
    </row>
    <row r="33707">
      <c r="F33707" s="13"/>
      <c r="M33707" s="13"/>
    </row>
    <row r="33708">
      <c r="F33708" s="13"/>
      <c r="M33708" s="13"/>
    </row>
    <row r="33709">
      <c r="F33709" s="13"/>
      <c r="M33709" s="13"/>
    </row>
    <row r="33710">
      <c r="F33710" s="13"/>
      <c r="M33710" s="13"/>
    </row>
    <row r="33711">
      <c r="F33711" s="13"/>
      <c r="M33711" s="13"/>
    </row>
    <row r="33712">
      <c r="F33712" s="13"/>
      <c r="M33712" s="13"/>
    </row>
    <row r="33713">
      <c r="F33713" s="13"/>
      <c r="M33713" s="13"/>
    </row>
    <row r="33714">
      <c r="F33714" s="13"/>
      <c r="M33714" s="13"/>
    </row>
    <row r="33715">
      <c r="F33715" s="13"/>
      <c r="M33715" s="13"/>
    </row>
    <row r="33716">
      <c r="F33716" s="13"/>
      <c r="M33716" s="13"/>
    </row>
    <row r="33717">
      <c r="F33717" s="13"/>
      <c r="M33717" s="13"/>
    </row>
    <row r="33718">
      <c r="F33718" s="13"/>
      <c r="M33718" s="13"/>
    </row>
    <row r="33719">
      <c r="F33719" s="13"/>
      <c r="M33719" s="13"/>
    </row>
    <row r="33720">
      <c r="F33720" s="13"/>
      <c r="M33720" s="13"/>
    </row>
    <row r="33721">
      <c r="F33721" s="13"/>
      <c r="M33721" s="13"/>
    </row>
    <row r="33722">
      <c r="F33722" s="13"/>
      <c r="M33722" s="13"/>
    </row>
    <row r="33723">
      <c r="F33723" s="13"/>
      <c r="M33723" s="13"/>
    </row>
    <row r="33724">
      <c r="F33724" s="13"/>
      <c r="M33724" s="13"/>
    </row>
    <row r="33725">
      <c r="F33725" s="13"/>
      <c r="M33725" s="13"/>
    </row>
    <row r="33726">
      <c r="F33726" s="13"/>
      <c r="M33726" s="13"/>
    </row>
    <row r="33727">
      <c r="F33727" s="13"/>
      <c r="M33727" s="13"/>
    </row>
    <row r="33728">
      <c r="F33728" s="13"/>
      <c r="M33728" s="13"/>
    </row>
    <row r="33729">
      <c r="F33729" s="13"/>
      <c r="M33729" s="13"/>
    </row>
    <row r="33730">
      <c r="F33730" s="13"/>
      <c r="M33730" s="13"/>
    </row>
    <row r="33731">
      <c r="F33731" s="13"/>
      <c r="M33731" s="13"/>
    </row>
    <row r="33732">
      <c r="F33732" s="13"/>
      <c r="M33732" s="13"/>
    </row>
    <row r="33733">
      <c r="F33733" s="13"/>
      <c r="M33733" s="13"/>
    </row>
    <row r="33734">
      <c r="F33734" s="13"/>
      <c r="M33734" s="13"/>
    </row>
    <row r="33735">
      <c r="F33735" s="13"/>
      <c r="M33735" s="13"/>
    </row>
    <row r="33736">
      <c r="F33736" s="13"/>
      <c r="M33736" s="13"/>
    </row>
    <row r="33737">
      <c r="F33737" s="13"/>
      <c r="M33737" s="13"/>
    </row>
    <row r="33738">
      <c r="F33738" s="13"/>
      <c r="M33738" s="13"/>
    </row>
    <row r="33739">
      <c r="F33739" s="13"/>
      <c r="M33739" s="13"/>
    </row>
    <row r="33740">
      <c r="F33740" s="13"/>
      <c r="M33740" s="13"/>
    </row>
    <row r="33741">
      <c r="F33741" s="13"/>
      <c r="M33741" s="13"/>
    </row>
    <row r="33742">
      <c r="F33742" s="13"/>
      <c r="M33742" s="13"/>
    </row>
    <row r="33743">
      <c r="F33743" s="13"/>
      <c r="M33743" s="13"/>
    </row>
    <row r="33744">
      <c r="F33744" s="13"/>
      <c r="M33744" s="13"/>
    </row>
    <row r="33745">
      <c r="F33745" s="13"/>
      <c r="M33745" s="13"/>
    </row>
    <row r="33746">
      <c r="F33746" s="13"/>
      <c r="M33746" s="13"/>
    </row>
    <row r="33747">
      <c r="F33747" s="13"/>
      <c r="M33747" s="13"/>
    </row>
    <row r="33748">
      <c r="F33748" s="13"/>
      <c r="M33748" s="13"/>
    </row>
    <row r="33749">
      <c r="F33749" s="13"/>
      <c r="M33749" s="13"/>
    </row>
    <row r="33750">
      <c r="F33750" s="13"/>
      <c r="M33750" s="13"/>
    </row>
    <row r="33751">
      <c r="F33751" s="13"/>
      <c r="M33751" s="13"/>
    </row>
    <row r="33752">
      <c r="F33752" s="13"/>
      <c r="M33752" s="13"/>
    </row>
    <row r="33753">
      <c r="F33753" s="13"/>
      <c r="M33753" s="13"/>
    </row>
    <row r="33754">
      <c r="F33754" s="13"/>
      <c r="M33754" s="13"/>
    </row>
    <row r="33755">
      <c r="F33755" s="13"/>
      <c r="M33755" s="13"/>
    </row>
    <row r="33756">
      <c r="F33756" s="13"/>
      <c r="M33756" s="13"/>
    </row>
    <row r="33757">
      <c r="F33757" s="13"/>
      <c r="M33757" s="13"/>
    </row>
    <row r="33758">
      <c r="F33758" s="13"/>
      <c r="M33758" s="13"/>
    </row>
    <row r="33759">
      <c r="F33759" s="13"/>
      <c r="M33759" s="13"/>
    </row>
    <row r="33760">
      <c r="F33760" s="13"/>
      <c r="M33760" s="13"/>
    </row>
    <row r="33761">
      <c r="F33761" s="13"/>
      <c r="M33761" s="13"/>
    </row>
    <row r="33762">
      <c r="F33762" s="13"/>
      <c r="M33762" s="13"/>
    </row>
    <row r="33763">
      <c r="F33763" s="13"/>
      <c r="M33763" s="13"/>
    </row>
    <row r="33764">
      <c r="F33764" s="13"/>
      <c r="M33764" s="13"/>
    </row>
    <row r="33765">
      <c r="F33765" s="13"/>
      <c r="M33765" s="13"/>
    </row>
    <row r="33766">
      <c r="F33766" s="13"/>
      <c r="M33766" s="13"/>
    </row>
    <row r="33767">
      <c r="F33767" s="13"/>
      <c r="M33767" s="13"/>
    </row>
    <row r="33768">
      <c r="F33768" s="13"/>
      <c r="M33768" s="13"/>
    </row>
    <row r="33769">
      <c r="F33769" s="13"/>
      <c r="M33769" s="13"/>
    </row>
    <row r="33770">
      <c r="F33770" s="13"/>
      <c r="M33770" s="13"/>
    </row>
    <row r="33771">
      <c r="F33771" s="13"/>
      <c r="M33771" s="13"/>
    </row>
    <row r="33772">
      <c r="F33772" s="13"/>
      <c r="M33772" s="13"/>
    </row>
    <row r="33773">
      <c r="F33773" s="13"/>
      <c r="M33773" s="13"/>
    </row>
    <row r="33774">
      <c r="F33774" s="13"/>
      <c r="M33774" s="13"/>
    </row>
    <row r="33775">
      <c r="F33775" s="13"/>
      <c r="M33775" s="13"/>
    </row>
    <row r="33776">
      <c r="F33776" s="13"/>
      <c r="M33776" s="13"/>
    </row>
    <row r="33777">
      <c r="F33777" s="13"/>
      <c r="M33777" s="13"/>
    </row>
    <row r="33778">
      <c r="F33778" s="13"/>
      <c r="M33778" s="13"/>
    </row>
    <row r="33779">
      <c r="F33779" s="13"/>
      <c r="M33779" s="13"/>
    </row>
    <row r="33780">
      <c r="F33780" s="13"/>
      <c r="M33780" s="13"/>
    </row>
    <row r="33781">
      <c r="F33781" s="13"/>
      <c r="M33781" s="13"/>
    </row>
    <row r="33782">
      <c r="F33782" s="13"/>
      <c r="M33782" s="13"/>
    </row>
    <row r="33783">
      <c r="F33783" s="13"/>
      <c r="M33783" s="13"/>
    </row>
    <row r="33784">
      <c r="F33784" s="13"/>
      <c r="M33784" s="13"/>
    </row>
    <row r="33785">
      <c r="F33785" s="13"/>
      <c r="M33785" s="13"/>
    </row>
    <row r="33786">
      <c r="F33786" s="13"/>
      <c r="M33786" s="13"/>
    </row>
    <row r="33787">
      <c r="F33787" s="13"/>
      <c r="M33787" s="13"/>
    </row>
    <row r="33788">
      <c r="F33788" s="13"/>
      <c r="M33788" s="13"/>
    </row>
    <row r="33789">
      <c r="F33789" s="13"/>
      <c r="M33789" s="13"/>
    </row>
    <row r="33790">
      <c r="F33790" s="13"/>
      <c r="M33790" s="13"/>
    </row>
    <row r="33791">
      <c r="F33791" s="13"/>
      <c r="M33791" s="13"/>
    </row>
    <row r="33792">
      <c r="F33792" s="13"/>
      <c r="M33792" s="13"/>
    </row>
    <row r="33793">
      <c r="F33793" s="13"/>
      <c r="M33793" s="13"/>
    </row>
    <row r="33794">
      <c r="F33794" s="13"/>
      <c r="M33794" s="13"/>
    </row>
    <row r="33795">
      <c r="F33795" s="13"/>
      <c r="M33795" s="13"/>
    </row>
    <row r="33796">
      <c r="F33796" s="13"/>
      <c r="M33796" s="13"/>
    </row>
    <row r="33797">
      <c r="F33797" s="13"/>
      <c r="M33797" s="13"/>
    </row>
    <row r="33798">
      <c r="F33798" s="13"/>
      <c r="M33798" s="13"/>
    </row>
    <row r="33799">
      <c r="F33799" s="13"/>
      <c r="M33799" s="13"/>
    </row>
    <row r="33800">
      <c r="F33800" s="13"/>
      <c r="M33800" s="13"/>
    </row>
    <row r="33801">
      <c r="F33801" s="13"/>
      <c r="M33801" s="13"/>
    </row>
    <row r="33802">
      <c r="F33802" s="13"/>
      <c r="M33802" s="13"/>
    </row>
    <row r="33803">
      <c r="F33803" s="13"/>
      <c r="M33803" s="13"/>
    </row>
    <row r="33804">
      <c r="F33804" s="13"/>
      <c r="M33804" s="13"/>
    </row>
    <row r="33805">
      <c r="F33805" s="13"/>
      <c r="M33805" s="13"/>
    </row>
    <row r="33806">
      <c r="F33806" s="13"/>
      <c r="M33806" s="13"/>
    </row>
    <row r="33807">
      <c r="F33807" s="13"/>
      <c r="M33807" s="13"/>
    </row>
    <row r="33808">
      <c r="F33808" s="13"/>
      <c r="M33808" s="13"/>
    </row>
    <row r="33809">
      <c r="F33809" s="13"/>
      <c r="M33809" s="13"/>
    </row>
    <row r="33810">
      <c r="F33810" s="13"/>
      <c r="M33810" s="13"/>
    </row>
    <row r="33811">
      <c r="F33811" s="13"/>
      <c r="M33811" s="13"/>
    </row>
    <row r="33812">
      <c r="F33812" s="13"/>
      <c r="M33812" s="13"/>
    </row>
    <row r="33813">
      <c r="F33813" s="13"/>
      <c r="M33813" s="13"/>
    </row>
    <row r="33814">
      <c r="F33814" s="13"/>
      <c r="M33814" s="13"/>
    </row>
    <row r="33815">
      <c r="F33815" s="13"/>
      <c r="M33815" s="13"/>
    </row>
    <row r="33816">
      <c r="F33816" s="13"/>
      <c r="M33816" s="13"/>
    </row>
    <row r="33817">
      <c r="F33817" s="13"/>
      <c r="M33817" s="13"/>
    </row>
    <row r="33818">
      <c r="F33818" s="13"/>
      <c r="M33818" s="13"/>
    </row>
    <row r="33819">
      <c r="F33819" s="13"/>
      <c r="M33819" s="13"/>
    </row>
    <row r="33820">
      <c r="F33820" s="13"/>
      <c r="M33820" s="13"/>
    </row>
    <row r="33821">
      <c r="F33821" s="13"/>
      <c r="M33821" s="13"/>
    </row>
    <row r="33822">
      <c r="F33822" s="13"/>
      <c r="M33822" s="13"/>
    </row>
    <row r="33823">
      <c r="F33823" s="13"/>
      <c r="M33823" s="13"/>
    </row>
    <row r="33824">
      <c r="F33824" s="13"/>
      <c r="M33824" s="13"/>
    </row>
    <row r="33825">
      <c r="F33825" s="13"/>
      <c r="M33825" s="13"/>
    </row>
    <row r="33826">
      <c r="F33826" s="13"/>
      <c r="M33826" s="13"/>
    </row>
    <row r="33827">
      <c r="F33827" s="13"/>
      <c r="M33827" s="13"/>
    </row>
    <row r="33828">
      <c r="F33828" s="13"/>
      <c r="M33828" s="13"/>
    </row>
    <row r="33829">
      <c r="F33829" s="13"/>
      <c r="M33829" s="13"/>
    </row>
    <row r="33830">
      <c r="F33830" s="13"/>
      <c r="M33830" s="13"/>
    </row>
    <row r="33831">
      <c r="F33831" s="13"/>
      <c r="M33831" s="13"/>
    </row>
    <row r="33832">
      <c r="F33832" s="13"/>
      <c r="M33832" s="13"/>
    </row>
    <row r="33833">
      <c r="F33833" s="13"/>
      <c r="M33833" s="13"/>
    </row>
    <row r="33834">
      <c r="F33834" s="13"/>
      <c r="M33834" s="13"/>
    </row>
    <row r="33835">
      <c r="F33835" s="13"/>
      <c r="M33835" s="13"/>
    </row>
    <row r="33836">
      <c r="F33836" s="13"/>
      <c r="M33836" s="13"/>
    </row>
    <row r="33837">
      <c r="F33837" s="13"/>
      <c r="M33837" s="13"/>
    </row>
    <row r="33838">
      <c r="F33838" s="13"/>
      <c r="M33838" s="13"/>
    </row>
    <row r="33839">
      <c r="F33839" s="13"/>
      <c r="M33839" s="13"/>
    </row>
    <row r="33840">
      <c r="F33840" s="13"/>
      <c r="M33840" s="13"/>
    </row>
    <row r="33841">
      <c r="F33841" s="13"/>
      <c r="M33841" s="13"/>
    </row>
    <row r="33842">
      <c r="F33842" s="13"/>
      <c r="M33842" s="13"/>
    </row>
    <row r="33843">
      <c r="F33843" s="13"/>
      <c r="M33843" s="13"/>
    </row>
    <row r="33844">
      <c r="F33844" s="13"/>
      <c r="M33844" s="13"/>
    </row>
    <row r="33845">
      <c r="F33845" s="13"/>
      <c r="M33845" s="13"/>
    </row>
    <row r="33846">
      <c r="F33846" s="13"/>
      <c r="M33846" s="13"/>
    </row>
    <row r="33847">
      <c r="F33847" s="13"/>
      <c r="M33847" s="13"/>
    </row>
    <row r="33848">
      <c r="F33848" s="13"/>
      <c r="M33848" s="13"/>
    </row>
    <row r="33849">
      <c r="F33849" s="13"/>
      <c r="M33849" s="13"/>
    </row>
    <row r="33850">
      <c r="F33850" s="13"/>
      <c r="M33850" s="13"/>
    </row>
    <row r="33851">
      <c r="F33851" s="13"/>
      <c r="M33851" s="13"/>
    </row>
    <row r="33852">
      <c r="F33852" s="13"/>
      <c r="M33852" s="13"/>
    </row>
    <row r="33853">
      <c r="F33853" s="13"/>
      <c r="M33853" s="13"/>
    </row>
    <row r="33854">
      <c r="F33854" s="13"/>
      <c r="M33854" s="13"/>
    </row>
    <row r="33855">
      <c r="F33855" s="13"/>
      <c r="M33855" s="13"/>
    </row>
    <row r="33856">
      <c r="F33856" s="13"/>
      <c r="M33856" s="13"/>
    </row>
    <row r="33857">
      <c r="F33857" s="13"/>
      <c r="M33857" s="13"/>
    </row>
    <row r="33858">
      <c r="F33858" s="13"/>
      <c r="M33858" s="13"/>
    </row>
    <row r="33859">
      <c r="F33859" s="13"/>
      <c r="M33859" s="13"/>
    </row>
    <row r="33860">
      <c r="F33860" s="13"/>
      <c r="M33860" s="13"/>
    </row>
    <row r="33861">
      <c r="F33861" s="13"/>
      <c r="M33861" s="13"/>
    </row>
    <row r="33862">
      <c r="F33862" s="13"/>
      <c r="M33862" s="13"/>
    </row>
    <row r="33863">
      <c r="F33863" s="13"/>
      <c r="M33863" s="13"/>
    </row>
    <row r="33864">
      <c r="F33864" s="13"/>
      <c r="M33864" s="13"/>
    </row>
    <row r="33865">
      <c r="F33865" s="13"/>
      <c r="M33865" s="13"/>
    </row>
    <row r="33866">
      <c r="F33866" s="13"/>
      <c r="M33866" s="13"/>
    </row>
    <row r="33867">
      <c r="F33867" s="13"/>
      <c r="M33867" s="13"/>
    </row>
    <row r="33868">
      <c r="F33868" s="13"/>
      <c r="M33868" s="13"/>
    </row>
    <row r="33869">
      <c r="F33869" s="13"/>
      <c r="M33869" s="13"/>
    </row>
    <row r="33870">
      <c r="F33870" s="13"/>
      <c r="M33870" s="13"/>
    </row>
    <row r="33871">
      <c r="F33871" s="13"/>
      <c r="M33871" s="13"/>
    </row>
    <row r="33872">
      <c r="F33872" s="13"/>
      <c r="M33872" s="13"/>
    </row>
    <row r="33873">
      <c r="F33873" s="13"/>
      <c r="M33873" s="13"/>
    </row>
    <row r="33874">
      <c r="F33874" s="13"/>
      <c r="M33874" s="13"/>
    </row>
    <row r="33875">
      <c r="F33875" s="13"/>
      <c r="M33875" s="13"/>
    </row>
    <row r="33876">
      <c r="F33876" s="13"/>
      <c r="M33876" s="13"/>
    </row>
    <row r="33877">
      <c r="F33877" s="13"/>
      <c r="M33877" s="13"/>
    </row>
    <row r="33878">
      <c r="F33878" s="13"/>
      <c r="M33878" s="13"/>
    </row>
    <row r="33879">
      <c r="F33879" s="13"/>
      <c r="M33879" s="13"/>
    </row>
    <row r="33880">
      <c r="F33880" s="13"/>
      <c r="M33880" s="13"/>
    </row>
    <row r="33881">
      <c r="F33881" s="13"/>
      <c r="M33881" s="13"/>
    </row>
    <row r="33882">
      <c r="F33882" s="13"/>
      <c r="M33882" s="13"/>
    </row>
    <row r="33883">
      <c r="F33883" s="13"/>
      <c r="M33883" s="13"/>
    </row>
    <row r="33884">
      <c r="F33884" s="13"/>
      <c r="M33884" s="13"/>
    </row>
    <row r="33885">
      <c r="F33885" s="13"/>
      <c r="M33885" s="13"/>
    </row>
    <row r="33886">
      <c r="F33886" s="13"/>
      <c r="M33886" s="13"/>
    </row>
    <row r="33887">
      <c r="F33887" s="13"/>
      <c r="M33887" s="13"/>
    </row>
    <row r="33888">
      <c r="F33888" s="13"/>
      <c r="M33888" s="13"/>
    </row>
    <row r="33889">
      <c r="F33889" s="13"/>
      <c r="M33889" s="13"/>
    </row>
    <row r="33890">
      <c r="F33890" s="13"/>
      <c r="M33890" s="13"/>
    </row>
    <row r="33891">
      <c r="F33891" s="13"/>
      <c r="M33891" s="13"/>
    </row>
    <row r="33892">
      <c r="F33892" s="13"/>
      <c r="M33892" s="13"/>
    </row>
    <row r="33893">
      <c r="F33893" s="13"/>
      <c r="M33893" s="13"/>
    </row>
    <row r="33894">
      <c r="F33894" s="13"/>
      <c r="M33894" s="13"/>
    </row>
    <row r="33895">
      <c r="F33895" s="13"/>
      <c r="M33895" s="13"/>
    </row>
    <row r="33896">
      <c r="F33896" s="13"/>
      <c r="M33896" s="13"/>
    </row>
    <row r="33897">
      <c r="F33897" s="13"/>
      <c r="M33897" s="13"/>
    </row>
    <row r="33898">
      <c r="F33898" s="13"/>
      <c r="M33898" s="13"/>
    </row>
    <row r="33899">
      <c r="F33899" s="13"/>
      <c r="M33899" s="13"/>
    </row>
    <row r="33900">
      <c r="F33900" s="13"/>
      <c r="M33900" s="13"/>
    </row>
    <row r="33901">
      <c r="F33901" s="13"/>
      <c r="M33901" s="13"/>
    </row>
    <row r="33902">
      <c r="F33902" s="13"/>
      <c r="M33902" s="13"/>
    </row>
    <row r="33903">
      <c r="F33903" s="13"/>
      <c r="M33903" s="13"/>
    </row>
    <row r="33904">
      <c r="F33904" s="13"/>
      <c r="M33904" s="13"/>
    </row>
    <row r="33905">
      <c r="F33905" s="13"/>
      <c r="M33905" s="13"/>
    </row>
    <row r="33906">
      <c r="F33906" s="13"/>
      <c r="M33906" s="13"/>
    </row>
    <row r="33907">
      <c r="F33907" s="13"/>
      <c r="M33907" s="13"/>
    </row>
    <row r="33908">
      <c r="F33908" s="13"/>
      <c r="M33908" s="13"/>
    </row>
    <row r="33909">
      <c r="F33909" s="13"/>
      <c r="M33909" s="13"/>
    </row>
    <row r="33910">
      <c r="F33910" s="13"/>
      <c r="M33910" s="13"/>
    </row>
    <row r="33911">
      <c r="F33911" s="13"/>
      <c r="M33911" s="13"/>
    </row>
    <row r="33912">
      <c r="F33912" s="13"/>
      <c r="M33912" s="13"/>
    </row>
    <row r="33913">
      <c r="F33913" s="13"/>
      <c r="M33913" s="13"/>
    </row>
    <row r="33914">
      <c r="F33914" s="13"/>
      <c r="M33914" s="13"/>
    </row>
    <row r="33915">
      <c r="F33915" s="13"/>
      <c r="M33915" s="13"/>
    </row>
    <row r="33916">
      <c r="F33916" s="13"/>
      <c r="M33916" s="13"/>
    </row>
    <row r="33917">
      <c r="F33917" s="13"/>
      <c r="M33917" s="13"/>
    </row>
    <row r="33918">
      <c r="F33918" s="13"/>
      <c r="M33918" s="13"/>
    </row>
    <row r="33919">
      <c r="F33919" s="13"/>
      <c r="M33919" s="13"/>
    </row>
    <row r="33920">
      <c r="F33920" s="13"/>
      <c r="M33920" s="13"/>
    </row>
    <row r="33921">
      <c r="F33921" s="13"/>
      <c r="M33921" s="13"/>
    </row>
    <row r="33922">
      <c r="F33922" s="13"/>
      <c r="M33922" s="13"/>
    </row>
    <row r="33923">
      <c r="F33923" s="13"/>
      <c r="M33923" s="13"/>
    </row>
    <row r="33924">
      <c r="F33924" s="13"/>
      <c r="M33924" s="13"/>
    </row>
    <row r="33925">
      <c r="F33925" s="13"/>
      <c r="M33925" s="13"/>
    </row>
    <row r="33926">
      <c r="F33926" s="13"/>
      <c r="M33926" s="13"/>
    </row>
    <row r="33927">
      <c r="F33927" s="13"/>
      <c r="M33927" s="13"/>
    </row>
    <row r="33928">
      <c r="F33928" s="13"/>
      <c r="M33928" s="13"/>
    </row>
    <row r="33929">
      <c r="F33929" s="13"/>
      <c r="M33929" s="13"/>
    </row>
    <row r="33930">
      <c r="F33930" s="13"/>
      <c r="M33930" s="13"/>
    </row>
    <row r="33931">
      <c r="F33931" s="13"/>
      <c r="M33931" s="13"/>
    </row>
    <row r="33932">
      <c r="F33932" s="13"/>
      <c r="M33932" s="13"/>
    </row>
    <row r="33933">
      <c r="F33933" s="13"/>
      <c r="M33933" s="13"/>
    </row>
    <row r="33934">
      <c r="F33934" s="13"/>
      <c r="M33934" s="13"/>
    </row>
    <row r="33935">
      <c r="F33935" s="13"/>
      <c r="M33935" s="13"/>
    </row>
    <row r="33936">
      <c r="F33936" s="13"/>
      <c r="M33936" s="13"/>
    </row>
    <row r="33937">
      <c r="F33937" s="13"/>
      <c r="M33937" s="13"/>
    </row>
    <row r="33938">
      <c r="F33938" s="13"/>
      <c r="M33938" s="13"/>
    </row>
    <row r="33939">
      <c r="F33939" s="13"/>
      <c r="M33939" s="13"/>
    </row>
    <row r="33940">
      <c r="F33940" s="13"/>
      <c r="M33940" s="13"/>
    </row>
    <row r="33941">
      <c r="F33941" s="13"/>
      <c r="M33941" s="13"/>
    </row>
    <row r="33942">
      <c r="F33942" s="13"/>
      <c r="M33942" s="13"/>
    </row>
    <row r="33943">
      <c r="F33943" s="13"/>
      <c r="M33943" s="13"/>
    </row>
    <row r="33944">
      <c r="F33944" s="13"/>
      <c r="M33944" s="13"/>
    </row>
    <row r="33945">
      <c r="F33945" s="13"/>
      <c r="M33945" s="13"/>
    </row>
    <row r="33946">
      <c r="F33946" s="13"/>
      <c r="M33946" s="13"/>
    </row>
    <row r="33947">
      <c r="F33947" s="13"/>
      <c r="M33947" s="13"/>
    </row>
    <row r="33948">
      <c r="F33948" s="13"/>
      <c r="M33948" s="13"/>
    </row>
    <row r="33949">
      <c r="F33949" s="13"/>
      <c r="M33949" s="13"/>
    </row>
    <row r="33950">
      <c r="F33950" s="13"/>
      <c r="M33950" s="13"/>
    </row>
    <row r="33951">
      <c r="F33951" s="13"/>
      <c r="M33951" s="13"/>
    </row>
    <row r="33952">
      <c r="F33952" s="13"/>
      <c r="M33952" s="13"/>
    </row>
    <row r="33953">
      <c r="F33953" s="13"/>
      <c r="M33953" s="13"/>
    </row>
    <row r="33954">
      <c r="F33954" s="13"/>
      <c r="M33954" s="13"/>
    </row>
    <row r="33955">
      <c r="F33955" s="13"/>
      <c r="M33955" s="13"/>
    </row>
    <row r="33956">
      <c r="F33956" s="13"/>
      <c r="M33956" s="13"/>
    </row>
    <row r="33957">
      <c r="F33957" s="13"/>
      <c r="M33957" s="13"/>
    </row>
    <row r="33958">
      <c r="F33958" s="13"/>
      <c r="M33958" s="13"/>
    </row>
    <row r="33959">
      <c r="F33959" s="13"/>
      <c r="M33959" s="13"/>
    </row>
    <row r="33960">
      <c r="F33960" s="13"/>
      <c r="M33960" s="13"/>
    </row>
    <row r="33961">
      <c r="F33961" s="13"/>
      <c r="M33961" s="13"/>
    </row>
    <row r="33962">
      <c r="F33962" s="13"/>
      <c r="M33962" s="13"/>
    </row>
    <row r="33963">
      <c r="F33963" s="13"/>
      <c r="M33963" s="13"/>
    </row>
    <row r="33964">
      <c r="F33964" s="13"/>
      <c r="M33964" s="13"/>
    </row>
    <row r="33965">
      <c r="F33965" s="13"/>
      <c r="M33965" s="13"/>
    </row>
    <row r="33966">
      <c r="F33966" s="13"/>
      <c r="M33966" s="13"/>
    </row>
    <row r="33967">
      <c r="F33967" s="13"/>
      <c r="M33967" s="13"/>
    </row>
    <row r="33968">
      <c r="F33968" s="13"/>
      <c r="M33968" s="13"/>
    </row>
    <row r="33969">
      <c r="F33969" s="13"/>
      <c r="M33969" s="13"/>
    </row>
    <row r="33970">
      <c r="F33970" s="13"/>
      <c r="M33970" s="13"/>
    </row>
    <row r="33971">
      <c r="F33971" s="13"/>
      <c r="M33971" s="13"/>
    </row>
    <row r="33972">
      <c r="F33972" s="13"/>
      <c r="M33972" s="13"/>
    </row>
    <row r="33973">
      <c r="F33973" s="13"/>
      <c r="M33973" s="13"/>
    </row>
    <row r="33974">
      <c r="F33974" s="13"/>
      <c r="M33974" s="13"/>
    </row>
    <row r="33975">
      <c r="F33975" s="13"/>
      <c r="M33975" s="13"/>
    </row>
    <row r="33976">
      <c r="F33976" s="13"/>
      <c r="M33976" s="13"/>
    </row>
    <row r="33977">
      <c r="F33977" s="13"/>
      <c r="M33977" s="13"/>
    </row>
    <row r="33978">
      <c r="F33978" s="13"/>
      <c r="M33978" s="13"/>
    </row>
    <row r="33979">
      <c r="F33979" s="13"/>
      <c r="M33979" s="13"/>
    </row>
    <row r="33980">
      <c r="F33980" s="13"/>
      <c r="M33980" s="13"/>
    </row>
    <row r="33981">
      <c r="F33981" s="13"/>
      <c r="M33981" s="13"/>
    </row>
    <row r="33982">
      <c r="F33982" s="13"/>
      <c r="M33982" s="13"/>
    </row>
    <row r="33983">
      <c r="F33983" s="13"/>
      <c r="M33983" s="13"/>
    </row>
    <row r="33984">
      <c r="F33984" s="13"/>
      <c r="M33984" s="13"/>
    </row>
    <row r="33985">
      <c r="F33985" s="13"/>
      <c r="M33985" s="13"/>
    </row>
    <row r="33986">
      <c r="F33986" s="13"/>
      <c r="M33986" s="13"/>
    </row>
    <row r="33987">
      <c r="F33987" s="13"/>
      <c r="M33987" s="13"/>
    </row>
    <row r="33988">
      <c r="F33988" s="13"/>
      <c r="M33988" s="13"/>
    </row>
    <row r="33989">
      <c r="F33989" s="13"/>
      <c r="M33989" s="13"/>
    </row>
    <row r="33990">
      <c r="F33990" s="13"/>
      <c r="M33990" s="13"/>
    </row>
    <row r="33991">
      <c r="F33991" s="13"/>
      <c r="M33991" s="13"/>
    </row>
    <row r="33992">
      <c r="F33992" s="13"/>
      <c r="M33992" s="13"/>
    </row>
    <row r="33993">
      <c r="F33993" s="13"/>
      <c r="M33993" s="13"/>
    </row>
    <row r="33994">
      <c r="F33994" s="13"/>
      <c r="M33994" s="13"/>
    </row>
    <row r="33995">
      <c r="F33995" s="13"/>
      <c r="M33995" s="13"/>
    </row>
    <row r="33996">
      <c r="F33996" s="13"/>
      <c r="M33996" s="13"/>
    </row>
    <row r="33997">
      <c r="F33997" s="13"/>
      <c r="M33997" s="13"/>
    </row>
    <row r="33998">
      <c r="F33998" s="13"/>
      <c r="M33998" s="13"/>
    </row>
    <row r="33999">
      <c r="F33999" s="13"/>
      <c r="M33999" s="13"/>
    </row>
    <row r="34000">
      <c r="F34000" s="13"/>
      <c r="M34000" s="13"/>
    </row>
    <row r="34001">
      <c r="F34001" s="13"/>
      <c r="M34001" s="13"/>
    </row>
    <row r="34002">
      <c r="F34002" s="13"/>
      <c r="M34002" s="13"/>
    </row>
    <row r="34003">
      <c r="F34003" s="13"/>
      <c r="M34003" s="13"/>
    </row>
    <row r="34004">
      <c r="F34004" s="13"/>
      <c r="M34004" s="13"/>
    </row>
    <row r="34005">
      <c r="F34005" s="13"/>
      <c r="M34005" s="13"/>
    </row>
    <row r="34006">
      <c r="F34006" s="13"/>
      <c r="M34006" s="13"/>
    </row>
    <row r="34007">
      <c r="F34007" s="13"/>
      <c r="M34007" s="13"/>
    </row>
    <row r="34008">
      <c r="F34008" s="13"/>
      <c r="M34008" s="13"/>
    </row>
    <row r="34009">
      <c r="F34009" s="13"/>
      <c r="M34009" s="13"/>
    </row>
    <row r="34010">
      <c r="F34010" s="13"/>
      <c r="M34010" s="13"/>
    </row>
    <row r="34011">
      <c r="F34011" s="13"/>
      <c r="M34011" s="13"/>
    </row>
    <row r="34012">
      <c r="F34012" s="13"/>
      <c r="M34012" s="13"/>
    </row>
    <row r="34013">
      <c r="F34013" s="13"/>
      <c r="M34013" s="13"/>
    </row>
    <row r="34014">
      <c r="F34014" s="13"/>
      <c r="M34014" s="13"/>
    </row>
    <row r="34015">
      <c r="F34015" s="13"/>
      <c r="M34015" s="13"/>
    </row>
    <row r="34016">
      <c r="F34016" s="13"/>
      <c r="M34016" s="13"/>
    </row>
    <row r="34017">
      <c r="F34017" s="13"/>
      <c r="M34017" s="13"/>
    </row>
    <row r="34018">
      <c r="F34018" s="13"/>
      <c r="M34018" s="13"/>
    </row>
    <row r="34019">
      <c r="F34019" s="13"/>
      <c r="M34019" s="13"/>
    </row>
    <row r="34020">
      <c r="F34020" s="13"/>
      <c r="M34020" s="13"/>
    </row>
    <row r="34021">
      <c r="F34021" s="13"/>
      <c r="M34021" s="13"/>
    </row>
    <row r="34022">
      <c r="F34022" s="13"/>
      <c r="M34022" s="13"/>
    </row>
    <row r="34023">
      <c r="F34023" s="13"/>
      <c r="M34023" s="13"/>
    </row>
    <row r="34024">
      <c r="F34024" s="13"/>
      <c r="M34024" s="13"/>
    </row>
    <row r="34025">
      <c r="F34025" s="13"/>
      <c r="M34025" s="13"/>
    </row>
    <row r="34026">
      <c r="F34026" s="13"/>
      <c r="M34026" s="13"/>
    </row>
    <row r="34027">
      <c r="F34027" s="13"/>
      <c r="M34027" s="13"/>
    </row>
    <row r="34028">
      <c r="F34028" s="13"/>
      <c r="M34028" s="13"/>
    </row>
    <row r="34029">
      <c r="F34029" s="13"/>
      <c r="M34029" s="13"/>
    </row>
    <row r="34030">
      <c r="F34030" s="13"/>
      <c r="M34030" s="13"/>
    </row>
    <row r="34031">
      <c r="F34031" s="13"/>
      <c r="M34031" s="13"/>
    </row>
    <row r="34032">
      <c r="F34032" s="13"/>
      <c r="M34032" s="13"/>
    </row>
    <row r="34033">
      <c r="F34033" s="13"/>
      <c r="M34033" s="13"/>
    </row>
    <row r="34034">
      <c r="F34034" s="13"/>
      <c r="M34034" s="13"/>
    </row>
    <row r="34035">
      <c r="F34035" s="13"/>
      <c r="M34035" s="13"/>
    </row>
    <row r="34036">
      <c r="F34036" s="13"/>
      <c r="M34036" s="13"/>
    </row>
    <row r="34037">
      <c r="F34037" s="13"/>
      <c r="M34037" s="13"/>
    </row>
    <row r="34038">
      <c r="F34038" s="13"/>
      <c r="M34038" s="13"/>
    </row>
    <row r="34039">
      <c r="F34039" s="13"/>
      <c r="M34039" s="13"/>
    </row>
    <row r="34040">
      <c r="F34040" s="13"/>
      <c r="M34040" s="13"/>
    </row>
    <row r="34041">
      <c r="F34041" s="13"/>
      <c r="M34041" s="13"/>
    </row>
    <row r="34042">
      <c r="F34042" s="13"/>
      <c r="M34042" s="13"/>
    </row>
    <row r="34043">
      <c r="F34043" s="13"/>
      <c r="M34043" s="13"/>
    </row>
    <row r="34044">
      <c r="F34044" s="13"/>
      <c r="M34044" s="13"/>
    </row>
    <row r="34045">
      <c r="F34045" s="13"/>
      <c r="M34045" s="13"/>
    </row>
    <row r="34046">
      <c r="F34046" s="13"/>
      <c r="M34046" s="13"/>
    </row>
    <row r="34047">
      <c r="F34047" s="13"/>
      <c r="M34047" s="13"/>
    </row>
    <row r="34048">
      <c r="F34048" s="13"/>
      <c r="M34048" s="13"/>
    </row>
    <row r="34049">
      <c r="F34049" s="13"/>
      <c r="M34049" s="13"/>
    </row>
    <row r="34050">
      <c r="F34050" s="13"/>
      <c r="M34050" s="13"/>
    </row>
    <row r="34051">
      <c r="F34051" s="13"/>
      <c r="M34051" s="13"/>
    </row>
    <row r="34052">
      <c r="F34052" s="13"/>
      <c r="M34052" s="13"/>
    </row>
    <row r="34053">
      <c r="F34053" s="13"/>
      <c r="M34053" s="13"/>
    </row>
    <row r="34054">
      <c r="F34054" s="13"/>
      <c r="M34054" s="13"/>
    </row>
    <row r="34055">
      <c r="F34055" s="13"/>
      <c r="M34055" s="13"/>
    </row>
    <row r="34056">
      <c r="F34056" s="13"/>
      <c r="M34056" s="13"/>
    </row>
    <row r="34057">
      <c r="F34057" s="13"/>
      <c r="M34057" s="13"/>
    </row>
    <row r="34058">
      <c r="F34058" s="13"/>
      <c r="M34058" s="13"/>
    </row>
    <row r="34059">
      <c r="F34059" s="13"/>
      <c r="M34059" s="13"/>
    </row>
    <row r="34060">
      <c r="F34060" s="13"/>
      <c r="M34060" s="13"/>
    </row>
    <row r="34061">
      <c r="F34061" s="13"/>
      <c r="M34061" s="13"/>
    </row>
    <row r="34062">
      <c r="F34062" s="13"/>
      <c r="M34062" s="13"/>
    </row>
    <row r="34063">
      <c r="F34063" s="13"/>
      <c r="M34063" s="13"/>
    </row>
    <row r="34064">
      <c r="F34064" s="13"/>
      <c r="M34064" s="13"/>
    </row>
    <row r="34065">
      <c r="F34065" s="13"/>
      <c r="M34065" s="13"/>
    </row>
    <row r="34066">
      <c r="F34066" s="13"/>
      <c r="M34066" s="13"/>
    </row>
    <row r="34067">
      <c r="F34067" s="13"/>
      <c r="M34067" s="13"/>
    </row>
    <row r="34068">
      <c r="F34068" s="13"/>
      <c r="M34068" s="13"/>
    </row>
    <row r="34069">
      <c r="F34069" s="13"/>
      <c r="M34069" s="13"/>
    </row>
    <row r="34070">
      <c r="F34070" s="13"/>
      <c r="M34070" s="13"/>
    </row>
    <row r="34071">
      <c r="F34071" s="13"/>
      <c r="M34071" s="13"/>
    </row>
    <row r="34072">
      <c r="F34072" s="13"/>
      <c r="M34072" s="13"/>
    </row>
    <row r="34073">
      <c r="F34073" s="13"/>
      <c r="M34073" s="13"/>
    </row>
    <row r="34074">
      <c r="F34074" s="13"/>
      <c r="M34074" s="13"/>
    </row>
    <row r="34075">
      <c r="F34075" s="13"/>
      <c r="M34075" s="13"/>
    </row>
    <row r="34076">
      <c r="F34076" s="13"/>
      <c r="M34076" s="13"/>
    </row>
    <row r="34077">
      <c r="F34077" s="13"/>
      <c r="M34077" s="13"/>
    </row>
    <row r="34078">
      <c r="F34078" s="13"/>
      <c r="M34078" s="13"/>
    </row>
    <row r="34079">
      <c r="F34079" s="13"/>
      <c r="M34079" s="13"/>
    </row>
    <row r="34080">
      <c r="F34080" s="13"/>
      <c r="M34080" s="13"/>
    </row>
    <row r="34081">
      <c r="F34081" s="13"/>
      <c r="M34081" s="13"/>
    </row>
    <row r="34082">
      <c r="F34082" s="13"/>
      <c r="M34082" s="13"/>
    </row>
    <row r="34083">
      <c r="F34083" s="13"/>
      <c r="M34083" s="13"/>
    </row>
    <row r="34084">
      <c r="F34084" s="13"/>
      <c r="M34084" s="13"/>
    </row>
    <row r="34085">
      <c r="F34085" s="13"/>
      <c r="M34085" s="13"/>
    </row>
    <row r="34086">
      <c r="F34086" s="13"/>
      <c r="M34086" s="13"/>
    </row>
    <row r="34087">
      <c r="F34087" s="13"/>
      <c r="M34087" s="13"/>
    </row>
    <row r="34088">
      <c r="F34088" s="13"/>
      <c r="M34088" s="13"/>
    </row>
    <row r="34089">
      <c r="F34089" s="13"/>
      <c r="M34089" s="13"/>
    </row>
    <row r="34090">
      <c r="F34090" s="13"/>
      <c r="M34090" s="13"/>
    </row>
    <row r="34091">
      <c r="F34091" s="13"/>
      <c r="M34091" s="13"/>
    </row>
    <row r="34092">
      <c r="F34092" s="13"/>
      <c r="M34092" s="13"/>
    </row>
    <row r="34093">
      <c r="F34093" s="13"/>
      <c r="M34093" s="13"/>
    </row>
    <row r="34094">
      <c r="F34094" s="13"/>
      <c r="M34094" s="13"/>
    </row>
    <row r="34095">
      <c r="F34095" s="13"/>
      <c r="M34095" s="13"/>
    </row>
    <row r="34096">
      <c r="F34096" s="13"/>
      <c r="M34096" s="13"/>
    </row>
    <row r="34097">
      <c r="F34097" s="13"/>
      <c r="M34097" s="13"/>
    </row>
    <row r="34098">
      <c r="F34098" s="13"/>
      <c r="M34098" s="13"/>
    </row>
    <row r="34099">
      <c r="F34099" s="13"/>
      <c r="M34099" s="13"/>
    </row>
    <row r="34100">
      <c r="F34100" s="13"/>
      <c r="M34100" s="13"/>
    </row>
    <row r="34101">
      <c r="F34101" s="13"/>
      <c r="M34101" s="13"/>
    </row>
    <row r="34102">
      <c r="F34102" s="13"/>
      <c r="M34102" s="13"/>
    </row>
    <row r="34103">
      <c r="F34103" s="13"/>
      <c r="M34103" s="13"/>
    </row>
    <row r="34104">
      <c r="F34104" s="13"/>
      <c r="M34104" s="13"/>
    </row>
    <row r="34105">
      <c r="F34105" s="13"/>
      <c r="M34105" s="13"/>
    </row>
    <row r="34106">
      <c r="F34106" s="13"/>
      <c r="M34106" s="13"/>
    </row>
    <row r="34107">
      <c r="F34107" s="13"/>
      <c r="M34107" s="13"/>
    </row>
    <row r="34108">
      <c r="F34108" s="13"/>
      <c r="M34108" s="13"/>
    </row>
    <row r="34109">
      <c r="F34109" s="13"/>
      <c r="M34109" s="13"/>
    </row>
    <row r="34110">
      <c r="F34110" s="13"/>
      <c r="M34110" s="13"/>
    </row>
    <row r="34111">
      <c r="F34111" s="13"/>
      <c r="M34111" s="13"/>
    </row>
    <row r="34112">
      <c r="F34112" s="13"/>
      <c r="M34112" s="13"/>
    </row>
    <row r="34113">
      <c r="F34113" s="13"/>
      <c r="M34113" s="13"/>
    </row>
    <row r="34114">
      <c r="F34114" s="13"/>
      <c r="M34114" s="13"/>
    </row>
    <row r="34115">
      <c r="F34115" s="13"/>
      <c r="M34115" s="13"/>
    </row>
    <row r="34116">
      <c r="F34116" s="13"/>
      <c r="M34116" s="13"/>
    </row>
    <row r="34117">
      <c r="F34117" s="13"/>
      <c r="M34117" s="13"/>
    </row>
    <row r="34118">
      <c r="F34118" s="13"/>
      <c r="M34118" s="13"/>
    </row>
    <row r="34119">
      <c r="F34119" s="13"/>
      <c r="M34119" s="13"/>
    </row>
    <row r="34120">
      <c r="F34120" s="13"/>
      <c r="M34120" s="13"/>
    </row>
    <row r="34121">
      <c r="F34121" s="13"/>
      <c r="M34121" s="13"/>
    </row>
    <row r="34122">
      <c r="F34122" s="13"/>
      <c r="M34122" s="13"/>
    </row>
    <row r="34123">
      <c r="F34123" s="13"/>
      <c r="M34123" s="13"/>
    </row>
    <row r="34124">
      <c r="F34124" s="13"/>
      <c r="M34124" s="13"/>
    </row>
    <row r="34125">
      <c r="F34125" s="13"/>
      <c r="M34125" s="13"/>
    </row>
    <row r="34126">
      <c r="F34126" s="13"/>
      <c r="M34126" s="13"/>
    </row>
    <row r="34127">
      <c r="F34127" s="13"/>
      <c r="M34127" s="13"/>
    </row>
    <row r="34128">
      <c r="F34128" s="13"/>
      <c r="M34128" s="13"/>
    </row>
    <row r="34129">
      <c r="F34129" s="13"/>
      <c r="M34129" s="13"/>
    </row>
    <row r="34130">
      <c r="F34130" s="13"/>
      <c r="M34130" s="13"/>
    </row>
    <row r="34131">
      <c r="F34131" s="13"/>
      <c r="M34131" s="13"/>
    </row>
    <row r="34132">
      <c r="F34132" s="13"/>
      <c r="M34132" s="13"/>
    </row>
    <row r="34133">
      <c r="F34133" s="13"/>
      <c r="M34133" s="13"/>
    </row>
    <row r="34134">
      <c r="F34134" s="13"/>
      <c r="M34134" s="13"/>
    </row>
    <row r="34135">
      <c r="F34135" s="13"/>
      <c r="M34135" s="13"/>
    </row>
    <row r="34136">
      <c r="F34136" s="13"/>
      <c r="M34136" s="13"/>
    </row>
    <row r="34137">
      <c r="F34137" s="13"/>
      <c r="M34137" s="13"/>
    </row>
    <row r="34138">
      <c r="F34138" s="13"/>
      <c r="M34138" s="13"/>
    </row>
    <row r="34139">
      <c r="F34139" s="13"/>
      <c r="M34139" s="13"/>
    </row>
    <row r="34140">
      <c r="F34140" s="13"/>
      <c r="M34140" s="13"/>
    </row>
    <row r="34141">
      <c r="F34141" s="13"/>
      <c r="M34141" s="13"/>
    </row>
    <row r="34142">
      <c r="F34142" s="13"/>
      <c r="M34142" s="13"/>
    </row>
    <row r="34143">
      <c r="F34143" s="13"/>
      <c r="M34143" s="13"/>
    </row>
    <row r="34144">
      <c r="F34144" s="13"/>
      <c r="M34144" s="13"/>
    </row>
    <row r="34145">
      <c r="F34145" s="13"/>
      <c r="M34145" s="13"/>
    </row>
    <row r="34146">
      <c r="F34146" s="13"/>
      <c r="M34146" s="13"/>
    </row>
    <row r="34147">
      <c r="F34147" s="13"/>
      <c r="M34147" s="13"/>
    </row>
    <row r="34148">
      <c r="F34148" s="13"/>
      <c r="M34148" s="13"/>
    </row>
    <row r="34149">
      <c r="F34149" s="13"/>
      <c r="M34149" s="13"/>
    </row>
    <row r="34150">
      <c r="F34150" s="13"/>
      <c r="M34150" s="13"/>
    </row>
    <row r="34151">
      <c r="F34151" s="13"/>
      <c r="M34151" s="13"/>
    </row>
    <row r="34152">
      <c r="F34152" s="13"/>
      <c r="M34152" s="13"/>
    </row>
    <row r="34153">
      <c r="F34153" s="13"/>
      <c r="M34153" s="13"/>
    </row>
    <row r="34154">
      <c r="F34154" s="13"/>
      <c r="M34154" s="13"/>
    </row>
    <row r="34155">
      <c r="F34155" s="13"/>
      <c r="M34155" s="13"/>
    </row>
    <row r="34156">
      <c r="F34156" s="13"/>
      <c r="M34156" s="13"/>
    </row>
    <row r="34157">
      <c r="F34157" s="13"/>
      <c r="M34157" s="13"/>
    </row>
    <row r="34158">
      <c r="F34158" s="13"/>
      <c r="M34158" s="13"/>
    </row>
    <row r="34159">
      <c r="F34159" s="13"/>
      <c r="M34159" s="13"/>
    </row>
    <row r="34160">
      <c r="F34160" s="13"/>
      <c r="M34160" s="13"/>
    </row>
    <row r="34161">
      <c r="F34161" s="13"/>
      <c r="M34161" s="13"/>
    </row>
    <row r="34162">
      <c r="F34162" s="13"/>
      <c r="M34162" s="13"/>
    </row>
    <row r="34163">
      <c r="F34163" s="13"/>
      <c r="M34163" s="13"/>
    </row>
    <row r="34164">
      <c r="F34164" s="13"/>
      <c r="M34164" s="13"/>
    </row>
    <row r="34165">
      <c r="F34165" s="13"/>
      <c r="M34165" s="13"/>
    </row>
    <row r="34166">
      <c r="F34166" s="13"/>
      <c r="M34166" s="13"/>
    </row>
    <row r="34167">
      <c r="F34167" s="13"/>
      <c r="M34167" s="13"/>
    </row>
    <row r="34168">
      <c r="F34168" s="13"/>
      <c r="M34168" s="13"/>
    </row>
    <row r="34169">
      <c r="F34169" s="13"/>
      <c r="M34169" s="13"/>
    </row>
    <row r="34170">
      <c r="F34170" s="13"/>
      <c r="M34170" s="13"/>
    </row>
    <row r="34171">
      <c r="F34171" s="13"/>
      <c r="M34171" s="13"/>
    </row>
    <row r="34172">
      <c r="F34172" s="13"/>
      <c r="M34172" s="13"/>
    </row>
    <row r="34173">
      <c r="F34173" s="13"/>
      <c r="M34173" s="13"/>
    </row>
    <row r="34174">
      <c r="F34174" s="13"/>
      <c r="M34174" s="13"/>
    </row>
    <row r="34175">
      <c r="F34175" s="13"/>
      <c r="M34175" s="13"/>
    </row>
    <row r="34176">
      <c r="F34176" s="13"/>
      <c r="M34176" s="13"/>
    </row>
    <row r="34177">
      <c r="F34177" s="13"/>
      <c r="M34177" s="13"/>
    </row>
    <row r="34178">
      <c r="F34178" s="13"/>
      <c r="M34178" s="13"/>
    </row>
    <row r="34179">
      <c r="F34179" s="13"/>
      <c r="M34179" s="13"/>
    </row>
    <row r="34180">
      <c r="F34180" s="13"/>
      <c r="M34180" s="13"/>
    </row>
    <row r="34181">
      <c r="F34181" s="13"/>
      <c r="M34181" s="13"/>
    </row>
    <row r="34182">
      <c r="F34182" s="13"/>
      <c r="M34182" s="13"/>
    </row>
    <row r="34183">
      <c r="F34183" s="13"/>
      <c r="M34183" s="13"/>
    </row>
    <row r="34184">
      <c r="F34184" s="13"/>
      <c r="M34184" s="13"/>
    </row>
    <row r="34185">
      <c r="F34185" s="13"/>
      <c r="M34185" s="13"/>
    </row>
    <row r="34186">
      <c r="F34186" s="13"/>
      <c r="M34186" s="13"/>
    </row>
    <row r="34187">
      <c r="F34187" s="13"/>
      <c r="M34187" s="13"/>
    </row>
    <row r="34188">
      <c r="F34188" s="13"/>
      <c r="M34188" s="13"/>
    </row>
    <row r="34189">
      <c r="F34189" s="13"/>
      <c r="M34189" s="13"/>
    </row>
    <row r="34190">
      <c r="F34190" s="13"/>
      <c r="M34190" s="13"/>
    </row>
    <row r="34191">
      <c r="F34191" s="13"/>
      <c r="M34191" s="13"/>
    </row>
    <row r="34192">
      <c r="F34192" s="13"/>
      <c r="M34192" s="13"/>
    </row>
    <row r="34193">
      <c r="F34193" s="13"/>
      <c r="M34193" s="13"/>
    </row>
    <row r="34194">
      <c r="F34194" s="13"/>
      <c r="M34194" s="13"/>
    </row>
    <row r="34195">
      <c r="F34195" s="13"/>
      <c r="M34195" s="13"/>
    </row>
    <row r="34196">
      <c r="F34196" s="13"/>
      <c r="M34196" s="13"/>
    </row>
    <row r="34197">
      <c r="F34197" s="13"/>
      <c r="M34197" s="13"/>
    </row>
    <row r="34198">
      <c r="F34198" s="13"/>
      <c r="M34198" s="13"/>
    </row>
    <row r="34199">
      <c r="F34199" s="13"/>
      <c r="M34199" s="13"/>
    </row>
    <row r="34200">
      <c r="F34200" s="13"/>
      <c r="M34200" s="13"/>
    </row>
    <row r="34201">
      <c r="F34201" s="13"/>
      <c r="M34201" s="13"/>
    </row>
    <row r="34202">
      <c r="F34202" s="13"/>
      <c r="M34202" s="13"/>
    </row>
    <row r="34203">
      <c r="F34203" s="13"/>
      <c r="M34203" s="13"/>
    </row>
    <row r="34204">
      <c r="F34204" s="13"/>
      <c r="M34204" s="13"/>
    </row>
    <row r="34205">
      <c r="F34205" s="13"/>
      <c r="M34205" s="13"/>
    </row>
    <row r="34206">
      <c r="F34206" s="13"/>
      <c r="M34206" s="13"/>
    </row>
    <row r="34207">
      <c r="F34207" s="13"/>
      <c r="M34207" s="13"/>
    </row>
    <row r="34208">
      <c r="F34208" s="13"/>
      <c r="M34208" s="13"/>
    </row>
    <row r="34209">
      <c r="F34209" s="13"/>
      <c r="M34209" s="13"/>
    </row>
    <row r="34210">
      <c r="F34210" s="13"/>
      <c r="M34210" s="13"/>
    </row>
    <row r="34211">
      <c r="F34211" s="13"/>
      <c r="M34211" s="13"/>
    </row>
    <row r="34212">
      <c r="F34212" s="13"/>
      <c r="M34212" s="13"/>
    </row>
    <row r="34213">
      <c r="F34213" s="13"/>
      <c r="M34213" s="13"/>
    </row>
    <row r="34214">
      <c r="F34214" s="13"/>
      <c r="M34214" s="13"/>
    </row>
    <row r="34215">
      <c r="F34215" s="13"/>
      <c r="M34215" s="13"/>
    </row>
    <row r="34216">
      <c r="F34216" s="13"/>
      <c r="M34216" s="13"/>
    </row>
    <row r="34217">
      <c r="F34217" s="13"/>
      <c r="M34217" s="13"/>
    </row>
    <row r="34218">
      <c r="F34218" s="13"/>
      <c r="M34218" s="13"/>
    </row>
    <row r="34219">
      <c r="F34219" s="13"/>
      <c r="M34219" s="13"/>
    </row>
    <row r="34220">
      <c r="F34220" s="13"/>
      <c r="M34220" s="13"/>
    </row>
    <row r="34221">
      <c r="F34221" s="13"/>
      <c r="M34221" s="13"/>
    </row>
    <row r="34222">
      <c r="F34222" s="13"/>
      <c r="M34222" s="13"/>
    </row>
    <row r="34223">
      <c r="F34223" s="13"/>
      <c r="M34223" s="13"/>
    </row>
    <row r="34224">
      <c r="F34224" s="13"/>
      <c r="M34224" s="13"/>
    </row>
    <row r="34225">
      <c r="F34225" s="13"/>
      <c r="M34225" s="13"/>
    </row>
    <row r="34226">
      <c r="F34226" s="13"/>
      <c r="M34226" s="13"/>
    </row>
    <row r="34227">
      <c r="F34227" s="13"/>
      <c r="M34227" s="13"/>
    </row>
    <row r="34228">
      <c r="F34228" s="13"/>
      <c r="M34228" s="13"/>
    </row>
    <row r="34229">
      <c r="F34229" s="13"/>
      <c r="M34229" s="13"/>
    </row>
    <row r="34230">
      <c r="F34230" s="13"/>
      <c r="M34230" s="13"/>
    </row>
    <row r="34231">
      <c r="F34231" s="13"/>
      <c r="M34231" s="13"/>
    </row>
    <row r="34232">
      <c r="F34232" s="13"/>
      <c r="M34232" s="13"/>
    </row>
    <row r="34233">
      <c r="F34233" s="13"/>
      <c r="M34233" s="13"/>
    </row>
    <row r="34234">
      <c r="F34234" s="13"/>
      <c r="M34234" s="13"/>
    </row>
    <row r="34235">
      <c r="F34235" s="13"/>
      <c r="M34235" s="13"/>
    </row>
    <row r="34236">
      <c r="F34236" s="13"/>
      <c r="M34236" s="13"/>
    </row>
    <row r="34237">
      <c r="F34237" s="13"/>
      <c r="M34237" s="13"/>
    </row>
    <row r="34238">
      <c r="F34238" s="13"/>
      <c r="M34238" s="13"/>
    </row>
    <row r="34239">
      <c r="F34239" s="13"/>
      <c r="M34239" s="13"/>
    </row>
    <row r="34240">
      <c r="F34240" s="13"/>
      <c r="M34240" s="13"/>
    </row>
    <row r="34241">
      <c r="F34241" s="13"/>
      <c r="M34241" s="13"/>
    </row>
    <row r="34242">
      <c r="F34242" s="13"/>
      <c r="M34242" s="13"/>
    </row>
    <row r="34243">
      <c r="F34243" s="13"/>
      <c r="M34243" s="13"/>
    </row>
    <row r="34244">
      <c r="F34244" s="13"/>
      <c r="M34244" s="13"/>
    </row>
    <row r="34245">
      <c r="F34245" s="13"/>
      <c r="M34245" s="13"/>
    </row>
    <row r="34246">
      <c r="F34246" s="13"/>
      <c r="M34246" s="13"/>
    </row>
    <row r="34247">
      <c r="F34247" s="13"/>
      <c r="M34247" s="13"/>
    </row>
    <row r="34248">
      <c r="F34248" s="13"/>
      <c r="M34248" s="13"/>
    </row>
    <row r="34249">
      <c r="F34249" s="13"/>
      <c r="M34249" s="13"/>
    </row>
    <row r="34250">
      <c r="F34250" s="13"/>
      <c r="M34250" s="13"/>
    </row>
    <row r="34251">
      <c r="F34251" s="13"/>
      <c r="M34251" s="13"/>
    </row>
    <row r="34252">
      <c r="F34252" s="13"/>
      <c r="M34252" s="13"/>
    </row>
    <row r="34253">
      <c r="F34253" s="13"/>
      <c r="M34253" s="13"/>
    </row>
    <row r="34254">
      <c r="F34254" s="13"/>
      <c r="M34254" s="13"/>
    </row>
    <row r="34255">
      <c r="F34255" s="13"/>
      <c r="M34255" s="13"/>
    </row>
    <row r="34256">
      <c r="F34256" s="13"/>
      <c r="M34256" s="13"/>
    </row>
    <row r="34257">
      <c r="F34257" s="13"/>
      <c r="M34257" s="13"/>
    </row>
    <row r="34258">
      <c r="F34258" s="13"/>
      <c r="M34258" s="13"/>
    </row>
    <row r="34259">
      <c r="F34259" s="13"/>
      <c r="M34259" s="13"/>
    </row>
    <row r="34260">
      <c r="F34260" s="13"/>
      <c r="M34260" s="13"/>
    </row>
    <row r="34261">
      <c r="F34261" s="13"/>
      <c r="M34261" s="13"/>
    </row>
    <row r="34262">
      <c r="F34262" s="13"/>
      <c r="M34262" s="13"/>
    </row>
    <row r="34263">
      <c r="F34263" s="13"/>
      <c r="M34263" s="13"/>
    </row>
    <row r="34264">
      <c r="F34264" s="13"/>
      <c r="M34264" s="13"/>
    </row>
    <row r="34265">
      <c r="F34265" s="13"/>
      <c r="M34265" s="13"/>
    </row>
    <row r="34266">
      <c r="F34266" s="13"/>
      <c r="M34266" s="13"/>
    </row>
    <row r="34267">
      <c r="F34267" s="13"/>
      <c r="M34267" s="13"/>
    </row>
    <row r="34268">
      <c r="F34268" s="13"/>
      <c r="M34268" s="13"/>
    </row>
    <row r="34269">
      <c r="F34269" s="13"/>
      <c r="M34269" s="13"/>
    </row>
    <row r="34270">
      <c r="F34270" s="13"/>
      <c r="M34270" s="13"/>
    </row>
    <row r="34271">
      <c r="F34271" s="13"/>
      <c r="M34271" s="13"/>
    </row>
    <row r="34272">
      <c r="F34272" s="13"/>
      <c r="M34272" s="13"/>
    </row>
    <row r="34273">
      <c r="F34273" s="13"/>
      <c r="M34273" s="13"/>
    </row>
    <row r="34274">
      <c r="F34274" s="13"/>
      <c r="M34274" s="13"/>
    </row>
    <row r="34275">
      <c r="F34275" s="13"/>
      <c r="M34275" s="13"/>
    </row>
    <row r="34276">
      <c r="F34276" s="13"/>
      <c r="M34276" s="13"/>
    </row>
    <row r="34277">
      <c r="F34277" s="13"/>
      <c r="M34277" s="13"/>
    </row>
    <row r="34278">
      <c r="F34278" s="13"/>
      <c r="M34278" s="13"/>
    </row>
    <row r="34279">
      <c r="F34279" s="13"/>
      <c r="M34279" s="13"/>
    </row>
    <row r="34280">
      <c r="F34280" s="13"/>
      <c r="M34280" s="13"/>
    </row>
    <row r="34281">
      <c r="F34281" s="13"/>
      <c r="M34281" s="13"/>
    </row>
    <row r="34282">
      <c r="F34282" s="13"/>
      <c r="M34282" s="13"/>
    </row>
    <row r="34283">
      <c r="F34283" s="13"/>
      <c r="M34283" s="13"/>
    </row>
    <row r="34284">
      <c r="F34284" s="13"/>
      <c r="M34284" s="13"/>
    </row>
    <row r="34285">
      <c r="F34285" s="13"/>
      <c r="M34285" s="13"/>
    </row>
    <row r="34286">
      <c r="F34286" s="13"/>
      <c r="M34286" s="13"/>
    </row>
    <row r="34287">
      <c r="F34287" s="13"/>
      <c r="M34287" s="13"/>
    </row>
    <row r="34288">
      <c r="F34288" s="13"/>
      <c r="M34288" s="13"/>
    </row>
    <row r="34289">
      <c r="F34289" s="13"/>
      <c r="M34289" s="13"/>
    </row>
    <row r="34290">
      <c r="F34290" s="13"/>
      <c r="M34290" s="13"/>
    </row>
    <row r="34291">
      <c r="F34291" s="13"/>
      <c r="M34291" s="13"/>
    </row>
    <row r="34292">
      <c r="F34292" s="13"/>
      <c r="M34292" s="13"/>
    </row>
    <row r="34293">
      <c r="F34293" s="13"/>
      <c r="M34293" s="13"/>
    </row>
    <row r="34294">
      <c r="F34294" s="13"/>
      <c r="M34294" s="13"/>
    </row>
    <row r="34295">
      <c r="F34295" s="13"/>
      <c r="M34295" s="13"/>
    </row>
    <row r="34296">
      <c r="F34296" s="13"/>
      <c r="M34296" s="13"/>
    </row>
    <row r="34297">
      <c r="F34297" s="13"/>
      <c r="M34297" s="13"/>
    </row>
    <row r="34298">
      <c r="F34298" s="13"/>
      <c r="M34298" s="13"/>
    </row>
    <row r="34299">
      <c r="F34299" s="13"/>
      <c r="M34299" s="13"/>
    </row>
    <row r="34300">
      <c r="F34300" s="13"/>
      <c r="M34300" s="13"/>
    </row>
    <row r="34301">
      <c r="F34301" s="13"/>
      <c r="M34301" s="13"/>
    </row>
    <row r="34302">
      <c r="F34302" s="13"/>
      <c r="M34302" s="13"/>
    </row>
    <row r="34303">
      <c r="F34303" s="13"/>
      <c r="M34303" s="13"/>
    </row>
    <row r="34304">
      <c r="F34304" s="13"/>
      <c r="M34304" s="13"/>
    </row>
    <row r="34305">
      <c r="F34305" s="13"/>
      <c r="M34305" s="13"/>
    </row>
    <row r="34306">
      <c r="F34306" s="13"/>
      <c r="M34306" s="13"/>
    </row>
    <row r="34307">
      <c r="F34307" s="13"/>
      <c r="M34307" s="13"/>
    </row>
    <row r="34308">
      <c r="F34308" s="13"/>
      <c r="M34308" s="13"/>
    </row>
    <row r="34309">
      <c r="F34309" s="13"/>
      <c r="M34309" s="13"/>
    </row>
    <row r="34310">
      <c r="F34310" s="13"/>
      <c r="M34310" s="13"/>
    </row>
    <row r="34311">
      <c r="F34311" s="13"/>
      <c r="M34311" s="13"/>
    </row>
    <row r="34312">
      <c r="F34312" s="13"/>
      <c r="M34312" s="13"/>
    </row>
    <row r="34313">
      <c r="F34313" s="13"/>
      <c r="M34313" s="13"/>
    </row>
    <row r="34314">
      <c r="F34314" s="13"/>
      <c r="M34314" s="13"/>
    </row>
    <row r="34315">
      <c r="F34315" s="13"/>
      <c r="M34315" s="13"/>
    </row>
    <row r="34316">
      <c r="F34316" s="13"/>
      <c r="M34316" s="13"/>
    </row>
    <row r="34317">
      <c r="F34317" s="13"/>
      <c r="M34317" s="13"/>
    </row>
    <row r="34318">
      <c r="F34318" s="13"/>
      <c r="M34318" s="13"/>
    </row>
    <row r="34319">
      <c r="F34319" s="13"/>
      <c r="M34319" s="13"/>
    </row>
    <row r="34320">
      <c r="F34320" s="13"/>
      <c r="M34320" s="13"/>
    </row>
    <row r="34321">
      <c r="F34321" s="13"/>
      <c r="M34321" s="13"/>
    </row>
    <row r="34322">
      <c r="F34322" s="13"/>
      <c r="M34322" s="13"/>
    </row>
    <row r="34323">
      <c r="F34323" s="13"/>
      <c r="M34323" s="13"/>
    </row>
    <row r="34324">
      <c r="F34324" s="13"/>
      <c r="M34324" s="13"/>
    </row>
    <row r="34325">
      <c r="F34325" s="13"/>
      <c r="M34325" s="13"/>
    </row>
    <row r="34326">
      <c r="F34326" s="13"/>
      <c r="M34326" s="13"/>
    </row>
    <row r="34327">
      <c r="F34327" s="13"/>
      <c r="M34327" s="13"/>
    </row>
    <row r="34328">
      <c r="F34328" s="13"/>
      <c r="M34328" s="13"/>
    </row>
    <row r="34329">
      <c r="F34329" s="13"/>
      <c r="M34329" s="13"/>
    </row>
    <row r="34330">
      <c r="F34330" s="13"/>
      <c r="M34330" s="13"/>
    </row>
    <row r="34331">
      <c r="F34331" s="13"/>
      <c r="M34331" s="13"/>
    </row>
    <row r="34332">
      <c r="F34332" s="13"/>
      <c r="M34332" s="13"/>
    </row>
    <row r="34333">
      <c r="F34333" s="13"/>
      <c r="M34333" s="13"/>
    </row>
    <row r="34334">
      <c r="F34334" s="13"/>
      <c r="M34334" s="13"/>
    </row>
    <row r="34335">
      <c r="F34335" s="13"/>
      <c r="M34335" s="13"/>
    </row>
    <row r="34336">
      <c r="F34336" s="13"/>
      <c r="M34336" s="13"/>
    </row>
    <row r="34337">
      <c r="F34337" s="13"/>
      <c r="M34337" s="13"/>
    </row>
    <row r="34338">
      <c r="F34338" s="13"/>
      <c r="M34338" s="13"/>
    </row>
    <row r="34339">
      <c r="F34339" s="13"/>
      <c r="M34339" s="13"/>
    </row>
    <row r="34340">
      <c r="F34340" s="13"/>
      <c r="M34340" s="13"/>
    </row>
    <row r="34341">
      <c r="F34341" s="13"/>
      <c r="M34341" s="13"/>
    </row>
    <row r="34342">
      <c r="F34342" s="13"/>
      <c r="M34342" s="13"/>
    </row>
    <row r="34343">
      <c r="F34343" s="13"/>
      <c r="M34343" s="13"/>
    </row>
    <row r="34344">
      <c r="F34344" s="13"/>
      <c r="M34344" s="13"/>
    </row>
    <row r="34345">
      <c r="F34345" s="13"/>
      <c r="M34345" s="13"/>
    </row>
    <row r="34346">
      <c r="F34346" s="13"/>
      <c r="M34346" s="13"/>
    </row>
    <row r="34347">
      <c r="F34347" s="13"/>
      <c r="M34347" s="13"/>
    </row>
    <row r="34348">
      <c r="F34348" s="13"/>
      <c r="M34348" s="13"/>
    </row>
    <row r="34349">
      <c r="F34349" s="13"/>
      <c r="M34349" s="13"/>
    </row>
    <row r="34350">
      <c r="F34350" s="13"/>
      <c r="M34350" s="13"/>
    </row>
    <row r="34351">
      <c r="F34351" s="13"/>
      <c r="M34351" s="13"/>
    </row>
    <row r="34352">
      <c r="F34352" s="13"/>
      <c r="M34352" s="13"/>
    </row>
    <row r="34353">
      <c r="F34353" s="13"/>
      <c r="M34353" s="13"/>
    </row>
    <row r="34354">
      <c r="F34354" s="13"/>
      <c r="M34354" s="13"/>
    </row>
    <row r="34355">
      <c r="F34355" s="13"/>
      <c r="M34355" s="13"/>
    </row>
    <row r="34356">
      <c r="F34356" s="13"/>
      <c r="M34356" s="13"/>
    </row>
    <row r="34357">
      <c r="F34357" s="13"/>
      <c r="M34357" s="13"/>
    </row>
    <row r="34358">
      <c r="F34358" s="13"/>
      <c r="M34358" s="13"/>
    </row>
    <row r="34359">
      <c r="F34359" s="13"/>
      <c r="M34359" s="13"/>
    </row>
    <row r="34360">
      <c r="F34360" s="13"/>
      <c r="M34360" s="13"/>
    </row>
    <row r="34361">
      <c r="F34361" s="13"/>
      <c r="M34361" s="13"/>
    </row>
    <row r="34362">
      <c r="F34362" s="13"/>
      <c r="M34362" s="13"/>
    </row>
    <row r="34363">
      <c r="F34363" s="13"/>
      <c r="M34363" s="13"/>
    </row>
    <row r="34364">
      <c r="F34364" s="13"/>
      <c r="M34364" s="13"/>
    </row>
    <row r="34365">
      <c r="F34365" s="13"/>
      <c r="M34365" s="13"/>
    </row>
    <row r="34366">
      <c r="F34366" s="13"/>
      <c r="M34366" s="13"/>
    </row>
    <row r="34367">
      <c r="F34367" s="13"/>
      <c r="M34367" s="13"/>
    </row>
    <row r="34368">
      <c r="F34368" s="13"/>
      <c r="M34368" s="13"/>
    </row>
    <row r="34369">
      <c r="F34369" s="13"/>
      <c r="M34369" s="13"/>
    </row>
    <row r="34370">
      <c r="F34370" s="13"/>
      <c r="M34370" s="13"/>
    </row>
    <row r="34371">
      <c r="F34371" s="13"/>
      <c r="M34371" s="13"/>
    </row>
    <row r="34372">
      <c r="F34372" s="13"/>
      <c r="M34372" s="13"/>
    </row>
    <row r="34373">
      <c r="F34373" s="13"/>
      <c r="M34373" s="13"/>
    </row>
    <row r="34374">
      <c r="F34374" s="13"/>
      <c r="M34374" s="13"/>
    </row>
    <row r="34375">
      <c r="F34375" s="13"/>
      <c r="M34375" s="13"/>
    </row>
    <row r="34376">
      <c r="F34376" s="13"/>
      <c r="M34376" s="13"/>
    </row>
    <row r="34377">
      <c r="F34377" s="13"/>
      <c r="M34377" s="13"/>
    </row>
    <row r="34378">
      <c r="F34378" s="13"/>
      <c r="M34378" s="13"/>
    </row>
    <row r="34379">
      <c r="F34379" s="13"/>
      <c r="M34379" s="13"/>
    </row>
    <row r="34380">
      <c r="F34380" s="13"/>
      <c r="M34380" s="13"/>
    </row>
    <row r="34381">
      <c r="F34381" s="13"/>
      <c r="M34381" s="13"/>
    </row>
    <row r="34382">
      <c r="F34382" s="13"/>
      <c r="M34382" s="13"/>
    </row>
    <row r="34383">
      <c r="F34383" s="13"/>
      <c r="M34383" s="13"/>
    </row>
    <row r="34384">
      <c r="F34384" s="13"/>
      <c r="M34384" s="13"/>
    </row>
    <row r="34385">
      <c r="F34385" s="13"/>
      <c r="M34385" s="13"/>
    </row>
    <row r="34386">
      <c r="F34386" s="13"/>
      <c r="M34386" s="13"/>
    </row>
    <row r="34387">
      <c r="F34387" s="13"/>
      <c r="M34387" s="13"/>
    </row>
    <row r="34388">
      <c r="F34388" s="13"/>
      <c r="M34388" s="13"/>
    </row>
    <row r="34389">
      <c r="F34389" s="13"/>
      <c r="M34389" s="13"/>
    </row>
    <row r="34390">
      <c r="F34390" s="13"/>
      <c r="M34390" s="13"/>
    </row>
    <row r="34391">
      <c r="F34391" s="13"/>
      <c r="M34391" s="13"/>
    </row>
    <row r="34392">
      <c r="F34392" s="13"/>
      <c r="M34392" s="13"/>
    </row>
    <row r="34393">
      <c r="F34393" s="13"/>
      <c r="M34393" s="13"/>
    </row>
    <row r="34394">
      <c r="F34394" s="13"/>
      <c r="M34394" s="13"/>
    </row>
    <row r="34395">
      <c r="F34395" s="13"/>
      <c r="M34395" s="13"/>
    </row>
    <row r="34396">
      <c r="F34396" s="13"/>
      <c r="M34396" s="13"/>
    </row>
    <row r="34397">
      <c r="F34397" s="13"/>
      <c r="M34397" s="13"/>
    </row>
    <row r="34398">
      <c r="F34398" s="13"/>
      <c r="M34398" s="13"/>
    </row>
    <row r="34399">
      <c r="F34399" s="13"/>
      <c r="M34399" s="13"/>
    </row>
    <row r="34400">
      <c r="F34400" s="13"/>
      <c r="M34400" s="13"/>
    </row>
    <row r="34401">
      <c r="F34401" s="13"/>
      <c r="M34401" s="13"/>
    </row>
    <row r="34402">
      <c r="F34402" s="13"/>
      <c r="M34402" s="13"/>
    </row>
    <row r="34403">
      <c r="F34403" s="13"/>
      <c r="M34403" s="13"/>
    </row>
    <row r="34404">
      <c r="F34404" s="13"/>
      <c r="M34404" s="13"/>
    </row>
    <row r="34405">
      <c r="F34405" s="13"/>
      <c r="M34405" s="13"/>
    </row>
    <row r="34406">
      <c r="F34406" s="13"/>
      <c r="M34406" s="13"/>
    </row>
    <row r="34407">
      <c r="F34407" s="13"/>
      <c r="M34407" s="13"/>
    </row>
    <row r="34408">
      <c r="F34408" s="13"/>
      <c r="M34408" s="13"/>
    </row>
    <row r="34409">
      <c r="F34409" s="13"/>
      <c r="M34409" s="13"/>
    </row>
    <row r="34410">
      <c r="F34410" s="13"/>
      <c r="M34410" s="13"/>
    </row>
    <row r="34411">
      <c r="F34411" s="13"/>
      <c r="M34411" s="13"/>
    </row>
    <row r="34412">
      <c r="F34412" s="13"/>
      <c r="M34412" s="13"/>
    </row>
    <row r="34413">
      <c r="F34413" s="13"/>
      <c r="M34413" s="13"/>
    </row>
    <row r="34414">
      <c r="F34414" s="13"/>
      <c r="M34414" s="13"/>
    </row>
    <row r="34415">
      <c r="F34415" s="13"/>
      <c r="M34415" s="13"/>
    </row>
    <row r="34416">
      <c r="F34416" s="13"/>
      <c r="M34416" s="13"/>
    </row>
    <row r="34417">
      <c r="F34417" s="13"/>
      <c r="M34417" s="13"/>
    </row>
    <row r="34418">
      <c r="F34418" s="13"/>
      <c r="M34418" s="13"/>
    </row>
    <row r="34419">
      <c r="F34419" s="13"/>
      <c r="M34419" s="13"/>
    </row>
    <row r="34420">
      <c r="F34420" s="13"/>
      <c r="M34420" s="13"/>
    </row>
    <row r="34421">
      <c r="F34421" s="13"/>
      <c r="M34421" s="13"/>
    </row>
    <row r="34422">
      <c r="F34422" s="13"/>
      <c r="M34422" s="13"/>
    </row>
    <row r="34423">
      <c r="F34423" s="13"/>
      <c r="M34423" s="13"/>
    </row>
    <row r="34424">
      <c r="F34424" s="13"/>
      <c r="M34424" s="13"/>
    </row>
    <row r="34425">
      <c r="F34425" s="13"/>
      <c r="M34425" s="13"/>
    </row>
    <row r="34426">
      <c r="F34426" s="13"/>
      <c r="M34426" s="13"/>
    </row>
    <row r="34427">
      <c r="F34427" s="13"/>
      <c r="M34427" s="13"/>
    </row>
    <row r="34428">
      <c r="F34428" s="13"/>
      <c r="M34428" s="13"/>
    </row>
    <row r="34429">
      <c r="F34429" s="13"/>
      <c r="M34429" s="13"/>
    </row>
    <row r="34430">
      <c r="F34430" s="13"/>
      <c r="M34430" s="13"/>
    </row>
    <row r="34431">
      <c r="F34431" s="13"/>
      <c r="M34431" s="13"/>
    </row>
    <row r="34432">
      <c r="F34432" s="13"/>
      <c r="M34432" s="13"/>
    </row>
    <row r="34433">
      <c r="F34433" s="13"/>
      <c r="M34433" s="13"/>
    </row>
    <row r="34434">
      <c r="F34434" s="13"/>
      <c r="M34434" s="13"/>
    </row>
    <row r="34435">
      <c r="F34435" s="13"/>
      <c r="M34435" s="13"/>
    </row>
    <row r="34436">
      <c r="F34436" s="13"/>
      <c r="M34436" s="13"/>
    </row>
    <row r="34437">
      <c r="F34437" s="13"/>
      <c r="M34437" s="13"/>
    </row>
    <row r="34438">
      <c r="F34438" s="13"/>
      <c r="M34438" s="13"/>
    </row>
    <row r="34439">
      <c r="F34439" s="13"/>
      <c r="M34439" s="13"/>
    </row>
    <row r="34440">
      <c r="F34440" s="13"/>
      <c r="M34440" s="13"/>
    </row>
    <row r="34441">
      <c r="F34441" s="13"/>
      <c r="M34441" s="13"/>
    </row>
    <row r="34442">
      <c r="F34442" s="13"/>
      <c r="M34442" s="13"/>
    </row>
    <row r="34443">
      <c r="F34443" s="13"/>
      <c r="M34443" s="13"/>
    </row>
    <row r="34444">
      <c r="F34444" s="13"/>
      <c r="M34444" s="13"/>
    </row>
    <row r="34445">
      <c r="F34445" s="13"/>
      <c r="M34445" s="13"/>
    </row>
    <row r="34446">
      <c r="F34446" s="13"/>
      <c r="M34446" s="13"/>
    </row>
    <row r="34447">
      <c r="F34447" s="13"/>
      <c r="M34447" s="13"/>
    </row>
    <row r="34448">
      <c r="F34448" s="13"/>
      <c r="M34448" s="13"/>
    </row>
    <row r="34449">
      <c r="F34449" s="13"/>
      <c r="M34449" s="13"/>
    </row>
    <row r="34450">
      <c r="F34450" s="13"/>
      <c r="M34450" s="13"/>
    </row>
    <row r="34451">
      <c r="F34451" s="13"/>
      <c r="M34451" s="13"/>
    </row>
    <row r="34452">
      <c r="F34452" s="13"/>
      <c r="M34452" s="13"/>
    </row>
    <row r="34453">
      <c r="F34453" s="13"/>
      <c r="M34453" s="13"/>
    </row>
    <row r="34454">
      <c r="F34454" s="13"/>
      <c r="M34454" s="13"/>
    </row>
    <row r="34455">
      <c r="F34455" s="13"/>
      <c r="M34455" s="13"/>
    </row>
    <row r="34456">
      <c r="F34456" s="13"/>
      <c r="M34456" s="13"/>
    </row>
    <row r="34457">
      <c r="F34457" s="13"/>
      <c r="M34457" s="13"/>
    </row>
    <row r="34458">
      <c r="F34458" s="13"/>
      <c r="M34458" s="13"/>
    </row>
    <row r="34459">
      <c r="F34459" s="13"/>
      <c r="M34459" s="13"/>
    </row>
    <row r="34460">
      <c r="F34460" s="13"/>
      <c r="M34460" s="13"/>
    </row>
    <row r="34461">
      <c r="F34461" s="13"/>
      <c r="M34461" s="13"/>
    </row>
    <row r="34462">
      <c r="F34462" s="13"/>
      <c r="M34462" s="13"/>
    </row>
    <row r="34463">
      <c r="F34463" s="13"/>
      <c r="M34463" s="13"/>
    </row>
    <row r="34464">
      <c r="F34464" s="13"/>
      <c r="M34464" s="13"/>
    </row>
    <row r="34465">
      <c r="F34465" s="13"/>
      <c r="M34465" s="13"/>
    </row>
    <row r="34466">
      <c r="F34466" s="13"/>
      <c r="M34466" s="13"/>
    </row>
    <row r="34467">
      <c r="F34467" s="13"/>
      <c r="M34467" s="13"/>
    </row>
    <row r="34468">
      <c r="F34468" s="13"/>
      <c r="M34468" s="13"/>
    </row>
    <row r="34469">
      <c r="F34469" s="13"/>
      <c r="M34469" s="13"/>
    </row>
    <row r="34470">
      <c r="F34470" s="13"/>
      <c r="M34470" s="13"/>
    </row>
    <row r="34471">
      <c r="F34471" s="13"/>
      <c r="M34471" s="13"/>
    </row>
    <row r="34472">
      <c r="F34472" s="13"/>
      <c r="M34472" s="13"/>
    </row>
    <row r="34473">
      <c r="F34473" s="13"/>
      <c r="M34473" s="13"/>
    </row>
    <row r="34474">
      <c r="F34474" s="13"/>
      <c r="M34474" s="13"/>
    </row>
    <row r="34475">
      <c r="F34475" s="13"/>
      <c r="M34475" s="13"/>
    </row>
    <row r="34476">
      <c r="F34476" s="13"/>
      <c r="M34476" s="13"/>
    </row>
    <row r="34477">
      <c r="F34477" s="13"/>
      <c r="M34477" s="13"/>
    </row>
    <row r="34478">
      <c r="F34478" s="13"/>
      <c r="M34478" s="13"/>
    </row>
    <row r="34479">
      <c r="F34479" s="13"/>
      <c r="M34479" s="13"/>
    </row>
    <row r="34480">
      <c r="F34480" s="13"/>
      <c r="M34480" s="13"/>
    </row>
    <row r="34481">
      <c r="F34481" s="13"/>
      <c r="M34481" s="13"/>
    </row>
    <row r="34482">
      <c r="F34482" s="13"/>
      <c r="M34482" s="13"/>
    </row>
    <row r="34483">
      <c r="F34483" s="13"/>
      <c r="M34483" s="13"/>
    </row>
    <row r="34484">
      <c r="F34484" s="13"/>
      <c r="M34484" s="13"/>
    </row>
    <row r="34485">
      <c r="F34485" s="13"/>
      <c r="M34485" s="13"/>
    </row>
    <row r="34486">
      <c r="F34486" s="13"/>
      <c r="M34486" s="13"/>
    </row>
    <row r="34487">
      <c r="F34487" s="13"/>
      <c r="M34487" s="13"/>
    </row>
    <row r="34488">
      <c r="F34488" s="13"/>
      <c r="M34488" s="13"/>
    </row>
    <row r="34489">
      <c r="F34489" s="13"/>
      <c r="M34489" s="13"/>
    </row>
    <row r="34490">
      <c r="F34490" s="13"/>
      <c r="M34490" s="13"/>
    </row>
    <row r="34491">
      <c r="F34491" s="13"/>
      <c r="M34491" s="13"/>
    </row>
    <row r="34492">
      <c r="F34492" s="13"/>
      <c r="M34492" s="13"/>
    </row>
    <row r="34493">
      <c r="F34493" s="13"/>
      <c r="M34493" s="13"/>
    </row>
    <row r="34494">
      <c r="F34494" s="13"/>
      <c r="M34494" s="13"/>
    </row>
    <row r="34495">
      <c r="F34495" s="13"/>
      <c r="M34495" s="13"/>
    </row>
    <row r="34496">
      <c r="F34496" s="13"/>
      <c r="M34496" s="13"/>
    </row>
    <row r="34497">
      <c r="F34497" s="13"/>
      <c r="M34497" s="13"/>
    </row>
    <row r="34498">
      <c r="F34498" s="13"/>
      <c r="M34498" s="13"/>
    </row>
    <row r="34499">
      <c r="F34499" s="13"/>
      <c r="M34499" s="13"/>
    </row>
    <row r="34500">
      <c r="F34500" s="13"/>
      <c r="M34500" s="13"/>
    </row>
    <row r="34501">
      <c r="F34501" s="13"/>
      <c r="M34501" s="13"/>
    </row>
    <row r="34502">
      <c r="F34502" s="13"/>
      <c r="M34502" s="13"/>
    </row>
    <row r="34503">
      <c r="F34503" s="13"/>
      <c r="M34503" s="13"/>
    </row>
    <row r="34504">
      <c r="F34504" s="13"/>
      <c r="M34504" s="13"/>
    </row>
    <row r="34505">
      <c r="F34505" s="13"/>
      <c r="M34505" s="13"/>
    </row>
    <row r="34506">
      <c r="F34506" s="13"/>
      <c r="M34506" s="13"/>
    </row>
    <row r="34507">
      <c r="F34507" s="13"/>
      <c r="M34507" s="13"/>
    </row>
    <row r="34508">
      <c r="F34508" s="13"/>
      <c r="M34508" s="13"/>
    </row>
    <row r="34509">
      <c r="F34509" s="13"/>
      <c r="M34509" s="13"/>
    </row>
    <row r="34510">
      <c r="F34510" s="13"/>
      <c r="M34510" s="13"/>
    </row>
    <row r="34511">
      <c r="F34511" s="13"/>
      <c r="M34511" s="13"/>
    </row>
    <row r="34512">
      <c r="F34512" s="13"/>
      <c r="M34512" s="13"/>
    </row>
    <row r="34513">
      <c r="F34513" s="13"/>
      <c r="M34513" s="13"/>
    </row>
    <row r="34514">
      <c r="F34514" s="13"/>
      <c r="M34514" s="13"/>
    </row>
    <row r="34515">
      <c r="F34515" s="13"/>
      <c r="M34515" s="13"/>
    </row>
    <row r="34516">
      <c r="F34516" s="13"/>
      <c r="M34516" s="13"/>
    </row>
    <row r="34517">
      <c r="F34517" s="13"/>
      <c r="M34517" s="13"/>
    </row>
    <row r="34518">
      <c r="F34518" s="13"/>
      <c r="M34518" s="13"/>
    </row>
    <row r="34519">
      <c r="F34519" s="13"/>
      <c r="M34519" s="13"/>
    </row>
    <row r="34520">
      <c r="F34520" s="13"/>
      <c r="M34520" s="13"/>
    </row>
    <row r="34521">
      <c r="F34521" s="13"/>
      <c r="M34521" s="13"/>
    </row>
    <row r="34522">
      <c r="F34522" s="13"/>
      <c r="M34522" s="13"/>
    </row>
    <row r="34523">
      <c r="F34523" s="13"/>
      <c r="M34523" s="13"/>
    </row>
    <row r="34524">
      <c r="F34524" s="13"/>
      <c r="M34524" s="13"/>
    </row>
    <row r="34525">
      <c r="F34525" s="13"/>
      <c r="M34525" s="13"/>
    </row>
    <row r="34526">
      <c r="F34526" s="13"/>
      <c r="M34526" s="13"/>
    </row>
    <row r="34527">
      <c r="F34527" s="13"/>
      <c r="M34527" s="13"/>
    </row>
    <row r="34528">
      <c r="F34528" s="13"/>
      <c r="M34528" s="13"/>
    </row>
    <row r="34529">
      <c r="F34529" s="13"/>
      <c r="M34529" s="13"/>
    </row>
    <row r="34530">
      <c r="F34530" s="13"/>
      <c r="M34530" s="13"/>
    </row>
    <row r="34531">
      <c r="F34531" s="13"/>
      <c r="M34531" s="13"/>
    </row>
    <row r="34532">
      <c r="F34532" s="13"/>
      <c r="M34532" s="13"/>
    </row>
    <row r="34533">
      <c r="F34533" s="13"/>
      <c r="M34533" s="13"/>
    </row>
    <row r="34534">
      <c r="F34534" s="13"/>
      <c r="M34534" s="13"/>
    </row>
    <row r="34535">
      <c r="F34535" s="13"/>
      <c r="M34535" s="13"/>
    </row>
    <row r="34536">
      <c r="F34536" s="13"/>
      <c r="M34536" s="13"/>
    </row>
    <row r="34537">
      <c r="F34537" s="13"/>
      <c r="M34537" s="13"/>
    </row>
    <row r="34538">
      <c r="F34538" s="13"/>
      <c r="M34538" s="13"/>
    </row>
    <row r="34539">
      <c r="F34539" s="13"/>
      <c r="M34539" s="13"/>
    </row>
    <row r="34540">
      <c r="F34540" s="13"/>
      <c r="M34540" s="13"/>
    </row>
    <row r="34541">
      <c r="F34541" s="13"/>
      <c r="M34541" s="13"/>
    </row>
    <row r="34542">
      <c r="F34542" s="13"/>
      <c r="M34542" s="13"/>
    </row>
    <row r="34543">
      <c r="F34543" s="13"/>
      <c r="M34543" s="13"/>
    </row>
    <row r="34544">
      <c r="F34544" s="13"/>
      <c r="M34544" s="13"/>
    </row>
    <row r="34545">
      <c r="F34545" s="13"/>
      <c r="M34545" s="13"/>
    </row>
    <row r="34546">
      <c r="F34546" s="13"/>
      <c r="M34546" s="13"/>
    </row>
    <row r="34547">
      <c r="F34547" s="13"/>
      <c r="M34547" s="13"/>
    </row>
    <row r="34548">
      <c r="F34548" s="13"/>
      <c r="M34548" s="13"/>
    </row>
    <row r="34549">
      <c r="F34549" s="13"/>
      <c r="M34549" s="13"/>
    </row>
    <row r="34550">
      <c r="F34550" s="13"/>
      <c r="M34550" s="13"/>
    </row>
    <row r="34551">
      <c r="F34551" s="13"/>
      <c r="M34551" s="13"/>
    </row>
    <row r="34552">
      <c r="F34552" s="13"/>
      <c r="M34552" s="13"/>
    </row>
    <row r="34553">
      <c r="F34553" s="13"/>
      <c r="M34553" s="13"/>
    </row>
    <row r="34554">
      <c r="F34554" s="13"/>
      <c r="M34554" s="13"/>
    </row>
    <row r="34555">
      <c r="F34555" s="13"/>
      <c r="M34555" s="13"/>
    </row>
    <row r="34556">
      <c r="F34556" s="13"/>
      <c r="M34556" s="13"/>
    </row>
    <row r="34557">
      <c r="F34557" s="13"/>
      <c r="M34557" s="13"/>
    </row>
    <row r="34558">
      <c r="F34558" s="13"/>
      <c r="M34558" s="13"/>
    </row>
    <row r="34559">
      <c r="F34559" s="13"/>
      <c r="M34559" s="13"/>
    </row>
    <row r="34560">
      <c r="F34560" s="13"/>
      <c r="M34560" s="13"/>
    </row>
    <row r="34561">
      <c r="F34561" s="13"/>
      <c r="M34561" s="13"/>
    </row>
    <row r="34562">
      <c r="F34562" s="13"/>
      <c r="M34562" s="13"/>
    </row>
    <row r="34563">
      <c r="F34563" s="13"/>
      <c r="M34563" s="13"/>
    </row>
    <row r="34564">
      <c r="F34564" s="13"/>
      <c r="M34564" s="13"/>
    </row>
    <row r="34565">
      <c r="F34565" s="13"/>
      <c r="M34565" s="13"/>
    </row>
    <row r="34566">
      <c r="F34566" s="13"/>
      <c r="M34566" s="13"/>
    </row>
    <row r="34567">
      <c r="F34567" s="13"/>
      <c r="M34567" s="13"/>
    </row>
    <row r="34568">
      <c r="F34568" s="13"/>
      <c r="M34568" s="13"/>
    </row>
    <row r="34569">
      <c r="F34569" s="13"/>
      <c r="M34569" s="13"/>
    </row>
    <row r="34570">
      <c r="F34570" s="13"/>
      <c r="M34570" s="13"/>
    </row>
    <row r="34571">
      <c r="F34571" s="13"/>
      <c r="M34571" s="13"/>
    </row>
    <row r="34572">
      <c r="F34572" s="13"/>
      <c r="M34572" s="13"/>
    </row>
    <row r="34573">
      <c r="F34573" s="13"/>
      <c r="M34573" s="13"/>
    </row>
    <row r="34574">
      <c r="F34574" s="13"/>
      <c r="M34574" s="13"/>
    </row>
    <row r="34575">
      <c r="F34575" s="13"/>
      <c r="M34575" s="13"/>
    </row>
    <row r="34576">
      <c r="F34576" s="13"/>
      <c r="M34576" s="13"/>
    </row>
    <row r="34577">
      <c r="F34577" s="13"/>
      <c r="M34577" s="13"/>
    </row>
    <row r="34578">
      <c r="F34578" s="13"/>
      <c r="M34578" s="13"/>
    </row>
    <row r="34579">
      <c r="F34579" s="13"/>
      <c r="M34579" s="13"/>
    </row>
    <row r="34580">
      <c r="F34580" s="13"/>
      <c r="M34580" s="13"/>
    </row>
    <row r="34581">
      <c r="F34581" s="13"/>
      <c r="M34581" s="13"/>
    </row>
    <row r="34582">
      <c r="F34582" s="13"/>
      <c r="M34582" s="13"/>
    </row>
    <row r="34583">
      <c r="F34583" s="13"/>
      <c r="M34583" s="13"/>
    </row>
    <row r="34584">
      <c r="F34584" s="13"/>
      <c r="M34584" s="13"/>
    </row>
    <row r="34585">
      <c r="F34585" s="13"/>
      <c r="M34585" s="13"/>
    </row>
    <row r="34586">
      <c r="F34586" s="13"/>
      <c r="M34586" s="13"/>
    </row>
    <row r="34587">
      <c r="F34587" s="13"/>
      <c r="M34587" s="13"/>
    </row>
    <row r="34588">
      <c r="F34588" s="13"/>
      <c r="M34588" s="13"/>
    </row>
    <row r="34589">
      <c r="F34589" s="13"/>
      <c r="M34589" s="13"/>
    </row>
    <row r="34590">
      <c r="F34590" s="13"/>
      <c r="M34590" s="13"/>
    </row>
    <row r="34591">
      <c r="F34591" s="13"/>
      <c r="M34591" s="13"/>
    </row>
    <row r="34592">
      <c r="F34592" s="13"/>
      <c r="M34592" s="13"/>
    </row>
    <row r="34593">
      <c r="F34593" s="13"/>
      <c r="M34593" s="13"/>
    </row>
    <row r="34594">
      <c r="F34594" s="13"/>
      <c r="M34594" s="13"/>
    </row>
    <row r="34595">
      <c r="F34595" s="13"/>
      <c r="M34595" s="13"/>
    </row>
    <row r="34596">
      <c r="F34596" s="13"/>
      <c r="M34596" s="13"/>
    </row>
    <row r="34597">
      <c r="F34597" s="13"/>
      <c r="M34597" s="13"/>
    </row>
    <row r="34598">
      <c r="F34598" s="13"/>
      <c r="M34598" s="13"/>
    </row>
    <row r="34599">
      <c r="F34599" s="13"/>
      <c r="M34599" s="13"/>
    </row>
    <row r="34600">
      <c r="F34600" s="13"/>
      <c r="M34600" s="13"/>
    </row>
    <row r="34601">
      <c r="F34601" s="13"/>
      <c r="M34601" s="13"/>
    </row>
    <row r="34602">
      <c r="F34602" s="13"/>
      <c r="M34602" s="13"/>
    </row>
    <row r="34603">
      <c r="F34603" s="13"/>
      <c r="M34603" s="13"/>
    </row>
    <row r="34604">
      <c r="F34604" s="13"/>
      <c r="M34604" s="13"/>
    </row>
    <row r="34605">
      <c r="F34605" s="13"/>
      <c r="M34605" s="13"/>
    </row>
    <row r="34606">
      <c r="F34606" s="13"/>
      <c r="M34606" s="13"/>
    </row>
    <row r="34607">
      <c r="F34607" s="13"/>
      <c r="M34607" s="13"/>
    </row>
    <row r="34608">
      <c r="F34608" s="13"/>
      <c r="M34608" s="13"/>
    </row>
    <row r="34609">
      <c r="F34609" s="13"/>
      <c r="M34609" s="13"/>
    </row>
    <row r="34610">
      <c r="F34610" s="13"/>
      <c r="M34610" s="13"/>
    </row>
    <row r="34611">
      <c r="F34611" s="13"/>
      <c r="M34611" s="13"/>
    </row>
    <row r="34612">
      <c r="F34612" s="13"/>
      <c r="M34612" s="13"/>
    </row>
    <row r="34613">
      <c r="F34613" s="13"/>
      <c r="M34613" s="13"/>
    </row>
    <row r="34614">
      <c r="F34614" s="13"/>
      <c r="M34614" s="13"/>
    </row>
    <row r="34615">
      <c r="F34615" s="13"/>
      <c r="M34615" s="13"/>
    </row>
    <row r="34616">
      <c r="F34616" s="13"/>
      <c r="M34616" s="13"/>
    </row>
    <row r="34617">
      <c r="F34617" s="13"/>
      <c r="M34617" s="13"/>
    </row>
    <row r="34618">
      <c r="F34618" s="13"/>
      <c r="M34618" s="13"/>
    </row>
    <row r="34619">
      <c r="F34619" s="13"/>
      <c r="M34619" s="13"/>
    </row>
    <row r="34620">
      <c r="F34620" s="13"/>
      <c r="M34620" s="13"/>
    </row>
    <row r="34621">
      <c r="F34621" s="13"/>
      <c r="M34621" s="13"/>
    </row>
    <row r="34622">
      <c r="F34622" s="13"/>
      <c r="M34622" s="13"/>
    </row>
    <row r="34623">
      <c r="F34623" s="13"/>
      <c r="M34623" s="13"/>
    </row>
    <row r="34624">
      <c r="F34624" s="13"/>
      <c r="M34624" s="13"/>
    </row>
    <row r="34625">
      <c r="F34625" s="13"/>
      <c r="M34625" s="13"/>
    </row>
    <row r="34626">
      <c r="F34626" s="13"/>
      <c r="M34626" s="13"/>
    </row>
    <row r="34627">
      <c r="F34627" s="13"/>
      <c r="M34627" s="13"/>
    </row>
    <row r="34628">
      <c r="F34628" s="13"/>
      <c r="M34628" s="13"/>
    </row>
    <row r="34629">
      <c r="F34629" s="13"/>
      <c r="M34629" s="13"/>
    </row>
    <row r="34630">
      <c r="F34630" s="13"/>
      <c r="M34630" s="13"/>
    </row>
    <row r="34631">
      <c r="F34631" s="13"/>
      <c r="M34631" s="13"/>
    </row>
    <row r="34632">
      <c r="F34632" s="13"/>
      <c r="M34632" s="13"/>
    </row>
    <row r="34633">
      <c r="F34633" s="13"/>
      <c r="M34633" s="13"/>
    </row>
    <row r="34634">
      <c r="F34634" s="13"/>
      <c r="M34634" s="13"/>
    </row>
    <row r="34635">
      <c r="F34635" s="13"/>
      <c r="M34635" s="13"/>
    </row>
    <row r="34636">
      <c r="F34636" s="13"/>
      <c r="M34636" s="13"/>
    </row>
    <row r="34637">
      <c r="F34637" s="13"/>
      <c r="M34637" s="13"/>
    </row>
    <row r="34638">
      <c r="F34638" s="13"/>
      <c r="M34638" s="13"/>
    </row>
    <row r="34639">
      <c r="F34639" s="13"/>
      <c r="M34639" s="13"/>
    </row>
    <row r="34640">
      <c r="F34640" s="13"/>
      <c r="M34640" s="13"/>
    </row>
    <row r="34641">
      <c r="F34641" s="13"/>
      <c r="M34641" s="13"/>
    </row>
    <row r="34642">
      <c r="F34642" s="13"/>
      <c r="M34642" s="13"/>
    </row>
    <row r="34643">
      <c r="F34643" s="13"/>
      <c r="M34643" s="13"/>
    </row>
    <row r="34644">
      <c r="F34644" s="13"/>
      <c r="M34644" s="13"/>
    </row>
    <row r="34645">
      <c r="F34645" s="13"/>
      <c r="M34645" s="13"/>
    </row>
    <row r="34646">
      <c r="F34646" s="13"/>
      <c r="M34646" s="13"/>
    </row>
    <row r="34647">
      <c r="F34647" s="13"/>
      <c r="M34647" s="13"/>
    </row>
    <row r="34648">
      <c r="F34648" s="13"/>
      <c r="M34648" s="13"/>
    </row>
    <row r="34649">
      <c r="F34649" s="13"/>
      <c r="M34649" s="13"/>
    </row>
    <row r="34650">
      <c r="F34650" s="13"/>
      <c r="M34650" s="13"/>
    </row>
    <row r="34651">
      <c r="F34651" s="13"/>
      <c r="M34651" s="13"/>
    </row>
    <row r="34652">
      <c r="F34652" s="13"/>
      <c r="M34652" s="13"/>
    </row>
    <row r="34653">
      <c r="F34653" s="13"/>
      <c r="M34653" s="13"/>
    </row>
    <row r="34654">
      <c r="F34654" s="13"/>
      <c r="M34654" s="13"/>
    </row>
    <row r="34655">
      <c r="F34655" s="13"/>
      <c r="M34655" s="13"/>
    </row>
    <row r="34656">
      <c r="F34656" s="13"/>
      <c r="M34656" s="13"/>
    </row>
    <row r="34657">
      <c r="F34657" s="13"/>
      <c r="M34657" s="13"/>
    </row>
    <row r="34658">
      <c r="F34658" s="13"/>
      <c r="M34658" s="13"/>
    </row>
    <row r="34659">
      <c r="F34659" s="13"/>
      <c r="M34659" s="13"/>
    </row>
    <row r="34660">
      <c r="F34660" s="13"/>
      <c r="M34660" s="13"/>
    </row>
    <row r="34661">
      <c r="F34661" s="13"/>
      <c r="M34661" s="13"/>
    </row>
    <row r="34662">
      <c r="F34662" s="13"/>
      <c r="M34662" s="13"/>
    </row>
    <row r="34663">
      <c r="F34663" s="13"/>
      <c r="M34663" s="13"/>
    </row>
    <row r="34664">
      <c r="F34664" s="13"/>
      <c r="M34664" s="13"/>
    </row>
    <row r="34665">
      <c r="F34665" s="13"/>
      <c r="M34665" s="13"/>
    </row>
    <row r="34666">
      <c r="F34666" s="13"/>
      <c r="M34666" s="13"/>
    </row>
    <row r="34667">
      <c r="F34667" s="13"/>
      <c r="M34667" s="13"/>
    </row>
    <row r="34668">
      <c r="F34668" s="13"/>
      <c r="M34668" s="13"/>
    </row>
    <row r="34669">
      <c r="F34669" s="13"/>
      <c r="M34669" s="13"/>
    </row>
    <row r="34670">
      <c r="F34670" s="13"/>
      <c r="M34670" s="13"/>
    </row>
    <row r="34671">
      <c r="F34671" s="13"/>
      <c r="M34671" s="13"/>
    </row>
    <row r="34672">
      <c r="F34672" s="13"/>
      <c r="M34672" s="13"/>
    </row>
    <row r="34673">
      <c r="F34673" s="13"/>
      <c r="M34673" s="13"/>
    </row>
    <row r="34674">
      <c r="F34674" s="13"/>
      <c r="M34674" s="13"/>
    </row>
    <row r="34675">
      <c r="F34675" s="13"/>
      <c r="M34675" s="13"/>
    </row>
    <row r="34676">
      <c r="F34676" s="13"/>
      <c r="M34676" s="13"/>
    </row>
    <row r="34677">
      <c r="F34677" s="13"/>
      <c r="M34677" s="13"/>
    </row>
    <row r="34678">
      <c r="F34678" s="13"/>
      <c r="M34678" s="13"/>
    </row>
    <row r="34679">
      <c r="F34679" s="13"/>
      <c r="M34679" s="13"/>
    </row>
    <row r="34680">
      <c r="F34680" s="13"/>
      <c r="M34680" s="13"/>
    </row>
    <row r="34681">
      <c r="F34681" s="13"/>
      <c r="M34681" s="13"/>
    </row>
    <row r="34682">
      <c r="F34682" s="13"/>
      <c r="M34682" s="13"/>
    </row>
    <row r="34683">
      <c r="F34683" s="13"/>
      <c r="M34683" s="13"/>
    </row>
    <row r="34684">
      <c r="F34684" s="13"/>
      <c r="M34684" s="13"/>
    </row>
    <row r="34685">
      <c r="F34685" s="13"/>
      <c r="M34685" s="13"/>
    </row>
    <row r="34686">
      <c r="F34686" s="13"/>
      <c r="M34686" s="13"/>
    </row>
    <row r="34687">
      <c r="F34687" s="13"/>
      <c r="M34687" s="13"/>
    </row>
    <row r="34688">
      <c r="F34688" s="13"/>
      <c r="M34688" s="13"/>
    </row>
    <row r="34689">
      <c r="F34689" s="13"/>
      <c r="M34689" s="13"/>
    </row>
    <row r="34690">
      <c r="F34690" s="13"/>
      <c r="M34690" s="13"/>
    </row>
    <row r="34691">
      <c r="F34691" s="13"/>
      <c r="M34691" s="13"/>
    </row>
    <row r="34692">
      <c r="F34692" s="13"/>
      <c r="M34692" s="13"/>
    </row>
    <row r="34693">
      <c r="F34693" s="13"/>
      <c r="M34693" s="13"/>
    </row>
    <row r="34694">
      <c r="F34694" s="13"/>
      <c r="M34694" s="13"/>
    </row>
    <row r="34695">
      <c r="F34695" s="13"/>
      <c r="M34695" s="13"/>
    </row>
    <row r="34696">
      <c r="F34696" s="13"/>
      <c r="M34696" s="13"/>
    </row>
    <row r="34697">
      <c r="F34697" s="13"/>
      <c r="M34697" s="13"/>
    </row>
    <row r="34698">
      <c r="F34698" s="13"/>
      <c r="M34698" s="13"/>
    </row>
    <row r="34699">
      <c r="F34699" s="13"/>
      <c r="M34699" s="13"/>
    </row>
    <row r="34700">
      <c r="F34700" s="13"/>
      <c r="M34700" s="13"/>
    </row>
    <row r="34701">
      <c r="F34701" s="13"/>
      <c r="M34701" s="13"/>
    </row>
    <row r="34702">
      <c r="F34702" s="13"/>
      <c r="M34702" s="13"/>
    </row>
    <row r="34703">
      <c r="F34703" s="13"/>
      <c r="M34703" s="13"/>
    </row>
    <row r="34704">
      <c r="F34704" s="13"/>
      <c r="M34704" s="13"/>
    </row>
    <row r="34705">
      <c r="F34705" s="13"/>
      <c r="M34705" s="13"/>
    </row>
    <row r="34706">
      <c r="F34706" s="13"/>
      <c r="M34706" s="13"/>
    </row>
    <row r="34707">
      <c r="F34707" s="13"/>
      <c r="M34707" s="13"/>
    </row>
    <row r="34708">
      <c r="F34708" s="13"/>
      <c r="M34708" s="13"/>
    </row>
    <row r="34709">
      <c r="F34709" s="13"/>
      <c r="M34709" s="13"/>
    </row>
    <row r="34710">
      <c r="F34710" s="13"/>
      <c r="M34710" s="13"/>
    </row>
    <row r="34711">
      <c r="F34711" s="13"/>
      <c r="M34711" s="13"/>
    </row>
    <row r="34712">
      <c r="F34712" s="13"/>
      <c r="M34712" s="13"/>
    </row>
    <row r="34713">
      <c r="F34713" s="13"/>
      <c r="M34713" s="13"/>
    </row>
    <row r="34714">
      <c r="F34714" s="13"/>
      <c r="M34714" s="13"/>
    </row>
    <row r="34715">
      <c r="F34715" s="13"/>
      <c r="M34715" s="13"/>
    </row>
    <row r="34716">
      <c r="F34716" s="13"/>
      <c r="M34716" s="13"/>
    </row>
    <row r="34717">
      <c r="F34717" s="13"/>
      <c r="M34717" s="13"/>
    </row>
    <row r="34718">
      <c r="F34718" s="13"/>
      <c r="M34718" s="13"/>
    </row>
    <row r="34719">
      <c r="F34719" s="13"/>
      <c r="M34719" s="13"/>
    </row>
    <row r="34720">
      <c r="F34720" s="13"/>
      <c r="M34720" s="13"/>
    </row>
    <row r="34721">
      <c r="F34721" s="13"/>
      <c r="M34721" s="13"/>
    </row>
    <row r="34722">
      <c r="F34722" s="13"/>
      <c r="M34722" s="13"/>
    </row>
    <row r="34723">
      <c r="F34723" s="13"/>
      <c r="M34723" s="13"/>
    </row>
    <row r="34724">
      <c r="F34724" s="13"/>
      <c r="M34724" s="13"/>
    </row>
    <row r="34725">
      <c r="F34725" s="13"/>
      <c r="M34725" s="13"/>
    </row>
    <row r="34726">
      <c r="F34726" s="13"/>
      <c r="M34726" s="13"/>
    </row>
    <row r="34727">
      <c r="F34727" s="13"/>
      <c r="M34727" s="13"/>
    </row>
    <row r="34728">
      <c r="F34728" s="13"/>
      <c r="M34728" s="13"/>
    </row>
    <row r="34729">
      <c r="F34729" s="13"/>
      <c r="M34729" s="13"/>
    </row>
    <row r="34730">
      <c r="F34730" s="13"/>
      <c r="M34730" s="13"/>
    </row>
    <row r="34731">
      <c r="F34731" s="13"/>
      <c r="M34731" s="13"/>
    </row>
    <row r="34732">
      <c r="F34732" s="13"/>
      <c r="M34732" s="13"/>
    </row>
    <row r="34733">
      <c r="F34733" s="13"/>
      <c r="M34733" s="13"/>
    </row>
    <row r="34734">
      <c r="F34734" s="13"/>
      <c r="M34734" s="13"/>
    </row>
    <row r="34735">
      <c r="F34735" s="13"/>
      <c r="M34735" s="13"/>
    </row>
    <row r="34736">
      <c r="F34736" s="13"/>
      <c r="M34736" s="13"/>
    </row>
    <row r="34737">
      <c r="F34737" s="13"/>
      <c r="M34737" s="13"/>
    </row>
    <row r="34738">
      <c r="F34738" s="13"/>
      <c r="M34738" s="13"/>
    </row>
    <row r="34739">
      <c r="F34739" s="13"/>
      <c r="M34739" s="13"/>
    </row>
    <row r="34740">
      <c r="F34740" s="13"/>
      <c r="M34740" s="13"/>
    </row>
    <row r="34741">
      <c r="F34741" s="13"/>
      <c r="M34741" s="13"/>
    </row>
    <row r="34742">
      <c r="F34742" s="13"/>
      <c r="M34742" s="13"/>
    </row>
    <row r="34743">
      <c r="F34743" s="13"/>
      <c r="M34743" s="13"/>
    </row>
    <row r="34744">
      <c r="F34744" s="13"/>
      <c r="M34744" s="13"/>
    </row>
    <row r="34745">
      <c r="F34745" s="13"/>
      <c r="M34745" s="13"/>
    </row>
    <row r="34746">
      <c r="F34746" s="13"/>
      <c r="M34746" s="13"/>
    </row>
    <row r="34747">
      <c r="F34747" s="13"/>
      <c r="M34747" s="13"/>
    </row>
    <row r="34748">
      <c r="F34748" s="13"/>
      <c r="M34748" s="13"/>
    </row>
    <row r="34749">
      <c r="F34749" s="13"/>
      <c r="M34749" s="13"/>
    </row>
    <row r="34750">
      <c r="F34750" s="13"/>
      <c r="M34750" s="13"/>
    </row>
    <row r="34751">
      <c r="F34751" s="13"/>
      <c r="M34751" s="13"/>
    </row>
    <row r="34752">
      <c r="F34752" s="13"/>
      <c r="M34752" s="13"/>
    </row>
    <row r="34753">
      <c r="F34753" s="13"/>
      <c r="M34753" s="13"/>
    </row>
    <row r="34754">
      <c r="F34754" s="13"/>
      <c r="M34754" s="13"/>
    </row>
    <row r="34755">
      <c r="F34755" s="13"/>
      <c r="M34755" s="13"/>
    </row>
    <row r="34756">
      <c r="F34756" s="13"/>
      <c r="M34756" s="13"/>
    </row>
    <row r="34757">
      <c r="F34757" s="13"/>
      <c r="M34757" s="13"/>
    </row>
    <row r="34758">
      <c r="F34758" s="13"/>
      <c r="M34758" s="13"/>
    </row>
    <row r="34759">
      <c r="F34759" s="13"/>
      <c r="M34759" s="13"/>
    </row>
    <row r="34760">
      <c r="F34760" s="13"/>
      <c r="M34760" s="13"/>
    </row>
    <row r="34761">
      <c r="F34761" s="13"/>
      <c r="M34761" s="13"/>
    </row>
    <row r="34762">
      <c r="F34762" s="13"/>
      <c r="M34762" s="13"/>
    </row>
    <row r="34763">
      <c r="F34763" s="13"/>
      <c r="M34763" s="13"/>
    </row>
    <row r="34764">
      <c r="F34764" s="13"/>
      <c r="M34764" s="13"/>
    </row>
    <row r="34765">
      <c r="F34765" s="13"/>
      <c r="M34765" s="13"/>
    </row>
    <row r="34766">
      <c r="F34766" s="13"/>
      <c r="M34766" s="13"/>
    </row>
    <row r="34767">
      <c r="F34767" s="13"/>
      <c r="M34767" s="13"/>
    </row>
    <row r="34768">
      <c r="F34768" s="13"/>
      <c r="M34768" s="13"/>
    </row>
    <row r="34769">
      <c r="F34769" s="13"/>
      <c r="M34769" s="13"/>
    </row>
    <row r="34770">
      <c r="F34770" s="13"/>
      <c r="M34770" s="13"/>
    </row>
    <row r="34771">
      <c r="F34771" s="13"/>
      <c r="M34771" s="13"/>
    </row>
    <row r="34772">
      <c r="F34772" s="13"/>
      <c r="M34772" s="13"/>
    </row>
    <row r="34773">
      <c r="F34773" s="13"/>
      <c r="M34773" s="13"/>
    </row>
    <row r="34774">
      <c r="F34774" s="13"/>
      <c r="M34774" s="13"/>
    </row>
    <row r="34775">
      <c r="F34775" s="13"/>
      <c r="M34775" s="13"/>
    </row>
    <row r="34776">
      <c r="F34776" s="13"/>
      <c r="M34776" s="13"/>
    </row>
    <row r="34777">
      <c r="F34777" s="13"/>
      <c r="M34777" s="13"/>
    </row>
    <row r="34778">
      <c r="F34778" s="13"/>
      <c r="M34778" s="13"/>
    </row>
    <row r="34779">
      <c r="F34779" s="13"/>
      <c r="M34779" s="13"/>
    </row>
    <row r="34780">
      <c r="F34780" s="13"/>
      <c r="M34780" s="13"/>
    </row>
    <row r="34781">
      <c r="F34781" s="13"/>
      <c r="M34781" s="13"/>
    </row>
    <row r="34782">
      <c r="F34782" s="13"/>
      <c r="M34782" s="13"/>
    </row>
    <row r="34783">
      <c r="F34783" s="13"/>
      <c r="M34783" s="13"/>
    </row>
    <row r="34784">
      <c r="F34784" s="13"/>
      <c r="M34784" s="13"/>
    </row>
    <row r="34785">
      <c r="F34785" s="13"/>
      <c r="M34785" s="13"/>
    </row>
    <row r="34786">
      <c r="F34786" s="13"/>
      <c r="M34786" s="13"/>
    </row>
    <row r="34787">
      <c r="F34787" s="13"/>
      <c r="M34787" s="13"/>
    </row>
    <row r="34788">
      <c r="F34788" s="13"/>
      <c r="M34788" s="13"/>
    </row>
    <row r="34789">
      <c r="F34789" s="13"/>
      <c r="M34789" s="13"/>
    </row>
    <row r="34790">
      <c r="F34790" s="13"/>
      <c r="M34790" s="13"/>
    </row>
    <row r="34791">
      <c r="F34791" s="13"/>
      <c r="M34791" s="13"/>
    </row>
    <row r="34792">
      <c r="F34792" s="13"/>
      <c r="M34792" s="13"/>
    </row>
    <row r="34793">
      <c r="F34793" s="13"/>
      <c r="M34793" s="13"/>
    </row>
    <row r="34794">
      <c r="F34794" s="13"/>
      <c r="M34794" s="13"/>
    </row>
    <row r="34795">
      <c r="F34795" s="13"/>
      <c r="M34795" s="13"/>
    </row>
    <row r="34796">
      <c r="F34796" s="13"/>
      <c r="M34796" s="13"/>
    </row>
    <row r="34797">
      <c r="F34797" s="13"/>
      <c r="M34797" s="13"/>
    </row>
    <row r="34798">
      <c r="F34798" s="13"/>
      <c r="M34798" s="13"/>
    </row>
    <row r="34799">
      <c r="F34799" s="13"/>
      <c r="M34799" s="13"/>
    </row>
    <row r="34800">
      <c r="F34800" s="13"/>
      <c r="M34800" s="13"/>
    </row>
    <row r="34801">
      <c r="F34801" s="13"/>
      <c r="M34801" s="13"/>
    </row>
    <row r="34802">
      <c r="F34802" s="13"/>
      <c r="M34802" s="13"/>
    </row>
    <row r="34803">
      <c r="F34803" s="13"/>
      <c r="M34803" s="13"/>
    </row>
    <row r="34804">
      <c r="F34804" s="13"/>
      <c r="M34804" s="13"/>
    </row>
    <row r="34805">
      <c r="F34805" s="13"/>
      <c r="M34805" s="13"/>
    </row>
    <row r="34806">
      <c r="F34806" s="13"/>
      <c r="M34806" s="13"/>
    </row>
    <row r="34807">
      <c r="F34807" s="13"/>
      <c r="M34807" s="13"/>
    </row>
    <row r="34808">
      <c r="F34808" s="13"/>
      <c r="M34808" s="13"/>
    </row>
    <row r="34809">
      <c r="F34809" s="13"/>
      <c r="M34809" s="13"/>
    </row>
    <row r="34810">
      <c r="F34810" s="13"/>
      <c r="M34810" s="13"/>
    </row>
    <row r="34811">
      <c r="F34811" s="13"/>
      <c r="M34811" s="13"/>
    </row>
    <row r="34812">
      <c r="F34812" s="13"/>
      <c r="M34812" s="13"/>
    </row>
    <row r="34813">
      <c r="F34813" s="13"/>
      <c r="M34813" s="13"/>
    </row>
    <row r="34814">
      <c r="F34814" s="13"/>
      <c r="M34814" s="13"/>
    </row>
    <row r="34815">
      <c r="F34815" s="13"/>
      <c r="M34815" s="13"/>
    </row>
    <row r="34816">
      <c r="F34816" s="13"/>
      <c r="M34816" s="13"/>
    </row>
    <row r="34817">
      <c r="F34817" s="13"/>
      <c r="M34817" s="13"/>
    </row>
    <row r="34818">
      <c r="F34818" s="13"/>
      <c r="M34818" s="13"/>
    </row>
    <row r="34819">
      <c r="F34819" s="13"/>
      <c r="M34819" s="13"/>
    </row>
    <row r="34820">
      <c r="F34820" s="13"/>
      <c r="M34820" s="13"/>
    </row>
    <row r="34821">
      <c r="F34821" s="13"/>
      <c r="M34821" s="13"/>
    </row>
    <row r="34822">
      <c r="F34822" s="13"/>
      <c r="M34822" s="13"/>
    </row>
    <row r="34823">
      <c r="F34823" s="13"/>
      <c r="M34823" s="13"/>
    </row>
    <row r="34824">
      <c r="F34824" s="13"/>
      <c r="M34824" s="13"/>
    </row>
    <row r="34825">
      <c r="F34825" s="13"/>
      <c r="M34825" s="13"/>
    </row>
    <row r="34826">
      <c r="F34826" s="13"/>
      <c r="M34826" s="13"/>
    </row>
    <row r="34827">
      <c r="F34827" s="13"/>
      <c r="M34827" s="13"/>
    </row>
    <row r="34828">
      <c r="F34828" s="13"/>
      <c r="M34828" s="13"/>
    </row>
    <row r="34829">
      <c r="F34829" s="13"/>
      <c r="M34829" s="13"/>
    </row>
    <row r="34830">
      <c r="F34830" s="13"/>
      <c r="M34830" s="13"/>
    </row>
    <row r="34831">
      <c r="F34831" s="13"/>
      <c r="M34831" s="13"/>
    </row>
    <row r="34832">
      <c r="F34832" s="13"/>
      <c r="M34832" s="13"/>
    </row>
    <row r="34833">
      <c r="F34833" s="13"/>
      <c r="M34833" s="13"/>
    </row>
    <row r="34834">
      <c r="F34834" s="13"/>
      <c r="M34834" s="13"/>
    </row>
    <row r="34835">
      <c r="F34835" s="13"/>
      <c r="M34835" s="13"/>
    </row>
    <row r="34836">
      <c r="F34836" s="13"/>
      <c r="M34836" s="13"/>
    </row>
    <row r="34837">
      <c r="F34837" s="13"/>
      <c r="M34837" s="13"/>
    </row>
    <row r="34838">
      <c r="F34838" s="13"/>
      <c r="M34838" s="13"/>
    </row>
    <row r="34839">
      <c r="F34839" s="13"/>
      <c r="M34839" s="13"/>
    </row>
    <row r="34840">
      <c r="F34840" s="13"/>
      <c r="M34840" s="13"/>
    </row>
    <row r="34841">
      <c r="F34841" s="13"/>
      <c r="M34841" s="13"/>
    </row>
    <row r="34842">
      <c r="F34842" s="13"/>
      <c r="M34842" s="13"/>
    </row>
    <row r="34843">
      <c r="F34843" s="13"/>
      <c r="M34843" s="13"/>
    </row>
    <row r="34844">
      <c r="F34844" s="13"/>
      <c r="M34844" s="13"/>
    </row>
    <row r="34845">
      <c r="F34845" s="13"/>
      <c r="M34845" s="13"/>
    </row>
    <row r="34846">
      <c r="F34846" s="13"/>
      <c r="M34846" s="13"/>
    </row>
    <row r="34847">
      <c r="F34847" s="13"/>
      <c r="M34847" s="13"/>
    </row>
    <row r="34848">
      <c r="F34848" s="13"/>
      <c r="M34848" s="13"/>
    </row>
    <row r="34849">
      <c r="F34849" s="13"/>
      <c r="M34849" s="13"/>
    </row>
    <row r="34850">
      <c r="F34850" s="13"/>
      <c r="M34850" s="13"/>
    </row>
    <row r="34851">
      <c r="F34851" s="13"/>
      <c r="M34851" s="13"/>
    </row>
    <row r="34852">
      <c r="F34852" s="13"/>
      <c r="M34852" s="13"/>
    </row>
    <row r="34853">
      <c r="F34853" s="13"/>
      <c r="M34853" s="13"/>
    </row>
    <row r="34854">
      <c r="F34854" s="13"/>
      <c r="M34854" s="13"/>
    </row>
    <row r="34855">
      <c r="F34855" s="13"/>
      <c r="M34855" s="13"/>
    </row>
    <row r="34856">
      <c r="F34856" s="13"/>
      <c r="M34856" s="13"/>
    </row>
    <row r="34857">
      <c r="F34857" s="13"/>
      <c r="M34857" s="13"/>
    </row>
    <row r="34858">
      <c r="F34858" s="13"/>
      <c r="M34858" s="13"/>
    </row>
    <row r="34859">
      <c r="F34859" s="13"/>
      <c r="M34859" s="13"/>
    </row>
    <row r="34860">
      <c r="F34860" s="13"/>
      <c r="M34860" s="13"/>
    </row>
    <row r="34861">
      <c r="F34861" s="13"/>
      <c r="M34861" s="13"/>
    </row>
    <row r="34862">
      <c r="F34862" s="13"/>
      <c r="M34862" s="13"/>
    </row>
    <row r="34863">
      <c r="F34863" s="13"/>
      <c r="M34863" s="13"/>
    </row>
    <row r="34864">
      <c r="F34864" s="13"/>
      <c r="M34864" s="13"/>
    </row>
    <row r="34865">
      <c r="F34865" s="13"/>
      <c r="M34865" s="13"/>
    </row>
    <row r="34866">
      <c r="F34866" s="13"/>
      <c r="M34866" s="13"/>
    </row>
    <row r="34867">
      <c r="F34867" s="13"/>
      <c r="M34867" s="13"/>
    </row>
    <row r="34868">
      <c r="F34868" s="13"/>
      <c r="M34868" s="13"/>
    </row>
    <row r="34869">
      <c r="F34869" s="13"/>
      <c r="M34869" s="13"/>
    </row>
    <row r="34870">
      <c r="F34870" s="13"/>
      <c r="M34870" s="13"/>
    </row>
    <row r="34871">
      <c r="F34871" s="13"/>
      <c r="M34871" s="13"/>
    </row>
    <row r="34872">
      <c r="F34872" s="13"/>
      <c r="M34872" s="13"/>
    </row>
    <row r="34873">
      <c r="F34873" s="13"/>
      <c r="M34873" s="13"/>
    </row>
    <row r="34874">
      <c r="F34874" s="13"/>
      <c r="M34874" s="13"/>
    </row>
    <row r="34875">
      <c r="F34875" s="13"/>
      <c r="M34875" s="13"/>
    </row>
    <row r="34876">
      <c r="F34876" s="13"/>
      <c r="M34876" s="13"/>
    </row>
    <row r="34877">
      <c r="F34877" s="13"/>
      <c r="M34877" s="13"/>
    </row>
    <row r="34878">
      <c r="F34878" s="13"/>
      <c r="M34878" s="13"/>
    </row>
    <row r="34879">
      <c r="F34879" s="13"/>
      <c r="M34879" s="13"/>
    </row>
    <row r="34880">
      <c r="F34880" s="13"/>
      <c r="M34880" s="13"/>
    </row>
    <row r="34881">
      <c r="F34881" s="13"/>
      <c r="M34881" s="13"/>
    </row>
    <row r="34882">
      <c r="F34882" s="13"/>
      <c r="M34882" s="13"/>
    </row>
    <row r="34883">
      <c r="F34883" s="13"/>
      <c r="M34883" s="13"/>
    </row>
    <row r="34884">
      <c r="F34884" s="13"/>
      <c r="M34884" s="13"/>
    </row>
    <row r="34885">
      <c r="F34885" s="13"/>
      <c r="M34885" s="13"/>
    </row>
    <row r="34886">
      <c r="F34886" s="13"/>
      <c r="M34886" s="13"/>
    </row>
    <row r="34887">
      <c r="F34887" s="13"/>
      <c r="M34887" s="13"/>
    </row>
    <row r="34888">
      <c r="F34888" s="13"/>
      <c r="M34888" s="13"/>
    </row>
    <row r="34889">
      <c r="F34889" s="13"/>
      <c r="M34889" s="13"/>
    </row>
    <row r="34890">
      <c r="F34890" s="13"/>
      <c r="M34890" s="13"/>
    </row>
    <row r="34891">
      <c r="F34891" s="13"/>
      <c r="M34891" s="13"/>
    </row>
    <row r="34892">
      <c r="F34892" s="13"/>
      <c r="M34892" s="13"/>
    </row>
    <row r="34893">
      <c r="F34893" s="13"/>
      <c r="M34893" s="13"/>
    </row>
    <row r="34894">
      <c r="F34894" s="13"/>
      <c r="M34894" s="13"/>
    </row>
    <row r="34895">
      <c r="F34895" s="13"/>
      <c r="M34895" s="13"/>
    </row>
    <row r="34896">
      <c r="F34896" s="13"/>
      <c r="M34896" s="13"/>
    </row>
    <row r="34897">
      <c r="F34897" s="13"/>
      <c r="M34897" s="13"/>
    </row>
    <row r="34898">
      <c r="F34898" s="13"/>
      <c r="M34898" s="13"/>
    </row>
    <row r="34899">
      <c r="F34899" s="13"/>
      <c r="M34899" s="13"/>
    </row>
    <row r="34900">
      <c r="F34900" s="13"/>
      <c r="M34900" s="13"/>
    </row>
    <row r="34901">
      <c r="F34901" s="13"/>
      <c r="M34901" s="13"/>
    </row>
    <row r="34902">
      <c r="F34902" s="13"/>
      <c r="M34902" s="13"/>
    </row>
    <row r="34903">
      <c r="F34903" s="13"/>
      <c r="M34903" s="13"/>
    </row>
    <row r="34904">
      <c r="F34904" s="13"/>
      <c r="M34904" s="13"/>
    </row>
    <row r="34905">
      <c r="F34905" s="13"/>
      <c r="M34905" s="13"/>
    </row>
    <row r="34906">
      <c r="F34906" s="13"/>
      <c r="M34906" s="13"/>
    </row>
    <row r="34907">
      <c r="F34907" s="13"/>
      <c r="M34907" s="13"/>
    </row>
    <row r="34908">
      <c r="F34908" s="13"/>
      <c r="M34908" s="13"/>
    </row>
    <row r="34909">
      <c r="F34909" s="13"/>
      <c r="M34909" s="13"/>
    </row>
    <row r="34910">
      <c r="F34910" s="13"/>
      <c r="M34910" s="13"/>
    </row>
    <row r="34911">
      <c r="F34911" s="13"/>
      <c r="M34911" s="13"/>
    </row>
    <row r="34912">
      <c r="F34912" s="13"/>
      <c r="M34912" s="13"/>
    </row>
    <row r="34913">
      <c r="F34913" s="13"/>
      <c r="M34913" s="13"/>
    </row>
    <row r="34914">
      <c r="F34914" s="13"/>
      <c r="M34914" s="13"/>
    </row>
    <row r="34915">
      <c r="F34915" s="13"/>
      <c r="M34915" s="13"/>
    </row>
    <row r="34916">
      <c r="F34916" s="13"/>
      <c r="M34916" s="13"/>
    </row>
    <row r="34917">
      <c r="F34917" s="13"/>
      <c r="M34917" s="13"/>
    </row>
    <row r="34918">
      <c r="F34918" s="13"/>
      <c r="M34918" s="13"/>
    </row>
    <row r="34919">
      <c r="F34919" s="13"/>
      <c r="M34919" s="13"/>
    </row>
    <row r="34920">
      <c r="F34920" s="13"/>
      <c r="M34920" s="13"/>
    </row>
    <row r="34921">
      <c r="F34921" s="13"/>
      <c r="M34921" s="13"/>
    </row>
    <row r="34922">
      <c r="F34922" s="13"/>
      <c r="M34922" s="13"/>
    </row>
    <row r="34923">
      <c r="F34923" s="13"/>
      <c r="M34923" s="13"/>
    </row>
    <row r="34924">
      <c r="F34924" s="13"/>
      <c r="M34924" s="13"/>
    </row>
    <row r="34925">
      <c r="F34925" s="13"/>
      <c r="M34925" s="13"/>
    </row>
    <row r="34926">
      <c r="F34926" s="13"/>
      <c r="M34926" s="13"/>
    </row>
    <row r="34927">
      <c r="F34927" s="13"/>
      <c r="M34927" s="13"/>
    </row>
    <row r="34928">
      <c r="F34928" s="13"/>
      <c r="M34928" s="13"/>
    </row>
    <row r="34929">
      <c r="F34929" s="13"/>
      <c r="M34929" s="13"/>
    </row>
    <row r="34930">
      <c r="F34930" s="13"/>
      <c r="M34930" s="13"/>
    </row>
    <row r="34931">
      <c r="F34931" s="13"/>
      <c r="M34931" s="13"/>
    </row>
    <row r="34932">
      <c r="F34932" s="13"/>
      <c r="M34932" s="13"/>
    </row>
    <row r="34933">
      <c r="F34933" s="13"/>
      <c r="M34933" s="13"/>
    </row>
    <row r="34934">
      <c r="F34934" s="13"/>
      <c r="M34934" s="13"/>
    </row>
    <row r="34935">
      <c r="F34935" s="13"/>
      <c r="M34935" s="13"/>
    </row>
    <row r="34936">
      <c r="F34936" s="13"/>
      <c r="M34936" s="13"/>
    </row>
    <row r="34937">
      <c r="F34937" s="13"/>
      <c r="M34937" s="13"/>
    </row>
    <row r="34938">
      <c r="F34938" s="13"/>
      <c r="M34938" s="13"/>
    </row>
    <row r="34939">
      <c r="F34939" s="13"/>
      <c r="M34939" s="13"/>
    </row>
    <row r="34940">
      <c r="F34940" s="13"/>
      <c r="M34940" s="13"/>
    </row>
    <row r="34941">
      <c r="F34941" s="13"/>
      <c r="M34941" s="13"/>
    </row>
    <row r="34942">
      <c r="F34942" s="13"/>
      <c r="M34942" s="13"/>
    </row>
    <row r="34943">
      <c r="F34943" s="13"/>
      <c r="M34943" s="13"/>
    </row>
    <row r="34944">
      <c r="F34944" s="13"/>
      <c r="M34944" s="13"/>
    </row>
    <row r="34945">
      <c r="F34945" s="13"/>
      <c r="M34945" s="13"/>
    </row>
    <row r="34946">
      <c r="F34946" s="13"/>
      <c r="M34946" s="13"/>
    </row>
    <row r="34947">
      <c r="F34947" s="13"/>
      <c r="M34947" s="13"/>
    </row>
    <row r="34948">
      <c r="F34948" s="13"/>
      <c r="M34948" s="13"/>
    </row>
    <row r="34949">
      <c r="F34949" s="13"/>
      <c r="M34949" s="13"/>
    </row>
    <row r="34950">
      <c r="F34950" s="13"/>
      <c r="M34950" s="13"/>
    </row>
    <row r="34951">
      <c r="F34951" s="13"/>
      <c r="M34951" s="13"/>
    </row>
    <row r="34952">
      <c r="F34952" s="13"/>
      <c r="M34952" s="13"/>
    </row>
    <row r="34953">
      <c r="F34953" s="13"/>
      <c r="M34953" s="13"/>
    </row>
    <row r="34954">
      <c r="F34954" s="13"/>
      <c r="M34954" s="13"/>
    </row>
    <row r="34955">
      <c r="F34955" s="13"/>
      <c r="M34955" s="13"/>
    </row>
    <row r="34956">
      <c r="F34956" s="13"/>
      <c r="M34956" s="13"/>
    </row>
    <row r="34957">
      <c r="F34957" s="13"/>
      <c r="M34957" s="13"/>
    </row>
    <row r="34958">
      <c r="F34958" s="13"/>
      <c r="M34958" s="13"/>
    </row>
    <row r="34959">
      <c r="F34959" s="13"/>
      <c r="M34959" s="13"/>
    </row>
    <row r="34960">
      <c r="F34960" s="13"/>
      <c r="M34960" s="13"/>
    </row>
    <row r="34961">
      <c r="F34961" s="13"/>
      <c r="M34961" s="13"/>
    </row>
    <row r="34962">
      <c r="F34962" s="13"/>
      <c r="M34962" s="13"/>
    </row>
    <row r="34963">
      <c r="F34963" s="13"/>
      <c r="M34963" s="13"/>
    </row>
    <row r="34964">
      <c r="F34964" s="13"/>
      <c r="M34964" s="13"/>
    </row>
    <row r="34965">
      <c r="F34965" s="13"/>
      <c r="M34965" s="13"/>
    </row>
    <row r="34966">
      <c r="F34966" s="13"/>
      <c r="M34966" s="13"/>
    </row>
    <row r="34967">
      <c r="F34967" s="13"/>
      <c r="M34967" s="13"/>
    </row>
    <row r="34968">
      <c r="F34968" s="13"/>
      <c r="M34968" s="13"/>
    </row>
    <row r="34969">
      <c r="F34969" s="13"/>
      <c r="M34969" s="13"/>
    </row>
    <row r="34970">
      <c r="F34970" s="13"/>
      <c r="M34970" s="13"/>
    </row>
    <row r="34971">
      <c r="F34971" s="13"/>
      <c r="M34971" s="13"/>
    </row>
    <row r="34972">
      <c r="F34972" s="13"/>
      <c r="M34972" s="13"/>
    </row>
    <row r="34973">
      <c r="F34973" s="13"/>
      <c r="M34973" s="13"/>
    </row>
    <row r="34974">
      <c r="F34974" s="13"/>
      <c r="M34974" s="13"/>
    </row>
    <row r="34975">
      <c r="F34975" s="13"/>
      <c r="M34975" s="13"/>
    </row>
    <row r="34976">
      <c r="F34976" s="13"/>
      <c r="M34976" s="13"/>
    </row>
    <row r="34977">
      <c r="F34977" s="13"/>
      <c r="M34977" s="13"/>
    </row>
    <row r="34978">
      <c r="F34978" s="13"/>
      <c r="M34978" s="13"/>
    </row>
    <row r="34979">
      <c r="F34979" s="13"/>
      <c r="M34979" s="13"/>
    </row>
    <row r="34980">
      <c r="F34980" s="13"/>
      <c r="M34980" s="13"/>
    </row>
    <row r="34981">
      <c r="F34981" s="13"/>
      <c r="M34981" s="13"/>
    </row>
    <row r="34982">
      <c r="F34982" s="13"/>
      <c r="M34982" s="13"/>
    </row>
    <row r="34983">
      <c r="F34983" s="13"/>
      <c r="M34983" s="13"/>
    </row>
    <row r="34984">
      <c r="F34984" s="13"/>
      <c r="M34984" s="13"/>
    </row>
    <row r="34985">
      <c r="F34985" s="13"/>
      <c r="M34985" s="13"/>
    </row>
    <row r="34986">
      <c r="F34986" s="13"/>
      <c r="M34986" s="13"/>
    </row>
    <row r="34987">
      <c r="F34987" s="13"/>
      <c r="M34987" s="13"/>
    </row>
    <row r="34988">
      <c r="F34988" s="13"/>
      <c r="M34988" s="13"/>
    </row>
    <row r="34989">
      <c r="F34989" s="13"/>
      <c r="M34989" s="13"/>
    </row>
    <row r="34990">
      <c r="F34990" s="13"/>
      <c r="M34990" s="13"/>
    </row>
    <row r="34991">
      <c r="F34991" s="13"/>
      <c r="M34991" s="13"/>
    </row>
    <row r="34992">
      <c r="F34992" s="13"/>
      <c r="M34992" s="13"/>
    </row>
    <row r="34993">
      <c r="F34993" s="13"/>
      <c r="M34993" s="13"/>
    </row>
    <row r="34994">
      <c r="F34994" s="13"/>
      <c r="M34994" s="13"/>
    </row>
    <row r="34995">
      <c r="F34995" s="13"/>
      <c r="M34995" s="13"/>
    </row>
    <row r="34996">
      <c r="F34996" s="13"/>
      <c r="M34996" s="13"/>
    </row>
    <row r="34997">
      <c r="F34997" s="13"/>
      <c r="M34997" s="13"/>
    </row>
    <row r="34998">
      <c r="F34998" s="13"/>
      <c r="M34998" s="13"/>
    </row>
    <row r="34999">
      <c r="F34999" s="13"/>
      <c r="M34999" s="13"/>
    </row>
    <row r="35000">
      <c r="F35000" s="13"/>
      <c r="M35000" s="13"/>
    </row>
    <row r="35001">
      <c r="F35001" s="13"/>
      <c r="M35001" s="13"/>
    </row>
    <row r="35002">
      <c r="F35002" s="13"/>
      <c r="M35002" s="13"/>
    </row>
    <row r="35003">
      <c r="F35003" s="13"/>
      <c r="M35003" s="13"/>
    </row>
    <row r="35004">
      <c r="F35004" s="13"/>
      <c r="M35004" s="13"/>
    </row>
    <row r="35005">
      <c r="F35005" s="13"/>
      <c r="M35005" s="13"/>
    </row>
    <row r="35006">
      <c r="F35006" s="13"/>
      <c r="M35006" s="13"/>
    </row>
    <row r="35007">
      <c r="F35007" s="13"/>
      <c r="M35007" s="13"/>
    </row>
    <row r="35008">
      <c r="F35008" s="13"/>
      <c r="M35008" s="13"/>
    </row>
    <row r="35009">
      <c r="F35009" s="13"/>
      <c r="M35009" s="13"/>
    </row>
    <row r="35010">
      <c r="F35010" s="13"/>
      <c r="M35010" s="13"/>
    </row>
    <row r="35011">
      <c r="F35011" s="13"/>
      <c r="M35011" s="13"/>
    </row>
    <row r="35012">
      <c r="F35012" s="13"/>
      <c r="M35012" s="13"/>
    </row>
    <row r="35013">
      <c r="F35013" s="13"/>
      <c r="M35013" s="13"/>
    </row>
    <row r="35014">
      <c r="F35014" s="13"/>
      <c r="M35014" s="13"/>
    </row>
    <row r="35015">
      <c r="F35015" s="13"/>
      <c r="M35015" s="13"/>
    </row>
    <row r="35016">
      <c r="F35016" s="13"/>
      <c r="M35016" s="13"/>
    </row>
    <row r="35017">
      <c r="F35017" s="13"/>
      <c r="M35017" s="13"/>
    </row>
    <row r="35018">
      <c r="F35018" s="13"/>
      <c r="M35018" s="13"/>
    </row>
    <row r="35019">
      <c r="F35019" s="13"/>
      <c r="M35019" s="13"/>
    </row>
    <row r="35020">
      <c r="F35020" s="13"/>
      <c r="M35020" s="13"/>
    </row>
    <row r="35021">
      <c r="F35021" s="13"/>
      <c r="M35021" s="13"/>
    </row>
    <row r="35022">
      <c r="F35022" s="13"/>
      <c r="M35022" s="13"/>
    </row>
    <row r="35023">
      <c r="F35023" s="13"/>
      <c r="M35023" s="13"/>
    </row>
    <row r="35024">
      <c r="F35024" s="13"/>
      <c r="M35024" s="13"/>
    </row>
    <row r="35025">
      <c r="F35025" s="13"/>
      <c r="M35025" s="13"/>
    </row>
    <row r="35026">
      <c r="F35026" s="13"/>
      <c r="M35026" s="13"/>
    </row>
    <row r="35027">
      <c r="F35027" s="13"/>
      <c r="M35027" s="13"/>
    </row>
    <row r="35028">
      <c r="F35028" s="13"/>
      <c r="M35028" s="13"/>
    </row>
    <row r="35029">
      <c r="F35029" s="13"/>
      <c r="M35029" s="13"/>
    </row>
    <row r="35030">
      <c r="F35030" s="13"/>
      <c r="M35030" s="13"/>
    </row>
    <row r="35031">
      <c r="F35031" s="13"/>
      <c r="M35031" s="13"/>
    </row>
    <row r="35032">
      <c r="F35032" s="13"/>
      <c r="M35032" s="13"/>
    </row>
    <row r="35033">
      <c r="F35033" s="13"/>
      <c r="M35033" s="13"/>
    </row>
    <row r="35034">
      <c r="F35034" s="13"/>
      <c r="M35034" s="13"/>
    </row>
    <row r="35035">
      <c r="F35035" s="13"/>
      <c r="M35035" s="13"/>
    </row>
    <row r="35036">
      <c r="F35036" s="13"/>
      <c r="M35036" s="13"/>
    </row>
    <row r="35037">
      <c r="F35037" s="13"/>
      <c r="M35037" s="13"/>
    </row>
    <row r="35038">
      <c r="F35038" s="13"/>
      <c r="M35038" s="13"/>
    </row>
    <row r="35039">
      <c r="F35039" s="13"/>
      <c r="M35039" s="13"/>
    </row>
    <row r="35040">
      <c r="F35040" s="13"/>
      <c r="M35040" s="13"/>
    </row>
    <row r="35041">
      <c r="F35041" s="13"/>
      <c r="M35041" s="13"/>
    </row>
    <row r="35042">
      <c r="F35042" s="13"/>
      <c r="M35042" s="13"/>
    </row>
    <row r="35043">
      <c r="F35043" s="13"/>
      <c r="M35043" s="13"/>
    </row>
    <row r="35044">
      <c r="F35044" s="13"/>
      <c r="M35044" s="13"/>
    </row>
    <row r="35045">
      <c r="F35045" s="13"/>
      <c r="M35045" s="13"/>
    </row>
    <row r="35046">
      <c r="F35046" s="13"/>
      <c r="M35046" s="13"/>
    </row>
    <row r="35047">
      <c r="F35047" s="13"/>
      <c r="M35047" s="13"/>
    </row>
    <row r="35048">
      <c r="F35048" s="13"/>
      <c r="M35048" s="13"/>
    </row>
    <row r="35049">
      <c r="F35049" s="13"/>
      <c r="M35049" s="13"/>
    </row>
    <row r="35050">
      <c r="F35050" s="13"/>
      <c r="M35050" s="13"/>
    </row>
    <row r="35051">
      <c r="F35051" s="13"/>
      <c r="M35051" s="13"/>
    </row>
    <row r="35052">
      <c r="F35052" s="13"/>
      <c r="M35052" s="13"/>
    </row>
    <row r="35053">
      <c r="F35053" s="13"/>
      <c r="M35053" s="13"/>
    </row>
    <row r="35054">
      <c r="F35054" s="13"/>
      <c r="M35054" s="13"/>
    </row>
    <row r="35055">
      <c r="F35055" s="13"/>
      <c r="M35055" s="13"/>
    </row>
    <row r="35056">
      <c r="F35056" s="13"/>
      <c r="M35056" s="13"/>
    </row>
    <row r="35057">
      <c r="F35057" s="13"/>
      <c r="M35057" s="13"/>
    </row>
    <row r="35058">
      <c r="F35058" s="13"/>
      <c r="M35058" s="13"/>
    </row>
    <row r="35059">
      <c r="F35059" s="13"/>
      <c r="M35059" s="13"/>
    </row>
    <row r="35060">
      <c r="F35060" s="13"/>
      <c r="M35060" s="13"/>
    </row>
    <row r="35061">
      <c r="F35061" s="13"/>
      <c r="M35061" s="13"/>
    </row>
    <row r="35062">
      <c r="F35062" s="13"/>
      <c r="M35062" s="13"/>
    </row>
    <row r="35063">
      <c r="F35063" s="13"/>
      <c r="M35063" s="13"/>
    </row>
    <row r="35064">
      <c r="F35064" s="13"/>
      <c r="M35064" s="13"/>
    </row>
    <row r="35065">
      <c r="F35065" s="13"/>
      <c r="M35065" s="13"/>
    </row>
    <row r="35066">
      <c r="F35066" s="13"/>
      <c r="M35066" s="13"/>
    </row>
    <row r="35067">
      <c r="F35067" s="13"/>
      <c r="M35067" s="13"/>
    </row>
    <row r="35068">
      <c r="F35068" s="13"/>
      <c r="M35068" s="13"/>
    </row>
    <row r="35069">
      <c r="F35069" s="13"/>
      <c r="M35069" s="13"/>
    </row>
    <row r="35070">
      <c r="F35070" s="13"/>
      <c r="M35070" s="13"/>
    </row>
    <row r="35071">
      <c r="F35071" s="13"/>
      <c r="M35071" s="13"/>
    </row>
    <row r="35072">
      <c r="F35072" s="13"/>
      <c r="M35072" s="13"/>
    </row>
    <row r="35073">
      <c r="F35073" s="13"/>
      <c r="M35073" s="13"/>
    </row>
    <row r="35074">
      <c r="F35074" s="13"/>
      <c r="M35074" s="13"/>
    </row>
    <row r="35075">
      <c r="F35075" s="13"/>
      <c r="M35075" s="13"/>
    </row>
    <row r="35076">
      <c r="F35076" s="13"/>
      <c r="M35076" s="13"/>
    </row>
    <row r="35077">
      <c r="F35077" s="13"/>
      <c r="M35077" s="13"/>
    </row>
    <row r="35078">
      <c r="F35078" s="13"/>
      <c r="M35078" s="13"/>
    </row>
    <row r="35079">
      <c r="F35079" s="13"/>
      <c r="M35079" s="13"/>
    </row>
    <row r="35080">
      <c r="F35080" s="13"/>
      <c r="M35080" s="13"/>
    </row>
    <row r="35081">
      <c r="F35081" s="13"/>
      <c r="M35081" s="13"/>
    </row>
    <row r="35082">
      <c r="F35082" s="13"/>
      <c r="M35082" s="13"/>
    </row>
    <row r="35083">
      <c r="F35083" s="13"/>
      <c r="M35083" s="13"/>
    </row>
    <row r="35084">
      <c r="F35084" s="13"/>
      <c r="M35084" s="13"/>
    </row>
    <row r="35085">
      <c r="F35085" s="13"/>
      <c r="M35085" s="13"/>
    </row>
    <row r="35086">
      <c r="F35086" s="13"/>
      <c r="M35086" s="13"/>
    </row>
    <row r="35087">
      <c r="F35087" s="13"/>
      <c r="M35087" s="13"/>
    </row>
    <row r="35088">
      <c r="F35088" s="13"/>
      <c r="M35088" s="13"/>
    </row>
    <row r="35089">
      <c r="F35089" s="13"/>
      <c r="M35089" s="13"/>
    </row>
    <row r="35090">
      <c r="F35090" s="13"/>
      <c r="M35090" s="13"/>
    </row>
    <row r="35091">
      <c r="F35091" s="13"/>
      <c r="M35091" s="13"/>
    </row>
    <row r="35092">
      <c r="F35092" s="13"/>
      <c r="M35092" s="13"/>
    </row>
    <row r="35093">
      <c r="F35093" s="13"/>
      <c r="M35093" s="13"/>
    </row>
    <row r="35094">
      <c r="F35094" s="13"/>
      <c r="M35094" s="13"/>
    </row>
    <row r="35095">
      <c r="F35095" s="13"/>
      <c r="M35095" s="13"/>
    </row>
    <row r="35096">
      <c r="F35096" s="13"/>
      <c r="M35096" s="13"/>
    </row>
    <row r="35097">
      <c r="F35097" s="13"/>
      <c r="M35097" s="13"/>
    </row>
    <row r="35098">
      <c r="F35098" s="13"/>
      <c r="M35098" s="13"/>
    </row>
    <row r="35099">
      <c r="F35099" s="13"/>
      <c r="M35099" s="13"/>
    </row>
    <row r="35100">
      <c r="F35100" s="13"/>
      <c r="M35100" s="13"/>
    </row>
    <row r="35101">
      <c r="F35101" s="13"/>
      <c r="M35101" s="13"/>
    </row>
    <row r="35102">
      <c r="F35102" s="13"/>
      <c r="M35102" s="13"/>
    </row>
    <row r="35103">
      <c r="F35103" s="13"/>
      <c r="M35103" s="13"/>
    </row>
    <row r="35104">
      <c r="F35104" s="13"/>
      <c r="M35104" s="13"/>
    </row>
    <row r="35105">
      <c r="F35105" s="13"/>
      <c r="M35105" s="13"/>
    </row>
    <row r="35106">
      <c r="F35106" s="13"/>
      <c r="M35106" s="13"/>
    </row>
    <row r="35107">
      <c r="F35107" s="13"/>
      <c r="M35107" s="13"/>
    </row>
    <row r="35108">
      <c r="F35108" s="13"/>
      <c r="M35108" s="13"/>
    </row>
    <row r="35109">
      <c r="F35109" s="13"/>
      <c r="M35109" s="13"/>
    </row>
    <row r="35110">
      <c r="F35110" s="13"/>
      <c r="M35110" s="13"/>
    </row>
    <row r="35111">
      <c r="F35111" s="13"/>
      <c r="M35111" s="13"/>
    </row>
    <row r="35112">
      <c r="F35112" s="13"/>
      <c r="M35112" s="13"/>
    </row>
    <row r="35113">
      <c r="F35113" s="13"/>
      <c r="M35113" s="13"/>
    </row>
    <row r="35114">
      <c r="F35114" s="13"/>
      <c r="M35114" s="13"/>
    </row>
    <row r="35115">
      <c r="F35115" s="13"/>
      <c r="M35115" s="13"/>
    </row>
    <row r="35116">
      <c r="F35116" s="13"/>
      <c r="M35116" s="13"/>
    </row>
    <row r="35117">
      <c r="F35117" s="13"/>
      <c r="M35117" s="13"/>
    </row>
    <row r="35118">
      <c r="F35118" s="13"/>
      <c r="M35118" s="13"/>
    </row>
    <row r="35119">
      <c r="F35119" s="13"/>
      <c r="M35119" s="13"/>
    </row>
    <row r="35120">
      <c r="F35120" s="13"/>
      <c r="M35120" s="13"/>
    </row>
    <row r="35121">
      <c r="F35121" s="13"/>
      <c r="M35121" s="13"/>
    </row>
    <row r="35122">
      <c r="F35122" s="13"/>
      <c r="M35122" s="13"/>
    </row>
    <row r="35123">
      <c r="F35123" s="13"/>
      <c r="M35123" s="13"/>
    </row>
    <row r="35124">
      <c r="F35124" s="13"/>
      <c r="M35124" s="13"/>
    </row>
    <row r="35125">
      <c r="F35125" s="13"/>
      <c r="M35125" s="13"/>
    </row>
    <row r="35126">
      <c r="F35126" s="13"/>
      <c r="M35126" s="13"/>
    </row>
    <row r="35127">
      <c r="F35127" s="13"/>
      <c r="M35127" s="13"/>
    </row>
    <row r="35128">
      <c r="F35128" s="13"/>
      <c r="M35128" s="13"/>
    </row>
    <row r="35129">
      <c r="F35129" s="13"/>
      <c r="M35129" s="13"/>
    </row>
    <row r="35130">
      <c r="F35130" s="13"/>
      <c r="M35130" s="13"/>
    </row>
    <row r="35131">
      <c r="F35131" s="13"/>
      <c r="M35131" s="13"/>
    </row>
    <row r="35132">
      <c r="F35132" s="13"/>
      <c r="M35132" s="13"/>
    </row>
    <row r="35133">
      <c r="F35133" s="13"/>
      <c r="M35133" s="13"/>
    </row>
    <row r="35134">
      <c r="F35134" s="13"/>
      <c r="M35134" s="13"/>
    </row>
    <row r="35135">
      <c r="F35135" s="13"/>
      <c r="M35135" s="13"/>
    </row>
    <row r="35136">
      <c r="F35136" s="13"/>
      <c r="M35136" s="13"/>
    </row>
    <row r="35137">
      <c r="F35137" s="13"/>
      <c r="M35137" s="13"/>
    </row>
    <row r="35138">
      <c r="F35138" s="13"/>
      <c r="M35138" s="13"/>
    </row>
    <row r="35139">
      <c r="F35139" s="13"/>
      <c r="M35139" s="13"/>
    </row>
    <row r="35140">
      <c r="F35140" s="13"/>
      <c r="M35140" s="13"/>
    </row>
    <row r="35141">
      <c r="F35141" s="13"/>
      <c r="M35141" s="13"/>
    </row>
    <row r="35142">
      <c r="F35142" s="13"/>
      <c r="M35142" s="13"/>
    </row>
    <row r="35143">
      <c r="F35143" s="13"/>
      <c r="M35143" s="13"/>
    </row>
    <row r="35144">
      <c r="F35144" s="13"/>
      <c r="M35144" s="13"/>
    </row>
    <row r="35145">
      <c r="F35145" s="13"/>
      <c r="M35145" s="13"/>
    </row>
    <row r="35146">
      <c r="F35146" s="13"/>
      <c r="M35146" s="13"/>
    </row>
    <row r="35147">
      <c r="F35147" s="13"/>
      <c r="M35147" s="13"/>
    </row>
    <row r="35148">
      <c r="F35148" s="13"/>
      <c r="M35148" s="13"/>
    </row>
    <row r="35149">
      <c r="F35149" s="13"/>
      <c r="M35149" s="13"/>
    </row>
    <row r="35150">
      <c r="F35150" s="13"/>
      <c r="M35150" s="13"/>
    </row>
    <row r="35151">
      <c r="F35151" s="13"/>
      <c r="M35151" s="13"/>
    </row>
    <row r="35152">
      <c r="F35152" s="13"/>
      <c r="M35152" s="13"/>
    </row>
    <row r="35153">
      <c r="F35153" s="13"/>
      <c r="M35153" s="13"/>
    </row>
    <row r="35154">
      <c r="F35154" s="13"/>
      <c r="M35154" s="13"/>
    </row>
    <row r="35155">
      <c r="F35155" s="13"/>
      <c r="M35155" s="13"/>
    </row>
    <row r="35156">
      <c r="F35156" s="13"/>
      <c r="M35156" s="13"/>
    </row>
    <row r="35157">
      <c r="F35157" s="13"/>
      <c r="M35157" s="13"/>
    </row>
    <row r="35158">
      <c r="F35158" s="13"/>
      <c r="M35158" s="13"/>
    </row>
    <row r="35159">
      <c r="F35159" s="13"/>
      <c r="M35159" s="13"/>
    </row>
    <row r="35160">
      <c r="F35160" s="13"/>
      <c r="M35160" s="13"/>
    </row>
    <row r="35161">
      <c r="F35161" s="13"/>
      <c r="M35161" s="13"/>
    </row>
    <row r="35162">
      <c r="F35162" s="13"/>
      <c r="M35162" s="13"/>
    </row>
    <row r="35163">
      <c r="F35163" s="13"/>
      <c r="M35163" s="13"/>
    </row>
    <row r="35164">
      <c r="F35164" s="13"/>
      <c r="M35164" s="13"/>
    </row>
    <row r="35165">
      <c r="F35165" s="13"/>
      <c r="M35165" s="13"/>
    </row>
    <row r="35166">
      <c r="F35166" s="13"/>
      <c r="M35166" s="13"/>
    </row>
    <row r="35167">
      <c r="F35167" s="13"/>
      <c r="M35167" s="13"/>
    </row>
    <row r="35168">
      <c r="F35168" s="13"/>
      <c r="M35168" s="13"/>
    </row>
    <row r="35169">
      <c r="F35169" s="13"/>
      <c r="M35169" s="13"/>
    </row>
    <row r="35170">
      <c r="F35170" s="13"/>
      <c r="M35170" s="13"/>
    </row>
    <row r="35171">
      <c r="F35171" s="13"/>
      <c r="M35171" s="13"/>
    </row>
    <row r="35172">
      <c r="F35172" s="13"/>
      <c r="M35172" s="13"/>
    </row>
    <row r="35173">
      <c r="F35173" s="13"/>
      <c r="M35173" s="13"/>
    </row>
    <row r="35174">
      <c r="F35174" s="13"/>
      <c r="M35174" s="13"/>
    </row>
    <row r="35175">
      <c r="F35175" s="13"/>
      <c r="M35175" s="13"/>
    </row>
    <row r="35176">
      <c r="F35176" s="13"/>
      <c r="M35176" s="13"/>
    </row>
    <row r="35177">
      <c r="F35177" s="13"/>
      <c r="M35177" s="13"/>
    </row>
    <row r="35178">
      <c r="F35178" s="13"/>
      <c r="M35178" s="13"/>
    </row>
    <row r="35179">
      <c r="F35179" s="13"/>
      <c r="M35179" s="13"/>
    </row>
    <row r="35180">
      <c r="F35180" s="13"/>
      <c r="M35180" s="13"/>
    </row>
    <row r="35181">
      <c r="F35181" s="13"/>
      <c r="M35181" s="13"/>
    </row>
    <row r="35182">
      <c r="F35182" s="13"/>
      <c r="M35182" s="13"/>
    </row>
    <row r="35183">
      <c r="F35183" s="13"/>
      <c r="M35183" s="13"/>
    </row>
    <row r="35184">
      <c r="F35184" s="13"/>
      <c r="M35184" s="13"/>
    </row>
    <row r="35185">
      <c r="F35185" s="13"/>
      <c r="M35185" s="13"/>
    </row>
    <row r="35186">
      <c r="F35186" s="13"/>
      <c r="M35186" s="13"/>
    </row>
    <row r="35187">
      <c r="F35187" s="13"/>
      <c r="M35187" s="13"/>
    </row>
    <row r="35188">
      <c r="F35188" s="13"/>
      <c r="M35188" s="13"/>
    </row>
    <row r="35189">
      <c r="F35189" s="13"/>
      <c r="M35189" s="13"/>
    </row>
    <row r="35190">
      <c r="F35190" s="13"/>
      <c r="M35190" s="13"/>
    </row>
    <row r="35191">
      <c r="F35191" s="13"/>
      <c r="M35191" s="13"/>
    </row>
    <row r="35192">
      <c r="F35192" s="13"/>
      <c r="M35192" s="13"/>
    </row>
    <row r="35193">
      <c r="F35193" s="13"/>
      <c r="M35193" s="13"/>
    </row>
    <row r="35194">
      <c r="F35194" s="13"/>
      <c r="M35194" s="13"/>
    </row>
    <row r="35195">
      <c r="F35195" s="13"/>
      <c r="M35195" s="13"/>
    </row>
    <row r="35196">
      <c r="F35196" s="13"/>
      <c r="M35196" s="13"/>
    </row>
    <row r="35197">
      <c r="F35197" s="13"/>
      <c r="M35197" s="13"/>
    </row>
    <row r="35198">
      <c r="F35198" s="13"/>
      <c r="M35198" s="13"/>
    </row>
    <row r="35199">
      <c r="F35199" s="13"/>
      <c r="M35199" s="13"/>
    </row>
    <row r="35200">
      <c r="F35200" s="13"/>
      <c r="M35200" s="13"/>
    </row>
    <row r="35201">
      <c r="F35201" s="13"/>
      <c r="M35201" s="13"/>
    </row>
    <row r="35202">
      <c r="F35202" s="13"/>
      <c r="M35202" s="13"/>
    </row>
    <row r="35203">
      <c r="F35203" s="13"/>
      <c r="M35203" s="13"/>
    </row>
    <row r="35204">
      <c r="F35204" s="13"/>
      <c r="M35204" s="13"/>
    </row>
    <row r="35205">
      <c r="F35205" s="13"/>
      <c r="M35205" s="13"/>
    </row>
    <row r="35206">
      <c r="F35206" s="13"/>
      <c r="M35206" s="13"/>
    </row>
    <row r="35207">
      <c r="F35207" s="13"/>
      <c r="M35207" s="13"/>
    </row>
    <row r="35208">
      <c r="F35208" s="13"/>
      <c r="M35208" s="13"/>
    </row>
    <row r="35209">
      <c r="F35209" s="13"/>
      <c r="M35209" s="13"/>
    </row>
    <row r="35210">
      <c r="F35210" s="13"/>
      <c r="M35210" s="13"/>
    </row>
    <row r="35211">
      <c r="F35211" s="13"/>
      <c r="M35211" s="13"/>
    </row>
    <row r="35212">
      <c r="F35212" s="13"/>
      <c r="M35212" s="13"/>
    </row>
    <row r="35213">
      <c r="F35213" s="13"/>
      <c r="M35213" s="13"/>
    </row>
    <row r="35214">
      <c r="F35214" s="13"/>
      <c r="M35214" s="13"/>
    </row>
    <row r="35215">
      <c r="F35215" s="13"/>
      <c r="M35215" s="13"/>
    </row>
    <row r="35216">
      <c r="F35216" s="13"/>
      <c r="M35216" s="13"/>
    </row>
    <row r="35217">
      <c r="F35217" s="13"/>
      <c r="M35217" s="13"/>
    </row>
    <row r="35218">
      <c r="F35218" s="13"/>
      <c r="M35218" s="13"/>
    </row>
    <row r="35219">
      <c r="F35219" s="13"/>
      <c r="M35219" s="13"/>
    </row>
    <row r="35220">
      <c r="F35220" s="13"/>
      <c r="M35220" s="13"/>
    </row>
    <row r="35221">
      <c r="F35221" s="13"/>
      <c r="M35221" s="13"/>
    </row>
    <row r="35222">
      <c r="F35222" s="13"/>
      <c r="M35222" s="13"/>
    </row>
    <row r="35223">
      <c r="F35223" s="13"/>
      <c r="M35223" s="13"/>
    </row>
    <row r="35224">
      <c r="F35224" s="13"/>
      <c r="M35224" s="13"/>
    </row>
    <row r="35225">
      <c r="F35225" s="13"/>
      <c r="M35225" s="13"/>
    </row>
    <row r="35226">
      <c r="F35226" s="13"/>
      <c r="M35226" s="13"/>
    </row>
    <row r="35227">
      <c r="F35227" s="13"/>
      <c r="M35227" s="13"/>
    </row>
    <row r="35228">
      <c r="F35228" s="13"/>
      <c r="M35228" s="13"/>
    </row>
    <row r="35229">
      <c r="F35229" s="13"/>
      <c r="M35229" s="13"/>
    </row>
    <row r="35230">
      <c r="F35230" s="13"/>
      <c r="M35230" s="13"/>
    </row>
    <row r="35231">
      <c r="F35231" s="13"/>
      <c r="M35231" s="13"/>
    </row>
    <row r="35232">
      <c r="F35232" s="13"/>
      <c r="M35232" s="13"/>
    </row>
    <row r="35233">
      <c r="F35233" s="13"/>
      <c r="M35233" s="13"/>
    </row>
    <row r="35234">
      <c r="F35234" s="13"/>
      <c r="M35234" s="13"/>
    </row>
    <row r="35235">
      <c r="F35235" s="13"/>
      <c r="M35235" s="13"/>
    </row>
    <row r="35236">
      <c r="F35236" s="13"/>
      <c r="M35236" s="13"/>
    </row>
    <row r="35237">
      <c r="F35237" s="13"/>
      <c r="M35237" s="13"/>
    </row>
    <row r="35238">
      <c r="F35238" s="13"/>
      <c r="M35238" s="13"/>
    </row>
    <row r="35239">
      <c r="F35239" s="13"/>
      <c r="M35239" s="13"/>
    </row>
    <row r="35240">
      <c r="F35240" s="13"/>
      <c r="M35240" s="13"/>
    </row>
    <row r="35241">
      <c r="F35241" s="13"/>
      <c r="M35241" s="13"/>
    </row>
    <row r="35242">
      <c r="F35242" s="13"/>
      <c r="M35242" s="13"/>
    </row>
    <row r="35243">
      <c r="F35243" s="13"/>
      <c r="M35243" s="13"/>
    </row>
    <row r="35244">
      <c r="F35244" s="13"/>
      <c r="M35244" s="13"/>
    </row>
    <row r="35245">
      <c r="F35245" s="13"/>
      <c r="M35245" s="13"/>
    </row>
    <row r="35246">
      <c r="F35246" s="13"/>
      <c r="M35246" s="13"/>
    </row>
    <row r="35247">
      <c r="F35247" s="13"/>
      <c r="M35247" s="13"/>
    </row>
    <row r="35248">
      <c r="F35248" s="13"/>
      <c r="M35248" s="13"/>
    </row>
    <row r="35249">
      <c r="F35249" s="13"/>
      <c r="M35249" s="13"/>
    </row>
    <row r="35250">
      <c r="F35250" s="13"/>
      <c r="M35250" s="13"/>
    </row>
    <row r="35251">
      <c r="F35251" s="13"/>
      <c r="M35251" s="13"/>
    </row>
    <row r="35252">
      <c r="F35252" s="13"/>
      <c r="M35252" s="13"/>
    </row>
    <row r="35253">
      <c r="F35253" s="13"/>
      <c r="M35253" s="13"/>
    </row>
    <row r="35254">
      <c r="F35254" s="13"/>
      <c r="M35254" s="13"/>
    </row>
    <row r="35255">
      <c r="F35255" s="13"/>
      <c r="M35255" s="13"/>
    </row>
    <row r="35256">
      <c r="F35256" s="13"/>
      <c r="M35256" s="13"/>
    </row>
    <row r="35257">
      <c r="F35257" s="13"/>
      <c r="M35257" s="13"/>
    </row>
    <row r="35258">
      <c r="F35258" s="13"/>
      <c r="M35258" s="13"/>
    </row>
    <row r="35259">
      <c r="F35259" s="13"/>
      <c r="M35259" s="13"/>
    </row>
    <row r="35260">
      <c r="F35260" s="13"/>
      <c r="M35260" s="13"/>
    </row>
    <row r="35261">
      <c r="F35261" s="13"/>
      <c r="M35261" s="13"/>
    </row>
    <row r="35262">
      <c r="F35262" s="13"/>
      <c r="M35262" s="13"/>
    </row>
    <row r="35263">
      <c r="F35263" s="13"/>
      <c r="M35263" s="13"/>
    </row>
    <row r="35264">
      <c r="F35264" s="13"/>
      <c r="M35264" s="13"/>
    </row>
    <row r="35265">
      <c r="F35265" s="13"/>
      <c r="M35265" s="13"/>
    </row>
    <row r="35266">
      <c r="F35266" s="13"/>
      <c r="M35266" s="13"/>
    </row>
    <row r="35267">
      <c r="F35267" s="13"/>
      <c r="M35267" s="13"/>
    </row>
    <row r="35268">
      <c r="F35268" s="13"/>
      <c r="M35268" s="13"/>
    </row>
    <row r="35269">
      <c r="F35269" s="13"/>
      <c r="M35269" s="13"/>
    </row>
    <row r="35270">
      <c r="F35270" s="13"/>
      <c r="M35270" s="13"/>
    </row>
    <row r="35271">
      <c r="F35271" s="13"/>
      <c r="M35271" s="13"/>
    </row>
    <row r="35272">
      <c r="F35272" s="13"/>
      <c r="M35272" s="13"/>
    </row>
    <row r="35273">
      <c r="F35273" s="13"/>
      <c r="M35273" s="13"/>
    </row>
    <row r="35274">
      <c r="F35274" s="13"/>
      <c r="M35274" s="13"/>
    </row>
    <row r="35275">
      <c r="F35275" s="13"/>
      <c r="M35275" s="13"/>
    </row>
    <row r="35276">
      <c r="F35276" s="13"/>
      <c r="M35276" s="13"/>
    </row>
    <row r="35277">
      <c r="F35277" s="13"/>
      <c r="M35277" s="13"/>
    </row>
    <row r="35278">
      <c r="F35278" s="13"/>
      <c r="M35278" s="13"/>
    </row>
    <row r="35279">
      <c r="F35279" s="13"/>
      <c r="M35279" s="13"/>
    </row>
    <row r="35280">
      <c r="F35280" s="13"/>
      <c r="M35280" s="13"/>
    </row>
    <row r="35281">
      <c r="F35281" s="13"/>
      <c r="M35281" s="13"/>
    </row>
    <row r="35282">
      <c r="F35282" s="13"/>
      <c r="M35282" s="13"/>
    </row>
    <row r="35283">
      <c r="F35283" s="13"/>
      <c r="M35283" s="13"/>
    </row>
    <row r="35284">
      <c r="F35284" s="13"/>
      <c r="M35284" s="13"/>
    </row>
    <row r="35285">
      <c r="F35285" s="13"/>
      <c r="M35285" s="13"/>
    </row>
    <row r="35286">
      <c r="F35286" s="13"/>
      <c r="M35286" s="13"/>
    </row>
    <row r="35287">
      <c r="F35287" s="13"/>
      <c r="M35287" s="13"/>
    </row>
    <row r="35288">
      <c r="F35288" s="13"/>
      <c r="M35288" s="13"/>
    </row>
    <row r="35289">
      <c r="F35289" s="13"/>
      <c r="M35289" s="13"/>
    </row>
    <row r="35290">
      <c r="F35290" s="13"/>
      <c r="M35290" s="13"/>
    </row>
    <row r="35291">
      <c r="F35291" s="13"/>
      <c r="M35291" s="13"/>
    </row>
    <row r="35292">
      <c r="F35292" s="13"/>
      <c r="M35292" s="13"/>
    </row>
    <row r="35293">
      <c r="F35293" s="13"/>
      <c r="M35293" s="13"/>
    </row>
    <row r="35294">
      <c r="F35294" s="13"/>
      <c r="M35294" s="13"/>
    </row>
    <row r="35295">
      <c r="F35295" s="13"/>
      <c r="M35295" s="13"/>
    </row>
    <row r="35296">
      <c r="F35296" s="13"/>
      <c r="M35296" s="13"/>
    </row>
    <row r="35297">
      <c r="F35297" s="13"/>
      <c r="M35297" s="13"/>
    </row>
    <row r="35298">
      <c r="F35298" s="13"/>
      <c r="M35298" s="13"/>
    </row>
    <row r="35299">
      <c r="F35299" s="13"/>
      <c r="M35299" s="13"/>
    </row>
    <row r="35300">
      <c r="F35300" s="13"/>
      <c r="M35300" s="13"/>
    </row>
    <row r="35301">
      <c r="F35301" s="13"/>
      <c r="M35301" s="13"/>
    </row>
    <row r="35302">
      <c r="F35302" s="13"/>
      <c r="M35302" s="13"/>
    </row>
    <row r="35303">
      <c r="F35303" s="13"/>
      <c r="M35303" s="13"/>
    </row>
    <row r="35304">
      <c r="F35304" s="13"/>
      <c r="M35304" s="13"/>
    </row>
    <row r="35305">
      <c r="F35305" s="13"/>
      <c r="M35305" s="13"/>
    </row>
    <row r="35306">
      <c r="F35306" s="13"/>
      <c r="M35306" s="13"/>
    </row>
    <row r="35307">
      <c r="F35307" s="13"/>
      <c r="M35307" s="13"/>
    </row>
    <row r="35308">
      <c r="F35308" s="13"/>
      <c r="M35308" s="13"/>
    </row>
    <row r="35309">
      <c r="F35309" s="13"/>
      <c r="M35309" s="13"/>
    </row>
    <row r="35310">
      <c r="F35310" s="13"/>
      <c r="M35310" s="13"/>
    </row>
    <row r="35311">
      <c r="F35311" s="13"/>
      <c r="M35311" s="13"/>
    </row>
    <row r="35312">
      <c r="F35312" s="13"/>
      <c r="M35312" s="13"/>
    </row>
    <row r="35313">
      <c r="F35313" s="13"/>
      <c r="M35313" s="13"/>
    </row>
    <row r="35314">
      <c r="F35314" s="13"/>
      <c r="M35314" s="13"/>
    </row>
    <row r="35315">
      <c r="F35315" s="13"/>
      <c r="M35315" s="13"/>
    </row>
    <row r="35316">
      <c r="F35316" s="13"/>
      <c r="M35316" s="13"/>
    </row>
    <row r="35317">
      <c r="F35317" s="13"/>
      <c r="M35317" s="13"/>
    </row>
    <row r="35318">
      <c r="F35318" s="13"/>
      <c r="M35318" s="13"/>
    </row>
    <row r="35319">
      <c r="F35319" s="13"/>
      <c r="M35319" s="13"/>
    </row>
    <row r="35320">
      <c r="F35320" s="13"/>
      <c r="M35320" s="13"/>
    </row>
    <row r="35321">
      <c r="F35321" s="13"/>
      <c r="M35321" s="13"/>
    </row>
    <row r="35322">
      <c r="F35322" s="13"/>
      <c r="M35322" s="13"/>
    </row>
    <row r="35323">
      <c r="F35323" s="13"/>
      <c r="M35323" s="13"/>
    </row>
    <row r="35324">
      <c r="F35324" s="13"/>
      <c r="M35324" s="13"/>
    </row>
    <row r="35325">
      <c r="F35325" s="13"/>
      <c r="M35325" s="13"/>
    </row>
    <row r="35326">
      <c r="F35326" s="13"/>
      <c r="M35326" s="13"/>
    </row>
    <row r="35327">
      <c r="F35327" s="13"/>
      <c r="M35327" s="13"/>
    </row>
    <row r="35328">
      <c r="F35328" s="13"/>
      <c r="M35328" s="13"/>
    </row>
    <row r="35329">
      <c r="F35329" s="13"/>
      <c r="M35329" s="13"/>
    </row>
    <row r="35330">
      <c r="F35330" s="13"/>
      <c r="M35330" s="13"/>
    </row>
    <row r="35331">
      <c r="F35331" s="13"/>
      <c r="M35331" s="13"/>
    </row>
    <row r="35332">
      <c r="F35332" s="13"/>
      <c r="M35332" s="13"/>
    </row>
    <row r="35333">
      <c r="F35333" s="13"/>
      <c r="M35333" s="13"/>
    </row>
    <row r="35334">
      <c r="F35334" s="13"/>
      <c r="M35334" s="13"/>
    </row>
    <row r="35335">
      <c r="F35335" s="13"/>
      <c r="M35335" s="13"/>
    </row>
    <row r="35336">
      <c r="F35336" s="13"/>
      <c r="M35336" s="13"/>
    </row>
    <row r="35337">
      <c r="F35337" s="13"/>
      <c r="M35337" s="13"/>
    </row>
    <row r="35338">
      <c r="F35338" s="13"/>
      <c r="M35338" s="13"/>
    </row>
    <row r="35339">
      <c r="F35339" s="13"/>
      <c r="M35339" s="13"/>
    </row>
    <row r="35340">
      <c r="F35340" s="13"/>
      <c r="M35340" s="13"/>
    </row>
    <row r="35341">
      <c r="F35341" s="13"/>
      <c r="M35341" s="13"/>
    </row>
    <row r="35342">
      <c r="F35342" s="13"/>
      <c r="M35342" s="13"/>
    </row>
    <row r="35343">
      <c r="F35343" s="13"/>
      <c r="M35343" s="13"/>
    </row>
    <row r="35344">
      <c r="F35344" s="13"/>
      <c r="M35344" s="13"/>
    </row>
    <row r="35345">
      <c r="F35345" s="13"/>
      <c r="M35345" s="13"/>
    </row>
    <row r="35346">
      <c r="F35346" s="13"/>
      <c r="M35346" s="13"/>
    </row>
    <row r="35347">
      <c r="F35347" s="13"/>
      <c r="M35347" s="13"/>
    </row>
    <row r="35348">
      <c r="F35348" s="13"/>
      <c r="M35348" s="13"/>
    </row>
    <row r="35349">
      <c r="F35349" s="13"/>
      <c r="M35349" s="13"/>
    </row>
    <row r="35350">
      <c r="F35350" s="13"/>
      <c r="M35350" s="13"/>
    </row>
    <row r="35351">
      <c r="F35351" s="13"/>
      <c r="M35351" s="13"/>
    </row>
    <row r="35352">
      <c r="F35352" s="13"/>
      <c r="M35352" s="13"/>
    </row>
    <row r="35353">
      <c r="F35353" s="13"/>
      <c r="M35353" s="13"/>
    </row>
    <row r="35354">
      <c r="F35354" s="13"/>
      <c r="M35354" s="13"/>
    </row>
    <row r="35355">
      <c r="F35355" s="13"/>
      <c r="M35355" s="13"/>
    </row>
    <row r="35356">
      <c r="F35356" s="13"/>
      <c r="M35356" s="13"/>
    </row>
    <row r="35357">
      <c r="F35357" s="13"/>
      <c r="M35357" s="13"/>
    </row>
    <row r="35358">
      <c r="F35358" s="13"/>
      <c r="M35358" s="13"/>
    </row>
    <row r="35359">
      <c r="F35359" s="13"/>
      <c r="M35359" s="13"/>
    </row>
    <row r="35360">
      <c r="F35360" s="13"/>
      <c r="M35360" s="13"/>
    </row>
    <row r="35361">
      <c r="F35361" s="13"/>
      <c r="M35361" s="13"/>
    </row>
    <row r="35362">
      <c r="F35362" s="13"/>
      <c r="M35362" s="13"/>
    </row>
    <row r="35363">
      <c r="F35363" s="13"/>
      <c r="M35363" s="13"/>
    </row>
    <row r="35364">
      <c r="F35364" s="13"/>
      <c r="M35364" s="13"/>
    </row>
    <row r="35365">
      <c r="F35365" s="13"/>
      <c r="M35365" s="13"/>
    </row>
    <row r="35366">
      <c r="F35366" s="13"/>
      <c r="M35366" s="13"/>
    </row>
    <row r="35367">
      <c r="F35367" s="13"/>
      <c r="M35367" s="13"/>
    </row>
    <row r="35368">
      <c r="F35368" s="13"/>
      <c r="M35368" s="13"/>
    </row>
    <row r="35369">
      <c r="F35369" s="13"/>
      <c r="M35369" s="13"/>
    </row>
    <row r="35370">
      <c r="F35370" s="13"/>
      <c r="M35370" s="13"/>
    </row>
    <row r="35371">
      <c r="F35371" s="13"/>
      <c r="M35371" s="13"/>
    </row>
    <row r="35372">
      <c r="F35372" s="13"/>
      <c r="M35372" s="13"/>
    </row>
    <row r="35373">
      <c r="F35373" s="13"/>
      <c r="M35373" s="13"/>
    </row>
    <row r="35374">
      <c r="F35374" s="13"/>
      <c r="M35374" s="13"/>
    </row>
    <row r="35375">
      <c r="F35375" s="13"/>
      <c r="M35375" s="13"/>
    </row>
    <row r="35376">
      <c r="F35376" s="13"/>
      <c r="M35376" s="13"/>
    </row>
    <row r="35377">
      <c r="F35377" s="13"/>
      <c r="M35377" s="13"/>
    </row>
    <row r="35378">
      <c r="F35378" s="13"/>
      <c r="M35378" s="13"/>
    </row>
    <row r="35379">
      <c r="F35379" s="13"/>
      <c r="M35379" s="13"/>
    </row>
    <row r="35380">
      <c r="F35380" s="13"/>
      <c r="M35380" s="13"/>
    </row>
    <row r="35381">
      <c r="F35381" s="13"/>
      <c r="M35381" s="13"/>
    </row>
    <row r="35382">
      <c r="F35382" s="13"/>
      <c r="M35382" s="13"/>
    </row>
    <row r="35383">
      <c r="F35383" s="13"/>
      <c r="M35383" s="13"/>
    </row>
    <row r="35384">
      <c r="F35384" s="13"/>
      <c r="M35384" s="13"/>
    </row>
    <row r="35385">
      <c r="F35385" s="13"/>
      <c r="M35385" s="13"/>
    </row>
    <row r="35386">
      <c r="F35386" s="13"/>
      <c r="M35386" s="13"/>
    </row>
    <row r="35387">
      <c r="F35387" s="13"/>
      <c r="M35387" s="13"/>
    </row>
    <row r="35388">
      <c r="F35388" s="13"/>
      <c r="M35388" s="13"/>
    </row>
    <row r="35389">
      <c r="F35389" s="13"/>
      <c r="M35389" s="13"/>
    </row>
    <row r="35390">
      <c r="F35390" s="13"/>
      <c r="M35390" s="13"/>
    </row>
    <row r="35391">
      <c r="F35391" s="13"/>
      <c r="M35391" s="13"/>
    </row>
    <row r="35392">
      <c r="F35392" s="13"/>
      <c r="M35392" s="13"/>
    </row>
    <row r="35393">
      <c r="F35393" s="13"/>
      <c r="M35393" s="13"/>
    </row>
    <row r="35394">
      <c r="F35394" s="13"/>
      <c r="M35394" s="13"/>
    </row>
    <row r="35395">
      <c r="F35395" s="13"/>
      <c r="M35395" s="13"/>
    </row>
    <row r="35396">
      <c r="F35396" s="13"/>
      <c r="M35396" s="13"/>
    </row>
    <row r="35397">
      <c r="F35397" s="13"/>
      <c r="M35397" s="13"/>
    </row>
    <row r="35398">
      <c r="F35398" s="13"/>
      <c r="M35398" s="13"/>
    </row>
    <row r="35399">
      <c r="F35399" s="13"/>
      <c r="M35399" s="13"/>
    </row>
    <row r="35400">
      <c r="F35400" s="13"/>
      <c r="M35400" s="13"/>
    </row>
    <row r="35401">
      <c r="F35401" s="13"/>
      <c r="M35401" s="13"/>
    </row>
    <row r="35402">
      <c r="F35402" s="13"/>
      <c r="M35402" s="13"/>
    </row>
    <row r="35403">
      <c r="F35403" s="13"/>
      <c r="M35403" s="13"/>
    </row>
    <row r="35404">
      <c r="F35404" s="13"/>
      <c r="M35404" s="13"/>
    </row>
    <row r="35405">
      <c r="F35405" s="13"/>
      <c r="M35405" s="13"/>
    </row>
    <row r="35406">
      <c r="F35406" s="13"/>
      <c r="M35406" s="13"/>
    </row>
    <row r="35407">
      <c r="F35407" s="13"/>
      <c r="M35407" s="13"/>
    </row>
    <row r="35408">
      <c r="F35408" s="13"/>
      <c r="M35408" s="13"/>
    </row>
    <row r="35409">
      <c r="F35409" s="13"/>
      <c r="M35409" s="13"/>
    </row>
    <row r="35410">
      <c r="F35410" s="13"/>
      <c r="M35410" s="13"/>
    </row>
    <row r="35411">
      <c r="F35411" s="13"/>
      <c r="M35411" s="13"/>
    </row>
    <row r="35412">
      <c r="F35412" s="13"/>
      <c r="M35412" s="13"/>
    </row>
    <row r="35413">
      <c r="F35413" s="13"/>
      <c r="M35413" s="13"/>
    </row>
    <row r="35414">
      <c r="F35414" s="13"/>
      <c r="M35414" s="13"/>
    </row>
    <row r="35415">
      <c r="F35415" s="13"/>
      <c r="M35415" s="13"/>
    </row>
    <row r="35416">
      <c r="F35416" s="13"/>
      <c r="M35416" s="13"/>
    </row>
    <row r="35417">
      <c r="F35417" s="13"/>
      <c r="M35417" s="13"/>
    </row>
    <row r="35418">
      <c r="F35418" s="13"/>
      <c r="M35418" s="13"/>
    </row>
    <row r="35419">
      <c r="F35419" s="13"/>
      <c r="M35419" s="13"/>
    </row>
    <row r="35420">
      <c r="F35420" s="13"/>
      <c r="M35420" s="13"/>
    </row>
    <row r="35421">
      <c r="F35421" s="13"/>
      <c r="M35421" s="13"/>
    </row>
    <row r="35422">
      <c r="F35422" s="13"/>
      <c r="M35422" s="13"/>
    </row>
    <row r="35423">
      <c r="F35423" s="13"/>
      <c r="M35423" s="13"/>
    </row>
    <row r="35424">
      <c r="F35424" s="13"/>
      <c r="M35424" s="13"/>
    </row>
    <row r="35425">
      <c r="F35425" s="13"/>
      <c r="M35425" s="13"/>
    </row>
    <row r="35426">
      <c r="F35426" s="13"/>
      <c r="M35426" s="13"/>
    </row>
    <row r="35427">
      <c r="F35427" s="13"/>
      <c r="M35427" s="13"/>
    </row>
    <row r="35428">
      <c r="F35428" s="13"/>
      <c r="M35428" s="13"/>
    </row>
    <row r="35429">
      <c r="F35429" s="13"/>
      <c r="M35429" s="13"/>
    </row>
    <row r="35430">
      <c r="F35430" s="13"/>
      <c r="M35430" s="13"/>
    </row>
    <row r="35431">
      <c r="F35431" s="13"/>
      <c r="M35431" s="13"/>
    </row>
    <row r="35432">
      <c r="F35432" s="13"/>
      <c r="M35432" s="13"/>
    </row>
    <row r="35433">
      <c r="F35433" s="13"/>
      <c r="M35433" s="13"/>
    </row>
    <row r="35434">
      <c r="F35434" s="13"/>
      <c r="M35434" s="13"/>
    </row>
    <row r="35435">
      <c r="F35435" s="13"/>
      <c r="M35435" s="13"/>
    </row>
    <row r="35436">
      <c r="F35436" s="13"/>
      <c r="M35436" s="13"/>
    </row>
    <row r="35437">
      <c r="F35437" s="13"/>
      <c r="M35437" s="13"/>
    </row>
    <row r="35438">
      <c r="F35438" s="13"/>
      <c r="M35438" s="13"/>
    </row>
    <row r="35439">
      <c r="F35439" s="13"/>
      <c r="M35439" s="13"/>
    </row>
    <row r="35440">
      <c r="F35440" s="13"/>
      <c r="M35440" s="13"/>
    </row>
    <row r="35441">
      <c r="F35441" s="13"/>
      <c r="M35441" s="13"/>
    </row>
    <row r="35442">
      <c r="F35442" s="13"/>
      <c r="M35442" s="13"/>
    </row>
    <row r="35443">
      <c r="F35443" s="13"/>
      <c r="M35443" s="13"/>
    </row>
    <row r="35444">
      <c r="F35444" s="13"/>
      <c r="M35444" s="13"/>
    </row>
    <row r="35445">
      <c r="F35445" s="13"/>
      <c r="M35445" s="13"/>
    </row>
    <row r="35446">
      <c r="F35446" s="13"/>
      <c r="M35446" s="13"/>
    </row>
    <row r="35447">
      <c r="F35447" s="13"/>
      <c r="M35447" s="13"/>
    </row>
    <row r="35448">
      <c r="F35448" s="13"/>
      <c r="M35448" s="13"/>
    </row>
    <row r="35449">
      <c r="F35449" s="13"/>
      <c r="M35449" s="13"/>
    </row>
    <row r="35450">
      <c r="F35450" s="13"/>
      <c r="M35450" s="13"/>
    </row>
    <row r="35451">
      <c r="F35451" s="13"/>
      <c r="M35451" s="13"/>
    </row>
    <row r="35452">
      <c r="F35452" s="13"/>
      <c r="M35452" s="13"/>
    </row>
    <row r="35453">
      <c r="F35453" s="13"/>
      <c r="M35453" s="13"/>
    </row>
    <row r="35454">
      <c r="F35454" s="13"/>
      <c r="M35454" s="13"/>
    </row>
    <row r="35455">
      <c r="F35455" s="13"/>
      <c r="M35455" s="13"/>
    </row>
    <row r="35456">
      <c r="F35456" s="13"/>
      <c r="M35456" s="13"/>
    </row>
    <row r="35457">
      <c r="F35457" s="13"/>
      <c r="M35457" s="13"/>
    </row>
    <row r="35458">
      <c r="F35458" s="13"/>
      <c r="M35458" s="13"/>
    </row>
    <row r="35459">
      <c r="F35459" s="13"/>
      <c r="M35459" s="13"/>
    </row>
    <row r="35460">
      <c r="F35460" s="13"/>
      <c r="M35460" s="13"/>
    </row>
    <row r="35461">
      <c r="F35461" s="13"/>
      <c r="M35461" s="13"/>
    </row>
    <row r="35462">
      <c r="F35462" s="13"/>
      <c r="M35462" s="13"/>
    </row>
    <row r="35463">
      <c r="F35463" s="13"/>
      <c r="M35463" s="13"/>
    </row>
    <row r="35464">
      <c r="F35464" s="13"/>
      <c r="M35464" s="13"/>
    </row>
    <row r="35465">
      <c r="F35465" s="13"/>
      <c r="M35465" s="13"/>
    </row>
    <row r="35466">
      <c r="F35466" s="13"/>
      <c r="M35466" s="13"/>
    </row>
    <row r="35467">
      <c r="F35467" s="13"/>
      <c r="M35467" s="13"/>
    </row>
    <row r="35468">
      <c r="F35468" s="13"/>
      <c r="M35468" s="13"/>
    </row>
    <row r="35469">
      <c r="F35469" s="13"/>
      <c r="M35469" s="13"/>
    </row>
    <row r="35470">
      <c r="F35470" s="13"/>
      <c r="M35470" s="13"/>
    </row>
    <row r="35471">
      <c r="F35471" s="13"/>
      <c r="M35471" s="13"/>
    </row>
    <row r="35472">
      <c r="F35472" s="13"/>
      <c r="M35472" s="13"/>
    </row>
    <row r="35473">
      <c r="F35473" s="13"/>
      <c r="M35473" s="13"/>
    </row>
    <row r="35474">
      <c r="F35474" s="13"/>
      <c r="M35474" s="13"/>
    </row>
    <row r="35475">
      <c r="F35475" s="13"/>
      <c r="M35475" s="13"/>
    </row>
    <row r="35476">
      <c r="F35476" s="13"/>
      <c r="M35476" s="13"/>
    </row>
    <row r="35477">
      <c r="F35477" s="13"/>
      <c r="M35477" s="13"/>
    </row>
    <row r="35478">
      <c r="F35478" s="13"/>
      <c r="M35478" s="13"/>
    </row>
    <row r="35479">
      <c r="F35479" s="13"/>
      <c r="M35479" s="13"/>
    </row>
    <row r="35480">
      <c r="F35480" s="13"/>
      <c r="M35480" s="13"/>
    </row>
    <row r="35481">
      <c r="F35481" s="13"/>
      <c r="M35481" s="13"/>
    </row>
    <row r="35482">
      <c r="F35482" s="13"/>
      <c r="M35482" s="13"/>
    </row>
    <row r="35483">
      <c r="F35483" s="13"/>
      <c r="M35483" s="13"/>
    </row>
    <row r="35484">
      <c r="F35484" s="13"/>
      <c r="M35484" s="13"/>
    </row>
    <row r="35485">
      <c r="F35485" s="13"/>
      <c r="M35485" s="13"/>
    </row>
    <row r="35486">
      <c r="F35486" s="13"/>
      <c r="M35486" s="13"/>
    </row>
    <row r="35487">
      <c r="F35487" s="13"/>
      <c r="M35487" s="13"/>
    </row>
    <row r="35488">
      <c r="F35488" s="13"/>
      <c r="M35488" s="13"/>
    </row>
    <row r="35489">
      <c r="F35489" s="13"/>
      <c r="M35489" s="13"/>
    </row>
    <row r="35490">
      <c r="F35490" s="13"/>
      <c r="M35490" s="13"/>
    </row>
    <row r="35491">
      <c r="F35491" s="13"/>
      <c r="M35491" s="13"/>
    </row>
    <row r="35492">
      <c r="F35492" s="13"/>
      <c r="M35492" s="13"/>
    </row>
    <row r="35493">
      <c r="F35493" s="13"/>
      <c r="M35493" s="13"/>
    </row>
    <row r="35494">
      <c r="F35494" s="13"/>
      <c r="M35494" s="13"/>
    </row>
    <row r="35495">
      <c r="F35495" s="13"/>
      <c r="M35495" s="13"/>
    </row>
    <row r="35496">
      <c r="F35496" s="13"/>
      <c r="M35496" s="13"/>
    </row>
    <row r="35497">
      <c r="F35497" s="13"/>
      <c r="M35497" s="13"/>
    </row>
    <row r="35498">
      <c r="F35498" s="13"/>
      <c r="M35498" s="13"/>
    </row>
    <row r="35499">
      <c r="F35499" s="13"/>
      <c r="M35499" s="13"/>
    </row>
    <row r="35500">
      <c r="F35500" s="13"/>
      <c r="M35500" s="13"/>
    </row>
    <row r="35501">
      <c r="F35501" s="13"/>
      <c r="M35501" s="13"/>
    </row>
    <row r="35502">
      <c r="F35502" s="13"/>
      <c r="M35502" s="13"/>
    </row>
    <row r="35503">
      <c r="F35503" s="13"/>
      <c r="M35503" s="13"/>
    </row>
    <row r="35504">
      <c r="F35504" s="13"/>
      <c r="M35504" s="13"/>
    </row>
    <row r="35505">
      <c r="F35505" s="13"/>
      <c r="M35505" s="13"/>
    </row>
    <row r="35506">
      <c r="F35506" s="13"/>
      <c r="M35506" s="13"/>
    </row>
    <row r="35507">
      <c r="F35507" s="13"/>
      <c r="M35507" s="13"/>
    </row>
    <row r="35508">
      <c r="F35508" s="13"/>
      <c r="M35508" s="13"/>
    </row>
    <row r="35509">
      <c r="F35509" s="13"/>
      <c r="M35509" s="13"/>
    </row>
    <row r="35510">
      <c r="F35510" s="13"/>
      <c r="M35510" s="13"/>
    </row>
    <row r="35511">
      <c r="F35511" s="13"/>
      <c r="M35511" s="13"/>
    </row>
    <row r="35512">
      <c r="F35512" s="13"/>
      <c r="M35512" s="13"/>
    </row>
    <row r="35513">
      <c r="F35513" s="13"/>
      <c r="M35513" s="13"/>
    </row>
    <row r="35514">
      <c r="F35514" s="13"/>
      <c r="M35514" s="13"/>
    </row>
    <row r="35515">
      <c r="F35515" s="13"/>
      <c r="M35515" s="13"/>
    </row>
    <row r="35516">
      <c r="F35516" s="13"/>
      <c r="M35516" s="13"/>
    </row>
    <row r="35517">
      <c r="F35517" s="13"/>
      <c r="M35517" s="13"/>
    </row>
    <row r="35518">
      <c r="F35518" s="13"/>
      <c r="M35518" s="13"/>
    </row>
    <row r="35519">
      <c r="F35519" s="13"/>
      <c r="M35519" s="13"/>
    </row>
    <row r="35520">
      <c r="F35520" s="13"/>
      <c r="M35520" s="13"/>
    </row>
    <row r="35521">
      <c r="F35521" s="13"/>
      <c r="M35521" s="13"/>
    </row>
    <row r="35522">
      <c r="F35522" s="13"/>
      <c r="M35522" s="13"/>
    </row>
    <row r="35523">
      <c r="F35523" s="13"/>
      <c r="M35523" s="13"/>
    </row>
    <row r="35524">
      <c r="F35524" s="13"/>
      <c r="M35524" s="13"/>
    </row>
    <row r="35525">
      <c r="F35525" s="13"/>
      <c r="M35525" s="13"/>
    </row>
    <row r="35526">
      <c r="F35526" s="13"/>
      <c r="M35526" s="13"/>
    </row>
    <row r="35527">
      <c r="F35527" s="13"/>
      <c r="M35527" s="13"/>
    </row>
    <row r="35528">
      <c r="F35528" s="13"/>
      <c r="M35528" s="13"/>
    </row>
    <row r="35529">
      <c r="F35529" s="13"/>
      <c r="M35529" s="13"/>
    </row>
    <row r="35530">
      <c r="F35530" s="13"/>
      <c r="M35530" s="13"/>
    </row>
    <row r="35531">
      <c r="F35531" s="13"/>
      <c r="M35531" s="13"/>
    </row>
    <row r="35532">
      <c r="F35532" s="13"/>
      <c r="M35532" s="13"/>
    </row>
    <row r="35533">
      <c r="F35533" s="13"/>
      <c r="M35533" s="13"/>
    </row>
    <row r="35534">
      <c r="F35534" s="13"/>
      <c r="M35534" s="13"/>
    </row>
    <row r="35535">
      <c r="F35535" s="13"/>
      <c r="M35535" s="13"/>
    </row>
    <row r="35536">
      <c r="F35536" s="13"/>
      <c r="M35536" s="13"/>
    </row>
    <row r="35537">
      <c r="F35537" s="13"/>
      <c r="M35537" s="13"/>
    </row>
    <row r="35538">
      <c r="F35538" s="13"/>
      <c r="M35538" s="13"/>
    </row>
    <row r="35539">
      <c r="F35539" s="13"/>
      <c r="M35539" s="13"/>
    </row>
    <row r="35540">
      <c r="F35540" s="13"/>
      <c r="M35540" s="13"/>
    </row>
    <row r="35541">
      <c r="F35541" s="13"/>
      <c r="M35541" s="13"/>
    </row>
    <row r="35542">
      <c r="F35542" s="13"/>
      <c r="M35542" s="13"/>
    </row>
    <row r="35543">
      <c r="F35543" s="13"/>
      <c r="M35543" s="13"/>
    </row>
    <row r="35544">
      <c r="F35544" s="13"/>
      <c r="M35544" s="13"/>
    </row>
    <row r="35545">
      <c r="F35545" s="13"/>
      <c r="M35545" s="13"/>
    </row>
    <row r="35546">
      <c r="F35546" s="13"/>
      <c r="M35546" s="13"/>
    </row>
    <row r="35547">
      <c r="F35547" s="13"/>
      <c r="M35547" s="13"/>
    </row>
    <row r="35548">
      <c r="F35548" s="13"/>
      <c r="M35548" s="13"/>
    </row>
    <row r="35549">
      <c r="F35549" s="13"/>
      <c r="M35549" s="13"/>
    </row>
    <row r="35550">
      <c r="F35550" s="13"/>
      <c r="M35550" s="13"/>
    </row>
    <row r="35551">
      <c r="F35551" s="13"/>
      <c r="M35551" s="13"/>
    </row>
    <row r="35552">
      <c r="F35552" s="13"/>
      <c r="M35552" s="13"/>
    </row>
    <row r="35553">
      <c r="F35553" s="13"/>
      <c r="M35553" s="13"/>
    </row>
    <row r="35554">
      <c r="F35554" s="13"/>
      <c r="M35554" s="13"/>
    </row>
    <row r="35555">
      <c r="F35555" s="13"/>
      <c r="M35555" s="13"/>
    </row>
    <row r="35556">
      <c r="F35556" s="13"/>
      <c r="M35556" s="13"/>
    </row>
    <row r="35557">
      <c r="F35557" s="13"/>
      <c r="M35557" s="13"/>
    </row>
    <row r="35558">
      <c r="F35558" s="13"/>
      <c r="M35558" s="13"/>
    </row>
    <row r="35559">
      <c r="F35559" s="13"/>
      <c r="M35559" s="13"/>
    </row>
    <row r="35560">
      <c r="F35560" s="13"/>
      <c r="M35560" s="13"/>
    </row>
    <row r="35561">
      <c r="F35561" s="13"/>
      <c r="M35561" s="13"/>
    </row>
    <row r="35562">
      <c r="F35562" s="13"/>
      <c r="M35562" s="13"/>
    </row>
    <row r="35563">
      <c r="F35563" s="13"/>
      <c r="M35563" s="13"/>
    </row>
    <row r="35564">
      <c r="F35564" s="13"/>
      <c r="M35564" s="13"/>
    </row>
    <row r="35565">
      <c r="F35565" s="13"/>
      <c r="M35565" s="13"/>
    </row>
    <row r="35566">
      <c r="F35566" s="13"/>
      <c r="M35566" s="13"/>
    </row>
    <row r="35567">
      <c r="F35567" s="13"/>
      <c r="M35567" s="13"/>
    </row>
    <row r="35568">
      <c r="F35568" s="13"/>
      <c r="M35568" s="13"/>
    </row>
    <row r="35569">
      <c r="F35569" s="13"/>
      <c r="M35569" s="13"/>
    </row>
    <row r="35570">
      <c r="F35570" s="13"/>
      <c r="M35570" s="13"/>
    </row>
    <row r="35571">
      <c r="F35571" s="13"/>
      <c r="M35571" s="13"/>
    </row>
    <row r="35572">
      <c r="F35572" s="13"/>
      <c r="M35572" s="13"/>
    </row>
    <row r="35573">
      <c r="F35573" s="13"/>
      <c r="M35573" s="13"/>
    </row>
    <row r="35574">
      <c r="F35574" s="13"/>
      <c r="M35574" s="13"/>
    </row>
    <row r="35575">
      <c r="F35575" s="13"/>
      <c r="M35575" s="13"/>
    </row>
    <row r="35576">
      <c r="F35576" s="13"/>
      <c r="M35576" s="13"/>
    </row>
    <row r="35577">
      <c r="F35577" s="13"/>
      <c r="M35577" s="13"/>
    </row>
    <row r="35578">
      <c r="F35578" s="13"/>
      <c r="M35578" s="13"/>
    </row>
    <row r="35579">
      <c r="F35579" s="13"/>
      <c r="M35579" s="13"/>
    </row>
    <row r="35580">
      <c r="F35580" s="13"/>
      <c r="M35580" s="13"/>
    </row>
    <row r="35581">
      <c r="F35581" s="13"/>
      <c r="M35581" s="13"/>
    </row>
    <row r="35582">
      <c r="F35582" s="13"/>
      <c r="M35582" s="13"/>
    </row>
    <row r="35583">
      <c r="F35583" s="13"/>
      <c r="M35583" s="13"/>
    </row>
    <row r="35584">
      <c r="F35584" s="13"/>
      <c r="M35584" s="13"/>
    </row>
    <row r="35585">
      <c r="F35585" s="13"/>
      <c r="M35585" s="13"/>
    </row>
    <row r="35586">
      <c r="F35586" s="13"/>
      <c r="M35586" s="13"/>
    </row>
    <row r="35587">
      <c r="F35587" s="13"/>
      <c r="M35587" s="13"/>
    </row>
    <row r="35588">
      <c r="F35588" s="13"/>
      <c r="M35588" s="13"/>
    </row>
    <row r="35589">
      <c r="F35589" s="13"/>
      <c r="M35589" s="13"/>
    </row>
    <row r="35590">
      <c r="F35590" s="13"/>
      <c r="M35590" s="13"/>
    </row>
    <row r="35591">
      <c r="F35591" s="13"/>
      <c r="M35591" s="13"/>
    </row>
    <row r="35592">
      <c r="F35592" s="13"/>
      <c r="M35592" s="13"/>
    </row>
    <row r="35593">
      <c r="F35593" s="13"/>
      <c r="M35593" s="13"/>
    </row>
    <row r="35594">
      <c r="F35594" s="13"/>
      <c r="M35594" s="13"/>
    </row>
    <row r="35595">
      <c r="F35595" s="13"/>
      <c r="M35595" s="13"/>
    </row>
    <row r="35596">
      <c r="F35596" s="13"/>
      <c r="M35596" s="13"/>
    </row>
    <row r="35597">
      <c r="F35597" s="13"/>
      <c r="M35597" s="13"/>
    </row>
    <row r="35598">
      <c r="F35598" s="13"/>
      <c r="M35598" s="13"/>
    </row>
    <row r="35599">
      <c r="F35599" s="13"/>
      <c r="M35599" s="13"/>
    </row>
    <row r="35600">
      <c r="F35600" s="13"/>
      <c r="M35600" s="13"/>
    </row>
    <row r="35601">
      <c r="F35601" s="13"/>
      <c r="M35601" s="13"/>
    </row>
    <row r="35602">
      <c r="F35602" s="13"/>
      <c r="M35602" s="13"/>
    </row>
    <row r="35603">
      <c r="F35603" s="13"/>
      <c r="M35603" s="13"/>
    </row>
    <row r="35604">
      <c r="F35604" s="13"/>
      <c r="M35604" s="13"/>
    </row>
    <row r="35605">
      <c r="F35605" s="13"/>
      <c r="M35605" s="13"/>
    </row>
    <row r="35606">
      <c r="F35606" s="13"/>
      <c r="M35606" s="13"/>
    </row>
    <row r="35607">
      <c r="F35607" s="13"/>
      <c r="M35607" s="13"/>
    </row>
    <row r="35608">
      <c r="F35608" s="13"/>
      <c r="M35608" s="13"/>
    </row>
    <row r="35609">
      <c r="F35609" s="13"/>
      <c r="M35609" s="13"/>
    </row>
    <row r="35610">
      <c r="F35610" s="13"/>
      <c r="M35610" s="13"/>
    </row>
    <row r="35611">
      <c r="F35611" s="13"/>
      <c r="M35611" s="13"/>
    </row>
    <row r="35612">
      <c r="F35612" s="13"/>
      <c r="M35612" s="13"/>
    </row>
    <row r="35613">
      <c r="F35613" s="13"/>
      <c r="M35613" s="13"/>
    </row>
    <row r="35614">
      <c r="F35614" s="13"/>
      <c r="M35614" s="13"/>
    </row>
    <row r="35615">
      <c r="F35615" s="13"/>
      <c r="M35615" s="13"/>
    </row>
    <row r="35616">
      <c r="F35616" s="13"/>
      <c r="M35616" s="13"/>
    </row>
    <row r="35617">
      <c r="F35617" s="13"/>
      <c r="M35617" s="13"/>
    </row>
    <row r="35618">
      <c r="F35618" s="13"/>
      <c r="M35618" s="13"/>
    </row>
    <row r="35619">
      <c r="F35619" s="13"/>
      <c r="M35619" s="13"/>
    </row>
    <row r="35620">
      <c r="F35620" s="13"/>
      <c r="M35620" s="13"/>
    </row>
    <row r="35621">
      <c r="F35621" s="13"/>
      <c r="M35621" s="13"/>
    </row>
    <row r="35622">
      <c r="F35622" s="13"/>
      <c r="M35622" s="13"/>
    </row>
    <row r="35623">
      <c r="F35623" s="13"/>
      <c r="M35623" s="13"/>
    </row>
    <row r="35624">
      <c r="F35624" s="13"/>
      <c r="M35624" s="13"/>
    </row>
    <row r="35625">
      <c r="F35625" s="13"/>
      <c r="M35625" s="13"/>
    </row>
    <row r="35626">
      <c r="F35626" s="13"/>
      <c r="M35626" s="13"/>
    </row>
    <row r="35627">
      <c r="F35627" s="13"/>
      <c r="M35627" s="13"/>
    </row>
    <row r="35628">
      <c r="F35628" s="13"/>
      <c r="M35628" s="13"/>
    </row>
    <row r="35629">
      <c r="F35629" s="13"/>
      <c r="M35629" s="13"/>
    </row>
    <row r="35630">
      <c r="F35630" s="13"/>
      <c r="M35630" s="13"/>
    </row>
    <row r="35631">
      <c r="F35631" s="13"/>
      <c r="M35631" s="13"/>
    </row>
    <row r="35632">
      <c r="F35632" s="13"/>
      <c r="M35632" s="13"/>
    </row>
    <row r="35633">
      <c r="F35633" s="13"/>
      <c r="M35633" s="13"/>
    </row>
    <row r="35634">
      <c r="F35634" s="13"/>
      <c r="M35634" s="13"/>
    </row>
    <row r="35635">
      <c r="F35635" s="13"/>
      <c r="M35635" s="13"/>
    </row>
    <row r="35636">
      <c r="F35636" s="13"/>
      <c r="M35636" s="13"/>
    </row>
    <row r="35637">
      <c r="F35637" s="13"/>
      <c r="M35637" s="13"/>
    </row>
    <row r="35638">
      <c r="F35638" s="13"/>
      <c r="M35638" s="13"/>
    </row>
    <row r="35639">
      <c r="F35639" s="13"/>
      <c r="M35639" s="13"/>
    </row>
    <row r="35640">
      <c r="F35640" s="13"/>
      <c r="M35640" s="13"/>
    </row>
    <row r="35641">
      <c r="F35641" s="13"/>
      <c r="M35641" s="13"/>
    </row>
    <row r="35642">
      <c r="F35642" s="13"/>
      <c r="M35642" s="13"/>
    </row>
    <row r="35643">
      <c r="F35643" s="13"/>
      <c r="M35643" s="13"/>
    </row>
    <row r="35644">
      <c r="F35644" s="13"/>
      <c r="M35644" s="13"/>
    </row>
    <row r="35645">
      <c r="F35645" s="13"/>
      <c r="M35645" s="13"/>
    </row>
    <row r="35646">
      <c r="F35646" s="13"/>
      <c r="M35646" s="13"/>
    </row>
    <row r="35647">
      <c r="F35647" s="13"/>
      <c r="M35647" s="13"/>
    </row>
    <row r="35648">
      <c r="F35648" s="13"/>
      <c r="M35648" s="13"/>
    </row>
    <row r="35649">
      <c r="F35649" s="13"/>
      <c r="M35649" s="13"/>
    </row>
    <row r="35650">
      <c r="F35650" s="13"/>
      <c r="M35650" s="13"/>
    </row>
    <row r="35651">
      <c r="F35651" s="13"/>
      <c r="M35651" s="13"/>
    </row>
    <row r="35652">
      <c r="F35652" s="13"/>
      <c r="M35652" s="13"/>
    </row>
    <row r="35653">
      <c r="F35653" s="13"/>
      <c r="M35653" s="13"/>
    </row>
    <row r="35654">
      <c r="F35654" s="13"/>
      <c r="M35654" s="13"/>
    </row>
    <row r="35655">
      <c r="F35655" s="13"/>
      <c r="M35655" s="13"/>
    </row>
    <row r="35656">
      <c r="F35656" s="13"/>
      <c r="M35656" s="13"/>
    </row>
    <row r="35657">
      <c r="F35657" s="13"/>
      <c r="M35657" s="13"/>
    </row>
    <row r="35658">
      <c r="F35658" s="13"/>
      <c r="M35658" s="13"/>
    </row>
    <row r="35659">
      <c r="F35659" s="13"/>
      <c r="M35659" s="13"/>
    </row>
    <row r="35660">
      <c r="F35660" s="13"/>
      <c r="M35660" s="13"/>
    </row>
    <row r="35661">
      <c r="F35661" s="13"/>
      <c r="M35661" s="13"/>
    </row>
    <row r="35662">
      <c r="F35662" s="13"/>
      <c r="M35662" s="13"/>
    </row>
    <row r="35663">
      <c r="F35663" s="13"/>
      <c r="M35663" s="13"/>
    </row>
    <row r="35664">
      <c r="F35664" s="13"/>
      <c r="M35664" s="13"/>
    </row>
    <row r="35665">
      <c r="F35665" s="13"/>
      <c r="M35665" s="13"/>
    </row>
    <row r="35666">
      <c r="F35666" s="13"/>
      <c r="M35666" s="13"/>
    </row>
    <row r="35667">
      <c r="F35667" s="13"/>
      <c r="M35667" s="13"/>
    </row>
    <row r="35668">
      <c r="F35668" s="13"/>
      <c r="M35668" s="13"/>
    </row>
    <row r="35669">
      <c r="F35669" s="13"/>
      <c r="M35669" s="13"/>
    </row>
    <row r="35670">
      <c r="F35670" s="13"/>
      <c r="M35670" s="13"/>
    </row>
    <row r="35671">
      <c r="F35671" s="13"/>
      <c r="M35671" s="13"/>
    </row>
    <row r="35672">
      <c r="F35672" s="13"/>
      <c r="M35672" s="13"/>
    </row>
    <row r="35673">
      <c r="F35673" s="13"/>
      <c r="M35673" s="13"/>
    </row>
    <row r="35674">
      <c r="F35674" s="13"/>
      <c r="M35674" s="13"/>
    </row>
    <row r="35675">
      <c r="F35675" s="13"/>
      <c r="M35675" s="13"/>
    </row>
    <row r="35676">
      <c r="F35676" s="13"/>
      <c r="M35676" s="13"/>
    </row>
    <row r="35677">
      <c r="F35677" s="13"/>
      <c r="M35677" s="13"/>
    </row>
    <row r="35678">
      <c r="F35678" s="13"/>
      <c r="M35678" s="13"/>
    </row>
    <row r="35679">
      <c r="F35679" s="13"/>
      <c r="M35679" s="13"/>
    </row>
    <row r="35680">
      <c r="F35680" s="13"/>
      <c r="M35680" s="13"/>
    </row>
    <row r="35681">
      <c r="F35681" s="13"/>
      <c r="M35681" s="13"/>
    </row>
    <row r="35682">
      <c r="F35682" s="13"/>
      <c r="M35682" s="13"/>
    </row>
    <row r="35683">
      <c r="F35683" s="13"/>
      <c r="M35683" s="13"/>
    </row>
    <row r="35684">
      <c r="F35684" s="13"/>
      <c r="M35684" s="13"/>
    </row>
    <row r="35685">
      <c r="F35685" s="13"/>
      <c r="M35685" s="13"/>
    </row>
    <row r="35686">
      <c r="F35686" s="13"/>
      <c r="M35686" s="13"/>
    </row>
    <row r="35687">
      <c r="F35687" s="13"/>
      <c r="M35687" s="13"/>
    </row>
    <row r="35688">
      <c r="F35688" s="13"/>
      <c r="M35688" s="13"/>
    </row>
    <row r="35689">
      <c r="F35689" s="13"/>
      <c r="M35689" s="13"/>
    </row>
    <row r="35690">
      <c r="F35690" s="13"/>
      <c r="M35690" s="13"/>
    </row>
    <row r="35691">
      <c r="F35691" s="13"/>
      <c r="M35691" s="13"/>
    </row>
    <row r="35692">
      <c r="F35692" s="13"/>
      <c r="M35692" s="13"/>
    </row>
    <row r="35693">
      <c r="F35693" s="13"/>
      <c r="M35693" s="13"/>
    </row>
    <row r="35694">
      <c r="F35694" s="13"/>
      <c r="M35694" s="13"/>
    </row>
    <row r="35695">
      <c r="F35695" s="13"/>
      <c r="M35695" s="13"/>
    </row>
    <row r="35696">
      <c r="F35696" s="13"/>
      <c r="M35696" s="13"/>
    </row>
    <row r="35697">
      <c r="F35697" s="13"/>
      <c r="M35697" s="13"/>
    </row>
    <row r="35698">
      <c r="F35698" s="13"/>
      <c r="M35698" s="13"/>
    </row>
    <row r="35699">
      <c r="F35699" s="13"/>
      <c r="M35699" s="13"/>
    </row>
    <row r="35700">
      <c r="F35700" s="13"/>
      <c r="M35700" s="13"/>
    </row>
    <row r="35701">
      <c r="F35701" s="13"/>
      <c r="M35701" s="13"/>
    </row>
    <row r="35702">
      <c r="F35702" s="13"/>
      <c r="M35702" s="13"/>
    </row>
    <row r="35703">
      <c r="F35703" s="13"/>
      <c r="M35703" s="13"/>
    </row>
    <row r="35704">
      <c r="F35704" s="13"/>
      <c r="M35704" s="13"/>
    </row>
    <row r="35705">
      <c r="F35705" s="13"/>
      <c r="M35705" s="13"/>
    </row>
    <row r="35706">
      <c r="F35706" s="13"/>
      <c r="M35706" s="13"/>
    </row>
    <row r="35707">
      <c r="F35707" s="13"/>
      <c r="M35707" s="13"/>
    </row>
    <row r="35708">
      <c r="F35708" s="13"/>
      <c r="M35708" s="13"/>
    </row>
    <row r="35709">
      <c r="F35709" s="13"/>
      <c r="M35709" s="13"/>
    </row>
    <row r="35710">
      <c r="F35710" s="13"/>
      <c r="M35710" s="13"/>
    </row>
    <row r="35711">
      <c r="F35711" s="13"/>
      <c r="M35711" s="13"/>
    </row>
    <row r="35712">
      <c r="F35712" s="13"/>
      <c r="M35712" s="13"/>
    </row>
    <row r="35713">
      <c r="F35713" s="13"/>
      <c r="M35713" s="13"/>
    </row>
    <row r="35714">
      <c r="F35714" s="13"/>
      <c r="M35714" s="13"/>
    </row>
    <row r="35715">
      <c r="F35715" s="13"/>
      <c r="M35715" s="13"/>
    </row>
    <row r="35716">
      <c r="F35716" s="13"/>
      <c r="M35716" s="13"/>
    </row>
    <row r="35717">
      <c r="F35717" s="13"/>
      <c r="M35717" s="13"/>
    </row>
    <row r="35718">
      <c r="F35718" s="13"/>
      <c r="M35718" s="13"/>
    </row>
    <row r="35719">
      <c r="F35719" s="13"/>
      <c r="M35719" s="13"/>
    </row>
    <row r="35720">
      <c r="F35720" s="13"/>
      <c r="M35720" s="13"/>
    </row>
    <row r="35721">
      <c r="F35721" s="13"/>
      <c r="M35721" s="13"/>
    </row>
    <row r="35722">
      <c r="F35722" s="13"/>
      <c r="M35722" s="13"/>
    </row>
    <row r="35723">
      <c r="F35723" s="13"/>
      <c r="M35723" s="13"/>
    </row>
    <row r="35724">
      <c r="F35724" s="13"/>
      <c r="M35724" s="13"/>
    </row>
    <row r="35725">
      <c r="F35725" s="13"/>
      <c r="M35725" s="13"/>
    </row>
    <row r="35726">
      <c r="F35726" s="13"/>
      <c r="M35726" s="13"/>
    </row>
    <row r="35727">
      <c r="F35727" s="13"/>
      <c r="M35727" s="13"/>
    </row>
    <row r="35728">
      <c r="F35728" s="13"/>
      <c r="M35728" s="13"/>
    </row>
    <row r="35729">
      <c r="F35729" s="13"/>
      <c r="M35729" s="13"/>
    </row>
    <row r="35730">
      <c r="F35730" s="13"/>
      <c r="M35730" s="13"/>
    </row>
    <row r="35731">
      <c r="F35731" s="13"/>
      <c r="M35731" s="13"/>
    </row>
    <row r="35732">
      <c r="F35732" s="13"/>
      <c r="M35732" s="13"/>
    </row>
    <row r="35733">
      <c r="F35733" s="13"/>
      <c r="M35733" s="13"/>
    </row>
    <row r="35734">
      <c r="F35734" s="13"/>
      <c r="M35734" s="13"/>
    </row>
    <row r="35735">
      <c r="F35735" s="13"/>
      <c r="M35735" s="13"/>
    </row>
    <row r="35736">
      <c r="F35736" s="13"/>
      <c r="M35736" s="13"/>
    </row>
    <row r="35737">
      <c r="F35737" s="13"/>
      <c r="M35737" s="13"/>
    </row>
    <row r="35738">
      <c r="F35738" s="13"/>
      <c r="M35738" s="13"/>
    </row>
    <row r="35739">
      <c r="F35739" s="13"/>
      <c r="M35739" s="13"/>
    </row>
    <row r="35740">
      <c r="F35740" s="13"/>
      <c r="M35740" s="13"/>
    </row>
    <row r="35741">
      <c r="F35741" s="13"/>
      <c r="M35741" s="13"/>
    </row>
    <row r="35742">
      <c r="F35742" s="13"/>
      <c r="M35742" s="13"/>
    </row>
    <row r="35743">
      <c r="F35743" s="13"/>
      <c r="M35743" s="13"/>
    </row>
    <row r="35744">
      <c r="F35744" s="13"/>
      <c r="M35744" s="13"/>
    </row>
    <row r="35745">
      <c r="F35745" s="13"/>
      <c r="M35745" s="13"/>
    </row>
    <row r="35746">
      <c r="F35746" s="13"/>
      <c r="M35746" s="13"/>
    </row>
    <row r="35747">
      <c r="F35747" s="13"/>
      <c r="M35747" s="13"/>
    </row>
    <row r="35748">
      <c r="F35748" s="13"/>
      <c r="M35748" s="13"/>
    </row>
    <row r="35749">
      <c r="F35749" s="13"/>
      <c r="M35749" s="13"/>
    </row>
    <row r="35750">
      <c r="F35750" s="13"/>
      <c r="M35750" s="13"/>
    </row>
    <row r="35751">
      <c r="F35751" s="13"/>
      <c r="M35751" s="13"/>
    </row>
    <row r="35752">
      <c r="F35752" s="13"/>
      <c r="M35752" s="13"/>
    </row>
    <row r="35753">
      <c r="F35753" s="13"/>
      <c r="M35753" s="13"/>
    </row>
    <row r="35754">
      <c r="F35754" s="13"/>
      <c r="M35754" s="13"/>
    </row>
    <row r="35755">
      <c r="F35755" s="13"/>
      <c r="M35755" s="13"/>
    </row>
    <row r="35756">
      <c r="F35756" s="13"/>
      <c r="M35756" s="13"/>
    </row>
    <row r="35757">
      <c r="F35757" s="13"/>
      <c r="M35757" s="13"/>
    </row>
    <row r="35758">
      <c r="F35758" s="13"/>
      <c r="M35758" s="13"/>
    </row>
    <row r="35759">
      <c r="F35759" s="13"/>
      <c r="M35759" s="13"/>
    </row>
    <row r="35760">
      <c r="F35760" s="13"/>
      <c r="M35760" s="13"/>
    </row>
    <row r="35761">
      <c r="F35761" s="13"/>
      <c r="M35761" s="13"/>
    </row>
    <row r="35762">
      <c r="F35762" s="13"/>
      <c r="M35762" s="13"/>
    </row>
    <row r="35763">
      <c r="F35763" s="13"/>
      <c r="M35763" s="13"/>
    </row>
    <row r="35764">
      <c r="F35764" s="13"/>
      <c r="M35764" s="13"/>
    </row>
    <row r="35765">
      <c r="F35765" s="13"/>
      <c r="M35765" s="13"/>
    </row>
    <row r="35766">
      <c r="F35766" s="13"/>
      <c r="M35766" s="13"/>
    </row>
    <row r="35767">
      <c r="F35767" s="13"/>
      <c r="M35767" s="13"/>
    </row>
    <row r="35768">
      <c r="F35768" s="13"/>
      <c r="M35768" s="13"/>
    </row>
    <row r="35769">
      <c r="F35769" s="13"/>
      <c r="M35769" s="13"/>
    </row>
    <row r="35770">
      <c r="F35770" s="13"/>
      <c r="M35770" s="13"/>
    </row>
    <row r="35771">
      <c r="F35771" s="13"/>
      <c r="M35771" s="13"/>
    </row>
    <row r="35772">
      <c r="F35772" s="13"/>
      <c r="M35772" s="13"/>
    </row>
    <row r="35773">
      <c r="F35773" s="13"/>
      <c r="M35773" s="13"/>
    </row>
    <row r="35774">
      <c r="F35774" s="13"/>
      <c r="M35774" s="13"/>
    </row>
    <row r="35775">
      <c r="F35775" s="13"/>
      <c r="M35775" s="13"/>
    </row>
    <row r="35776">
      <c r="F35776" s="13"/>
      <c r="M35776" s="13"/>
    </row>
    <row r="35777">
      <c r="F35777" s="13"/>
      <c r="M35777" s="13"/>
    </row>
    <row r="35778">
      <c r="F35778" s="13"/>
      <c r="M35778" s="13"/>
    </row>
    <row r="35779">
      <c r="F35779" s="13"/>
      <c r="M35779" s="13"/>
    </row>
    <row r="35780">
      <c r="F35780" s="13"/>
      <c r="M35780" s="13"/>
    </row>
    <row r="35781">
      <c r="F35781" s="13"/>
      <c r="M35781" s="13"/>
    </row>
    <row r="35782">
      <c r="F35782" s="13"/>
      <c r="M35782" s="13"/>
    </row>
    <row r="35783">
      <c r="F35783" s="13"/>
      <c r="M35783" s="13"/>
    </row>
    <row r="35784">
      <c r="F35784" s="13"/>
      <c r="M35784" s="13"/>
    </row>
    <row r="35785">
      <c r="F35785" s="13"/>
      <c r="M35785" s="13"/>
    </row>
    <row r="35786">
      <c r="F35786" s="13"/>
      <c r="M35786" s="13"/>
    </row>
    <row r="35787">
      <c r="F35787" s="13"/>
      <c r="M35787" s="13"/>
    </row>
    <row r="35788">
      <c r="F35788" s="13"/>
      <c r="M35788" s="13"/>
    </row>
    <row r="35789">
      <c r="F35789" s="13"/>
      <c r="M35789" s="13"/>
    </row>
    <row r="35790">
      <c r="F35790" s="13"/>
      <c r="M35790" s="13"/>
    </row>
    <row r="35791">
      <c r="F35791" s="13"/>
      <c r="M35791" s="13"/>
    </row>
    <row r="35792">
      <c r="F35792" s="13"/>
      <c r="M35792" s="13"/>
    </row>
    <row r="35793">
      <c r="F35793" s="13"/>
      <c r="M35793" s="13"/>
    </row>
    <row r="35794">
      <c r="F35794" s="13"/>
      <c r="M35794" s="13"/>
    </row>
    <row r="35795">
      <c r="F35795" s="13"/>
      <c r="M35795" s="13"/>
    </row>
    <row r="35796">
      <c r="F35796" s="13"/>
      <c r="M35796" s="13"/>
    </row>
    <row r="35797">
      <c r="F35797" s="13"/>
      <c r="M35797" s="13"/>
    </row>
    <row r="35798">
      <c r="F35798" s="13"/>
      <c r="M35798" s="13"/>
    </row>
    <row r="35799">
      <c r="F35799" s="13"/>
      <c r="M35799" s="13"/>
    </row>
    <row r="35800">
      <c r="F35800" s="13"/>
      <c r="M35800" s="13"/>
    </row>
    <row r="35801">
      <c r="F35801" s="13"/>
      <c r="M35801" s="13"/>
    </row>
    <row r="35802">
      <c r="F35802" s="13"/>
      <c r="M35802" s="13"/>
    </row>
    <row r="35803">
      <c r="F35803" s="13"/>
      <c r="M35803" s="13"/>
    </row>
    <row r="35804">
      <c r="F35804" s="13"/>
      <c r="M35804" s="13"/>
    </row>
    <row r="35805">
      <c r="F35805" s="13"/>
      <c r="M35805" s="13"/>
    </row>
    <row r="35806">
      <c r="F35806" s="13"/>
      <c r="M35806" s="13"/>
    </row>
    <row r="35807">
      <c r="F35807" s="13"/>
      <c r="M35807" s="13"/>
    </row>
    <row r="35808">
      <c r="F35808" s="13"/>
      <c r="M35808" s="13"/>
    </row>
    <row r="35809">
      <c r="F35809" s="13"/>
      <c r="M35809" s="13"/>
    </row>
    <row r="35810">
      <c r="F35810" s="13"/>
      <c r="M35810" s="13"/>
    </row>
    <row r="35811">
      <c r="F35811" s="13"/>
      <c r="M35811" s="13"/>
    </row>
    <row r="35812">
      <c r="F35812" s="13"/>
      <c r="M35812" s="13"/>
    </row>
    <row r="35813">
      <c r="F35813" s="13"/>
      <c r="M35813" s="13"/>
    </row>
    <row r="35814">
      <c r="F35814" s="13"/>
      <c r="M35814" s="13"/>
    </row>
    <row r="35815">
      <c r="F35815" s="13"/>
      <c r="M35815" s="13"/>
    </row>
    <row r="35816">
      <c r="F35816" s="13"/>
      <c r="M35816" s="13"/>
    </row>
    <row r="35817">
      <c r="F35817" s="13"/>
      <c r="M35817" s="13"/>
    </row>
    <row r="35818">
      <c r="F35818" s="13"/>
      <c r="M35818" s="13"/>
    </row>
    <row r="35819">
      <c r="F35819" s="13"/>
      <c r="M35819" s="13"/>
    </row>
    <row r="35820">
      <c r="F35820" s="13"/>
      <c r="M35820" s="13"/>
    </row>
    <row r="35821">
      <c r="F35821" s="13"/>
      <c r="M35821" s="13"/>
    </row>
    <row r="35822">
      <c r="F35822" s="13"/>
      <c r="M35822" s="13"/>
    </row>
    <row r="35823">
      <c r="F35823" s="13"/>
      <c r="M35823" s="13"/>
    </row>
    <row r="35824">
      <c r="F35824" s="13"/>
      <c r="M35824" s="13"/>
    </row>
    <row r="35825">
      <c r="F35825" s="13"/>
      <c r="M35825" s="13"/>
    </row>
    <row r="35826">
      <c r="F35826" s="13"/>
      <c r="M35826" s="13"/>
    </row>
    <row r="35827">
      <c r="F35827" s="13"/>
      <c r="M35827" s="13"/>
    </row>
    <row r="35828">
      <c r="F35828" s="13"/>
      <c r="M35828" s="13"/>
    </row>
    <row r="35829">
      <c r="F35829" s="13"/>
      <c r="M35829" s="13"/>
    </row>
    <row r="35830">
      <c r="F35830" s="13"/>
      <c r="M35830" s="13"/>
    </row>
    <row r="35831">
      <c r="F35831" s="13"/>
      <c r="M35831" s="13"/>
    </row>
    <row r="35832">
      <c r="F35832" s="13"/>
      <c r="M35832" s="13"/>
    </row>
    <row r="35833">
      <c r="F35833" s="13"/>
      <c r="M35833" s="13"/>
    </row>
    <row r="35834">
      <c r="F35834" s="13"/>
      <c r="M35834" s="13"/>
    </row>
    <row r="35835">
      <c r="F35835" s="13"/>
      <c r="M35835" s="13"/>
    </row>
    <row r="35836">
      <c r="F35836" s="13"/>
      <c r="M35836" s="13"/>
    </row>
    <row r="35837">
      <c r="F35837" s="13"/>
      <c r="M35837" s="13"/>
    </row>
    <row r="35838">
      <c r="F35838" s="13"/>
      <c r="M35838" s="13"/>
    </row>
    <row r="35839">
      <c r="F35839" s="13"/>
      <c r="M35839" s="13"/>
    </row>
    <row r="35840">
      <c r="F35840" s="13"/>
      <c r="M35840" s="13"/>
    </row>
    <row r="35841">
      <c r="F35841" s="13"/>
      <c r="M35841" s="13"/>
    </row>
    <row r="35842">
      <c r="F35842" s="13"/>
      <c r="M35842" s="13"/>
    </row>
    <row r="35843">
      <c r="F35843" s="13"/>
      <c r="M35843" s="13"/>
    </row>
    <row r="35844">
      <c r="F35844" s="13"/>
      <c r="M35844" s="13"/>
    </row>
    <row r="35845">
      <c r="F35845" s="13"/>
      <c r="M35845" s="13"/>
    </row>
    <row r="35846">
      <c r="F35846" s="13"/>
      <c r="M35846" s="13"/>
    </row>
    <row r="35847">
      <c r="F35847" s="13"/>
      <c r="M35847" s="13"/>
    </row>
    <row r="35848">
      <c r="F35848" s="13"/>
      <c r="M35848" s="13"/>
    </row>
    <row r="35849">
      <c r="F35849" s="13"/>
      <c r="M35849" s="13"/>
    </row>
    <row r="35850">
      <c r="F35850" s="13"/>
      <c r="M35850" s="13"/>
    </row>
    <row r="35851">
      <c r="F35851" s="13"/>
      <c r="M35851" s="13"/>
    </row>
    <row r="35852">
      <c r="F35852" s="13"/>
      <c r="M35852" s="13"/>
    </row>
    <row r="35853">
      <c r="F35853" s="13"/>
      <c r="M35853" s="13"/>
    </row>
    <row r="35854">
      <c r="F35854" s="13"/>
      <c r="M35854" s="13"/>
    </row>
    <row r="35855">
      <c r="F35855" s="13"/>
      <c r="M35855" s="13"/>
    </row>
    <row r="35856">
      <c r="F35856" s="13"/>
      <c r="M35856" s="13"/>
    </row>
    <row r="35857">
      <c r="F35857" s="13"/>
      <c r="M35857" s="13"/>
    </row>
    <row r="35858">
      <c r="F35858" s="13"/>
      <c r="M35858" s="13"/>
    </row>
    <row r="35859">
      <c r="F35859" s="13"/>
      <c r="M35859" s="13"/>
    </row>
    <row r="35860">
      <c r="F35860" s="13"/>
      <c r="M35860" s="13"/>
    </row>
    <row r="35861">
      <c r="F35861" s="13"/>
      <c r="M35861" s="13"/>
    </row>
    <row r="35862">
      <c r="F35862" s="13"/>
      <c r="M35862" s="13"/>
    </row>
    <row r="35863">
      <c r="F35863" s="13"/>
      <c r="M35863" s="13"/>
    </row>
    <row r="35864">
      <c r="F35864" s="13"/>
      <c r="M35864" s="13"/>
    </row>
    <row r="35865">
      <c r="F35865" s="13"/>
      <c r="M35865" s="13"/>
    </row>
    <row r="35866">
      <c r="F35866" s="13"/>
      <c r="M35866" s="13"/>
    </row>
    <row r="35867">
      <c r="F35867" s="13"/>
      <c r="M35867" s="13"/>
    </row>
    <row r="35868">
      <c r="F35868" s="13"/>
      <c r="M35868" s="13"/>
    </row>
    <row r="35869">
      <c r="F35869" s="13"/>
      <c r="M35869" s="13"/>
    </row>
    <row r="35870">
      <c r="F35870" s="13"/>
      <c r="M35870" s="13"/>
    </row>
    <row r="35871">
      <c r="F35871" s="13"/>
      <c r="M35871" s="13"/>
    </row>
    <row r="35872">
      <c r="F35872" s="13"/>
      <c r="M35872" s="13"/>
    </row>
    <row r="35873">
      <c r="F35873" s="13"/>
      <c r="M35873" s="13"/>
    </row>
    <row r="35874">
      <c r="F35874" s="13"/>
      <c r="M35874" s="13"/>
    </row>
    <row r="35875">
      <c r="F35875" s="13"/>
      <c r="M35875" s="13"/>
    </row>
    <row r="35876">
      <c r="F35876" s="13"/>
      <c r="M35876" s="13"/>
    </row>
    <row r="35877">
      <c r="F35877" s="13"/>
      <c r="M35877" s="13"/>
    </row>
    <row r="35878">
      <c r="F35878" s="13"/>
      <c r="M35878" s="13"/>
    </row>
    <row r="35879">
      <c r="F35879" s="13"/>
      <c r="M35879" s="13"/>
    </row>
    <row r="35880">
      <c r="F35880" s="13"/>
      <c r="M35880" s="13"/>
    </row>
    <row r="35881">
      <c r="F35881" s="13"/>
      <c r="M35881" s="13"/>
    </row>
    <row r="35882">
      <c r="F35882" s="13"/>
      <c r="M35882" s="13"/>
    </row>
    <row r="35883">
      <c r="F35883" s="13"/>
      <c r="M35883" s="13"/>
    </row>
    <row r="35884">
      <c r="F35884" s="13"/>
      <c r="M35884" s="13"/>
    </row>
    <row r="35885">
      <c r="F35885" s="13"/>
      <c r="M35885" s="13"/>
    </row>
    <row r="35886">
      <c r="F35886" s="13"/>
      <c r="M35886" s="13"/>
    </row>
    <row r="35887">
      <c r="F35887" s="13"/>
      <c r="M35887" s="13"/>
    </row>
    <row r="35888">
      <c r="F35888" s="13"/>
      <c r="M35888" s="13"/>
    </row>
    <row r="35889">
      <c r="F35889" s="13"/>
      <c r="M35889" s="13"/>
    </row>
    <row r="35890">
      <c r="F35890" s="13"/>
      <c r="M35890" s="13"/>
    </row>
    <row r="35891">
      <c r="F35891" s="13"/>
      <c r="M35891" s="13"/>
    </row>
    <row r="35892">
      <c r="F35892" s="13"/>
      <c r="M35892" s="13"/>
    </row>
    <row r="35893">
      <c r="F35893" s="13"/>
      <c r="M35893" s="13"/>
    </row>
    <row r="35894">
      <c r="F35894" s="13"/>
      <c r="M35894" s="13"/>
    </row>
    <row r="35895">
      <c r="F35895" s="13"/>
      <c r="M35895" s="13"/>
    </row>
    <row r="35896">
      <c r="F35896" s="13"/>
      <c r="M35896" s="13"/>
    </row>
    <row r="35897">
      <c r="F35897" s="13"/>
      <c r="M35897" s="13"/>
    </row>
    <row r="35898">
      <c r="F35898" s="13"/>
      <c r="M35898" s="13"/>
    </row>
    <row r="35899">
      <c r="F35899" s="13"/>
      <c r="M35899" s="13"/>
    </row>
    <row r="35900">
      <c r="F35900" s="13"/>
      <c r="M35900" s="13"/>
    </row>
    <row r="35901">
      <c r="F35901" s="13"/>
      <c r="M35901" s="13"/>
    </row>
    <row r="35902">
      <c r="F35902" s="13"/>
      <c r="M35902" s="13"/>
    </row>
    <row r="35903">
      <c r="F35903" s="13"/>
      <c r="M35903" s="13"/>
    </row>
    <row r="35904">
      <c r="F35904" s="13"/>
      <c r="M35904" s="13"/>
    </row>
    <row r="35905">
      <c r="F35905" s="13"/>
      <c r="M35905" s="13"/>
    </row>
    <row r="35906">
      <c r="F35906" s="13"/>
      <c r="M35906" s="13"/>
    </row>
    <row r="35907">
      <c r="F35907" s="13"/>
      <c r="M35907" s="13"/>
    </row>
    <row r="35908">
      <c r="F35908" s="13"/>
      <c r="M35908" s="13"/>
    </row>
    <row r="35909">
      <c r="F35909" s="13"/>
      <c r="M35909" s="13"/>
    </row>
    <row r="35910">
      <c r="F35910" s="13"/>
      <c r="M35910" s="13"/>
    </row>
    <row r="35911">
      <c r="F35911" s="13"/>
      <c r="M35911" s="13"/>
    </row>
    <row r="35912">
      <c r="F35912" s="13"/>
      <c r="M35912" s="13"/>
    </row>
    <row r="35913">
      <c r="F35913" s="13"/>
      <c r="M35913" s="13"/>
    </row>
    <row r="35914">
      <c r="F35914" s="13"/>
      <c r="M35914" s="13"/>
    </row>
    <row r="35915">
      <c r="F35915" s="13"/>
      <c r="M35915" s="13"/>
    </row>
    <row r="35916">
      <c r="F35916" s="13"/>
      <c r="M35916" s="13"/>
    </row>
    <row r="35917">
      <c r="F35917" s="13"/>
      <c r="M35917" s="13"/>
    </row>
    <row r="35918">
      <c r="F35918" s="13"/>
      <c r="M35918" s="13"/>
    </row>
    <row r="35919">
      <c r="F35919" s="13"/>
      <c r="M35919" s="13"/>
    </row>
    <row r="35920">
      <c r="F35920" s="13"/>
      <c r="M35920" s="13"/>
    </row>
    <row r="35921">
      <c r="F35921" s="13"/>
      <c r="M35921" s="13"/>
    </row>
    <row r="35922">
      <c r="F35922" s="13"/>
      <c r="M35922" s="13"/>
    </row>
    <row r="35923">
      <c r="F35923" s="13"/>
      <c r="M35923" s="13"/>
    </row>
    <row r="35924">
      <c r="F35924" s="13"/>
      <c r="M35924" s="13"/>
    </row>
    <row r="35925">
      <c r="F35925" s="13"/>
      <c r="M35925" s="13"/>
    </row>
    <row r="35926">
      <c r="F35926" s="13"/>
      <c r="M35926" s="13"/>
    </row>
    <row r="35927">
      <c r="F35927" s="13"/>
      <c r="M35927" s="13"/>
    </row>
    <row r="35928">
      <c r="F35928" s="13"/>
      <c r="M35928" s="13"/>
    </row>
    <row r="35929">
      <c r="F35929" s="13"/>
      <c r="M35929" s="13"/>
    </row>
    <row r="35930">
      <c r="F35930" s="13"/>
      <c r="M35930" s="13"/>
    </row>
    <row r="35931">
      <c r="F35931" s="13"/>
      <c r="M35931" s="13"/>
    </row>
    <row r="35932">
      <c r="F35932" s="13"/>
      <c r="M35932" s="13"/>
    </row>
    <row r="35933">
      <c r="F35933" s="13"/>
      <c r="M35933" s="13"/>
    </row>
    <row r="35934">
      <c r="F35934" s="13"/>
      <c r="M35934" s="13"/>
    </row>
    <row r="35935">
      <c r="F35935" s="13"/>
      <c r="M35935" s="13"/>
    </row>
    <row r="35936">
      <c r="F35936" s="13"/>
      <c r="M35936" s="13"/>
    </row>
    <row r="35937">
      <c r="F35937" s="13"/>
      <c r="M35937" s="13"/>
    </row>
    <row r="35938">
      <c r="F35938" s="13"/>
      <c r="M35938" s="13"/>
    </row>
    <row r="35939">
      <c r="F35939" s="13"/>
      <c r="M35939" s="13"/>
    </row>
    <row r="35940">
      <c r="F35940" s="13"/>
      <c r="M35940" s="13"/>
    </row>
    <row r="35941">
      <c r="F35941" s="13"/>
      <c r="M35941" s="13"/>
    </row>
    <row r="35942">
      <c r="F35942" s="13"/>
      <c r="M35942" s="13"/>
    </row>
    <row r="35943">
      <c r="F35943" s="13"/>
      <c r="M35943" s="13"/>
    </row>
    <row r="35944">
      <c r="F35944" s="13"/>
      <c r="M35944" s="13"/>
    </row>
    <row r="35945">
      <c r="F35945" s="13"/>
      <c r="M35945" s="13"/>
    </row>
    <row r="35946">
      <c r="F35946" s="13"/>
      <c r="M35946" s="13"/>
    </row>
    <row r="35947">
      <c r="F35947" s="13"/>
      <c r="M35947" s="13"/>
    </row>
    <row r="35948">
      <c r="F35948" s="13"/>
      <c r="M35948" s="13"/>
    </row>
    <row r="35949">
      <c r="F35949" s="13"/>
      <c r="M35949" s="13"/>
    </row>
    <row r="35950">
      <c r="F35950" s="13"/>
      <c r="M35950" s="13"/>
    </row>
    <row r="35951">
      <c r="F35951" s="13"/>
      <c r="M35951" s="13"/>
    </row>
    <row r="35952">
      <c r="F35952" s="13"/>
      <c r="M35952" s="13"/>
    </row>
    <row r="35953">
      <c r="F35953" s="13"/>
      <c r="M35953" s="13"/>
    </row>
    <row r="35954">
      <c r="F35954" s="13"/>
      <c r="M35954" s="13"/>
    </row>
    <row r="35955">
      <c r="F35955" s="13"/>
      <c r="M35955" s="13"/>
    </row>
    <row r="35956">
      <c r="F35956" s="13"/>
      <c r="M35956" s="13"/>
    </row>
    <row r="35957">
      <c r="F35957" s="13"/>
      <c r="M35957" s="13"/>
    </row>
    <row r="35958">
      <c r="F35958" s="13"/>
      <c r="M35958" s="13"/>
    </row>
    <row r="35959">
      <c r="F35959" s="13"/>
      <c r="M35959" s="13"/>
    </row>
    <row r="35960">
      <c r="F35960" s="13"/>
      <c r="M35960" s="13"/>
    </row>
    <row r="35961">
      <c r="F35961" s="13"/>
      <c r="M35961" s="13"/>
    </row>
    <row r="35962">
      <c r="F35962" s="13"/>
      <c r="M35962" s="13"/>
    </row>
    <row r="35963">
      <c r="F35963" s="13"/>
      <c r="M35963" s="13"/>
    </row>
    <row r="35964">
      <c r="F35964" s="13"/>
      <c r="M35964" s="13"/>
    </row>
    <row r="35965">
      <c r="F35965" s="13"/>
      <c r="M35965" s="13"/>
    </row>
    <row r="35966">
      <c r="F35966" s="13"/>
      <c r="M35966" s="13"/>
    </row>
    <row r="35967">
      <c r="F35967" s="13"/>
      <c r="M35967" s="13"/>
    </row>
    <row r="35968">
      <c r="F35968" s="13"/>
      <c r="M35968" s="13"/>
    </row>
    <row r="35969">
      <c r="F35969" s="13"/>
      <c r="M35969" s="13"/>
    </row>
    <row r="35970">
      <c r="F35970" s="13"/>
      <c r="M35970" s="13"/>
    </row>
    <row r="35971">
      <c r="F35971" s="13"/>
      <c r="M35971" s="13"/>
    </row>
    <row r="35972">
      <c r="F35972" s="13"/>
      <c r="M35972" s="13"/>
    </row>
    <row r="35973">
      <c r="F35973" s="13"/>
      <c r="M35973" s="13"/>
    </row>
    <row r="35974">
      <c r="F35974" s="13"/>
      <c r="M35974" s="13"/>
    </row>
    <row r="35975">
      <c r="F35975" s="13"/>
      <c r="M35975" s="13"/>
    </row>
    <row r="35976">
      <c r="F35976" s="13"/>
      <c r="M35976" s="13"/>
    </row>
    <row r="35977">
      <c r="F35977" s="13"/>
      <c r="M35977" s="13"/>
    </row>
    <row r="35978">
      <c r="F35978" s="13"/>
      <c r="M35978" s="13"/>
    </row>
    <row r="35979">
      <c r="F35979" s="13"/>
      <c r="M35979" s="13"/>
    </row>
    <row r="35980">
      <c r="F35980" s="13"/>
      <c r="M35980" s="13"/>
    </row>
    <row r="35981">
      <c r="F35981" s="13"/>
      <c r="M35981" s="13"/>
    </row>
    <row r="35982">
      <c r="F35982" s="13"/>
      <c r="M35982" s="13"/>
    </row>
    <row r="35983">
      <c r="F35983" s="13"/>
      <c r="M35983" s="13"/>
    </row>
    <row r="35984">
      <c r="F35984" s="13"/>
      <c r="M35984" s="13"/>
    </row>
    <row r="35985">
      <c r="F35985" s="13"/>
      <c r="M35985" s="13"/>
    </row>
    <row r="35986">
      <c r="F35986" s="13"/>
      <c r="M35986" s="13"/>
    </row>
    <row r="35987">
      <c r="F35987" s="13"/>
      <c r="M35987" s="13"/>
    </row>
    <row r="35988">
      <c r="F35988" s="13"/>
      <c r="M35988" s="13"/>
    </row>
    <row r="35989">
      <c r="F35989" s="13"/>
      <c r="M35989" s="13"/>
    </row>
    <row r="35990">
      <c r="F35990" s="13"/>
      <c r="M35990" s="13"/>
    </row>
    <row r="35991">
      <c r="F35991" s="13"/>
      <c r="M35991" s="13"/>
    </row>
    <row r="35992">
      <c r="F35992" s="13"/>
      <c r="M35992" s="13"/>
    </row>
    <row r="35993">
      <c r="F35993" s="13"/>
      <c r="M35993" s="13"/>
    </row>
    <row r="35994">
      <c r="F35994" s="13"/>
      <c r="M35994" s="13"/>
    </row>
    <row r="35995">
      <c r="F35995" s="13"/>
      <c r="M35995" s="13"/>
    </row>
    <row r="35996">
      <c r="F35996" s="13"/>
      <c r="M35996" s="13"/>
    </row>
    <row r="35997">
      <c r="F35997" s="13"/>
      <c r="M35997" s="13"/>
    </row>
    <row r="35998">
      <c r="F35998" s="13"/>
      <c r="M35998" s="13"/>
    </row>
    <row r="35999">
      <c r="F35999" s="13"/>
      <c r="M35999" s="13"/>
    </row>
    <row r="36000">
      <c r="F36000" s="13"/>
      <c r="M36000" s="13"/>
    </row>
    <row r="36001">
      <c r="F36001" s="13"/>
      <c r="M36001" s="13"/>
    </row>
    <row r="36002">
      <c r="F36002" s="13"/>
      <c r="M36002" s="13"/>
    </row>
    <row r="36003">
      <c r="F36003" s="13"/>
      <c r="M36003" s="13"/>
    </row>
    <row r="36004">
      <c r="F36004" s="13"/>
      <c r="M36004" s="13"/>
    </row>
    <row r="36005">
      <c r="F36005" s="13"/>
      <c r="M36005" s="13"/>
    </row>
    <row r="36006">
      <c r="F36006" s="13"/>
      <c r="M36006" s="13"/>
    </row>
    <row r="36007">
      <c r="F36007" s="13"/>
      <c r="M36007" s="13"/>
    </row>
    <row r="36008">
      <c r="F36008" s="13"/>
      <c r="M36008" s="13"/>
    </row>
    <row r="36009">
      <c r="F36009" s="13"/>
      <c r="M36009" s="13"/>
    </row>
    <row r="36010">
      <c r="F36010" s="13"/>
      <c r="M36010" s="13"/>
    </row>
    <row r="36011">
      <c r="F36011" s="13"/>
      <c r="M36011" s="13"/>
    </row>
    <row r="36012">
      <c r="F36012" s="13"/>
      <c r="M36012" s="13"/>
    </row>
    <row r="36013">
      <c r="F36013" s="13"/>
      <c r="M36013" s="13"/>
    </row>
    <row r="36014">
      <c r="F36014" s="13"/>
      <c r="M36014" s="13"/>
    </row>
    <row r="36015">
      <c r="F36015" s="13"/>
      <c r="M36015" s="13"/>
    </row>
    <row r="36016">
      <c r="F36016" s="13"/>
      <c r="M36016" s="13"/>
    </row>
    <row r="36017">
      <c r="F36017" s="13"/>
      <c r="M36017" s="13"/>
    </row>
    <row r="36018">
      <c r="F36018" s="13"/>
      <c r="M36018" s="13"/>
    </row>
    <row r="36019">
      <c r="F36019" s="13"/>
      <c r="M36019" s="13"/>
    </row>
    <row r="36020">
      <c r="F36020" s="13"/>
      <c r="M36020" s="13"/>
    </row>
    <row r="36021">
      <c r="F36021" s="13"/>
      <c r="M36021" s="13"/>
    </row>
    <row r="36022">
      <c r="F36022" s="13"/>
      <c r="M36022" s="13"/>
    </row>
    <row r="36023">
      <c r="F36023" s="13"/>
      <c r="M36023" s="13"/>
    </row>
    <row r="36024">
      <c r="F36024" s="13"/>
      <c r="M36024" s="13"/>
    </row>
    <row r="36025">
      <c r="F36025" s="13"/>
      <c r="M36025" s="13"/>
    </row>
    <row r="36026">
      <c r="F36026" s="13"/>
      <c r="M36026" s="13"/>
    </row>
    <row r="36027">
      <c r="F36027" s="13"/>
      <c r="M36027" s="13"/>
    </row>
    <row r="36028">
      <c r="F36028" s="13"/>
      <c r="M36028" s="13"/>
    </row>
    <row r="36029">
      <c r="F36029" s="13"/>
      <c r="M36029" s="13"/>
    </row>
    <row r="36030">
      <c r="F36030" s="13"/>
      <c r="M36030" s="13"/>
    </row>
    <row r="36031">
      <c r="F36031" s="13"/>
      <c r="M36031" s="13"/>
    </row>
    <row r="36032">
      <c r="F36032" s="13"/>
      <c r="M36032" s="13"/>
    </row>
    <row r="36033">
      <c r="F36033" s="13"/>
      <c r="M36033" s="13"/>
    </row>
    <row r="36034">
      <c r="F36034" s="13"/>
      <c r="M36034" s="13"/>
    </row>
    <row r="36035">
      <c r="F36035" s="13"/>
      <c r="M36035" s="13"/>
    </row>
    <row r="36036">
      <c r="F36036" s="13"/>
      <c r="M36036" s="13"/>
    </row>
    <row r="36037">
      <c r="F36037" s="13"/>
      <c r="M36037" s="13"/>
    </row>
    <row r="36038">
      <c r="F36038" s="13"/>
      <c r="M36038" s="13"/>
    </row>
    <row r="36039">
      <c r="F36039" s="13"/>
      <c r="M36039" s="13"/>
    </row>
    <row r="36040">
      <c r="F36040" s="13"/>
      <c r="M36040" s="13"/>
    </row>
    <row r="36041">
      <c r="F36041" s="13"/>
      <c r="M36041" s="13"/>
    </row>
    <row r="36042">
      <c r="F36042" s="13"/>
      <c r="M36042" s="13"/>
    </row>
    <row r="36043">
      <c r="F36043" s="13"/>
      <c r="M36043" s="13"/>
    </row>
    <row r="36044">
      <c r="F36044" s="13"/>
      <c r="M36044" s="13"/>
    </row>
    <row r="36045">
      <c r="F36045" s="13"/>
      <c r="M36045" s="13"/>
    </row>
    <row r="36046">
      <c r="F36046" s="13"/>
      <c r="M36046" s="13"/>
    </row>
    <row r="36047">
      <c r="F36047" s="13"/>
      <c r="M36047" s="13"/>
    </row>
    <row r="36048">
      <c r="F36048" s="13"/>
      <c r="M36048" s="13"/>
    </row>
    <row r="36049">
      <c r="F36049" s="13"/>
      <c r="M36049" s="13"/>
    </row>
    <row r="36050">
      <c r="F36050" s="13"/>
      <c r="M36050" s="13"/>
    </row>
    <row r="36051">
      <c r="F36051" s="13"/>
      <c r="M36051" s="13"/>
    </row>
    <row r="36052">
      <c r="F36052" s="13"/>
      <c r="M36052" s="13"/>
    </row>
    <row r="36053">
      <c r="F36053" s="13"/>
      <c r="M36053" s="13"/>
    </row>
    <row r="36054">
      <c r="F36054" s="13"/>
      <c r="M36054" s="13"/>
    </row>
    <row r="36055">
      <c r="F36055" s="13"/>
      <c r="M36055" s="13"/>
    </row>
    <row r="36056">
      <c r="F36056" s="13"/>
      <c r="M36056" s="13"/>
    </row>
    <row r="36057">
      <c r="F36057" s="13"/>
      <c r="M36057" s="13"/>
    </row>
    <row r="36058">
      <c r="F36058" s="13"/>
      <c r="M36058" s="13"/>
    </row>
    <row r="36059">
      <c r="F36059" s="13"/>
      <c r="M36059" s="13"/>
    </row>
    <row r="36060">
      <c r="F36060" s="13"/>
      <c r="M36060" s="13"/>
    </row>
    <row r="36061">
      <c r="F36061" s="13"/>
      <c r="M36061" s="13"/>
    </row>
    <row r="36062">
      <c r="F36062" s="13"/>
      <c r="M36062" s="13"/>
    </row>
    <row r="36063">
      <c r="F36063" s="13"/>
      <c r="M36063" s="13"/>
    </row>
    <row r="36064">
      <c r="F36064" s="13"/>
      <c r="M36064" s="13"/>
    </row>
    <row r="36065">
      <c r="F36065" s="13"/>
      <c r="M36065" s="13"/>
    </row>
    <row r="36066">
      <c r="F36066" s="13"/>
      <c r="M36066" s="13"/>
    </row>
    <row r="36067">
      <c r="F36067" s="13"/>
      <c r="M36067" s="13"/>
    </row>
    <row r="36068">
      <c r="F36068" s="13"/>
      <c r="M36068" s="13"/>
    </row>
    <row r="36069">
      <c r="F36069" s="13"/>
      <c r="M36069" s="13"/>
    </row>
    <row r="36070">
      <c r="F36070" s="13"/>
      <c r="M36070" s="13"/>
    </row>
    <row r="36071">
      <c r="F36071" s="13"/>
      <c r="M36071" s="13"/>
    </row>
    <row r="36072">
      <c r="F36072" s="13"/>
      <c r="M36072" s="13"/>
    </row>
    <row r="36073">
      <c r="F36073" s="13"/>
      <c r="M36073" s="13"/>
    </row>
    <row r="36074">
      <c r="F36074" s="13"/>
      <c r="M36074" s="13"/>
    </row>
    <row r="36075">
      <c r="F36075" s="13"/>
      <c r="M36075" s="13"/>
    </row>
    <row r="36076">
      <c r="F36076" s="13"/>
      <c r="M36076" s="13"/>
    </row>
    <row r="36077">
      <c r="F36077" s="13"/>
      <c r="M36077" s="13"/>
    </row>
    <row r="36078">
      <c r="F36078" s="13"/>
      <c r="M36078" s="13"/>
    </row>
    <row r="36079">
      <c r="F36079" s="13"/>
      <c r="M36079" s="13"/>
    </row>
    <row r="36080">
      <c r="F36080" s="13"/>
      <c r="M36080" s="13"/>
    </row>
    <row r="36081">
      <c r="F36081" s="13"/>
      <c r="M36081" s="13"/>
    </row>
    <row r="36082">
      <c r="F36082" s="13"/>
      <c r="M36082" s="13"/>
    </row>
    <row r="36083">
      <c r="F36083" s="13"/>
      <c r="M36083" s="13"/>
    </row>
    <row r="36084">
      <c r="F36084" s="13"/>
      <c r="M36084" s="13"/>
    </row>
    <row r="36085">
      <c r="F36085" s="13"/>
      <c r="M36085" s="13"/>
    </row>
    <row r="36086">
      <c r="F36086" s="13"/>
      <c r="M36086" s="13"/>
    </row>
    <row r="36087">
      <c r="F36087" s="13"/>
      <c r="M36087" s="13"/>
    </row>
    <row r="36088">
      <c r="F36088" s="13"/>
      <c r="M36088" s="13"/>
    </row>
    <row r="36089">
      <c r="F36089" s="13"/>
      <c r="M36089" s="13"/>
    </row>
    <row r="36090">
      <c r="F36090" s="13"/>
      <c r="M36090" s="13"/>
    </row>
    <row r="36091">
      <c r="F36091" s="13"/>
      <c r="M36091" s="13"/>
    </row>
    <row r="36092">
      <c r="F36092" s="13"/>
      <c r="M36092" s="13"/>
    </row>
    <row r="36093">
      <c r="F36093" s="13"/>
      <c r="M36093" s="13"/>
    </row>
    <row r="36094">
      <c r="F36094" s="13"/>
      <c r="M36094" s="13"/>
    </row>
    <row r="36095">
      <c r="F36095" s="13"/>
      <c r="M36095" s="13"/>
    </row>
    <row r="36096">
      <c r="F36096" s="13"/>
      <c r="M36096" s="13"/>
    </row>
    <row r="36097">
      <c r="F36097" s="13"/>
      <c r="M36097" s="13"/>
    </row>
    <row r="36098">
      <c r="F36098" s="13"/>
      <c r="M36098" s="13"/>
    </row>
    <row r="36099">
      <c r="F36099" s="13"/>
      <c r="M36099" s="13"/>
    </row>
    <row r="36100">
      <c r="F36100" s="13"/>
      <c r="M36100" s="13"/>
    </row>
    <row r="36101">
      <c r="F36101" s="13"/>
      <c r="M36101" s="13"/>
    </row>
    <row r="36102">
      <c r="F36102" s="13"/>
      <c r="M36102" s="13"/>
    </row>
    <row r="36103">
      <c r="F36103" s="13"/>
      <c r="M36103" s="13"/>
    </row>
    <row r="36104">
      <c r="F36104" s="13"/>
      <c r="M36104" s="13"/>
    </row>
    <row r="36105">
      <c r="F36105" s="13"/>
      <c r="M36105" s="13"/>
    </row>
    <row r="36106">
      <c r="F36106" s="13"/>
      <c r="M36106" s="13"/>
    </row>
    <row r="36107">
      <c r="F36107" s="13"/>
      <c r="M36107" s="13"/>
    </row>
    <row r="36108">
      <c r="F36108" s="13"/>
      <c r="M36108" s="13"/>
    </row>
    <row r="36109">
      <c r="F36109" s="13"/>
      <c r="M36109" s="13"/>
    </row>
    <row r="36110">
      <c r="F36110" s="13"/>
      <c r="M36110" s="13"/>
    </row>
    <row r="36111">
      <c r="F36111" s="13"/>
      <c r="M36111" s="13"/>
    </row>
    <row r="36112">
      <c r="F36112" s="13"/>
      <c r="M36112" s="13"/>
    </row>
    <row r="36113">
      <c r="F36113" s="13"/>
      <c r="M36113" s="13"/>
    </row>
    <row r="36114">
      <c r="F36114" s="13"/>
      <c r="M36114" s="13"/>
    </row>
    <row r="36115">
      <c r="F36115" s="13"/>
      <c r="M36115" s="13"/>
    </row>
    <row r="36116">
      <c r="F36116" s="13"/>
      <c r="M36116" s="13"/>
    </row>
    <row r="36117">
      <c r="F36117" s="13"/>
      <c r="M36117" s="13"/>
    </row>
    <row r="36118">
      <c r="F36118" s="13"/>
      <c r="M36118" s="13"/>
    </row>
    <row r="36119">
      <c r="F36119" s="13"/>
      <c r="M36119" s="13"/>
    </row>
    <row r="36120">
      <c r="F36120" s="13"/>
      <c r="M36120" s="13"/>
    </row>
    <row r="36121">
      <c r="F36121" s="13"/>
      <c r="M36121" s="13"/>
    </row>
    <row r="36122">
      <c r="F36122" s="13"/>
      <c r="M36122" s="13"/>
    </row>
    <row r="36123">
      <c r="F36123" s="13"/>
      <c r="M36123" s="13"/>
    </row>
    <row r="36124">
      <c r="F36124" s="13"/>
      <c r="M36124" s="13"/>
    </row>
    <row r="36125">
      <c r="F36125" s="13"/>
      <c r="M36125" s="13"/>
    </row>
    <row r="36126">
      <c r="F36126" s="13"/>
      <c r="M36126" s="13"/>
    </row>
    <row r="36127">
      <c r="F36127" s="13"/>
      <c r="M36127" s="13"/>
    </row>
    <row r="36128">
      <c r="F36128" s="13"/>
      <c r="M36128" s="13"/>
    </row>
    <row r="36129">
      <c r="F36129" s="13"/>
      <c r="M36129" s="13"/>
    </row>
    <row r="36130">
      <c r="F36130" s="13"/>
      <c r="M36130" s="13"/>
    </row>
    <row r="36131">
      <c r="F36131" s="13"/>
      <c r="M36131" s="13"/>
    </row>
    <row r="36132">
      <c r="F36132" s="13"/>
      <c r="M36132" s="13"/>
    </row>
    <row r="36133">
      <c r="F36133" s="13"/>
      <c r="M36133" s="13"/>
    </row>
    <row r="36134">
      <c r="F36134" s="13"/>
      <c r="M36134" s="13"/>
    </row>
    <row r="36135">
      <c r="F36135" s="13"/>
      <c r="M36135" s="13"/>
    </row>
    <row r="36136">
      <c r="F36136" s="13"/>
      <c r="M36136" s="13"/>
    </row>
    <row r="36137">
      <c r="F36137" s="13"/>
      <c r="M36137" s="13"/>
    </row>
    <row r="36138">
      <c r="F36138" s="13"/>
      <c r="M36138" s="13"/>
    </row>
    <row r="36139">
      <c r="F36139" s="13"/>
      <c r="M36139" s="13"/>
    </row>
    <row r="36140">
      <c r="F36140" s="13"/>
      <c r="M36140" s="13"/>
    </row>
    <row r="36141">
      <c r="F36141" s="13"/>
      <c r="M36141" s="13"/>
    </row>
    <row r="36142">
      <c r="F36142" s="13"/>
      <c r="M36142" s="13"/>
    </row>
    <row r="36143">
      <c r="F36143" s="13"/>
      <c r="M36143" s="13"/>
    </row>
    <row r="36144">
      <c r="F36144" s="13"/>
      <c r="M36144" s="13"/>
    </row>
    <row r="36145">
      <c r="F36145" s="13"/>
      <c r="M36145" s="13"/>
    </row>
    <row r="36146">
      <c r="F36146" s="13"/>
      <c r="M36146" s="13"/>
    </row>
    <row r="36147">
      <c r="F36147" s="13"/>
      <c r="M36147" s="13"/>
    </row>
    <row r="36148">
      <c r="F36148" s="13"/>
      <c r="M36148" s="13"/>
    </row>
    <row r="36149">
      <c r="F36149" s="13"/>
      <c r="M36149" s="13"/>
    </row>
    <row r="36150">
      <c r="F36150" s="13"/>
      <c r="M36150" s="13"/>
    </row>
    <row r="36151">
      <c r="F36151" s="13"/>
      <c r="M36151" s="13"/>
    </row>
    <row r="36152">
      <c r="F36152" s="13"/>
      <c r="M36152" s="13"/>
    </row>
    <row r="36153">
      <c r="F36153" s="13"/>
      <c r="M36153" s="13"/>
    </row>
    <row r="36154">
      <c r="F36154" s="13"/>
      <c r="M36154" s="13"/>
    </row>
    <row r="36155">
      <c r="F36155" s="13"/>
      <c r="M36155" s="13"/>
    </row>
    <row r="36156">
      <c r="F36156" s="13"/>
      <c r="M36156" s="13"/>
    </row>
    <row r="36157">
      <c r="F36157" s="13"/>
      <c r="M36157" s="13"/>
    </row>
    <row r="36158">
      <c r="F36158" s="13"/>
      <c r="M36158" s="13"/>
    </row>
    <row r="36159">
      <c r="F36159" s="13"/>
      <c r="M36159" s="13"/>
    </row>
    <row r="36160">
      <c r="F36160" s="13"/>
      <c r="M36160" s="13"/>
    </row>
    <row r="36161">
      <c r="F36161" s="13"/>
      <c r="M36161" s="13"/>
    </row>
    <row r="36162">
      <c r="F36162" s="13"/>
      <c r="M36162" s="13"/>
    </row>
    <row r="36163">
      <c r="F36163" s="13"/>
      <c r="M36163" s="13"/>
    </row>
    <row r="36164">
      <c r="F36164" s="13"/>
      <c r="M36164" s="13"/>
    </row>
    <row r="36165">
      <c r="F36165" s="13"/>
      <c r="M36165" s="13"/>
    </row>
    <row r="36166">
      <c r="F36166" s="13"/>
      <c r="M36166" s="13"/>
    </row>
    <row r="36167">
      <c r="F36167" s="13"/>
      <c r="M36167" s="13"/>
    </row>
    <row r="36168">
      <c r="F36168" s="13"/>
      <c r="M36168" s="13"/>
    </row>
    <row r="36169">
      <c r="F36169" s="13"/>
      <c r="M36169" s="13"/>
    </row>
    <row r="36170">
      <c r="F36170" s="13"/>
      <c r="M36170" s="13"/>
    </row>
    <row r="36171">
      <c r="F36171" s="13"/>
      <c r="M36171" s="13"/>
    </row>
    <row r="36172">
      <c r="F36172" s="13"/>
      <c r="M36172" s="13"/>
    </row>
    <row r="36173">
      <c r="F36173" s="13"/>
      <c r="M36173" s="13"/>
    </row>
    <row r="36174">
      <c r="F36174" s="13"/>
      <c r="M36174" s="13"/>
    </row>
    <row r="36175">
      <c r="F36175" s="13"/>
      <c r="M36175" s="13"/>
    </row>
    <row r="36176">
      <c r="F36176" s="13"/>
      <c r="M36176" s="13"/>
    </row>
    <row r="36177">
      <c r="F36177" s="13"/>
      <c r="M36177" s="13"/>
    </row>
    <row r="36178">
      <c r="F36178" s="13"/>
      <c r="M36178" s="13"/>
    </row>
    <row r="36179">
      <c r="F36179" s="13"/>
      <c r="M36179" s="13"/>
    </row>
    <row r="36180">
      <c r="F36180" s="13"/>
      <c r="M36180" s="13"/>
    </row>
    <row r="36181">
      <c r="F36181" s="13"/>
      <c r="M36181" s="13"/>
    </row>
    <row r="36182">
      <c r="F36182" s="13"/>
      <c r="M36182" s="13"/>
    </row>
    <row r="36183">
      <c r="F36183" s="13"/>
      <c r="M36183" s="13"/>
    </row>
    <row r="36184">
      <c r="F36184" s="13"/>
      <c r="M36184" s="13"/>
    </row>
    <row r="36185">
      <c r="F36185" s="13"/>
      <c r="M36185" s="13"/>
    </row>
    <row r="36186">
      <c r="F36186" s="13"/>
      <c r="M36186" s="13"/>
    </row>
    <row r="36187">
      <c r="F36187" s="13"/>
      <c r="M36187" s="13"/>
    </row>
    <row r="36188">
      <c r="F36188" s="13"/>
      <c r="M36188" s="13"/>
    </row>
    <row r="36189">
      <c r="F36189" s="13"/>
      <c r="M36189" s="13"/>
    </row>
    <row r="36190">
      <c r="F36190" s="13"/>
      <c r="M36190" s="13"/>
    </row>
    <row r="36191">
      <c r="F36191" s="13"/>
      <c r="M36191" s="13"/>
    </row>
    <row r="36192">
      <c r="F36192" s="13"/>
      <c r="M36192" s="13"/>
    </row>
    <row r="36193">
      <c r="F36193" s="13"/>
      <c r="M36193" s="13"/>
    </row>
    <row r="36194">
      <c r="F36194" s="13"/>
      <c r="M36194" s="13"/>
    </row>
    <row r="36195">
      <c r="F36195" s="13"/>
      <c r="M36195" s="13"/>
    </row>
    <row r="36196">
      <c r="F36196" s="13"/>
      <c r="M36196" s="13"/>
    </row>
    <row r="36197">
      <c r="F36197" s="13"/>
      <c r="M36197" s="13"/>
    </row>
    <row r="36198">
      <c r="F36198" s="13"/>
      <c r="M36198" s="13"/>
    </row>
    <row r="36199">
      <c r="F36199" s="13"/>
      <c r="M36199" s="13"/>
    </row>
    <row r="36200">
      <c r="F36200" s="13"/>
      <c r="M36200" s="13"/>
    </row>
    <row r="36201">
      <c r="F36201" s="13"/>
      <c r="M36201" s="13"/>
    </row>
    <row r="36202">
      <c r="F36202" s="13"/>
      <c r="M36202" s="13"/>
    </row>
    <row r="36203">
      <c r="F36203" s="13"/>
      <c r="M36203" s="13"/>
    </row>
    <row r="36204">
      <c r="F36204" s="13"/>
      <c r="M36204" s="13"/>
    </row>
    <row r="36205">
      <c r="F36205" s="13"/>
      <c r="M36205" s="13"/>
    </row>
    <row r="36206">
      <c r="F36206" s="13"/>
      <c r="M36206" s="13"/>
    </row>
    <row r="36207">
      <c r="F36207" s="13"/>
      <c r="M36207" s="13"/>
    </row>
    <row r="36208">
      <c r="F36208" s="13"/>
      <c r="M36208" s="13"/>
    </row>
    <row r="36209">
      <c r="F36209" s="13"/>
      <c r="M36209" s="13"/>
    </row>
    <row r="36210">
      <c r="F36210" s="13"/>
      <c r="M36210" s="13"/>
    </row>
    <row r="36211">
      <c r="F36211" s="13"/>
      <c r="M36211" s="13"/>
    </row>
    <row r="36212">
      <c r="F36212" s="13"/>
      <c r="M36212" s="13"/>
    </row>
    <row r="36213">
      <c r="F36213" s="13"/>
      <c r="M36213" s="13"/>
    </row>
    <row r="36214">
      <c r="F36214" s="13"/>
      <c r="M36214" s="13"/>
    </row>
    <row r="36215">
      <c r="F36215" s="13"/>
      <c r="M36215" s="13"/>
    </row>
    <row r="36216">
      <c r="F36216" s="13"/>
      <c r="M36216" s="13"/>
    </row>
    <row r="36217">
      <c r="F36217" s="13"/>
      <c r="M36217" s="13"/>
    </row>
    <row r="36218">
      <c r="F36218" s="13"/>
      <c r="M36218" s="13"/>
    </row>
    <row r="36219">
      <c r="F36219" s="13"/>
      <c r="M36219" s="13"/>
    </row>
    <row r="36220">
      <c r="F36220" s="13"/>
      <c r="M36220" s="13"/>
    </row>
    <row r="36221">
      <c r="F36221" s="13"/>
      <c r="M36221" s="13"/>
    </row>
    <row r="36222">
      <c r="F36222" s="13"/>
      <c r="M36222" s="13"/>
    </row>
    <row r="36223">
      <c r="F36223" s="13"/>
      <c r="M36223" s="13"/>
    </row>
    <row r="36224">
      <c r="F36224" s="13"/>
      <c r="M36224" s="13"/>
    </row>
    <row r="36225">
      <c r="F36225" s="13"/>
      <c r="M36225" s="13"/>
    </row>
    <row r="36226">
      <c r="F36226" s="13"/>
      <c r="M36226" s="13"/>
    </row>
    <row r="36227">
      <c r="F36227" s="13"/>
      <c r="M36227" s="13"/>
    </row>
    <row r="36228">
      <c r="F36228" s="13"/>
      <c r="M36228" s="13"/>
    </row>
    <row r="36229">
      <c r="F36229" s="13"/>
      <c r="M36229" s="13"/>
    </row>
    <row r="36230">
      <c r="F36230" s="13"/>
      <c r="M36230" s="13"/>
    </row>
    <row r="36231">
      <c r="F36231" s="13"/>
      <c r="M36231" s="13"/>
    </row>
    <row r="36232">
      <c r="F36232" s="13"/>
      <c r="M36232" s="13"/>
    </row>
    <row r="36233">
      <c r="F36233" s="13"/>
      <c r="M36233" s="13"/>
    </row>
    <row r="36234">
      <c r="F36234" s="13"/>
      <c r="M36234" s="13"/>
    </row>
    <row r="36235">
      <c r="F36235" s="13"/>
      <c r="M36235" s="13"/>
    </row>
    <row r="36236">
      <c r="F36236" s="13"/>
      <c r="M36236" s="13"/>
    </row>
    <row r="36237">
      <c r="F36237" s="13"/>
      <c r="M36237" s="13"/>
    </row>
    <row r="36238">
      <c r="F36238" s="13"/>
      <c r="M36238" s="13"/>
    </row>
    <row r="36239">
      <c r="F36239" s="13"/>
      <c r="M36239" s="13"/>
    </row>
    <row r="36240">
      <c r="F36240" s="13"/>
      <c r="M36240" s="13"/>
    </row>
    <row r="36241">
      <c r="F36241" s="13"/>
      <c r="M36241" s="13"/>
    </row>
    <row r="36242">
      <c r="F36242" s="13"/>
      <c r="M36242" s="13"/>
    </row>
    <row r="36243">
      <c r="F36243" s="13"/>
      <c r="M36243" s="13"/>
    </row>
    <row r="36244">
      <c r="F36244" s="13"/>
      <c r="M36244" s="13"/>
    </row>
    <row r="36245">
      <c r="F36245" s="13"/>
      <c r="M36245" s="13"/>
    </row>
    <row r="36246">
      <c r="F36246" s="13"/>
      <c r="M36246" s="13"/>
    </row>
    <row r="36247">
      <c r="F36247" s="13"/>
      <c r="M36247" s="13"/>
    </row>
    <row r="36248">
      <c r="F36248" s="13"/>
      <c r="M36248" s="13"/>
    </row>
    <row r="36249">
      <c r="F36249" s="13"/>
      <c r="M36249" s="13"/>
    </row>
    <row r="36250">
      <c r="F36250" s="13"/>
      <c r="M36250" s="13"/>
    </row>
    <row r="36251">
      <c r="F36251" s="13"/>
      <c r="M36251" s="13"/>
    </row>
    <row r="36252">
      <c r="F36252" s="13"/>
      <c r="M36252" s="13"/>
    </row>
    <row r="36253">
      <c r="F36253" s="13"/>
      <c r="M36253" s="13"/>
    </row>
    <row r="36254">
      <c r="F36254" s="13"/>
      <c r="M36254" s="13"/>
    </row>
    <row r="36255">
      <c r="F36255" s="13"/>
      <c r="M36255" s="13"/>
    </row>
    <row r="36256">
      <c r="F36256" s="13"/>
      <c r="M36256" s="13"/>
    </row>
    <row r="36257">
      <c r="F36257" s="13"/>
      <c r="M36257" s="13"/>
    </row>
    <row r="36258">
      <c r="F36258" s="13"/>
      <c r="M36258" s="13"/>
    </row>
    <row r="36259">
      <c r="F36259" s="13"/>
      <c r="M36259" s="13"/>
    </row>
    <row r="36260">
      <c r="F36260" s="13"/>
      <c r="M36260" s="13"/>
    </row>
    <row r="36261">
      <c r="F36261" s="13"/>
      <c r="M36261" s="13"/>
    </row>
    <row r="36262">
      <c r="F36262" s="13"/>
      <c r="M36262" s="13"/>
    </row>
    <row r="36263">
      <c r="F36263" s="13"/>
      <c r="M36263" s="13"/>
    </row>
    <row r="36264">
      <c r="F36264" s="13"/>
      <c r="M36264" s="13"/>
    </row>
    <row r="36265">
      <c r="F36265" s="13"/>
      <c r="M36265" s="13"/>
    </row>
    <row r="36266">
      <c r="F36266" s="13"/>
      <c r="M36266" s="13"/>
    </row>
    <row r="36267">
      <c r="F36267" s="13"/>
      <c r="M36267" s="13"/>
    </row>
    <row r="36268">
      <c r="F36268" s="13"/>
      <c r="M36268" s="13"/>
    </row>
    <row r="36269">
      <c r="F36269" s="13"/>
      <c r="M36269" s="13"/>
    </row>
    <row r="36270">
      <c r="F36270" s="13"/>
      <c r="M36270" s="13"/>
    </row>
    <row r="36271">
      <c r="F36271" s="13"/>
      <c r="M36271" s="13"/>
    </row>
    <row r="36272">
      <c r="F36272" s="13"/>
      <c r="M36272" s="13"/>
    </row>
    <row r="36273">
      <c r="F36273" s="13"/>
      <c r="M36273" s="13"/>
    </row>
    <row r="36274">
      <c r="F36274" s="13"/>
      <c r="M36274" s="13"/>
    </row>
    <row r="36275">
      <c r="F36275" s="13"/>
      <c r="M36275" s="13"/>
    </row>
    <row r="36276">
      <c r="F36276" s="13"/>
      <c r="M36276" s="13"/>
    </row>
    <row r="36277">
      <c r="F36277" s="13"/>
      <c r="M36277" s="13"/>
    </row>
    <row r="36278">
      <c r="F36278" s="13"/>
      <c r="M36278" s="13"/>
    </row>
    <row r="36279">
      <c r="F36279" s="13"/>
      <c r="M36279" s="13"/>
    </row>
    <row r="36280">
      <c r="F36280" s="13"/>
      <c r="M36280" s="13"/>
    </row>
    <row r="36281">
      <c r="F36281" s="13"/>
      <c r="M36281" s="13"/>
    </row>
    <row r="36282">
      <c r="F36282" s="13"/>
      <c r="M36282" s="13"/>
    </row>
    <row r="36283">
      <c r="F36283" s="13"/>
      <c r="M36283" s="13"/>
    </row>
    <row r="36284">
      <c r="F36284" s="13"/>
      <c r="M36284" s="13"/>
    </row>
    <row r="36285">
      <c r="F36285" s="13"/>
      <c r="M36285" s="13"/>
    </row>
    <row r="36286">
      <c r="F36286" s="13"/>
      <c r="M36286" s="13"/>
    </row>
    <row r="36287">
      <c r="F36287" s="13"/>
      <c r="M36287" s="13"/>
    </row>
    <row r="36288">
      <c r="F36288" s="13"/>
      <c r="M36288" s="13"/>
    </row>
    <row r="36289">
      <c r="F36289" s="13"/>
      <c r="M36289" s="13"/>
    </row>
    <row r="36290">
      <c r="F36290" s="13"/>
      <c r="M36290" s="13"/>
    </row>
    <row r="36291">
      <c r="F36291" s="13"/>
      <c r="M36291" s="13"/>
    </row>
    <row r="36292">
      <c r="F36292" s="13"/>
      <c r="M36292" s="13"/>
    </row>
    <row r="36293">
      <c r="F36293" s="13"/>
      <c r="M36293" s="13"/>
    </row>
    <row r="36294">
      <c r="F36294" s="13"/>
      <c r="M36294" s="13"/>
    </row>
    <row r="36295">
      <c r="F36295" s="13"/>
      <c r="M36295" s="13"/>
    </row>
    <row r="36296">
      <c r="F36296" s="13"/>
      <c r="M36296" s="13"/>
    </row>
    <row r="36297">
      <c r="F36297" s="13"/>
      <c r="M36297" s="13"/>
    </row>
    <row r="36298">
      <c r="F36298" s="13"/>
      <c r="M36298" s="13"/>
    </row>
    <row r="36299">
      <c r="F36299" s="13"/>
      <c r="M36299" s="13"/>
    </row>
    <row r="36300">
      <c r="F36300" s="13"/>
      <c r="M36300" s="13"/>
    </row>
    <row r="36301">
      <c r="F36301" s="13"/>
      <c r="M36301" s="13"/>
    </row>
    <row r="36302">
      <c r="F36302" s="13"/>
      <c r="M36302" s="13"/>
    </row>
    <row r="36303">
      <c r="F36303" s="13"/>
      <c r="M36303" s="13"/>
    </row>
    <row r="36304">
      <c r="F36304" s="13"/>
      <c r="M36304" s="13"/>
    </row>
    <row r="36305">
      <c r="F36305" s="13"/>
      <c r="M36305" s="13"/>
    </row>
    <row r="36306">
      <c r="F36306" s="13"/>
      <c r="M36306" s="13"/>
    </row>
    <row r="36307">
      <c r="F36307" s="13"/>
      <c r="M36307" s="13"/>
    </row>
    <row r="36308">
      <c r="F36308" s="13"/>
      <c r="M36308" s="13"/>
    </row>
    <row r="36309">
      <c r="F36309" s="13"/>
      <c r="M36309" s="13"/>
    </row>
    <row r="36310">
      <c r="F36310" s="13"/>
      <c r="M36310" s="13"/>
    </row>
    <row r="36311">
      <c r="F36311" s="13"/>
      <c r="M36311" s="13"/>
    </row>
    <row r="36312">
      <c r="F36312" s="13"/>
      <c r="M36312" s="13"/>
    </row>
    <row r="36313">
      <c r="F36313" s="13"/>
      <c r="M36313" s="13"/>
    </row>
    <row r="36314">
      <c r="F36314" s="13"/>
      <c r="M36314" s="13"/>
    </row>
    <row r="36315">
      <c r="F36315" s="13"/>
      <c r="M36315" s="13"/>
    </row>
    <row r="36316">
      <c r="F36316" s="13"/>
      <c r="M36316" s="13"/>
    </row>
    <row r="36317">
      <c r="F36317" s="13"/>
      <c r="M36317" s="13"/>
    </row>
    <row r="36318">
      <c r="F36318" s="13"/>
      <c r="M36318" s="13"/>
    </row>
    <row r="36319">
      <c r="F36319" s="13"/>
      <c r="M36319" s="13"/>
    </row>
    <row r="36320">
      <c r="F36320" s="13"/>
      <c r="M36320" s="13"/>
    </row>
    <row r="36321">
      <c r="F36321" s="13"/>
      <c r="M36321" s="13"/>
    </row>
    <row r="36322">
      <c r="F36322" s="13"/>
      <c r="M36322" s="13"/>
    </row>
    <row r="36323">
      <c r="F36323" s="13"/>
      <c r="M36323" s="13"/>
    </row>
    <row r="36324">
      <c r="F36324" s="13"/>
      <c r="M36324" s="13"/>
    </row>
    <row r="36325">
      <c r="F36325" s="13"/>
      <c r="M36325" s="13"/>
    </row>
    <row r="36326">
      <c r="F36326" s="13"/>
      <c r="M36326" s="13"/>
    </row>
    <row r="36327">
      <c r="F36327" s="13"/>
      <c r="M36327" s="13"/>
    </row>
    <row r="36328">
      <c r="F36328" s="13"/>
      <c r="M36328" s="13"/>
    </row>
    <row r="36329">
      <c r="F36329" s="13"/>
      <c r="M36329" s="13"/>
    </row>
    <row r="36330">
      <c r="F36330" s="13"/>
      <c r="M36330" s="13"/>
    </row>
    <row r="36331">
      <c r="F36331" s="13"/>
      <c r="M36331" s="13"/>
    </row>
    <row r="36332">
      <c r="F36332" s="13"/>
      <c r="M36332" s="13"/>
    </row>
    <row r="36333">
      <c r="F36333" s="13"/>
      <c r="M36333" s="13"/>
    </row>
    <row r="36334">
      <c r="F36334" s="13"/>
      <c r="M36334" s="13"/>
    </row>
    <row r="36335">
      <c r="F36335" s="13"/>
      <c r="M36335" s="13"/>
    </row>
    <row r="36336">
      <c r="F36336" s="13"/>
      <c r="M36336" s="13"/>
    </row>
    <row r="36337">
      <c r="F36337" s="13"/>
      <c r="M36337" s="13"/>
    </row>
    <row r="36338">
      <c r="F36338" s="13"/>
      <c r="M36338" s="13"/>
    </row>
    <row r="36339">
      <c r="F36339" s="13"/>
      <c r="M36339" s="13"/>
    </row>
    <row r="36340">
      <c r="F36340" s="13"/>
      <c r="M36340" s="13"/>
    </row>
    <row r="36341">
      <c r="F36341" s="13"/>
      <c r="M36341" s="13"/>
    </row>
    <row r="36342">
      <c r="F36342" s="13"/>
      <c r="M36342" s="13"/>
    </row>
    <row r="36343">
      <c r="F36343" s="13"/>
      <c r="M36343" s="13"/>
    </row>
    <row r="36344">
      <c r="F36344" s="13"/>
      <c r="M36344" s="13"/>
    </row>
    <row r="36345">
      <c r="F36345" s="13"/>
      <c r="M36345" s="13"/>
    </row>
    <row r="36346">
      <c r="F36346" s="13"/>
      <c r="M36346" s="13"/>
    </row>
    <row r="36347">
      <c r="F36347" s="13"/>
      <c r="M36347" s="13"/>
    </row>
    <row r="36348">
      <c r="F36348" s="13"/>
      <c r="M36348" s="13"/>
    </row>
    <row r="36349">
      <c r="F36349" s="13"/>
      <c r="M36349" s="13"/>
    </row>
    <row r="36350">
      <c r="F36350" s="13"/>
      <c r="M36350" s="13"/>
    </row>
    <row r="36351">
      <c r="F36351" s="13"/>
      <c r="M36351" s="13"/>
    </row>
    <row r="36352">
      <c r="F36352" s="13"/>
      <c r="M36352" s="13"/>
    </row>
    <row r="36353">
      <c r="F36353" s="13"/>
      <c r="M36353" s="13"/>
    </row>
    <row r="36354">
      <c r="F36354" s="13"/>
      <c r="M36354" s="13"/>
    </row>
    <row r="36355">
      <c r="F36355" s="13"/>
      <c r="M36355" s="13"/>
    </row>
    <row r="36356">
      <c r="F36356" s="13"/>
      <c r="M36356" s="13"/>
    </row>
    <row r="36357">
      <c r="F36357" s="13"/>
      <c r="M36357" s="13"/>
    </row>
    <row r="36358">
      <c r="F36358" s="13"/>
      <c r="M36358" s="13"/>
    </row>
    <row r="36359">
      <c r="F36359" s="13"/>
      <c r="M36359" s="13"/>
    </row>
    <row r="36360">
      <c r="F36360" s="13"/>
      <c r="M36360" s="13"/>
    </row>
    <row r="36361">
      <c r="F36361" s="13"/>
      <c r="M36361" s="13"/>
    </row>
    <row r="36362">
      <c r="F36362" s="13"/>
      <c r="M36362" s="13"/>
    </row>
    <row r="36363">
      <c r="F36363" s="13"/>
      <c r="M36363" s="13"/>
    </row>
    <row r="36364">
      <c r="F36364" s="13"/>
      <c r="M36364" s="13"/>
    </row>
    <row r="36365">
      <c r="F36365" s="13"/>
      <c r="M36365" s="13"/>
    </row>
    <row r="36366">
      <c r="F36366" s="13"/>
      <c r="M36366" s="13"/>
    </row>
    <row r="36367">
      <c r="F36367" s="13"/>
      <c r="M36367" s="13"/>
    </row>
    <row r="36368">
      <c r="F36368" s="13"/>
      <c r="M36368" s="13"/>
    </row>
    <row r="36369">
      <c r="F36369" s="13"/>
      <c r="M36369" s="13"/>
    </row>
    <row r="36370">
      <c r="F36370" s="13"/>
      <c r="M36370" s="13"/>
    </row>
    <row r="36371">
      <c r="F36371" s="13"/>
      <c r="M36371" s="13"/>
    </row>
    <row r="36372">
      <c r="F36372" s="13"/>
      <c r="M36372" s="13"/>
    </row>
    <row r="36373">
      <c r="F36373" s="13"/>
      <c r="M36373" s="13"/>
    </row>
    <row r="36374">
      <c r="F36374" s="13"/>
      <c r="M36374" s="13"/>
    </row>
    <row r="36375">
      <c r="F36375" s="13"/>
      <c r="M36375" s="13"/>
    </row>
    <row r="36376">
      <c r="F36376" s="13"/>
      <c r="M36376" s="13"/>
    </row>
    <row r="36377">
      <c r="F36377" s="13"/>
      <c r="M36377" s="13"/>
    </row>
    <row r="36378">
      <c r="F36378" s="13"/>
      <c r="M36378" s="13"/>
    </row>
    <row r="36379">
      <c r="F36379" s="13"/>
      <c r="M36379" s="13"/>
    </row>
    <row r="36380">
      <c r="F36380" s="13"/>
      <c r="M36380" s="13"/>
    </row>
    <row r="36381">
      <c r="F36381" s="13"/>
      <c r="M36381" s="13"/>
    </row>
    <row r="36382">
      <c r="F36382" s="13"/>
      <c r="M36382" s="13"/>
    </row>
    <row r="36383">
      <c r="F36383" s="13"/>
      <c r="M36383" s="13"/>
    </row>
    <row r="36384">
      <c r="F36384" s="13"/>
      <c r="M36384" s="13"/>
    </row>
    <row r="36385">
      <c r="F36385" s="13"/>
      <c r="M36385" s="13"/>
    </row>
    <row r="36386">
      <c r="F36386" s="13"/>
      <c r="M36386" s="13"/>
    </row>
    <row r="36387">
      <c r="F36387" s="13"/>
      <c r="M36387" s="13"/>
    </row>
    <row r="36388">
      <c r="F36388" s="13"/>
      <c r="M36388" s="13"/>
    </row>
    <row r="36389">
      <c r="F36389" s="13"/>
      <c r="M36389" s="13"/>
    </row>
    <row r="36390">
      <c r="F36390" s="13"/>
      <c r="M36390" s="13"/>
    </row>
    <row r="36391">
      <c r="F36391" s="13"/>
      <c r="M36391" s="13"/>
    </row>
    <row r="36392">
      <c r="F36392" s="13"/>
      <c r="M36392" s="13"/>
    </row>
    <row r="36393">
      <c r="F36393" s="13"/>
      <c r="M36393" s="13"/>
    </row>
    <row r="36394">
      <c r="F36394" s="13"/>
      <c r="M36394" s="13"/>
    </row>
    <row r="36395">
      <c r="F36395" s="13"/>
      <c r="M36395" s="13"/>
    </row>
    <row r="36396">
      <c r="F36396" s="13"/>
      <c r="M36396" s="13"/>
    </row>
    <row r="36397">
      <c r="F36397" s="13"/>
      <c r="M36397" s="13"/>
    </row>
    <row r="36398">
      <c r="F36398" s="13"/>
      <c r="M36398" s="13"/>
    </row>
    <row r="36399">
      <c r="F36399" s="13"/>
      <c r="M36399" s="13"/>
    </row>
    <row r="36400">
      <c r="F36400" s="13"/>
      <c r="M36400" s="13"/>
    </row>
    <row r="36401">
      <c r="F36401" s="13"/>
      <c r="M36401" s="13"/>
    </row>
    <row r="36402">
      <c r="F36402" s="13"/>
      <c r="M36402" s="13"/>
    </row>
    <row r="36403">
      <c r="F36403" s="13"/>
      <c r="M36403" s="13"/>
    </row>
    <row r="36404">
      <c r="F36404" s="13"/>
      <c r="M36404" s="13"/>
    </row>
    <row r="36405">
      <c r="F36405" s="13"/>
      <c r="M36405" s="13"/>
    </row>
    <row r="36406">
      <c r="F36406" s="13"/>
      <c r="M36406" s="13"/>
    </row>
    <row r="36407">
      <c r="F36407" s="13"/>
      <c r="M36407" s="13"/>
    </row>
    <row r="36408">
      <c r="F36408" s="13"/>
      <c r="M36408" s="13"/>
    </row>
    <row r="36409">
      <c r="F36409" s="13"/>
      <c r="M36409" s="13"/>
    </row>
    <row r="36410">
      <c r="F36410" s="13"/>
      <c r="M36410" s="13"/>
    </row>
    <row r="36411">
      <c r="F36411" s="13"/>
      <c r="M36411" s="13"/>
    </row>
    <row r="36412">
      <c r="F36412" s="13"/>
      <c r="M36412" s="13"/>
    </row>
    <row r="36413">
      <c r="F36413" s="13"/>
      <c r="M36413" s="13"/>
    </row>
    <row r="36414">
      <c r="F36414" s="13"/>
      <c r="M36414" s="13"/>
    </row>
    <row r="36415">
      <c r="F36415" s="13"/>
      <c r="M36415" s="13"/>
    </row>
    <row r="36416">
      <c r="F36416" s="13"/>
      <c r="M36416" s="13"/>
    </row>
    <row r="36417">
      <c r="F36417" s="13"/>
      <c r="M36417" s="13"/>
    </row>
    <row r="36418">
      <c r="F36418" s="13"/>
      <c r="M36418" s="13"/>
    </row>
    <row r="36419">
      <c r="F36419" s="13"/>
      <c r="M36419" s="13"/>
    </row>
    <row r="36420">
      <c r="F36420" s="13"/>
      <c r="M36420" s="13"/>
    </row>
    <row r="36421">
      <c r="F36421" s="13"/>
      <c r="M36421" s="13"/>
    </row>
    <row r="36422">
      <c r="F36422" s="13"/>
      <c r="M36422" s="13"/>
    </row>
    <row r="36423">
      <c r="F36423" s="13"/>
      <c r="M36423" s="13"/>
    </row>
    <row r="36424">
      <c r="F36424" s="13"/>
      <c r="M36424" s="13"/>
    </row>
    <row r="36425">
      <c r="F36425" s="13"/>
      <c r="M36425" s="13"/>
    </row>
    <row r="36426">
      <c r="F36426" s="13"/>
      <c r="M36426" s="13"/>
    </row>
    <row r="36427">
      <c r="F36427" s="13"/>
      <c r="M36427" s="13"/>
    </row>
    <row r="36428">
      <c r="F36428" s="13"/>
      <c r="M36428" s="13"/>
    </row>
    <row r="36429">
      <c r="F36429" s="13"/>
      <c r="M36429" s="13"/>
    </row>
    <row r="36430">
      <c r="F36430" s="13"/>
      <c r="M36430" s="13"/>
    </row>
    <row r="36431">
      <c r="F36431" s="13"/>
      <c r="M36431" s="13"/>
    </row>
    <row r="36432">
      <c r="F36432" s="13"/>
      <c r="M36432" s="13"/>
    </row>
    <row r="36433">
      <c r="F36433" s="13"/>
      <c r="M36433" s="13"/>
    </row>
    <row r="36434">
      <c r="F36434" s="13"/>
      <c r="M36434" s="13"/>
    </row>
    <row r="36435">
      <c r="F36435" s="13"/>
      <c r="M36435" s="13"/>
    </row>
    <row r="36436">
      <c r="F36436" s="13"/>
      <c r="M36436" s="13"/>
    </row>
    <row r="36437">
      <c r="F36437" s="13"/>
      <c r="M36437" s="13"/>
    </row>
    <row r="36438">
      <c r="F36438" s="13"/>
      <c r="M36438" s="13"/>
    </row>
    <row r="36439">
      <c r="F36439" s="13"/>
      <c r="M36439" s="13"/>
    </row>
    <row r="36440">
      <c r="F36440" s="13"/>
      <c r="M36440" s="13"/>
    </row>
    <row r="36441">
      <c r="F36441" s="13"/>
      <c r="M36441" s="13"/>
    </row>
    <row r="36442">
      <c r="F36442" s="13"/>
      <c r="M36442" s="13"/>
    </row>
    <row r="36443">
      <c r="F36443" s="13"/>
      <c r="M36443" s="13"/>
    </row>
    <row r="36444">
      <c r="F36444" s="13"/>
      <c r="M36444" s="13"/>
    </row>
    <row r="36445">
      <c r="F36445" s="13"/>
      <c r="M36445" s="13"/>
    </row>
    <row r="36446">
      <c r="F36446" s="13"/>
      <c r="M36446" s="13"/>
    </row>
    <row r="36447">
      <c r="F36447" s="13"/>
      <c r="M36447" s="13"/>
    </row>
    <row r="36448">
      <c r="F36448" s="13"/>
      <c r="M36448" s="13"/>
    </row>
    <row r="36449">
      <c r="F36449" s="13"/>
      <c r="M36449" s="13"/>
    </row>
    <row r="36450">
      <c r="F36450" s="13"/>
      <c r="M36450" s="13"/>
    </row>
    <row r="36451">
      <c r="F36451" s="13"/>
      <c r="M36451" s="13"/>
    </row>
    <row r="36452">
      <c r="F36452" s="13"/>
      <c r="M36452" s="13"/>
    </row>
    <row r="36453">
      <c r="F36453" s="13"/>
      <c r="M36453" s="13"/>
    </row>
    <row r="36454">
      <c r="F36454" s="13"/>
      <c r="M36454" s="13"/>
    </row>
    <row r="36455">
      <c r="F36455" s="13"/>
      <c r="M36455" s="13"/>
    </row>
    <row r="36456">
      <c r="F36456" s="13"/>
      <c r="M36456" s="13"/>
    </row>
    <row r="36457">
      <c r="F36457" s="13"/>
      <c r="M36457" s="13"/>
    </row>
    <row r="36458">
      <c r="F36458" s="13"/>
      <c r="M36458" s="13"/>
    </row>
    <row r="36459">
      <c r="F36459" s="13"/>
      <c r="M36459" s="13"/>
    </row>
    <row r="36460">
      <c r="F36460" s="13"/>
      <c r="M36460" s="13"/>
    </row>
    <row r="36461">
      <c r="F36461" s="13"/>
      <c r="M36461" s="13"/>
    </row>
    <row r="36462">
      <c r="F36462" s="13"/>
      <c r="M36462" s="13"/>
    </row>
    <row r="36463">
      <c r="F36463" s="13"/>
      <c r="M36463" s="13"/>
    </row>
    <row r="36464">
      <c r="F36464" s="13"/>
      <c r="M36464" s="13"/>
    </row>
    <row r="36465">
      <c r="F36465" s="13"/>
      <c r="M36465" s="13"/>
    </row>
    <row r="36466">
      <c r="F36466" s="13"/>
      <c r="M36466" s="13"/>
    </row>
    <row r="36467">
      <c r="F36467" s="13"/>
      <c r="M36467" s="13"/>
    </row>
    <row r="36468">
      <c r="F36468" s="13"/>
      <c r="M36468" s="13"/>
    </row>
    <row r="36469">
      <c r="F36469" s="13"/>
      <c r="M36469" s="13"/>
    </row>
    <row r="36470">
      <c r="F36470" s="13"/>
      <c r="M36470" s="13"/>
    </row>
    <row r="36471">
      <c r="F36471" s="13"/>
      <c r="M36471" s="13"/>
    </row>
    <row r="36472">
      <c r="F36472" s="13"/>
      <c r="M36472" s="13"/>
    </row>
    <row r="36473">
      <c r="F36473" s="13"/>
      <c r="M36473" s="13"/>
    </row>
    <row r="36474">
      <c r="F36474" s="13"/>
      <c r="M36474" s="13"/>
    </row>
    <row r="36475">
      <c r="F36475" s="13"/>
      <c r="M36475" s="13"/>
    </row>
    <row r="36476">
      <c r="F36476" s="13"/>
      <c r="M36476" s="13"/>
    </row>
    <row r="36477">
      <c r="F36477" s="13"/>
      <c r="M36477" s="13"/>
    </row>
    <row r="36478">
      <c r="F36478" s="13"/>
      <c r="M36478" s="13"/>
    </row>
    <row r="36479">
      <c r="F36479" s="13"/>
      <c r="M36479" s="13"/>
    </row>
    <row r="36480">
      <c r="F36480" s="13"/>
      <c r="M36480" s="13"/>
    </row>
    <row r="36481">
      <c r="F36481" s="13"/>
      <c r="M36481" s="13"/>
    </row>
    <row r="36482">
      <c r="F36482" s="13"/>
      <c r="M36482" s="13"/>
    </row>
    <row r="36483">
      <c r="F36483" s="13"/>
      <c r="M36483" s="13"/>
    </row>
    <row r="36484">
      <c r="F36484" s="13"/>
      <c r="M36484" s="13"/>
    </row>
    <row r="36485">
      <c r="F36485" s="13"/>
      <c r="M36485" s="13"/>
    </row>
    <row r="36486">
      <c r="F36486" s="13"/>
      <c r="M36486" s="13"/>
    </row>
    <row r="36487">
      <c r="F36487" s="13"/>
      <c r="M36487" s="13"/>
    </row>
    <row r="36488">
      <c r="F36488" s="13"/>
      <c r="M36488" s="13"/>
    </row>
    <row r="36489">
      <c r="F36489" s="13"/>
      <c r="M36489" s="13"/>
    </row>
    <row r="36490">
      <c r="F36490" s="13"/>
      <c r="M36490" s="13"/>
    </row>
    <row r="36491">
      <c r="F36491" s="13"/>
      <c r="M36491" s="13"/>
    </row>
    <row r="36492">
      <c r="F36492" s="13"/>
      <c r="M36492" s="13"/>
    </row>
    <row r="36493">
      <c r="F36493" s="13"/>
      <c r="M36493" s="13"/>
    </row>
    <row r="36494">
      <c r="F36494" s="13"/>
      <c r="M36494" s="13"/>
    </row>
    <row r="36495">
      <c r="F36495" s="13"/>
      <c r="M36495" s="13"/>
    </row>
    <row r="36496">
      <c r="F36496" s="13"/>
      <c r="M36496" s="13"/>
    </row>
    <row r="36497">
      <c r="F36497" s="13"/>
      <c r="M36497" s="13"/>
    </row>
    <row r="36498">
      <c r="F36498" s="13"/>
      <c r="M36498" s="13"/>
    </row>
    <row r="36499">
      <c r="F36499" s="13"/>
      <c r="M36499" s="13"/>
    </row>
    <row r="36500">
      <c r="F36500" s="13"/>
      <c r="M36500" s="13"/>
    </row>
    <row r="36501">
      <c r="F36501" s="13"/>
      <c r="M36501" s="13"/>
    </row>
    <row r="36502">
      <c r="F36502" s="13"/>
      <c r="M36502" s="13"/>
    </row>
    <row r="36503">
      <c r="F36503" s="13"/>
      <c r="M36503" s="13"/>
    </row>
    <row r="36504">
      <c r="F36504" s="13"/>
      <c r="M36504" s="13"/>
    </row>
    <row r="36505">
      <c r="F36505" s="13"/>
      <c r="M36505" s="13"/>
    </row>
    <row r="36506">
      <c r="F36506" s="13"/>
      <c r="M36506" s="13"/>
    </row>
    <row r="36507">
      <c r="F36507" s="13"/>
      <c r="M36507" s="13"/>
    </row>
    <row r="36508">
      <c r="F36508" s="13"/>
      <c r="M36508" s="13"/>
    </row>
    <row r="36509">
      <c r="F36509" s="13"/>
      <c r="M36509" s="13"/>
    </row>
    <row r="36510">
      <c r="F36510" s="13"/>
      <c r="M36510" s="13"/>
    </row>
    <row r="36511">
      <c r="F36511" s="13"/>
      <c r="M36511" s="13"/>
    </row>
    <row r="36512">
      <c r="F36512" s="13"/>
      <c r="M36512" s="13"/>
    </row>
    <row r="36513">
      <c r="F36513" s="13"/>
      <c r="M36513" s="13"/>
    </row>
    <row r="36514">
      <c r="F36514" s="13"/>
      <c r="M36514" s="13"/>
    </row>
    <row r="36515">
      <c r="F36515" s="13"/>
      <c r="M36515" s="13"/>
    </row>
    <row r="36516">
      <c r="F36516" s="13"/>
      <c r="M36516" s="13"/>
    </row>
    <row r="36517">
      <c r="F36517" s="13"/>
      <c r="M36517" s="13"/>
    </row>
    <row r="36518">
      <c r="F36518" s="13"/>
      <c r="M36518" s="13"/>
    </row>
    <row r="36519">
      <c r="F36519" s="13"/>
      <c r="M36519" s="13"/>
    </row>
    <row r="36520">
      <c r="F36520" s="13"/>
      <c r="M36520" s="13"/>
    </row>
    <row r="36521">
      <c r="F36521" s="13"/>
      <c r="M36521" s="13"/>
    </row>
    <row r="36522">
      <c r="F36522" s="13"/>
      <c r="M36522" s="13"/>
    </row>
    <row r="36523">
      <c r="F36523" s="13"/>
      <c r="M36523" s="13"/>
    </row>
    <row r="36524">
      <c r="F36524" s="13"/>
      <c r="M36524" s="13"/>
    </row>
    <row r="36525">
      <c r="F36525" s="13"/>
      <c r="M36525" s="13"/>
    </row>
    <row r="36526">
      <c r="F36526" s="13"/>
      <c r="M36526" s="13"/>
    </row>
    <row r="36527">
      <c r="F36527" s="13"/>
      <c r="M36527" s="13"/>
    </row>
    <row r="36528">
      <c r="F36528" s="13"/>
      <c r="M36528" s="13"/>
    </row>
    <row r="36529">
      <c r="F36529" s="13"/>
      <c r="M36529" s="13"/>
    </row>
    <row r="36530">
      <c r="F36530" s="13"/>
      <c r="M36530" s="13"/>
    </row>
    <row r="36531">
      <c r="F36531" s="13"/>
      <c r="M36531" s="13"/>
    </row>
    <row r="36532">
      <c r="F36532" s="13"/>
      <c r="M36532" s="13"/>
    </row>
    <row r="36533">
      <c r="F36533" s="13"/>
      <c r="M36533" s="13"/>
    </row>
    <row r="36534">
      <c r="F36534" s="13"/>
      <c r="M36534" s="13"/>
    </row>
    <row r="36535">
      <c r="F36535" s="13"/>
      <c r="M36535" s="13"/>
    </row>
    <row r="36536">
      <c r="F36536" s="13"/>
      <c r="M36536" s="13"/>
    </row>
    <row r="36537">
      <c r="F36537" s="13"/>
      <c r="M36537" s="13"/>
    </row>
    <row r="36538">
      <c r="F36538" s="13"/>
      <c r="M36538" s="13"/>
    </row>
    <row r="36539">
      <c r="F36539" s="13"/>
      <c r="M36539" s="13"/>
    </row>
    <row r="36540">
      <c r="F36540" s="13"/>
      <c r="M36540" s="13"/>
    </row>
    <row r="36541">
      <c r="F36541" s="13"/>
      <c r="M36541" s="13"/>
    </row>
    <row r="36542">
      <c r="F36542" s="13"/>
      <c r="M36542" s="13"/>
    </row>
    <row r="36543">
      <c r="F36543" s="13"/>
      <c r="M36543" s="13"/>
    </row>
    <row r="36544">
      <c r="F36544" s="13"/>
      <c r="M36544" s="13"/>
    </row>
    <row r="36545">
      <c r="F36545" s="13"/>
      <c r="M36545" s="13"/>
    </row>
    <row r="36546">
      <c r="F36546" s="13"/>
      <c r="M36546" s="13"/>
    </row>
    <row r="36547">
      <c r="F36547" s="13"/>
      <c r="M36547" s="13"/>
    </row>
    <row r="36548">
      <c r="F36548" s="13"/>
      <c r="M36548" s="13"/>
    </row>
    <row r="36549">
      <c r="F36549" s="13"/>
      <c r="M36549" s="13"/>
    </row>
    <row r="36550">
      <c r="F36550" s="13"/>
      <c r="M36550" s="13"/>
    </row>
    <row r="36551">
      <c r="F36551" s="13"/>
      <c r="M36551" s="13"/>
    </row>
    <row r="36552">
      <c r="F36552" s="13"/>
      <c r="M36552" s="13"/>
    </row>
    <row r="36553">
      <c r="F36553" s="13"/>
      <c r="M36553" s="13"/>
    </row>
    <row r="36554">
      <c r="F36554" s="13"/>
      <c r="M36554" s="13"/>
    </row>
    <row r="36555">
      <c r="F36555" s="13"/>
      <c r="M36555" s="13"/>
    </row>
    <row r="36556">
      <c r="F36556" s="13"/>
      <c r="M36556" s="13"/>
    </row>
    <row r="36557">
      <c r="F36557" s="13"/>
      <c r="M36557" s="13"/>
    </row>
    <row r="36558">
      <c r="F36558" s="13"/>
      <c r="M36558" s="13"/>
    </row>
    <row r="36559">
      <c r="F36559" s="13"/>
      <c r="M36559" s="13"/>
    </row>
    <row r="36560">
      <c r="F36560" s="13"/>
      <c r="M36560" s="13"/>
    </row>
    <row r="36561">
      <c r="F36561" s="13"/>
      <c r="M36561" s="13"/>
    </row>
    <row r="36562">
      <c r="F36562" s="13"/>
      <c r="M36562" s="13"/>
    </row>
    <row r="36563">
      <c r="F36563" s="13"/>
      <c r="M36563" s="13"/>
    </row>
    <row r="36564">
      <c r="F36564" s="13"/>
      <c r="M36564" s="13"/>
    </row>
    <row r="36565">
      <c r="F36565" s="13"/>
      <c r="M36565" s="13"/>
    </row>
    <row r="36566">
      <c r="F36566" s="13"/>
      <c r="M36566" s="13"/>
    </row>
    <row r="36567">
      <c r="F36567" s="13"/>
      <c r="M36567" s="13"/>
    </row>
    <row r="36568">
      <c r="F36568" s="13"/>
      <c r="M36568" s="13"/>
    </row>
    <row r="36569">
      <c r="F36569" s="13"/>
      <c r="M36569" s="13"/>
    </row>
    <row r="36570">
      <c r="F36570" s="13"/>
      <c r="M36570" s="13"/>
    </row>
    <row r="36571">
      <c r="F36571" s="13"/>
      <c r="M36571" s="13"/>
    </row>
    <row r="36572">
      <c r="F36572" s="13"/>
      <c r="M36572" s="13"/>
    </row>
    <row r="36573">
      <c r="F36573" s="13"/>
      <c r="M36573" s="13"/>
    </row>
    <row r="36574">
      <c r="F36574" s="13"/>
      <c r="M36574" s="13"/>
    </row>
    <row r="36575">
      <c r="F36575" s="13"/>
      <c r="M36575" s="13"/>
    </row>
    <row r="36576">
      <c r="F36576" s="13"/>
      <c r="M36576" s="13"/>
    </row>
    <row r="36577">
      <c r="F36577" s="13"/>
      <c r="M36577" s="13"/>
    </row>
    <row r="36578">
      <c r="F36578" s="13"/>
      <c r="M36578" s="13"/>
    </row>
    <row r="36579">
      <c r="F36579" s="13"/>
      <c r="M36579" s="13"/>
    </row>
    <row r="36580">
      <c r="F36580" s="13"/>
      <c r="M36580" s="13"/>
    </row>
    <row r="36581">
      <c r="F36581" s="13"/>
      <c r="M36581" s="13"/>
    </row>
    <row r="36582">
      <c r="F36582" s="13"/>
      <c r="M36582" s="13"/>
    </row>
    <row r="36583">
      <c r="F36583" s="13"/>
      <c r="M36583" s="13"/>
    </row>
    <row r="36584">
      <c r="F36584" s="13"/>
      <c r="M36584" s="13"/>
    </row>
    <row r="36585">
      <c r="F36585" s="13"/>
      <c r="M36585" s="13"/>
    </row>
    <row r="36586">
      <c r="F36586" s="13"/>
      <c r="M36586" s="13"/>
    </row>
    <row r="36587">
      <c r="F36587" s="13"/>
      <c r="M36587" s="13"/>
    </row>
    <row r="36588">
      <c r="F36588" s="13"/>
      <c r="M36588" s="13"/>
    </row>
    <row r="36589">
      <c r="F36589" s="13"/>
      <c r="M36589" s="13"/>
    </row>
    <row r="36590">
      <c r="F36590" s="13"/>
      <c r="M36590" s="13"/>
    </row>
    <row r="36591">
      <c r="F36591" s="13"/>
      <c r="M36591" s="13"/>
    </row>
    <row r="36592">
      <c r="F36592" s="13"/>
      <c r="M36592" s="13"/>
    </row>
    <row r="36593">
      <c r="F36593" s="13"/>
      <c r="M36593" s="13"/>
    </row>
    <row r="36594">
      <c r="F36594" s="13"/>
      <c r="M36594" s="13"/>
    </row>
    <row r="36595">
      <c r="F36595" s="13"/>
      <c r="M36595" s="13"/>
    </row>
    <row r="36596">
      <c r="F36596" s="13"/>
      <c r="M36596" s="13"/>
    </row>
    <row r="36597">
      <c r="F36597" s="13"/>
      <c r="M36597" s="13"/>
    </row>
    <row r="36598">
      <c r="F36598" s="13"/>
      <c r="M36598" s="13"/>
    </row>
    <row r="36599">
      <c r="F36599" s="13"/>
      <c r="M36599" s="13"/>
    </row>
    <row r="36600">
      <c r="F36600" s="13"/>
      <c r="M36600" s="13"/>
    </row>
    <row r="36601">
      <c r="F36601" s="13"/>
      <c r="M36601" s="13"/>
    </row>
    <row r="36602">
      <c r="F36602" s="13"/>
      <c r="M36602" s="13"/>
    </row>
    <row r="36603">
      <c r="F36603" s="13"/>
      <c r="M36603" s="13"/>
    </row>
    <row r="36604">
      <c r="F36604" s="13"/>
      <c r="M36604" s="13"/>
    </row>
    <row r="36605">
      <c r="F36605" s="13"/>
      <c r="M36605" s="13"/>
    </row>
    <row r="36606">
      <c r="F36606" s="13"/>
      <c r="M36606" s="13"/>
    </row>
    <row r="36607">
      <c r="F36607" s="13"/>
      <c r="M36607" s="13"/>
    </row>
    <row r="36608">
      <c r="F36608" s="13"/>
      <c r="M36608" s="13"/>
    </row>
    <row r="36609">
      <c r="F36609" s="13"/>
      <c r="M36609" s="13"/>
    </row>
    <row r="36610">
      <c r="F36610" s="13"/>
      <c r="M36610" s="13"/>
    </row>
    <row r="36611">
      <c r="F36611" s="13"/>
      <c r="M36611" s="13"/>
    </row>
    <row r="36612">
      <c r="F36612" s="13"/>
      <c r="M36612" s="13"/>
    </row>
    <row r="36613">
      <c r="F36613" s="13"/>
      <c r="M36613" s="13"/>
    </row>
    <row r="36614">
      <c r="F36614" s="13"/>
      <c r="M36614" s="13"/>
    </row>
    <row r="36615">
      <c r="F36615" s="13"/>
      <c r="M36615" s="13"/>
    </row>
    <row r="36616">
      <c r="F36616" s="13"/>
      <c r="M36616" s="13"/>
    </row>
    <row r="36617">
      <c r="F36617" s="13"/>
      <c r="M36617" s="13"/>
    </row>
    <row r="36618">
      <c r="F36618" s="13"/>
      <c r="M36618" s="13"/>
    </row>
    <row r="36619">
      <c r="F36619" s="13"/>
      <c r="M36619" s="13"/>
    </row>
    <row r="36620">
      <c r="F36620" s="13"/>
      <c r="M36620" s="13"/>
    </row>
    <row r="36621">
      <c r="F36621" s="13"/>
      <c r="M36621" s="13"/>
    </row>
    <row r="36622">
      <c r="F36622" s="13"/>
      <c r="M36622" s="13"/>
    </row>
    <row r="36623">
      <c r="F36623" s="13"/>
      <c r="M36623" s="13"/>
    </row>
    <row r="36624">
      <c r="F36624" s="13"/>
      <c r="M36624" s="13"/>
    </row>
    <row r="36625">
      <c r="F36625" s="13"/>
      <c r="M36625" s="13"/>
    </row>
    <row r="36626">
      <c r="F36626" s="13"/>
      <c r="M36626" s="13"/>
    </row>
    <row r="36627">
      <c r="F36627" s="13"/>
      <c r="M36627" s="13"/>
    </row>
    <row r="36628">
      <c r="F36628" s="13"/>
      <c r="M36628" s="13"/>
    </row>
    <row r="36629">
      <c r="F36629" s="13"/>
      <c r="M36629" s="13"/>
    </row>
    <row r="36630">
      <c r="F36630" s="13"/>
      <c r="M36630" s="13"/>
    </row>
    <row r="36631">
      <c r="F36631" s="13"/>
      <c r="M36631" s="13"/>
    </row>
    <row r="36632">
      <c r="F36632" s="13"/>
      <c r="M36632" s="13"/>
    </row>
    <row r="36633">
      <c r="F36633" s="13"/>
      <c r="M36633" s="13"/>
    </row>
    <row r="36634">
      <c r="F36634" s="13"/>
      <c r="M36634" s="13"/>
    </row>
    <row r="36635">
      <c r="F36635" s="13"/>
      <c r="M36635" s="13"/>
    </row>
    <row r="36636">
      <c r="F36636" s="13"/>
      <c r="M36636" s="13"/>
    </row>
    <row r="36637">
      <c r="F36637" s="13"/>
      <c r="M36637" s="13"/>
    </row>
    <row r="36638">
      <c r="F36638" s="13"/>
      <c r="M36638" s="13"/>
    </row>
    <row r="36639">
      <c r="F36639" s="13"/>
      <c r="M36639" s="13"/>
    </row>
    <row r="36640">
      <c r="F36640" s="13"/>
      <c r="M36640" s="13"/>
    </row>
    <row r="36641">
      <c r="F36641" s="13"/>
      <c r="M36641" s="13"/>
    </row>
    <row r="36642">
      <c r="F36642" s="13"/>
      <c r="M36642" s="13"/>
    </row>
    <row r="36643">
      <c r="F36643" s="13"/>
      <c r="M36643" s="13"/>
    </row>
    <row r="36644">
      <c r="F36644" s="13"/>
      <c r="M36644" s="13"/>
    </row>
    <row r="36645">
      <c r="F36645" s="13"/>
      <c r="M36645" s="13"/>
    </row>
    <row r="36646">
      <c r="F36646" s="13"/>
      <c r="M36646" s="13"/>
    </row>
    <row r="36647">
      <c r="F36647" s="13"/>
      <c r="M36647" s="13"/>
    </row>
    <row r="36648">
      <c r="F36648" s="13"/>
      <c r="M36648" s="13"/>
    </row>
    <row r="36649">
      <c r="F36649" s="13"/>
      <c r="M36649" s="13"/>
    </row>
    <row r="36650">
      <c r="F36650" s="13"/>
      <c r="M36650" s="13"/>
    </row>
    <row r="36651">
      <c r="F36651" s="13"/>
      <c r="M36651" s="13"/>
    </row>
    <row r="36652">
      <c r="F36652" s="13"/>
      <c r="M36652" s="13"/>
    </row>
    <row r="36653">
      <c r="F36653" s="13"/>
      <c r="M36653" s="13"/>
    </row>
    <row r="36654">
      <c r="F36654" s="13"/>
      <c r="M36654" s="13"/>
    </row>
    <row r="36655">
      <c r="F36655" s="13"/>
      <c r="M36655" s="13"/>
    </row>
    <row r="36656">
      <c r="F36656" s="13"/>
      <c r="M36656" s="13"/>
    </row>
    <row r="36657">
      <c r="F36657" s="13"/>
      <c r="M36657" s="13"/>
    </row>
    <row r="36658">
      <c r="F36658" s="13"/>
      <c r="M36658" s="13"/>
    </row>
    <row r="36659">
      <c r="F36659" s="13"/>
      <c r="M36659" s="13"/>
    </row>
    <row r="36660">
      <c r="F36660" s="13"/>
      <c r="M36660" s="13"/>
    </row>
    <row r="36661">
      <c r="F36661" s="13"/>
      <c r="M36661" s="13"/>
    </row>
    <row r="36662">
      <c r="F36662" s="13"/>
      <c r="M36662" s="13"/>
    </row>
    <row r="36663">
      <c r="F36663" s="13"/>
      <c r="M36663" s="13"/>
    </row>
    <row r="36664">
      <c r="F36664" s="13"/>
      <c r="M36664" s="13"/>
    </row>
    <row r="36665">
      <c r="F36665" s="13"/>
      <c r="M36665" s="13"/>
    </row>
    <row r="36666">
      <c r="F36666" s="13"/>
      <c r="M36666" s="13"/>
    </row>
    <row r="36667">
      <c r="F36667" s="13"/>
      <c r="M36667" s="13"/>
    </row>
    <row r="36668">
      <c r="F36668" s="13"/>
      <c r="M36668" s="13"/>
    </row>
    <row r="36669">
      <c r="F36669" s="13"/>
      <c r="M36669" s="13"/>
    </row>
    <row r="36670">
      <c r="F36670" s="13"/>
      <c r="M36670" s="13"/>
    </row>
    <row r="36671">
      <c r="F36671" s="13"/>
      <c r="M36671" s="13"/>
    </row>
    <row r="36672">
      <c r="F36672" s="13"/>
      <c r="M36672" s="13"/>
    </row>
    <row r="36673">
      <c r="F36673" s="13"/>
      <c r="M36673" s="13"/>
    </row>
    <row r="36674">
      <c r="F36674" s="13"/>
      <c r="M36674" s="13"/>
    </row>
    <row r="36675">
      <c r="F36675" s="13"/>
      <c r="M36675" s="13"/>
    </row>
    <row r="36676">
      <c r="F36676" s="13"/>
      <c r="M36676" s="13"/>
    </row>
    <row r="36677">
      <c r="F36677" s="13"/>
      <c r="M36677" s="13"/>
    </row>
    <row r="36678">
      <c r="F36678" s="13"/>
      <c r="M36678" s="13"/>
    </row>
    <row r="36679">
      <c r="F36679" s="13"/>
      <c r="M36679" s="13"/>
    </row>
    <row r="36680">
      <c r="F36680" s="13"/>
      <c r="M36680" s="13"/>
    </row>
    <row r="36681">
      <c r="F36681" s="13"/>
      <c r="M36681" s="13"/>
    </row>
    <row r="36682">
      <c r="F36682" s="13"/>
      <c r="M36682" s="13"/>
    </row>
    <row r="36683">
      <c r="F36683" s="13"/>
      <c r="M36683" s="13"/>
    </row>
    <row r="36684">
      <c r="F36684" s="13"/>
      <c r="M36684" s="13"/>
    </row>
    <row r="36685">
      <c r="F36685" s="13"/>
      <c r="M36685" s="13"/>
    </row>
    <row r="36686">
      <c r="F36686" s="13"/>
      <c r="M36686" s="13"/>
    </row>
    <row r="36687">
      <c r="F36687" s="13"/>
      <c r="M36687" s="13"/>
    </row>
    <row r="36688">
      <c r="F36688" s="13"/>
      <c r="M36688" s="13"/>
    </row>
    <row r="36689">
      <c r="F36689" s="13"/>
      <c r="M36689" s="13"/>
    </row>
    <row r="36690">
      <c r="F36690" s="13"/>
      <c r="M36690" s="13"/>
    </row>
    <row r="36691">
      <c r="F36691" s="13"/>
      <c r="M36691" s="13"/>
    </row>
    <row r="36692">
      <c r="F36692" s="13"/>
      <c r="M36692" s="13"/>
    </row>
    <row r="36693">
      <c r="F36693" s="13"/>
      <c r="M36693" s="13"/>
    </row>
    <row r="36694">
      <c r="F36694" s="13"/>
      <c r="M36694" s="13"/>
    </row>
    <row r="36695">
      <c r="F36695" s="13"/>
      <c r="M36695" s="13"/>
    </row>
    <row r="36696">
      <c r="F36696" s="13"/>
      <c r="M36696" s="13"/>
    </row>
    <row r="36697">
      <c r="F36697" s="13"/>
      <c r="M36697" s="13"/>
    </row>
    <row r="36698">
      <c r="F36698" s="13"/>
      <c r="M36698" s="13"/>
    </row>
    <row r="36699">
      <c r="F36699" s="13"/>
      <c r="M36699" s="13"/>
    </row>
    <row r="36700">
      <c r="F36700" s="13"/>
      <c r="M36700" s="13"/>
    </row>
    <row r="36701">
      <c r="F36701" s="13"/>
      <c r="M36701" s="13"/>
    </row>
    <row r="36702">
      <c r="F36702" s="13"/>
      <c r="M36702" s="13"/>
    </row>
    <row r="36703">
      <c r="F36703" s="13"/>
      <c r="M36703" s="13"/>
    </row>
    <row r="36704">
      <c r="F36704" s="13"/>
      <c r="M36704" s="13"/>
    </row>
    <row r="36705">
      <c r="F36705" s="13"/>
      <c r="M36705" s="13"/>
    </row>
    <row r="36706">
      <c r="F36706" s="13"/>
      <c r="M36706" s="13"/>
    </row>
    <row r="36707">
      <c r="F36707" s="13"/>
      <c r="M36707" s="13"/>
    </row>
    <row r="36708">
      <c r="F36708" s="13"/>
      <c r="M36708" s="13"/>
    </row>
    <row r="36709">
      <c r="F36709" s="13"/>
      <c r="M36709" s="13"/>
    </row>
    <row r="36710">
      <c r="F36710" s="13"/>
      <c r="M36710" s="13"/>
    </row>
    <row r="36711">
      <c r="F36711" s="13"/>
      <c r="M36711" s="13"/>
    </row>
    <row r="36712">
      <c r="F36712" s="13"/>
      <c r="M36712" s="13"/>
    </row>
    <row r="36713">
      <c r="F36713" s="13"/>
      <c r="M36713" s="13"/>
    </row>
    <row r="36714">
      <c r="F36714" s="13"/>
      <c r="M36714" s="13"/>
    </row>
    <row r="36715">
      <c r="F36715" s="13"/>
      <c r="M36715" s="13"/>
    </row>
    <row r="36716">
      <c r="F36716" s="13"/>
      <c r="M36716" s="13"/>
    </row>
    <row r="36717">
      <c r="F36717" s="13"/>
      <c r="M36717" s="13"/>
    </row>
    <row r="36718">
      <c r="F36718" s="13"/>
      <c r="M36718" s="13"/>
    </row>
    <row r="36719">
      <c r="F36719" s="13"/>
      <c r="M36719" s="13"/>
    </row>
    <row r="36720">
      <c r="F36720" s="13"/>
      <c r="M36720" s="13"/>
    </row>
    <row r="36721">
      <c r="F36721" s="13"/>
      <c r="M36721" s="13"/>
    </row>
    <row r="36722">
      <c r="F36722" s="13"/>
      <c r="M36722" s="13"/>
    </row>
    <row r="36723">
      <c r="F36723" s="13"/>
      <c r="M36723" s="13"/>
    </row>
    <row r="36724">
      <c r="F36724" s="13"/>
      <c r="M36724" s="13"/>
    </row>
    <row r="36725">
      <c r="F36725" s="13"/>
      <c r="M36725" s="13"/>
    </row>
    <row r="36726">
      <c r="F36726" s="13"/>
      <c r="M36726" s="13"/>
    </row>
    <row r="36727">
      <c r="F36727" s="13"/>
      <c r="M36727" s="13"/>
    </row>
    <row r="36728">
      <c r="F36728" s="13"/>
      <c r="M36728" s="13"/>
    </row>
    <row r="36729">
      <c r="F36729" s="13"/>
      <c r="M36729" s="13"/>
    </row>
    <row r="36730">
      <c r="F36730" s="13"/>
      <c r="M36730" s="13"/>
    </row>
    <row r="36731">
      <c r="F36731" s="13"/>
      <c r="M36731" s="13"/>
    </row>
    <row r="36732">
      <c r="F36732" s="13"/>
      <c r="M36732" s="13"/>
    </row>
    <row r="36733">
      <c r="F36733" s="13"/>
      <c r="M36733" s="13"/>
    </row>
    <row r="36734">
      <c r="F36734" s="13"/>
      <c r="M36734" s="13"/>
    </row>
    <row r="36735">
      <c r="F36735" s="13"/>
      <c r="M36735" s="13"/>
    </row>
    <row r="36736">
      <c r="F36736" s="13"/>
      <c r="M36736" s="13"/>
    </row>
    <row r="36737">
      <c r="F36737" s="13"/>
      <c r="M36737" s="13"/>
    </row>
    <row r="36738">
      <c r="F36738" s="13"/>
      <c r="M36738" s="13"/>
    </row>
    <row r="36739">
      <c r="F36739" s="13"/>
      <c r="M36739" s="13"/>
    </row>
    <row r="36740">
      <c r="F36740" s="13"/>
      <c r="M36740" s="13"/>
    </row>
    <row r="36741">
      <c r="F36741" s="13"/>
      <c r="M36741" s="13"/>
    </row>
    <row r="36742">
      <c r="F36742" s="13"/>
      <c r="M36742" s="13"/>
    </row>
    <row r="36743">
      <c r="F36743" s="13"/>
      <c r="M36743" s="13"/>
    </row>
    <row r="36744">
      <c r="F36744" s="13"/>
      <c r="M36744" s="13"/>
    </row>
    <row r="36745">
      <c r="F36745" s="13"/>
      <c r="M36745" s="13"/>
    </row>
    <row r="36746">
      <c r="F36746" s="13"/>
      <c r="M36746" s="13"/>
    </row>
    <row r="36747">
      <c r="F36747" s="13"/>
      <c r="M36747" s="13"/>
    </row>
    <row r="36748">
      <c r="F36748" s="13"/>
      <c r="M36748" s="13"/>
    </row>
    <row r="36749">
      <c r="F36749" s="13"/>
      <c r="M36749" s="13"/>
    </row>
    <row r="36750">
      <c r="F36750" s="13"/>
      <c r="M36750" s="13"/>
    </row>
    <row r="36751">
      <c r="F36751" s="13"/>
      <c r="M36751" s="13"/>
    </row>
    <row r="36752">
      <c r="F36752" s="13"/>
      <c r="M36752" s="13"/>
    </row>
    <row r="36753">
      <c r="F36753" s="13"/>
      <c r="M36753" s="13"/>
    </row>
    <row r="36754">
      <c r="F36754" s="13"/>
      <c r="M36754" s="13"/>
    </row>
    <row r="36755">
      <c r="F36755" s="13"/>
      <c r="M36755" s="13"/>
    </row>
    <row r="36756">
      <c r="F36756" s="13"/>
      <c r="M36756" s="13"/>
    </row>
    <row r="36757">
      <c r="F36757" s="13"/>
      <c r="M36757" s="13"/>
    </row>
    <row r="36758">
      <c r="F36758" s="13"/>
      <c r="M36758" s="13"/>
    </row>
    <row r="36759">
      <c r="F36759" s="13"/>
      <c r="M36759" s="13"/>
    </row>
    <row r="36760">
      <c r="F36760" s="13"/>
      <c r="M36760" s="13"/>
    </row>
    <row r="36761">
      <c r="F36761" s="13"/>
      <c r="M36761" s="13"/>
    </row>
    <row r="36762">
      <c r="F36762" s="13"/>
      <c r="M36762" s="13"/>
    </row>
    <row r="36763">
      <c r="F36763" s="13"/>
      <c r="M36763" s="13"/>
    </row>
    <row r="36764">
      <c r="F36764" s="13"/>
      <c r="M36764" s="13"/>
    </row>
    <row r="36765">
      <c r="F36765" s="13"/>
      <c r="M36765" s="13"/>
    </row>
    <row r="36766">
      <c r="F36766" s="13"/>
      <c r="M36766" s="13"/>
    </row>
    <row r="36767">
      <c r="F36767" s="13"/>
      <c r="M36767" s="13"/>
    </row>
    <row r="36768">
      <c r="F36768" s="13"/>
      <c r="M36768" s="13"/>
    </row>
    <row r="36769">
      <c r="F36769" s="13"/>
      <c r="M36769" s="13"/>
    </row>
    <row r="36770">
      <c r="F36770" s="13"/>
      <c r="M36770" s="13"/>
    </row>
    <row r="36771">
      <c r="F36771" s="13"/>
      <c r="M36771" s="13"/>
    </row>
    <row r="36772">
      <c r="F36772" s="13"/>
      <c r="M36772" s="13"/>
    </row>
    <row r="36773">
      <c r="F36773" s="13"/>
      <c r="M36773" s="13"/>
    </row>
    <row r="36774">
      <c r="F36774" s="13"/>
      <c r="M36774" s="13"/>
    </row>
    <row r="36775">
      <c r="F36775" s="13"/>
      <c r="M36775" s="13"/>
    </row>
    <row r="36776">
      <c r="F36776" s="13"/>
      <c r="M36776" s="13"/>
    </row>
    <row r="36777">
      <c r="F36777" s="13"/>
      <c r="M36777" s="13"/>
    </row>
    <row r="36778">
      <c r="F36778" s="13"/>
      <c r="M36778" s="13"/>
    </row>
    <row r="36779">
      <c r="F36779" s="13"/>
      <c r="M36779" s="13"/>
    </row>
    <row r="36780">
      <c r="F36780" s="13"/>
      <c r="M36780" s="13"/>
    </row>
    <row r="36781">
      <c r="F36781" s="13"/>
      <c r="M36781" s="13"/>
    </row>
    <row r="36782">
      <c r="F36782" s="13"/>
      <c r="M36782" s="13"/>
    </row>
    <row r="36783">
      <c r="F36783" s="13"/>
      <c r="M36783" s="13"/>
    </row>
    <row r="36784">
      <c r="F36784" s="13"/>
      <c r="M36784" s="13"/>
    </row>
    <row r="36785">
      <c r="F36785" s="13"/>
      <c r="M36785" s="13"/>
    </row>
    <row r="36786">
      <c r="F36786" s="13"/>
      <c r="M36786" s="13"/>
    </row>
    <row r="36787">
      <c r="F36787" s="13"/>
      <c r="M36787" s="13"/>
    </row>
    <row r="36788">
      <c r="F36788" s="13"/>
      <c r="M36788" s="13"/>
    </row>
    <row r="36789">
      <c r="F36789" s="13"/>
      <c r="M36789" s="13"/>
    </row>
    <row r="36790">
      <c r="F36790" s="13"/>
      <c r="M36790" s="13"/>
    </row>
    <row r="36791">
      <c r="F36791" s="13"/>
      <c r="M36791" s="13"/>
    </row>
    <row r="36792">
      <c r="F36792" s="13"/>
      <c r="M36792" s="13"/>
    </row>
    <row r="36793">
      <c r="F36793" s="13"/>
      <c r="M36793" s="13"/>
    </row>
    <row r="36794">
      <c r="F36794" s="13"/>
      <c r="M36794" s="13"/>
    </row>
    <row r="36795">
      <c r="F36795" s="13"/>
      <c r="M36795" s="13"/>
    </row>
    <row r="36796">
      <c r="F36796" s="13"/>
      <c r="M36796" s="13"/>
    </row>
    <row r="36797">
      <c r="F36797" s="13"/>
      <c r="M36797" s="13"/>
    </row>
    <row r="36798">
      <c r="F36798" s="13"/>
      <c r="M36798" s="13"/>
    </row>
    <row r="36799">
      <c r="F36799" s="13"/>
      <c r="M36799" s="13"/>
    </row>
    <row r="36800">
      <c r="F36800" s="13"/>
      <c r="M36800" s="13"/>
    </row>
    <row r="36801">
      <c r="F36801" s="13"/>
      <c r="M36801" s="13"/>
    </row>
    <row r="36802">
      <c r="F36802" s="13"/>
      <c r="M36802" s="13"/>
    </row>
    <row r="36803">
      <c r="F36803" s="13"/>
      <c r="M36803" s="13"/>
    </row>
    <row r="36804">
      <c r="F36804" s="13"/>
      <c r="M36804" s="13"/>
    </row>
    <row r="36805">
      <c r="F36805" s="13"/>
      <c r="M36805" s="13"/>
    </row>
    <row r="36806">
      <c r="F36806" s="13"/>
      <c r="M36806" s="13"/>
    </row>
    <row r="36807">
      <c r="F36807" s="13"/>
      <c r="M36807" s="13"/>
    </row>
    <row r="36808">
      <c r="F36808" s="13"/>
      <c r="M36808" s="13"/>
    </row>
    <row r="36809">
      <c r="F36809" s="13"/>
      <c r="M36809" s="13"/>
    </row>
    <row r="36810">
      <c r="F36810" s="13"/>
      <c r="M36810" s="13"/>
    </row>
    <row r="36811">
      <c r="F36811" s="13"/>
      <c r="M36811" s="13"/>
    </row>
    <row r="36812">
      <c r="F36812" s="13"/>
      <c r="M36812" s="13"/>
    </row>
    <row r="36813">
      <c r="F36813" s="13"/>
      <c r="M36813" s="13"/>
    </row>
    <row r="36814">
      <c r="F36814" s="13"/>
      <c r="M36814" s="13"/>
    </row>
    <row r="36815">
      <c r="F36815" s="13"/>
      <c r="M36815" s="13"/>
    </row>
    <row r="36816">
      <c r="F36816" s="13"/>
      <c r="M36816" s="13"/>
    </row>
    <row r="36817">
      <c r="F36817" s="13"/>
      <c r="M36817" s="13"/>
    </row>
    <row r="36818">
      <c r="F36818" s="13"/>
      <c r="M36818" s="13"/>
    </row>
    <row r="36819">
      <c r="F36819" s="13"/>
      <c r="M36819" s="13"/>
    </row>
    <row r="36820">
      <c r="F36820" s="13"/>
      <c r="M36820" s="13"/>
    </row>
    <row r="36821">
      <c r="F36821" s="13"/>
      <c r="M36821" s="13"/>
    </row>
    <row r="36822">
      <c r="F36822" s="13"/>
      <c r="M36822" s="13"/>
    </row>
    <row r="36823">
      <c r="F36823" s="13"/>
      <c r="M36823" s="13"/>
    </row>
    <row r="36824">
      <c r="F36824" s="13"/>
      <c r="M36824" s="13"/>
    </row>
    <row r="36825">
      <c r="F36825" s="13"/>
      <c r="M36825" s="13"/>
    </row>
    <row r="36826">
      <c r="F36826" s="13"/>
      <c r="M36826" s="13"/>
    </row>
    <row r="36827">
      <c r="F36827" s="13"/>
      <c r="M36827" s="13"/>
    </row>
    <row r="36828">
      <c r="F36828" s="13"/>
      <c r="M36828" s="13"/>
    </row>
    <row r="36829">
      <c r="F36829" s="13"/>
      <c r="M36829" s="13"/>
    </row>
    <row r="36830">
      <c r="F36830" s="13"/>
      <c r="M36830" s="13"/>
    </row>
    <row r="36831">
      <c r="F36831" s="13"/>
      <c r="M36831" s="13"/>
    </row>
    <row r="36832">
      <c r="F36832" s="13"/>
      <c r="M36832" s="13"/>
    </row>
    <row r="36833">
      <c r="F36833" s="13"/>
      <c r="M36833" s="13"/>
    </row>
    <row r="36834">
      <c r="F36834" s="13"/>
      <c r="M36834" s="13"/>
    </row>
    <row r="36835">
      <c r="F36835" s="13"/>
      <c r="M36835" s="13"/>
    </row>
    <row r="36836">
      <c r="F36836" s="13"/>
      <c r="M36836" s="13"/>
    </row>
    <row r="36837">
      <c r="F36837" s="13"/>
      <c r="M36837" s="13"/>
    </row>
    <row r="36838">
      <c r="F36838" s="13"/>
      <c r="M36838" s="13"/>
    </row>
    <row r="36839">
      <c r="F36839" s="13"/>
      <c r="M36839" s="13"/>
    </row>
    <row r="36840">
      <c r="F36840" s="13"/>
      <c r="M36840" s="13"/>
    </row>
    <row r="36841">
      <c r="F36841" s="13"/>
      <c r="M36841" s="13"/>
    </row>
    <row r="36842">
      <c r="F36842" s="13"/>
      <c r="M36842" s="13"/>
    </row>
    <row r="36843">
      <c r="F36843" s="13"/>
      <c r="M36843" s="13"/>
    </row>
    <row r="36844">
      <c r="F36844" s="13"/>
      <c r="M36844" s="13"/>
    </row>
    <row r="36845">
      <c r="F36845" s="13"/>
      <c r="M36845" s="13"/>
    </row>
    <row r="36846">
      <c r="F36846" s="13"/>
      <c r="M36846" s="13"/>
    </row>
    <row r="36847">
      <c r="F36847" s="13"/>
      <c r="M36847" s="13"/>
    </row>
    <row r="36848">
      <c r="F36848" s="13"/>
      <c r="M36848" s="13"/>
    </row>
    <row r="36849">
      <c r="F36849" s="13"/>
      <c r="M36849" s="13"/>
    </row>
    <row r="36850">
      <c r="F36850" s="13"/>
      <c r="M36850" s="13"/>
    </row>
    <row r="36851">
      <c r="F36851" s="13"/>
      <c r="M36851" s="13"/>
    </row>
    <row r="36852">
      <c r="F36852" s="13"/>
      <c r="M36852" s="13"/>
    </row>
    <row r="36853">
      <c r="F36853" s="13"/>
      <c r="M36853" s="13"/>
    </row>
    <row r="36854">
      <c r="F36854" s="13"/>
      <c r="M36854" s="13"/>
    </row>
    <row r="36855">
      <c r="F36855" s="13"/>
      <c r="M36855" s="13"/>
    </row>
    <row r="36856">
      <c r="F36856" s="13"/>
      <c r="M36856" s="13"/>
    </row>
    <row r="36857">
      <c r="F36857" s="13"/>
      <c r="M36857" s="13"/>
    </row>
    <row r="36858">
      <c r="F36858" s="13"/>
      <c r="M36858" s="13"/>
    </row>
    <row r="36859">
      <c r="F36859" s="13"/>
      <c r="M36859" s="13"/>
    </row>
    <row r="36860">
      <c r="F36860" s="13"/>
      <c r="M36860" s="13"/>
    </row>
    <row r="36861">
      <c r="F36861" s="13"/>
      <c r="M36861" s="13"/>
    </row>
    <row r="36862">
      <c r="F36862" s="13"/>
      <c r="M36862" s="13"/>
    </row>
    <row r="36863">
      <c r="F36863" s="13"/>
      <c r="M36863" s="13"/>
    </row>
    <row r="36864">
      <c r="F36864" s="13"/>
      <c r="M36864" s="13"/>
    </row>
    <row r="36865">
      <c r="F36865" s="13"/>
      <c r="M36865" s="13"/>
    </row>
    <row r="36866">
      <c r="F36866" s="13"/>
      <c r="M36866" s="13"/>
    </row>
    <row r="36867">
      <c r="F36867" s="13"/>
      <c r="M36867" s="13"/>
    </row>
    <row r="36868">
      <c r="F36868" s="13"/>
      <c r="M36868" s="13"/>
    </row>
    <row r="36869">
      <c r="F36869" s="13"/>
      <c r="M36869" s="13"/>
    </row>
    <row r="36870">
      <c r="F36870" s="13"/>
      <c r="M36870" s="13"/>
    </row>
    <row r="36871">
      <c r="F36871" s="13"/>
      <c r="M36871" s="13"/>
    </row>
    <row r="36872">
      <c r="F36872" s="13"/>
      <c r="M36872" s="13"/>
    </row>
    <row r="36873">
      <c r="F36873" s="13"/>
      <c r="M36873" s="13"/>
    </row>
    <row r="36874">
      <c r="F36874" s="13"/>
      <c r="M36874" s="13"/>
    </row>
    <row r="36875">
      <c r="F36875" s="13"/>
      <c r="M36875" s="13"/>
    </row>
    <row r="36876">
      <c r="F36876" s="13"/>
      <c r="M36876" s="13"/>
    </row>
    <row r="36877">
      <c r="F36877" s="13"/>
      <c r="M36877" s="13"/>
    </row>
    <row r="36878">
      <c r="F36878" s="13"/>
      <c r="M36878" s="13"/>
    </row>
    <row r="36879">
      <c r="F36879" s="13"/>
      <c r="M36879" s="13"/>
    </row>
    <row r="36880">
      <c r="F36880" s="13"/>
      <c r="M36880" s="13"/>
    </row>
    <row r="36881">
      <c r="F36881" s="13"/>
      <c r="M36881" s="13"/>
    </row>
    <row r="36882">
      <c r="F36882" s="13"/>
      <c r="M36882" s="13"/>
    </row>
    <row r="36883">
      <c r="F36883" s="13"/>
      <c r="M36883" s="13"/>
    </row>
    <row r="36884">
      <c r="F36884" s="13"/>
      <c r="M36884" s="13"/>
    </row>
    <row r="36885">
      <c r="F36885" s="13"/>
      <c r="M36885" s="13"/>
    </row>
    <row r="36886">
      <c r="F36886" s="13"/>
      <c r="M36886" s="13"/>
    </row>
    <row r="36887">
      <c r="F36887" s="13"/>
      <c r="M36887" s="13"/>
    </row>
    <row r="36888">
      <c r="F36888" s="13"/>
      <c r="M36888" s="13"/>
    </row>
    <row r="36889">
      <c r="F36889" s="13"/>
      <c r="M36889" s="13"/>
    </row>
    <row r="36890">
      <c r="F36890" s="13"/>
      <c r="M36890" s="13"/>
    </row>
    <row r="36891">
      <c r="F36891" s="13"/>
      <c r="M36891" s="13"/>
    </row>
    <row r="36892">
      <c r="F36892" s="13"/>
      <c r="M36892" s="13"/>
    </row>
    <row r="36893">
      <c r="F36893" s="13"/>
      <c r="M36893" s="13"/>
    </row>
    <row r="36894">
      <c r="F36894" s="13"/>
      <c r="M36894" s="13"/>
    </row>
    <row r="36895">
      <c r="F36895" s="13"/>
      <c r="M36895" s="13"/>
    </row>
    <row r="36896">
      <c r="F36896" s="13"/>
      <c r="M36896" s="13"/>
    </row>
    <row r="36897">
      <c r="F36897" s="13"/>
      <c r="M36897" s="13"/>
    </row>
    <row r="36898">
      <c r="F36898" s="13"/>
      <c r="M36898" s="13"/>
    </row>
    <row r="36899">
      <c r="F36899" s="13"/>
      <c r="M36899" s="13"/>
    </row>
    <row r="36900">
      <c r="F36900" s="13"/>
      <c r="M36900" s="13"/>
    </row>
    <row r="36901">
      <c r="F36901" s="13"/>
      <c r="M36901" s="13"/>
    </row>
    <row r="36902">
      <c r="F36902" s="13"/>
      <c r="M36902" s="13"/>
    </row>
    <row r="36903">
      <c r="F36903" s="13"/>
      <c r="M36903" s="13"/>
    </row>
    <row r="36904">
      <c r="F36904" s="13"/>
      <c r="M36904" s="13"/>
    </row>
    <row r="36905">
      <c r="F36905" s="13"/>
      <c r="M36905" s="13"/>
    </row>
    <row r="36906">
      <c r="F36906" s="13"/>
      <c r="M36906" s="13"/>
    </row>
    <row r="36907">
      <c r="F36907" s="13"/>
      <c r="M36907" s="13"/>
    </row>
    <row r="36908">
      <c r="F36908" s="13"/>
      <c r="M36908" s="13"/>
    </row>
    <row r="36909">
      <c r="F36909" s="13"/>
      <c r="M36909" s="13"/>
    </row>
    <row r="36910">
      <c r="F36910" s="13"/>
      <c r="M36910" s="13"/>
    </row>
    <row r="36911">
      <c r="F36911" s="13"/>
      <c r="M36911" s="13"/>
    </row>
    <row r="36912">
      <c r="F36912" s="13"/>
      <c r="M36912" s="13"/>
    </row>
    <row r="36913">
      <c r="F36913" s="13"/>
      <c r="M36913" s="13"/>
    </row>
    <row r="36914">
      <c r="F36914" s="13"/>
      <c r="M36914" s="13"/>
    </row>
    <row r="36915">
      <c r="F36915" s="13"/>
      <c r="M36915" s="13"/>
    </row>
    <row r="36916">
      <c r="F36916" s="13"/>
      <c r="M36916" s="13"/>
    </row>
    <row r="36917">
      <c r="F36917" s="13"/>
      <c r="M36917" s="13"/>
    </row>
    <row r="36918">
      <c r="F36918" s="13"/>
      <c r="M36918" s="13"/>
    </row>
    <row r="36919">
      <c r="F36919" s="13"/>
      <c r="M36919" s="13"/>
    </row>
    <row r="36920">
      <c r="F36920" s="13"/>
      <c r="M36920" s="13"/>
    </row>
    <row r="36921">
      <c r="F36921" s="13"/>
      <c r="M36921" s="13"/>
    </row>
    <row r="36922">
      <c r="F36922" s="13"/>
      <c r="M36922" s="13"/>
    </row>
    <row r="36923">
      <c r="F36923" s="13"/>
      <c r="M36923" s="13"/>
    </row>
    <row r="36924">
      <c r="F36924" s="13"/>
      <c r="M36924" s="13"/>
    </row>
    <row r="36925">
      <c r="F36925" s="13"/>
      <c r="M36925" s="13"/>
    </row>
    <row r="36926">
      <c r="F36926" s="13"/>
      <c r="M36926" s="13"/>
    </row>
    <row r="36927">
      <c r="F36927" s="13"/>
      <c r="M36927" s="13"/>
    </row>
    <row r="36928">
      <c r="F36928" s="13"/>
      <c r="M36928" s="13"/>
    </row>
    <row r="36929">
      <c r="F36929" s="13"/>
      <c r="M36929" s="13"/>
    </row>
    <row r="36930">
      <c r="F36930" s="13"/>
      <c r="M36930" s="13"/>
    </row>
    <row r="36931">
      <c r="F36931" s="13"/>
      <c r="M36931" s="13"/>
    </row>
    <row r="36932">
      <c r="F36932" s="13"/>
      <c r="M36932" s="13"/>
    </row>
    <row r="36933">
      <c r="F36933" s="13"/>
      <c r="M36933" s="13"/>
    </row>
    <row r="36934">
      <c r="F36934" s="13"/>
      <c r="M36934" s="13"/>
    </row>
    <row r="36935">
      <c r="F36935" s="13"/>
      <c r="M36935" s="13"/>
    </row>
    <row r="36936">
      <c r="F36936" s="13"/>
      <c r="M36936" s="13"/>
    </row>
    <row r="36937">
      <c r="F36937" s="13"/>
      <c r="M36937" s="13"/>
    </row>
    <row r="36938">
      <c r="F36938" s="13"/>
      <c r="M36938" s="13"/>
    </row>
    <row r="36939">
      <c r="F36939" s="13"/>
      <c r="M36939" s="13"/>
    </row>
    <row r="36940">
      <c r="F36940" s="13"/>
      <c r="M36940" s="13"/>
    </row>
    <row r="36941">
      <c r="F36941" s="13"/>
      <c r="M36941" s="13"/>
    </row>
    <row r="36942">
      <c r="F36942" s="13"/>
      <c r="M36942" s="13"/>
    </row>
    <row r="36943">
      <c r="F36943" s="13"/>
      <c r="M36943" s="13"/>
    </row>
    <row r="36944">
      <c r="F36944" s="13"/>
      <c r="M36944" s="13"/>
    </row>
    <row r="36945">
      <c r="F36945" s="13"/>
      <c r="M36945" s="13"/>
    </row>
    <row r="36946">
      <c r="F36946" s="13"/>
      <c r="M36946" s="13"/>
    </row>
    <row r="36947">
      <c r="F36947" s="13"/>
      <c r="M36947" s="13"/>
    </row>
    <row r="36948">
      <c r="F36948" s="13"/>
      <c r="M36948" s="13"/>
    </row>
    <row r="36949">
      <c r="F36949" s="13"/>
      <c r="M36949" s="13"/>
    </row>
    <row r="36950">
      <c r="F36950" s="13"/>
      <c r="M36950" s="13"/>
    </row>
    <row r="36951">
      <c r="F36951" s="13"/>
      <c r="M36951" s="13"/>
    </row>
    <row r="36952">
      <c r="F36952" s="13"/>
      <c r="M36952" s="13"/>
    </row>
    <row r="36953">
      <c r="F36953" s="13"/>
      <c r="M36953" s="13"/>
    </row>
    <row r="36954">
      <c r="F36954" s="13"/>
      <c r="M36954" s="13"/>
    </row>
    <row r="36955">
      <c r="F36955" s="13"/>
      <c r="M36955" s="13"/>
    </row>
    <row r="36956">
      <c r="F36956" s="13"/>
      <c r="M36956" s="13"/>
    </row>
    <row r="36957">
      <c r="F36957" s="13"/>
      <c r="M36957" s="13"/>
    </row>
    <row r="36958">
      <c r="F36958" s="13"/>
      <c r="M36958" s="13"/>
    </row>
    <row r="36959">
      <c r="F36959" s="13"/>
      <c r="M36959" s="13"/>
    </row>
    <row r="36960">
      <c r="F36960" s="13"/>
      <c r="M36960" s="13"/>
    </row>
    <row r="36961">
      <c r="F36961" s="13"/>
      <c r="M36961" s="13"/>
    </row>
    <row r="36962">
      <c r="F36962" s="13"/>
      <c r="M36962" s="13"/>
    </row>
    <row r="36963">
      <c r="F36963" s="13"/>
      <c r="M36963" s="13"/>
    </row>
    <row r="36964">
      <c r="F36964" s="13"/>
      <c r="M36964" s="13"/>
    </row>
    <row r="36965">
      <c r="F36965" s="13"/>
      <c r="M36965" s="13"/>
    </row>
    <row r="36966">
      <c r="F36966" s="13"/>
      <c r="M36966" s="13"/>
    </row>
    <row r="36967">
      <c r="F36967" s="13"/>
      <c r="M36967" s="13"/>
    </row>
    <row r="36968">
      <c r="F36968" s="13"/>
      <c r="M36968" s="13"/>
    </row>
    <row r="36969">
      <c r="F36969" s="13"/>
      <c r="M36969" s="13"/>
    </row>
    <row r="36970">
      <c r="F36970" s="13"/>
      <c r="M36970" s="13"/>
    </row>
    <row r="36971">
      <c r="F36971" s="13"/>
      <c r="M36971" s="13"/>
    </row>
    <row r="36972">
      <c r="F36972" s="13"/>
      <c r="M36972" s="13"/>
    </row>
    <row r="36973">
      <c r="F36973" s="13"/>
      <c r="M36973" s="13"/>
    </row>
    <row r="36974">
      <c r="F36974" s="13"/>
      <c r="M36974" s="13"/>
    </row>
    <row r="36975">
      <c r="F36975" s="13"/>
      <c r="M36975" s="13"/>
    </row>
    <row r="36976">
      <c r="F36976" s="13"/>
      <c r="M36976" s="13"/>
    </row>
    <row r="36977">
      <c r="F36977" s="13"/>
      <c r="M36977" s="13"/>
    </row>
    <row r="36978">
      <c r="F36978" s="13"/>
      <c r="M36978" s="13"/>
    </row>
    <row r="36979">
      <c r="F36979" s="13"/>
      <c r="M36979" s="13"/>
    </row>
    <row r="36980">
      <c r="F36980" s="13"/>
      <c r="M36980" s="13"/>
    </row>
    <row r="36981">
      <c r="F36981" s="13"/>
      <c r="M36981" s="13"/>
    </row>
    <row r="36982">
      <c r="F36982" s="13"/>
      <c r="M36982" s="13"/>
    </row>
    <row r="36983">
      <c r="F36983" s="13"/>
      <c r="M36983" s="13"/>
    </row>
    <row r="36984">
      <c r="F36984" s="13"/>
      <c r="M36984" s="13"/>
    </row>
    <row r="36985">
      <c r="F36985" s="13"/>
      <c r="M36985" s="13"/>
    </row>
    <row r="36986">
      <c r="F36986" s="13"/>
      <c r="M36986" s="13"/>
    </row>
    <row r="36987">
      <c r="F36987" s="13"/>
      <c r="M36987" s="13"/>
    </row>
    <row r="36988">
      <c r="F36988" s="13"/>
      <c r="M36988" s="13"/>
    </row>
    <row r="36989">
      <c r="F36989" s="13"/>
      <c r="M36989" s="13"/>
    </row>
    <row r="36990">
      <c r="F36990" s="13"/>
      <c r="M36990" s="13"/>
    </row>
    <row r="36991">
      <c r="F36991" s="13"/>
      <c r="M36991" s="13"/>
    </row>
    <row r="36992">
      <c r="F36992" s="13"/>
      <c r="M36992" s="13"/>
    </row>
    <row r="36993">
      <c r="F36993" s="13"/>
      <c r="M36993" s="13"/>
    </row>
    <row r="36994">
      <c r="F36994" s="13"/>
      <c r="M36994" s="13"/>
    </row>
    <row r="36995">
      <c r="F36995" s="13"/>
      <c r="M36995" s="13"/>
    </row>
    <row r="36996">
      <c r="F36996" s="13"/>
      <c r="M36996" s="13"/>
    </row>
    <row r="36997">
      <c r="F36997" s="13"/>
      <c r="M36997" s="13"/>
    </row>
    <row r="36998">
      <c r="F36998" s="13"/>
      <c r="M36998" s="13"/>
    </row>
    <row r="36999">
      <c r="F36999" s="13"/>
      <c r="M36999" s="13"/>
    </row>
    <row r="37000">
      <c r="F37000" s="13"/>
      <c r="M37000" s="13"/>
    </row>
    <row r="37001">
      <c r="F37001" s="13"/>
      <c r="M37001" s="13"/>
    </row>
    <row r="37002">
      <c r="F37002" s="13"/>
      <c r="M37002" s="13"/>
    </row>
    <row r="37003">
      <c r="F37003" s="13"/>
      <c r="M37003" s="13"/>
    </row>
    <row r="37004">
      <c r="F37004" s="13"/>
      <c r="M37004" s="13"/>
    </row>
    <row r="37005">
      <c r="F37005" s="13"/>
      <c r="M37005" s="13"/>
    </row>
    <row r="37006">
      <c r="F37006" s="13"/>
      <c r="M37006" s="13"/>
    </row>
    <row r="37007">
      <c r="F37007" s="13"/>
      <c r="M37007" s="13"/>
    </row>
    <row r="37008">
      <c r="F37008" s="13"/>
      <c r="M37008" s="13"/>
    </row>
    <row r="37009">
      <c r="F37009" s="13"/>
      <c r="M37009" s="13"/>
    </row>
    <row r="37010">
      <c r="F37010" s="13"/>
      <c r="M37010" s="13"/>
    </row>
    <row r="37011">
      <c r="F37011" s="13"/>
      <c r="M37011" s="13"/>
    </row>
    <row r="37012">
      <c r="F37012" s="13"/>
      <c r="M37012" s="13"/>
    </row>
    <row r="37013">
      <c r="F37013" s="13"/>
      <c r="M37013" s="13"/>
    </row>
    <row r="37014">
      <c r="F37014" s="13"/>
      <c r="M37014" s="13"/>
    </row>
    <row r="37015">
      <c r="F37015" s="13"/>
      <c r="M37015" s="13"/>
    </row>
    <row r="37016">
      <c r="F37016" s="13"/>
      <c r="M37016" s="13"/>
    </row>
    <row r="37017">
      <c r="F37017" s="13"/>
      <c r="M37017" s="13"/>
    </row>
    <row r="37018">
      <c r="F37018" s="13"/>
      <c r="M37018" s="13"/>
    </row>
    <row r="37019">
      <c r="F37019" s="13"/>
      <c r="M37019" s="13"/>
    </row>
    <row r="37020">
      <c r="F37020" s="13"/>
      <c r="M37020" s="13"/>
    </row>
    <row r="37021">
      <c r="F37021" s="13"/>
      <c r="M37021" s="13"/>
    </row>
    <row r="37022">
      <c r="F37022" s="13"/>
      <c r="M37022" s="13"/>
    </row>
    <row r="37023">
      <c r="F37023" s="13"/>
      <c r="M37023" s="13"/>
    </row>
    <row r="37024">
      <c r="F37024" s="13"/>
      <c r="M37024" s="13"/>
    </row>
    <row r="37025">
      <c r="F37025" s="13"/>
      <c r="M37025" s="13"/>
    </row>
    <row r="37026">
      <c r="F37026" s="13"/>
      <c r="M37026" s="13"/>
    </row>
    <row r="37027">
      <c r="F37027" s="13"/>
      <c r="M37027" s="13"/>
    </row>
    <row r="37028">
      <c r="F37028" s="13"/>
      <c r="M37028" s="13"/>
    </row>
    <row r="37029">
      <c r="F37029" s="13"/>
      <c r="M37029" s="13"/>
    </row>
    <row r="37030">
      <c r="F37030" s="13"/>
      <c r="M37030" s="13"/>
    </row>
    <row r="37031">
      <c r="F37031" s="13"/>
      <c r="M37031" s="13"/>
    </row>
    <row r="37032">
      <c r="F37032" s="13"/>
      <c r="M37032" s="13"/>
    </row>
    <row r="37033">
      <c r="F37033" s="13"/>
      <c r="M37033" s="13"/>
    </row>
    <row r="37034">
      <c r="F37034" s="13"/>
      <c r="M37034" s="13"/>
    </row>
    <row r="37035">
      <c r="F37035" s="13"/>
      <c r="M37035" s="13"/>
    </row>
    <row r="37036">
      <c r="F37036" s="13"/>
      <c r="M37036" s="13"/>
    </row>
    <row r="37037">
      <c r="F37037" s="13"/>
      <c r="M37037" s="13"/>
    </row>
    <row r="37038">
      <c r="F37038" s="13"/>
      <c r="M37038" s="13"/>
    </row>
    <row r="37039">
      <c r="F37039" s="13"/>
      <c r="M37039" s="13"/>
    </row>
    <row r="37040">
      <c r="F37040" s="13"/>
      <c r="M37040" s="13"/>
    </row>
    <row r="37041">
      <c r="F37041" s="13"/>
      <c r="M37041" s="13"/>
    </row>
    <row r="37042">
      <c r="F37042" s="13"/>
      <c r="M37042" s="13"/>
    </row>
    <row r="37043">
      <c r="F37043" s="13"/>
      <c r="M37043" s="13"/>
    </row>
    <row r="37044">
      <c r="F37044" s="13"/>
      <c r="M37044" s="13"/>
    </row>
    <row r="37045">
      <c r="F37045" s="13"/>
      <c r="M37045" s="13"/>
    </row>
    <row r="37046">
      <c r="F37046" s="13"/>
      <c r="M37046" s="13"/>
    </row>
    <row r="37047">
      <c r="F37047" s="13"/>
      <c r="M37047" s="13"/>
    </row>
    <row r="37048">
      <c r="F37048" s="13"/>
      <c r="M37048" s="13"/>
    </row>
    <row r="37049">
      <c r="F37049" s="13"/>
      <c r="M37049" s="13"/>
    </row>
    <row r="37050">
      <c r="F37050" s="13"/>
      <c r="M37050" s="13"/>
    </row>
    <row r="37051">
      <c r="F37051" s="13"/>
      <c r="M37051" s="13"/>
    </row>
    <row r="37052">
      <c r="F37052" s="13"/>
      <c r="M37052" s="13"/>
    </row>
    <row r="37053">
      <c r="F37053" s="13"/>
      <c r="M37053" s="13"/>
    </row>
    <row r="37054">
      <c r="F37054" s="13"/>
      <c r="M37054" s="13"/>
    </row>
    <row r="37055">
      <c r="F37055" s="13"/>
      <c r="M37055" s="13"/>
    </row>
    <row r="37056">
      <c r="F37056" s="13"/>
      <c r="M37056" s="13"/>
    </row>
    <row r="37057">
      <c r="F37057" s="13"/>
      <c r="M37057" s="13"/>
    </row>
    <row r="37058">
      <c r="F37058" s="13"/>
      <c r="M37058" s="13"/>
    </row>
    <row r="37059">
      <c r="F37059" s="13"/>
      <c r="M37059" s="13"/>
    </row>
    <row r="37060">
      <c r="F37060" s="13"/>
      <c r="M37060" s="13"/>
    </row>
    <row r="37061">
      <c r="F37061" s="13"/>
      <c r="M37061" s="13"/>
    </row>
    <row r="37062">
      <c r="F37062" s="13"/>
      <c r="M37062" s="13"/>
    </row>
    <row r="37063">
      <c r="F37063" s="13"/>
      <c r="M37063" s="13"/>
    </row>
    <row r="37064">
      <c r="F37064" s="13"/>
      <c r="M37064" s="13"/>
    </row>
    <row r="37065">
      <c r="F37065" s="13"/>
      <c r="M37065" s="13"/>
    </row>
    <row r="37066">
      <c r="F37066" s="13"/>
      <c r="M37066" s="13"/>
    </row>
    <row r="37067">
      <c r="F37067" s="13"/>
      <c r="M37067" s="13"/>
    </row>
    <row r="37068">
      <c r="F37068" s="13"/>
      <c r="M37068" s="13"/>
    </row>
    <row r="37069">
      <c r="F37069" s="13"/>
      <c r="M37069" s="13"/>
    </row>
    <row r="37070">
      <c r="F37070" s="13"/>
      <c r="M37070" s="13"/>
    </row>
    <row r="37071">
      <c r="F37071" s="13"/>
      <c r="M37071" s="13"/>
    </row>
    <row r="37072">
      <c r="F37072" s="13"/>
      <c r="M37072" s="13"/>
    </row>
    <row r="37073">
      <c r="F37073" s="13"/>
      <c r="M37073" s="13"/>
    </row>
    <row r="37074">
      <c r="F37074" s="13"/>
      <c r="M37074" s="13"/>
    </row>
    <row r="37075">
      <c r="F37075" s="13"/>
      <c r="M37075" s="13"/>
    </row>
    <row r="37076">
      <c r="F37076" s="13"/>
      <c r="M37076" s="13"/>
    </row>
    <row r="37077">
      <c r="F37077" s="13"/>
      <c r="M37077" s="13"/>
    </row>
    <row r="37078">
      <c r="F37078" s="13"/>
      <c r="M37078" s="13"/>
    </row>
    <row r="37079">
      <c r="F37079" s="13"/>
      <c r="M37079" s="13"/>
    </row>
    <row r="37080">
      <c r="F37080" s="13"/>
      <c r="M37080" s="13"/>
    </row>
    <row r="37081">
      <c r="F37081" s="13"/>
      <c r="M37081" s="13"/>
    </row>
    <row r="37082">
      <c r="F37082" s="13"/>
      <c r="M37082" s="13"/>
    </row>
    <row r="37083">
      <c r="F37083" s="13"/>
      <c r="M37083" s="13"/>
    </row>
    <row r="37084">
      <c r="F37084" s="13"/>
      <c r="M37084" s="13"/>
    </row>
    <row r="37085">
      <c r="F37085" s="13"/>
      <c r="M37085" s="13"/>
    </row>
    <row r="37086">
      <c r="F37086" s="13"/>
      <c r="M37086" s="13"/>
    </row>
    <row r="37087">
      <c r="F37087" s="13"/>
      <c r="M37087" s="13"/>
    </row>
    <row r="37088">
      <c r="F37088" s="13"/>
      <c r="M37088" s="13"/>
    </row>
    <row r="37089">
      <c r="F37089" s="13"/>
      <c r="M37089" s="13"/>
    </row>
    <row r="37090">
      <c r="F37090" s="13"/>
      <c r="M37090" s="13"/>
    </row>
    <row r="37091">
      <c r="F37091" s="13"/>
      <c r="M37091" s="13"/>
    </row>
    <row r="37092">
      <c r="F37092" s="13"/>
      <c r="M37092" s="13"/>
    </row>
    <row r="37093">
      <c r="F37093" s="13"/>
      <c r="M37093" s="13"/>
    </row>
    <row r="37094">
      <c r="F37094" s="13"/>
      <c r="M37094" s="13"/>
    </row>
    <row r="37095">
      <c r="F37095" s="13"/>
      <c r="M37095" s="13"/>
    </row>
    <row r="37096">
      <c r="F37096" s="13"/>
      <c r="M37096" s="13"/>
    </row>
    <row r="37097">
      <c r="F37097" s="13"/>
      <c r="M37097" s="13"/>
    </row>
    <row r="37098">
      <c r="F37098" s="13"/>
      <c r="M37098" s="13"/>
    </row>
    <row r="37099">
      <c r="F37099" s="13"/>
      <c r="M37099" s="13"/>
    </row>
    <row r="37100">
      <c r="F37100" s="13"/>
      <c r="M37100" s="13"/>
    </row>
    <row r="37101">
      <c r="F37101" s="13"/>
      <c r="M37101" s="13"/>
    </row>
    <row r="37102">
      <c r="F37102" s="13"/>
      <c r="M37102" s="13"/>
    </row>
    <row r="37103">
      <c r="F37103" s="13"/>
      <c r="M37103" s="13"/>
    </row>
    <row r="37104">
      <c r="F37104" s="13"/>
      <c r="M37104" s="13"/>
    </row>
    <row r="37105">
      <c r="F37105" s="13"/>
      <c r="M37105" s="13"/>
    </row>
    <row r="37106">
      <c r="F37106" s="13"/>
      <c r="M37106" s="13"/>
    </row>
    <row r="37107">
      <c r="F37107" s="13"/>
      <c r="M37107" s="13"/>
    </row>
    <row r="37108">
      <c r="F37108" s="13"/>
      <c r="M37108" s="13"/>
    </row>
    <row r="37109">
      <c r="F37109" s="13"/>
      <c r="M37109" s="13"/>
    </row>
    <row r="37110">
      <c r="F37110" s="13"/>
      <c r="M37110" s="13"/>
    </row>
    <row r="37111">
      <c r="F37111" s="13"/>
      <c r="M37111" s="13"/>
    </row>
    <row r="37112">
      <c r="F37112" s="13"/>
      <c r="M37112" s="13"/>
    </row>
    <row r="37113">
      <c r="F37113" s="13"/>
      <c r="M37113" s="13"/>
    </row>
    <row r="37114">
      <c r="F37114" s="13"/>
      <c r="M37114" s="13"/>
    </row>
    <row r="37115">
      <c r="F37115" s="13"/>
      <c r="M37115" s="13"/>
    </row>
    <row r="37116">
      <c r="F37116" s="13"/>
      <c r="M37116" s="13"/>
    </row>
    <row r="37117">
      <c r="F37117" s="13"/>
      <c r="M37117" s="13"/>
    </row>
    <row r="37118">
      <c r="F37118" s="13"/>
      <c r="M37118" s="13"/>
    </row>
    <row r="37119">
      <c r="F37119" s="13"/>
      <c r="M37119" s="13"/>
    </row>
    <row r="37120">
      <c r="F37120" s="13"/>
      <c r="M37120" s="13"/>
    </row>
    <row r="37121">
      <c r="F37121" s="13"/>
      <c r="M37121" s="13"/>
    </row>
    <row r="37122">
      <c r="F37122" s="13"/>
      <c r="M37122" s="13"/>
    </row>
    <row r="37123">
      <c r="F37123" s="13"/>
      <c r="M37123" s="13"/>
    </row>
    <row r="37124">
      <c r="F37124" s="13"/>
      <c r="M37124" s="13"/>
    </row>
    <row r="37125">
      <c r="F37125" s="13"/>
      <c r="M37125" s="13"/>
    </row>
    <row r="37126">
      <c r="F37126" s="13"/>
      <c r="M37126" s="13"/>
    </row>
    <row r="37127">
      <c r="F37127" s="13"/>
      <c r="M37127" s="13"/>
    </row>
    <row r="37128">
      <c r="F37128" s="13"/>
      <c r="M37128" s="13"/>
    </row>
    <row r="37129">
      <c r="F37129" s="13"/>
      <c r="M37129" s="13"/>
    </row>
    <row r="37130">
      <c r="F37130" s="13"/>
      <c r="M37130" s="13"/>
    </row>
    <row r="37131">
      <c r="F37131" s="13"/>
      <c r="M37131" s="13"/>
    </row>
    <row r="37132">
      <c r="F37132" s="13"/>
      <c r="M37132" s="13"/>
    </row>
    <row r="37133">
      <c r="F37133" s="13"/>
      <c r="M37133" s="13"/>
    </row>
    <row r="37134">
      <c r="F37134" s="13"/>
      <c r="M37134" s="13"/>
    </row>
    <row r="37135">
      <c r="F37135" s="13"/>
      <c r="M37135" s="13"/>
    </row>
    <row r="37136">
      <c r="F37136" s="13"/>
      <c r="M37136" s="13"/>
    </row>
    <row r="37137">
      <c r="F37137" s="13"/>
      <c r="M37137" s="13"/>
    </row>
    <row r="37138">
      <c r="F37138" s="13"/>
      <c r="M37138" s="13"/>
    </row>
    <row r="37139">
      <c r="F37139" s="13"/>
      <c r="M37139" s="13"/>
    </row>
    <row r="37140">
      <c r="F37140" s="13"/>
      <c r="M37140" s="13"/>
    </row>
    <row r="37141">
      <c r="F37141" s="13"/>
      <c r="M37141" s="13"/>
    </row>
    <row r="37142">
      <c r="F37142" s="13"/>
      <c r="M37142" s="13"/>
    </row>
    <row r="37143">
      <c r="F37143" s="13"/>
      <c r="M37143" s="13"/>
    </row>
    <row r="37144">
      <c r="F37144" s="13"/>
      <c r="M37144" s="13"/>
    </row>
    <row r="37145">
      <c r="F37145" s="13"/>
      <c r="M37145" s="13"/>
    </row>
    <row r="37146">
      <c r="F37146" s="13"/>
      <c r="M37146" s="13"/>
    </row>
    <row r="37147">
      <c r="F37147" s="13"/>
      <c r="M37147" s="13"/>
    </row>
    <row r="37148">
      <c r="F37148" s="13"/>
      <c r="M37148" s="13"/>
    </row>
    <row r="37149">
      <c r="F37149" s="13"/>
      <c r="M37149" s="13"/>
    </row>
    <row r="37150">
      <c r="F37150" s="13"/>
      <c r="M37150" s="13"/>
    </row>
    <row r="37151">
      <c r="F37151" s="13"/>
      <c r="M37151" s="13"/>
    </row>
    <row r="37152">
      <c r="F37152" s="13"/>
      <c r="M37152" s="13"/>
    </row>
    <row r="37153">
      <c r="F37153" s="13"/>
      <c r="M37153" s="13"/>
    </row>
    <row r="37154">
      <c r="F37154" s="13"/>
      <c r="M37154" s="13"/>
    </row>
    <row r="37155">
      <c r="F37155" s="13"/>
      <c r="M37155" s="13"/>
    </row>
    <row r="37156">
      <c r="F37156" s="13"/>
      <c r="M37156" s="13"/>
    </row>
    <row r="37157">
      <c r="F37157" s="13"/>
      <c r="M37157" s="13"/>
    </row>
    <row r="37158">
      <c r="F37158" s="13"/>
      <c r="M37158" s="13"/>
    </row>
    <row r="37159">
      <c r="F37159" s="13"/>
      <c r="M37159" s="13"/>
    </row>
    <row r="37160">
      <c r="F37160" s="13"/>
      <c r="M37160" s="13"/>
    </row>
    <row r="37161">
      <c r="F37161" s="13"/>
      <c r="M37161" s="13"/>
    </row>
    <row r="37162">
      <c r="F37162" s="13"/>
      <c r="M37162" s="13"/>
    </row>
    <row r="37163">
      <c r="F37163" s="13"/>
      <c r="M37163" s="13"/>
    </row>
    <row r="37164">
      <c r="F37164" s="13"/>
      <c r="M37164" s="13"/>
    </row>
    <row r="37165">
      <c r="F37165" s="13"/>
      <c r="M37165" s="13"/>
    </row>
    <row r="37166">
      <c r="F37166" s="13"/>
      <c r="M37166" s="13"/>
    </row>
    <row r="37167">
      <c r="F37167" s="13"/>
      <c r="M37167" s="13"/>
    </row>
    <row r="37168">
      <c r="F37168" s="13"/>
      <c r="M37168" s="13"/>
    </row>
    <row r="37169">
      <c r="F37169" s="13"/>
      <c r="M37169" s="13"/>
    </row>
    <row r="37170">
      <c r="F37170" s="13"/>
      <c r="M37170" s="13"/>
    </row>
    <row r="37171">
      <c r="F37171" s="13"/>
      <c r="M37171" s="13"/>
    </row>
    <row r="37172">
      <c r="F37172" s="13"/>
      <c r="M37172" s="13"/>
    </row>
    <row r="37173">
      <c r="F37173" s="13"/>
      <c r="M37173" s="13"/>
    </row>
    <row r="37174">
      <c r="F37174" s="13"/>
      <c r="M37174" s="13"/>
    </row>
    <row r="37175">
      <c r="F37175" s="13"/>
      <c r="M37175" s="13"/>
    </row>
    <row r="37176">
      <c r="F37176" s="13"/>
      <c r="M37176" s="13"/>
    </row>
    <row r="37177">
      <c r="F37177" s="13"/>
      <c r="M37177" s="13"/>
    </row>
    <row r="37178">
      <c r="F37178" s="13"/>
      <c r="M37178" s="13"/>
    </row>
    <row r="37179">
      <c r="F37179" s="13"/>
      <c r="M37179" s="13"/>
    </row>
    <row r="37180">
      <c r="F37180" s="13"/>
      <c r="M37180" s="13"/>
    </row>
    <row r="37181">
      <c r="F37181" s="13"/>
      <c r="M37181" s="13"/>
    </row>
    <row r="37182">
      <c r="F37182" s="13"/>
      <c r="M37182" s="13"/>
    </row>
    <row r="37183">
      <c r="F37183" s="13"/>
      <c r="M37183" s="13"/>
    </row>
    <row r="37184">
      <c r="F37184" s="13"/>
      <c r="M37184" s="13"/>
    </row>
    <row r="37185">
      <c r="F37185" s="13"/>
      <c r="M37185" s="13"/>
    </row>
    <row r="37186">
      <c r="F37186" s="13"/>
      <c r="M37186" s="13"/>
    </row>
    <row r="37187">
      <c r="F37187" s="13"/>
      <c r="M37187" s="13"/>
    </row>
    <row r="37188">
      <c r="F37188" s="13"/>
      <c r="M37188" s="13"/>
    </row>
    <row r="37189">
      <c r="F37189" s="13"/>
      <c r="M37189" s="13"/>
    </row>
    <row r="37190">
      <c r="F37190" s="13"/>
      <c r="M37190" s="13"/>
    </row>
    <row r="37191">
      <c r="F37191" s="13"/>
      <c r="M37191" s="13"/>
    </row>
    <row r="37192">
      <c r="F37192" s="13"/>
      <c r="M37192" s="13"/>
    </row>
    <row r="37193">
      <c r="F37193" s="13"/>
      <c r="M37193" s="13"/>
    </row>
    <row r="37194">
      <c r="F37194" s="13"/>
      <c r="M37194" s="13"/>
    </row>
    <row r="37195">
      <c r="F37195" s="13"/>
      <c r="M37195" s="13"/>
    </row>
    <row r="37196">
      <c r="F37196" s="13"/>
      <c r="M37196" s="13"/>
    </row>
    <row r="37197">
      <c r="F37197" s="13"/>
      <c r="M37197" s="13"/>
    </row>
    <row r="37198">
      <c r="F37198" s="13"/>
      <c r="M37198" s="13"/>
    </row>
    <row r="37199">
      <c r="F37199" s="13"/>
      <c r="M37199" s="13"/>
    </row>
    <row r="37200">
      <c r="F37200" s="13"/>
      <c r="M37200" s="13"/>
    </row>
    <row r="37201">
      <c r="F37201" s="13"/>
      <c r="M37201" s="13"/>
    </row>
    <row r="37202">
      <c r="F37202" s="13"/>
      <c r="M37202" s="13"/>
    </row>
    <row r="37203">
      <c r="F37203" s="13"/>
      <c r="M37203" s="13"/>
    </row>
    <row r="37204">
      <c r="F37204" s="13"/>
      <c r="M37204" s="13"/>
    </row>
    <row r="37205">
      <c r="F37205" s="13"/>
      <c r="M37205" s="13"/>
    </row>
    <row r="37206">
      <c r="F37206" s="13"/>
      <c r="M37206" s="13"/>
    </row>
    <row r="37207">
      <c r="F37207" s="13"/>
      <c r="M37207" s="13"/>
    </row>
    <row r="37208">
      <c r="F37208" s="13"/>
      <c r="M37208" s="13"/>
    </row>
    <row r="37209">
      <c r="F37209" s="13"/>
      <c r="M37209" s="13"/>
    </row>
    <row r="37210">
      <c r="F37210" s="13"/>
      <c r="M37210" s="13"/>
    </row>
    <row r="37211">
      <c r="F37211" s="13"/>
      <c r="M37211" s="13"/>
    </row>
    <row r="37212">
      <c r="F37212" s="13"/>
      <c r="M37212" s="13"/>
    </row>
    <row r="37213">
      <c r="F37213" s="13"/>
      <c r="M37213" s="13"/>
    </row>
    <row r="37214">
      <c r="F37214" s="13"/>
      <c r="M37214" s="13"/>
    </row>
    <row r="37215">
      <c r="F37215" s="13"/>
      <c r="M37215" s="13"/>
    </row>
    <row r="37216">
      <c r="F37216" s="13"/>
      <c r="M37216" s="13"/>
    </row>
    <row r="37217">
      <c r="F37217" s="13"/>
      <c r="M37217" s="13"/>
    </row>
    <row r="37218">
      <c r="F37218" s="13"/>
      <c r="M37218" s="13"/>
    </row>
    <row r="37219">
      <c r="F37219" s="13"/>
      <c r="M37219" s="13"/>
    </row>
    <row r="37220">
      <c r="F37220" s="13"/>
      <c r="M37220" s="13"/>
    </row>
    <row r="37221">
      <c r="F37221" s="13"/>
      <c r="M37221" s="13"/>
    </row>
    <row r="37222">
      <c r="F37222" s="13"/>
      <c r="M37222" s="13"/>
    </row>
    <row r="37223">
      <c r="F37223" s="13"/>
      <c r="M37223" s="13"/>
    </row>
    <row r="37224">
      <c r="F37224" s="13"/>
      <c r="M37224" s="13"/>
    </row>
    <row r="37225">
      <c r="F37225" s="13"/>
      <c r="M37225" s="13"/>
    </row>
    <row r="37226">
      <c r="F37226" s="13"/>
      <c r="M37226" s="13"/>
    </row>
    <row r="37227">
      <c r="F37227" s="13"/>
      <c r="M37227" s="13"/>
    </row>
    <row r="37228">
      <c r="F37228" s="13"/>
      <c r="M37228" s="13"/>
    </row>
    <row r="37229">
      <c r="F37229" s="13"/>
      <c r="M37229" s="13"/>
    </row>
    <row r="37230">
      <c r="F37230" s="13"/>
      <c r="M37230" s="13"/>
    </row>
    <row r="37231">
      <c r="F37231" s="13"/>
      <c r="M37231" s="13"/>
    </row>
    <row r="37232">
      <c r="F37232" s="13"/>
      <c r="M37232" s="13"/>
    </row>
    <row r="37233">
      <c r="F37233" s="13"/>
      <c r="M37233" s="13"/>
    </row>
    <row r="37234">
      <c r="F37234" s="13"/>
      <c r="M37234" s="13"/>
    </row>
    <row r="37235">
      <c r="F37235" s="13"/>
      <c r="M37235" s="13"/>
    </row>
    <row r="37236">
      <c r="F37236" s="13"/>
      <c r="M37236" s="13"/>
    </row>
    <row r="37237">
      <c r="F37237" s="13"/>
      <c r="M37237" s="13"/>
    </row>
    <row r="37238">
      <c r="F37238" s="13"/>
      <c r="M37238" s="13"/>
    </row>
    <row r="37239">
      <c r="F37239" s="13"/>
      <c r="M37239" s="13"/>
    </row>
    <row r="37240">
      <c r="F37240" s="13"/>
      <c r="M37240" s="13"/>
    </row>
    <row r="37241">
      <c r="F37241" s="13"/>
      <c r="M37241" s="13"/>
    </row>
    <row r="37242">
      <c r="F37242" s="13"/>
      <c r="M37242" s="13"/>
    </row>
    <row r="37243">
      <c r="F37243" s="13"/>
      <c r="M37243" s="13"/>
    </row>
    <row r="37244">
      <c r="F37244" s="13"/>
      <c r="M37244" s="13"/>
    </row>
    <row r="37245">
      <c r="F37245" s="13"/>
      <c r="M37245" s="13"/>
    </row>
    <row r="37246">
      <c r="F37246" s="13"/>
      <c r="M37246" s="13"/>
    </row>
    <row r="37247">
      <c r="F37247" s="13"/>
      <c r="M37247" s="13"/>
    </row>
    <row r="37248">
      <c r="F37248" s="13"/>
      <c r="M37248" s="13"/>
    </row>
    <row r="37249">
      <c r="F37249" s="13"/>
      <c r="M37249" s="13"/>
    </row>
    <row r="37250">
      <c r="F37250" s="13"/>
      <c r="M37250" s="13"/>
    </row>
    <row r="37251">
      <c r="F37251" s="13"/>
      <c r="M37251" s="13"/>
    </row>
    <row r="37252">
      <c r="F37252" s="13"/>
      <c r="M37252" s="13"/>
    </row>
    <row r="37253">
      <c r="F37253" s="13"/>
      <c r="M37253" s="13"/>
    </row>
    <row r="37254">
      <c r="F37254" s="13"/>
      <c r="M37254" s="13"/>
    </row>
    <row r="37255">
      <c r="F37255" s="13"/>
      <c r="M37255" s="13"/>
    </row>
    <row r="37256">
      <c r="F37256" s="13"/>
      <c r="M37256" s="13"/>
    </row>
    <row r="37257">
      <c r="F37257" s="13"/>
      <c r="M37257" s="13"/>
    </row>
    <row r="37258">
      <c r="F37258" s="13"/>
      <c r="M37258" s="13"/>
    </row>
    <row r="37259">
      <c r="F37259" s="13"/>
      <c r="M37259" s="13"/>
    </row>
    <row r="37260">
      <c r="F37260" s="13"/>
      <c r="M37260" s="13"/>
    </row>
    <row r="37261">
      <c r="F37261" s="13"/>
      <c r="M37261" s="13"/>
    </row>
    <row r="37262">
      <c r="F37262" s="13"/>
      <c r="M37262" s="13"/>
    </row>
    <row r="37263">
      <c r="F37263" s="13"/>
      <c r="M37263" s="13"/>
    </row>
    <row r="37264">
      <c r="F37264" s="13"/>
      <c r="M37264" s="13"/>
    </row>
    <row r="37265">
      <c r="F37265" s="13"/>
      <c r="M37265" s="13"/>
    </row>
    <row r="37266">
      <c r="F37266" s="13"/>
      <c r="M37266" s="13"/>
    </row>
    <row r="37267">
      <c r="F37267" s="13"/>
      <c r="M37267" s="13"/>
    </row>
    <row r="37268">
      <c r="F37268" s="13"/>
      <c r="M37268" s="13"/>
    </row>
    <row r="37269">
      <c r="F37269" s="13"/>
      <c r="M37269" s="13"/>
    </row>
    <row r="37270">
      <c r="F37270" s="13"/>
      <c r="M37270" s="13"/>
    </row>
    <row r="37271">
      <c r="F37271" s="13"/>
      <c r="M37271" s="13"/>
    </row>
    <row r="37272">
      <c r="F37272" s="13"/>
      <c r="M37272" s="13"/>
    </row>
    <row r="37273">
      <c r="F37273" s="13"/>
      <c r="M37273" s="13"/>
    </row>
    <row r="37274">
      <c r="F37274" s="13"/>
      <c r="M37274" s="13"/>
    </row>
    <row r="37275">
      <c r="F37275" s="13"/>
      <c r="M37275" s="13"/>
    </row>
    <row r="37276">
      <c r="F37276" s="13"/>
      <c r="M37276" s="13"/>
    </row>
    <row r="37277">
      <c r="F37277" s="13"/>
      <c r="M37277" s="13"/>
    </row>
    <row r="37278">
      <c r="F37278" s="13"/>
      <c r="M37278" s="13"/>
    </row>
    <row r="37279">
      <c r="F37279" s="13"/>
      <c r="M37279" s="13"/>
    </row>
    <row r="37280">
      <c r="F37280" s="13"/>
      <c r="M37280" s="13"/>
    </row>
    <row r="37281">
      <c r="F37281" s="13"/>
      <c r="M37281" s="13"/>
    </row>
    <row r="37282">
      <c r="F37282" s="13"/>
      <c r="M37282" s="13"/>
    </row>
    <row r="37283">
      <c r="F37283" s="13"/>
      <c r="M37283" s="13"/>
    </row>
    <row r="37284">
      <c r="F37284" s="13"/>
      <c r="M37284" s="13"/>
    </row>
    <row r="37285">
      <c r="F37285" s="13"/>
      <c r="M37285" s="13"/>
    </row>
    <row r="37286">
      <c r="F37286" s="13"/>
      <c r="M37286" s="13"/>
    </row>
    <row r="37287">
      <c r="F37287" s="13"/>
      <c r="M37287" s="13"/>
    </row>
    <row r="37288">
      <c r="F37288" s="13"/>
      <c r="M37288" s="13"/>
    </row>
    <row r="37289">
      <c r="F37289" s="13"/>
      <c r="M37289" s="13"/>
    </row>
    <row r="37290">
      <c r="F37290" s="13"/>
      <c r="M37290" s="13"/>
    </row>
    <row r="37291">
      <c r="F37291" s="13"/>
      <c r="M37291" s="13"/>
    </row>
    <row r="37292">
      <c r="F37292" s="13"/>
      <c r="M37292" s="13"/>
    </row>
    <row r="37293">
      <c r="F37293" s="13"/>
      <c r="M37293" s="13"/>
    </row>
    <row r="37294">
      <c r="F37294" s="13"/>
      <c r="M37294" s="13"/>
    </row>
    <row r="37295">
      <c r="F37295" s="13"/>
      <c r="M37295" s="13"/>
    </row>
    <row r="37296">
      <c r="F37296" s="13"/>
      <c r="M37296" s="13"/>
    </row>
    <row r="37297">
      <c r="F37297" s="13"/>
      <c r="M37297" s="13"/>
    </row>
    <row r="37298">
      <c r="F37298" s="13"/>
      <c r="M37298" s="13"/>
    </row>
    <row r="37299">
      <c r="F37299" s="13"/>
      <c r="M37299" s="13"/>
    </row>
    <row r="37300">
      <c r="F37300" s="13"/>
      <c r="M37300" s="13"/>
    </row>
    <row r="37301">
      <c r="F37301" s="13"/>
      <c r="M37301" s="13"/>
    </row>
    <row r="37302">
      <c r="F37302" s="13"/>
      <c r="M37302" s="13"/>
    </row>
    <row r="37303">
      <c r="F37303" s="13"/>
      <c r="M37303" s="13"/>
    </row>
    <row r="37304">
      <c r="F37304" s="13"/>
      <c r="M37304" s="13"/>
    </row>
    <row r="37305">
      <c r="F37305" s="13"/>
      <c r="M37305" s="13"/>
    </row>
    <row r="37306">
      <c r="F37306" s="13"/>
      <c r="M37306" s="13"/>
    </row>
    <row r="37307">
      <c r="F37307" s="13"/>
      <c r="M37307" s="13"/>
    </row>
    <row r="37308">
      <c r="F37308" s="13"/>
      <c r="M37308" s="13"/>
    </row>
    <row r="37309">
      <c r="F37309" s="13"/>
      <c r="M37309" s="13"/>
    </row>
    <row r="37310">
      <c r="F37310" s="13"/>
      <c r="M37310" s="13"/>
    </row>
    <row r="37311">
      <c r="F37311" s="13"/>
      <c r="M37311" s="13"/>
    </row>
    <row r="37312">
      <c r="F37312" s="13"/>
      <c r="M37312" s="13"/>
    </row>
    <row r="37313">
      <c r="F37313" s="13"/>
      <c r="M37313" s="13"/>
    </row>
    <row r="37314">
      <c r="F37314" s="13"/>
      <c r="M37314" s="13"/>
    </row>
    <row r="37315">
      <c r="F37315" s="13"/>
      <c r="M37315" s="13"/>
    </row>
    <row r="37316">
      <c r="F37316" s="13"/>
      <c r="M37316" s="13"/>
    </row>
    <row r="37317">
      <c r="F37317" s="13"/>
      <c r="M37317" s="13"/>
    </row>
    <row r="37318">
      <c r="F37318" s="13"/>
      <c r="M37318" s="13"/>
    </row>
    <row r="37319">
      <c r="F37319" s="13"/>
      <c r="M37319" s="13"/>
    </row>
    <row r="37320">
      <c r="F37320" s="13"/>
      <c r="M37320" s="13"/>
    </row>
    <row r="37321">
      <c r="F37321" s="13"/>
      <c r="M37321" s="13"/>
    </row>
    <row r="37322">
      <c r="F37322" s="13"/>
      <c r="M37322" s="13"/>
    </row>
    <row r="37323">
      <c r="F37323" s="13"/>
      <c r="M37323" s="13"/>
    </row>
    <row r="37324">
      <c r="F37324" s="13"/>
      <c r="M37324" s="13"/>
    </row>
    <row r="37325">
      <c r="F37325" s="13"/>
      <c r="M37325" s="13"/>
    </row>
    <row r="37326">
      <c r="F37326" s="13"/>
      <c r="M37326" s="13"/>
    </row>
    <row r="37327">
      <c r="F37327" s="13"/>
      <c r="M37327" s="13"/>
    </row>
    <row r="37328">
      <c r="F37328" s="13"/>
      <c r="M37328" s="13"/>
    </row>
    <row r="37329">
      <c r="F37329" s="13"/>
      <c r="M37329" s="13"/>
    </row>
    <row r="37330">
      <c r="F37330" s="13"/>
      <c r="M37330" s="13"/>
    </row>
    <row r="37331">
      <c r="F37331" s="13"/>
      <c r="M37331" s="13"/>
    </row>
    <row r="37332">
      <c r="F37332" s="13"/>
      <c r="M37332" s="13"/>
    </row>
    <row r="37333">
      <c r="F37333" s="13"/>
      <c r="M37333" s="13"/>
    </row>
    <row r="37334">
      <c r="F37334" s="13"/>
      <c r="M37334" s="13"/>
    </row>
    <row r="37335">
      <c r="F37335" s="13"/>
      <c r="M37335" s="13"/>
    </row>
    <row r="37336">
      <c r="F37336" s="13"/>
      <c r="M37336" s="13"/>
    </row>
    <row r="37337">
      <c r="F37337" s="13"/>
      <c r="M37337" s="13"/>
    </row>
    <row r="37338">
      <c r="F37338" s="13"/>
      <c r="M37338" s="13"/>
    </row>
    <row r="37339">
      <c r="F37339" s="13"/>
      <c r="M37339" s="13"/>
    </row>
    <row r="37340">
      <c r="F37340" s="13"/>
      <c r="M37340" s="13"/>
    </row>
    <row r="37341">
      <c r="F37341" s="13"/>
      <c r="M37341" s="13"/>
    </row>
    <row r="37342">
      <c r="F37342" s="13"/>
      <c r="M37342" s="13"/>
    </row>
    <row r="37343">
      <c r="F37343" s="13"/>
      <c r="M37343" s="13"/>
    </row>
    <row r="37344">
      <c r="F37344" s="13"/>
      <c r="M37344" s="13"/>
    </row>
    <row r="37345">
      <c r="F37345" s="13"/>
      <c r="M37345" s="13"/>
    </row>
    <row r="37346">
      <c r="F37346" s="13"/>
      <c r="M37346" s="13"/>
    </row>
    <row r="37347">
      <c r="F37347" s="13"/>
      <c r="M37347" s="13"/>
    </row>
    <row r="37348">
      <c r="F37348" s="13"/>
      <c r="M37348" s="13"/>
    </row>
    <row r="37349">
      <c r="F37349" s="13"/>
      <c r="M37349" s="13"/>
    </row>
    <row r="37350">
      <c r="F37350" s="13"/>
      <c r="M37350" s="13"/>
    </row>
    <row r="37351">
      <c r="F37351" s="13"/>
      <c r="M37351" s="13"/>
    </row>
    <row r="37352">
      <c r="F37352" s="13"/>
      <c r="M37352" s="13"/>
    </row>
    <row r="37353">
      <c r="F37353" s="13"/>
      <c r="M37353" s="13"/>
    </row>
    <row r="37354">
      <c r="F37354" s="13"/>
      <c r="M37354" s="13"/>
    </row>
    <row r="37355">
      <c r="F37355" s="13"/>
      <c r="M37355" s="13"/>
    </row>
    <row r="37356">
      <c r="F37356" s="13"/>
      <c r="M37356" s="13"/>
    </row>
    <row r="37357">
      <c r="F37357" s="13"/>
      <c r="M37357" s="13"/>
    </row>
    <row r="37358">
      <c r="F37358" s="13"/>
      <c r="M37358" s="13"/>
    </row>
    <row r="37359">
      <c r="F37359" s="13"/>
      <c r="M37359" s="13"/>
    </row>
    <row r="37360">
      <c r="F37360" s="13"/>
      <c r="M37360" s="13"/>
    </row>
    <row r="37361">
      <c r="F37361" s="13"/>
      <c r="M37361" s="13"/>
    </row>
    <row r="37362">
      <c r="F37362" s="13"/>
      <c r="M37362" s="13"/>
    </row>
    <row r="37363">
      <c r="F37363" s="13"/>
      <c r="M37363" s="13"/>
    </row>
    <row r="37364">
      <c r="F37364" s="13"/>
      <c r="M37364" s="13"/>
    </row>
    <row r="37365">
      <c r="F37365" s="13"/>
      <c r="M37365" s="13"/>
    </row>
    <row r="37366">
      <c r="F37366" s="13"/>
      <c r="M37366" s="13"/>
    </row>
    <row r="37367">
      <c r="F37367" s="13"/>
      <c r="M37367" s="13"/>
    </row>
    <row r="37368">
      <c r="F37368" s="13"/>
      <c r="M37368" s="13"/>
    </row>
    <row r="37369">
      <c r="F37369" s="13"/>
      <c r="M37369" s="13"/>
    </row>
    <row r="37370">
      <c r="F37370" s="13"/>
      <c r="M37370" s="13"/>
    </row>
    <row r="37371">
      <c r="F37371" s="13"/>
      <c r="M37371" s="13"/>
    </row>
    <row r="37372">
      <c r="F37372" s="13"/>
      <c r="M37372" s="13"/>
    </row>
    <row r="37373">
      <c r="F37373" s="13"/>
      <c r="M37373" s="13"/>
    </row>
    <row r="37374">
      <c r="F37374" s="13"/>
      <c r="M37374" s="13"/>
    </row>
    <row r="37375">
      <c r="F37375" s="13"/>
      <c r="M37375" s="13"/>
    </row>
    <row r="37376">
      <c r="F37376" s="13"/>
      <c r="M37376" s="13"/>
    </row>
    <row r="37377">
      <c r="F37377" s="13"/>
      <c r="M37377" s="13"/>
    </row>
    <row r="37378">
      <c r="F37378" s="13"/>
      <c r="M37378" s="13"/>
    </row>
    <row r="37379">
      <c r="F37379" s="13"/>
      <c r="M37379" s="13"/>
    </row>
    <row r="37380">
      <c r="F37380" s="13"/>
      <c r="M37380" s="13"/>
    </row>
    <row r="37381">
      <c r="F37381" s="13"/>
      <c r="M37381" s="13"/>
    </row>
    <row r="37382">
      <c r="F37382" s="13"/>
      <c r="M37382" s="13"/>
    </row>
    <row r="37383">
      <c r="F37383" s="13"/>
      <c r="M37383" s="13"/>
    </row>
    <row r="37384">
      <c r="F37384" s="13"/>
      <c r="M37384" s="13"/>
    </row>
    <row r="37385">
      <c r="F37385" s="13"/>
      <c r="M37385" s="13"/>
    </row>
    <row r="37386">
      <c r="F37386" s="13"/>
      <c r="M37386" s="13"/>
    </row>
    <row r="37387">
      <c r="F37387" s="13"/>
      <c r="M37387" s="13"/>
    </row>
    <row r="37388">
      <c r="F37388" s="13"/>
      <c r="M37388" s="13"/>
    </row>
    <row r="37389">
      <c r="F37389" s="13"/>
      <c r="M37389" s="13"/>
    </row>
    <row r="37390">
      <c r="F37390" s="13"/>
      <c r="M37390" s="13"/>
    </row>
    <row r="37391">
      <c r="F37391" s="13"/>
      <c r="M37391" s="13"/>
    </row>
    <row r="37392">
      <c r="F37392" s="13"/>
      <c r="M37392" s="13"/>
    </row>
    <row r="37393">
      <c r="F37393" s="13"/>
      <c r="M37393" s="13"/>
    </row>
    <row r="37394">
      <c r="F37394" s="13"/>
      <c r="M37394" s="13"/>
    </row>
    <row r="37395">
      <c r="F37395" s="13"/>
      <c r="M37395" s="13"/>
    </row>
    <row r="37396">
      <c r="F37396" s="13"/>
      <c r="M37396" s="13"/>
    </row>
    <row r="37397">
      <c r="F37397" s="13"/>
      <c r="M37397" s="13"/>
    </row>
    <row r="37398">
      <c r="F37398" s="13"/>
      <c r="M37398" s="13"/>
    </row>
    <row r="37399">
      <c r="F37399" s="13"/>
      <c r="M37399" s="13"/>
    </row>
    <row r="37400">
      <c r="F37400" s="13"/>
      <c r="M37400" s="13"/>
    </row>
    <row r="37401">
      <c r="F37401" s="13"/>
      <c r="M37401" s="13"/>
    </row>
    <row r="37402">
      <c r="F37402" s="13"/>
      <c r="M37402" s="13"/>
    </row>
    <row r="37403">
      <c r="F37403" s="13"/>
      <c r="M37403" s="13"/>
    </row>
    <row r="37404">
      <c r="F37404" s="13"/>
      <c r="M37404" s="13"/>
    </row>
    <row r="37405">
      <c r="F37405" s="13"/>
      <c r="M37405" s="13"/>
    </row>
    <row r="37406">
      <c r="F37406" s="13"/>
      <c r="M37406" s="13"/>
    </row>
    <row r="37407">
      <c r="F37407" s="13"/>
      <c r="M37407" s="13"/>
    </row>
    <row r="37408">
      <c r="F37408" s="13"/>
      <c r="M37408" s="13"/>
    </row>
    <row r="37409">
      <c r="F37409" s="13"/>
      <c r="M37409" s="13"/>
    </row>
    <row r="37410">
      <c r="F37410" s="13"/>
      <c r="M37410" s="13"/>
    </row>
    <row r="37411">
      <c r="F37411" s="13"/>
      <c r="M37411" s="13"/>
    </row>
    <row r="37412">
      <c r="F37412" s="13"/>
      <c r="M37412" s="13"/>
    </row>
    <row r="37413">
      <c r="F37413" s="13"/>
      <c r="M37413" s="13"/>
    </row>
    <row r="37414">
      <c r="F37414" s="13"/>
      <c r="M37414" s="13"/>
    </row>
    <row r="37415">
      <c r="F37415" s="13"/>
      <c r="M37415" s="13"/>
    </row>
    <row r="37416">
      <c r="F37416" s="13"/>
      <c r="M37416" s="13"/>
    </row>
    <row r="37417">
      <c r="F37417" s="13"/>
      <c r="M37417" s="13"/>
    </row>
    <row r="37418">
      <c r="F37418" s="13"/>
      <c r="M37418" s="13"/>
    </row>
    <row r="37419">
      <c r="F37419" s="13"/>
      <c r="M37419" s="13"/>
    </row>
    <row r="37420">
      <c r="F37420" s="13"/>
      <c r="M37420" s="13"/>
    </row>
    <row r="37421">
      <c r="F37421" s="13"/>
      <c r="M37421" s="13"/>
    </row>
    <row r="37422">
      <c r="F37422" s="13"/>
      <c r="M37422" s="13"/>
    </row>
    <row r="37423">
      <c r="F37423" s="13"/>
      <c r="M37423" s="13"/>
    </row>
    <row r="37424">
      <c r="F37424" s="13"/>
      <c r="M37424" s="13"/>
    </row>
    <row r="37425">
      <c r="F37425" s="13"/>
      <c r="M37425" s="13"/>
    </row>
    <row r="37426">
      <c r="F37426" s="13"/>
      <c r="M37426" s="13"/>
    </row>
    <row r="37427">
      <c r="F37427" s="13"/>
      <c r="M37427" s="13"/>
    </row>
    <row r="37428">
      <c r="F37428" s="13"/>
      <c r="M37428" s="13"/>
    </row>
    <row r="37429">
      <c r="F37429" s="13"/>
      <c r="M37429" s="13"/>
    </row>
    <row r="37430">
      <c r="F37430" s="13"/>
      <c r="M37430" s="13"/>
    </row>
    <row r="37431">
      <c r="F37431" s="13"/>
      <c r="M37431" s="13"/>
    </row>
    <row r="37432">
      <c r="F37432" s="13"/>
      <c r="M37432" s="13"/>
    </row>
    <row r="37433">
      <c r="F37433" s="13"/>
      <c r="M37433" s="13"/>
    </row>
    <row r="37434">
      <c r="F37434" s="13"/>
      <c r="M37434" s="13"/>
    </row>
    <row r="37435">
      <c r="F37435" s="13"/>
      <c r="M37435" s="13"/>
    </row>
    <row r="37436">
      <c r="F37436" s="13"/>
      <c r="M37436" s="13"/>
    </row>
    <row r="37437">
      <c r="F37437" s="13"/>
      <c r="M37437" s="13"/>
    </row>
    <row r="37438">
      <c r="F37438" s="13"/>
      <c r="M37438" s="13"/>
    </row>
    <row r="37439">
      <c r="F37439" s="13"/>
      <c r="M37439" s="13"/>
    </row>
    <row r="37440">
      <c r="F37440" s="13"/>
      <c r="M37440" s="13"/>
    </row>
    <row r="37441">
      <c r="F37441" s="13"/>
      <c r="M37441" s="13"/>
    </row>
    <row r="37442">
      <c r="F37442" s="13"/>
      <c r="M37442" s="13"/>
    </row>
    <row r="37443">
      <c r="F37443" s="13"/>
      <c r="M37443" s="13"/>
    </row>
    <row r="37444">
      <c r="F37444" s="13"/>
      <c r="M37444" s="13"/>
    </row>
    <row r="37445">
      <c r="F37445" s="13"/>
      <c r="M37445" s="13"/>
    </row>
    <row r="37446">
      <c r="F37446" s="13"/>
      <c r="M37446" s="13"/>
    </row>
    <row r="37447">
      <c r="F37447" s="13"/>
      <c r="M37447" s="13"/>
    </row>
    <row r="37448">
      <c r="F37448" s="13"/>
      <c r="M37448" s="13"/>
    </row>
    <row r="37449">
      <c r="F37449" s="13"/>
      <c r="M37449" s="13"/>
    </row>
    <row r="37450">
      <c r="F37450" s="13"/>
      <c r="M37450" s="13"/>
    </row>
    <row r="37451">
      <c r="F37451" s="13"/>
      <c r="M37451" s="13"/>
    </row>
    <row r="37452">
      <c r="F37452" s="13"/>
      <c r="M37452" s="13"/>
    </row>
    <row r="37453">
      <c r="F37453" s="13"/>
      <c r="M37453" s="13"/>
    </row>
    <row r="37454">
      <c r="F37454" s="13"/>
      <c r="M37454" s="13"/>
    </row>
    <row r="37455">
      <c r="F37455" s="13"/>
      <c r="M37455" s="13"/>
    </row>
    <row r="37456">
      <c r="F37456" s="13"/>
      <c r="M37456" s="13"/>
    </row>
    <row r="37457">
      <c r="F37457" s="13"/>
      <c r="M37457" s="13"/>
    </row>
    <row r="37458">
      <c r="F37458" s="13"/>
      <c r="M37458" s="13"/>
    </row>
    <row r="37459">
      <c r="F37459" s="13"/>
      <c r="M37459" s="13"/>
    </row>
    <row r="37460">
      <c r="F37460" s="13"/>
      <c r="M37460" s="13"/>
    </row>
    <row r="37461">
      <c r="F37461" s="13"/>
      <c r="M37461" s="13"/>
    </row>
    <row r="37462">
      <c r="F37462" s="13"/>
      <c r="M37462" s="13"/>
    </row>
    <row r="37463">
      <c r="F37463" s="13"/>
      <c r="M37463" s="13"/>
    </row>
    <row r="37464">
      <c r="F37464" s="13"/>
      <c r="M37464" s="13"/>
    </row>
    <row r="37465">
      <c r="F37465" s="13"/>
      <c r="M37465" s="13"/>
    </row>
    <row r="37466">
      <c r="F37466" s="13"/>
      <c r="M37466" s="13"/>
    </row>
    <row r="37467">
      <c r="F37467" s="13"/>
      <c r="M37467" s="13"/>
    </row>
    <row r="37468">
      <c r="F37468" s="13"/>
      <c r="M37468" s="13"/>
    </row>
    <row r="37469">
      <c r="F37469" s="13"/>
      <c r="M37469" s="13"/>
    </row>
    <row r="37470">
      <c r="F37470" s="13"/>
      <c r="M37470" s="13"/>
    </row>
    <row r="37471">
      <c r="F37471" s="13"/>
      <c r="M37471" s="13"/>
    </row>
    <row r="37472">
      <c r="F37472" s="13"/>
      <c r="M37472" s="13"/>
    </row>
    <row r="37473">
      <c r="F37473" s="13"/>
      <c r="M37473" s="13"/>
    </row>
    <row r="37474">
      <c r="F37474" s="13"/>
      <c r="M37474" s="13"/>
    </row>
    <row r="37475">
      <c r="F37475" s="13"/>
      <c r="M37475" s="13"/>
    </row>
    <row r="37476">
      <c r="F37476" s="13"/>
      <c r="M37476" s="13"/>
    </row>
    <row r="37477">
      <c r="F37477" s="13"/>
      <c r="M37477" s="13"/>
    </row>
    <row r="37478">
      <c r="F37478" s="13"/>
      <c r="M37478" s="13"/>
    </row>
    <row r="37479">
      <c r="F37479" s="13"/>
      <c r="M37479" s="13"/>
    </row>
    <row r="37480">
      <c r="F37480" s="13"/>
      <c r="M37480" s="13"/>
    </row>
    <row r="37481">
      <c r="F37481" s="13"/>
      <c r="M37481" s="13"/>
    </row>
    <row r="37482">
      <c r="F37482" s="13"/>
      <c r="M37482" s="13"/>
    </row>
    <row r="37483">
      <c r="F37483" s="13"/>
      <c r="M37483" s="13"/>
    </row>
    <row r="37484">
      <c r="F37484" s="13"/>
      <c r="M37484" s="13"/>
    </row>
    <row r="37485">
      <c r="F37485" s="13"/>
      <c r="M37485" s="13"/>
    </row>
    <row r="37486">
      <c r="F37486" s="13"/>
      <c r="M37486" s="13"/>
    </row>
    <row r="37487">
      <c r="F37487" s="13"/>
      <c r="M37487" s="13"/>
    </row>
    <row r="37488">
      <c r="F37488" s="13"/>
      <c r="M37488" s="13"/>
    </row>
    <row r="37489">
      <c r="F37489" s="13"/>
      <c r="M37489" s="13"/>
    </row>
    <row r="37490">
      <c r="F37490" s="13"/>
      <c r="M37490" s="13"/>
    </row>
    <row r="37491">
      <c r="F37491" s="13"/>
      <c r="M37491" s="13"/>
    </row>
    <row r="37492">
      <c r="F37492" s="13"/>
      <c r="M37492" s="13"/>
    </row>
    <row r="37493">
      <c r="F37493" s="13"/>
      <c r="M37493" s="13"/>
    </row>
    <row r="37494">
      <c r="F37494" s="13"/>
      <c r="M37494" s="13"/>
    </row>
    <row r="37495">
      <c r="F37495" s="13"/>
      <c r="M37495" s="13"/>
    </row>
    <row r="37496">
      <c r="F37496" s="13"/>
      <c r="M37496" s="13"/>
    </row>
    <row r="37497">
      <c r="F37497" s="13"/>
      <c r="M37497" s="13"/>
    </row>
    <row r="37498">
      <c r="F37498" s="13"/>
      <c r="M37498" s="13"/>
    </row>
    <row r="37499">
      <c r="F37499" s="13"/>
      <c r="M37499" s="13"/>
    </row>
    <row r="37500">
      <c r="F37500" s="13"/>
      <c r="M37500" s="13"/>
    </row>
    <row r="37501">
      <c r="F37501" s="13"/>
      <c r="M37501" s="13"/>
    </row>
    <row r="37502">
      <c r="F37502" s="13"/>
      <c r="M37502" s="13"/>
    </row>
    <row r="37503">
      <c r="F37503" s="13"/>
      <c r="M37503" s="13"/>
    </row>
    <row r="37504">
      <c r="F37504" s="13"/>
      <c r="M37504" s="13"/>
    </row>
    <row r="37505">
      <c r="F37505" s="13"/>
      <c r="M37505" s="13"/>
    </row>
    <row r="37506">
      <c r="F37506" s="13"/>
      <c r="M37506" s="13"/>
    </row>
    <row r="37507">
      <c r="F37507" s="13"/>
      <c r="M37507" s="13"/>
    </row>
    <row r="37508">
      <c r="F37508" s="13"/>
      <c r="M37508" s="13"/>
    </row>
    <row r="37509">
      <c r="F37509" s="13"/>
      <c r="M37509" s="13"/>
    </row>
    <row r="37510">
      <c r="F37510" s="13"/>
      <c r="M37510" s="13"/>
    </row>
    <row r="37511">
      <c r="F37511" s="13"/>
      <c r="M37511" s="13"/>
    </row>
    <row r="37512">
      <c r="F37512" s="13"/>
      <c r="M37512" s="13"/>
    </row>
    <row r="37513">
      <c r="F37513" s="13"/>
      <c r="M37513" s="13"/>
    </row>
    <row r="37514">
      <c r="F37514" s="13"/>
      <c r="M37514" s="13"/>
    </row>
    <row r="37515">
      <c r="F37515" s="13"/>
      <c r="M37515" s="13"/>
    </row>
    <row r="37516">
      <c r="F37516" s="13"/>
      <c r="M37516" s="13"/>
    </row>
    <row r="37517">
      <c r="F37517" s="13"/>
      <c r="M37517" s="13"/>
    </row>
    <row r="37518">
      <c r="F37518" s="13"/>
      <c r="M37518" s="13"/>
    </row>
    <row r="37519">
      <c r="F37519" s="13"/>
      <c r="M37519" s="13"/>
    </row>
    <row r="37520">
      <c r="F37520" s="13"/>
      <c r="M37520" s="13"/>
    </row>
    <row r="37521">
      <c r="F37521" s="13"/>
      <c r="M37521" s="13"/>
    </row>
    <row r="37522">
      <c r="F37522" s="13"/>
      <c r="M37522" s="13"/>
    </row>
    <row r="37523">
      <c r="F37523" s="13"/>
      <c r="M37523" s="13"/>
    </row>
    <row r="37524">
      <c r="F37524" s="13"/>
      <c r="M37524" s="13"/>
    </row>
    <row r="37525">
      <c r="F37525" s="13"/>
      <c r="M37525" s="13"/>
    </row>
    <row r="37526">
      <c r="F37526" s="13"/>
      <c r="M37526" s="13"/>
    </row>
    <row r="37527">
      <c r="F37527" s="13"/>
      <c r="M37527" s="13"/>
    </row>
    <row r="37528">
      <c r="F37528" s="13"/>
      <c r="M37528" s="13"/>
    </row>
    <row r="37529">
      <c r="F37529" s="13"/>
      <c r="M37529" s="13"/>
    </row>
    <row r="37530">
      <c r="F37530" s="13"/>
      <c r="M37530" s="13"/>
    </row>
    <row r="37531">
      <c r="F37531" s="13"/>
      <c r="M37531" s="13"/>
    </row>
    <row r="37532">
      <c r="F37532" s="13"/>
      <c r="M37532" s="13"/>
    </row>
    <row r="37533">
      <c r="F37533" s="13"/>
      <c r="M37533" s="13"/>
    </row>
    <row r="37534">
      <c r="F37534" s="13"/>
      <c r="M37534" s="13"/>
    </row>
    <row r="37535">
      <c r="F37535" s="13"/>
      <c r="M37535" s="13"/>
    </row>
    <row r="37536">
      <c r="F37536" s="13"/>
      <c r="M37536" s="13"/>
    </row>
    <row r="37537">
      <c r="F37537" s="13"/>
      <c r="M37537" s="13"/>
    </row>
    <row r="37538">
      <c r="F37538" s="13"/>
      <c r="M37538" s="13"/>
    </row>
    <row r="37539">
      <c r="F37539" s="13"/>
      <c r="M37539" s="13"/>
    </row>
    <row r="37540">
      <c r="F37540" s="13"/>
      <c r="M37540" s="13"/>
    </row>
    <row r="37541">
      <c r="F37541" s="13"/>
      <c r="M37541" s="13"/>
    </row>
    <row r="37542">
      <c r="F37542" s="13"/>
      <c r="M37542" s="13"/>
    </row>
    <row r="37543">
      <c r="F37543" s="13"/>
      <c r="M37543" s="13"/>
    </row>
    <row r="37544">
      <c r="F37544" s="13"/>
      <c r="M37544" s="13"/>
    </row>
    <row r="37545">
      <c r="F37545" s="13"/>
      <c r="M37545" s="13"/>
    </row>
    <row r="37546">
      <c r="F37546" s="13"/>
      <c r="M37546" s="13"/>
    </row>
    <row r="37547">
      <c r="F37547" s="13"/>
      <c r="M37547" s="13"/>
    </row>
    <row r="37548">
      <c r="F37548" s="13"/>
      <c r="M37548" s="13"/>
    </row>
    <row r="37549">
      <c r="F37549" s="13"/>
      <c r="M37549" s="13"/>
    </row>
    <row r="37550">
      <c r="F37550" s="13"/>
      <c r="M37550" s="13"/>
    </row>
    <row r="37551">
      <c r="F37551" s="13"/>
      <c r="M37551" s="13"/>
    </row>
    <row r="37552">
      <c r="F37552" s="13"/>
      <c r="M37552" s="13"/>
    </row>
    <row r="37553">
      <c r="F37553" s="13"/>
      <c r="M37553" s="13"/>
    </row>
    <row r="37554">
      <c r="F37554" s="13"/>
      <c r="M37554" s="13"/>
    </row>
    <row r="37555">
      <c r="F37555" s="13"/>
      <c r="M37555" s="13"/>
    </row>
    <row r="37556">
      <c r="F37556" s="13"/>
      <c r="M37556" s="13"/>
    </row>
    <row r="37557">
      <c r="F37557" s="13"/>
      <c r="M37557" s="13"/>
    </row>
    <row r="37558">
      <c r="F37558" s="13"/>
      <c r="M37558" s="13"/>
    </row>
    <row r="37559">
      <c r="F37559" s="13"/>
      <c r="M37559" s="13"/>
    </row>
    <row r="37560">
      <c r="F37560" s="13"/>
      <c r="M37560" s="13"/>
    </row>
    <row r="37561">
      <c r="F37561" s="13"/>
      <c r="M37561" s="13"/>
    </row>
    <row r="37562">
      <c r="F37562" s="13"/>
      <c r="M37562" s="13"/>
    </row>
    <row r="37563">
      <c r="F37563" s="13"/>
      <c r="M37563" s="13"/>
    </row>
    <row r="37564">
      <c r="F37564" s="13"/>
      <c r="M37564" s="13"/>
    </row>
    <row r="37565">
      <c r="F37565" s="13"/>
      <c r="M37565" s="13"/>
    </row>
    <row r="37566">
      <c r="F37566" s="13"/>
      <c r="M37566" s="13"/>
    </row>
    <row r="37567">
      <c r="F37567" s="13"/>
      <c r="M37567" s="13"/>
    </row>
    <row r="37568">
      <c r="F37568" s="13"/>
      <c r="M37568" s="13"/>
    </row>
    <row r="37569">
      <c r="F37569" s="13"/>
      <c r="M37569" s="13"/>
    </row>
    <row r="37570">
      <c r="F37570" s="13"/>
      <c r="M37570" s="13"/>
    </row>
    <row r="37571">
      <c r="F37571" s="13"/>
      <c r="M37571" s="13"/>
    </row>
    <row r="37572">
      <c r="F37572" s="13"/>
      <c r="M37572" s="13"/>
    </row>
    <row r="37573">
      <c r="F37573" s="13"/>
      <c r="M37573" s="13"/>
    </row>
    <row r="37574">
      <c r="F37574" s="13"/>
      <c r="M37574" s="13"/>
    </row>
    <row r="37575">
      <c r="F37575" s="13"/>
      <c r="M37575" s="13"/>
    </row>
    <row r="37576">
      <c r="F37576" s="13"/>
      <c r="M37576" s="13"/>
    </row>
    <row r="37577">
      <c r="F37577" s="13"/>
      <c r="M37577" s="13"/>
    </row>
    <row r="37578">
      <c r="F37578" s="13"/>
      <c r="M37578" s="13"/>
    </row>
    <row r="37579">
      <c r="F37579" s="13"/>
      <c r="M37579" s="13"/>
    </row>
    <row r="37580">
      <c r="F37580" s="13"/>
      <c r="M37580" s="13"/>
    </row>
    <row r="37581">
      <c r="F37581" s="13"/>
      <c r="M37581" s="13"/>
    </row>
    <row r="37582">
      <c r="F37582" s="13"/>
      <c r="M37582" s="13"/>
    </row>
    <row r="37583">
      <c r="F37583" s="13"/>
      <c r="M37583" s="13"/>
    </row>
    <row r="37584">
      <c r="F37584" s="13"/>
      <c r="M37584" s="13"/>
    </row>
    <row r="37585">
      <c r="F37585" s="13"/>
      <c r="M37585" s="13"/>
    </row>
    <row r="37586">
      <c r="F37586" s="13"/>
      <c r="M37586" s="13"/>
    </row>
    <row r="37587">
      <c r="F37587" s="13"/>
      <c r="M37587" s="13"/>
    </row>
    <row r="37588">
      <c r="F37588" s="13"/>
      <c r="M37588" s="13"/>
    </row>
    <row r="37589">
      <c r="F37589" s="13"/>
      <c r="M37589" s="13"/>
    </row>
    <row r="37590">
      <c r="F37590" s="13"/>
      <c r="M37590" s="13"/>
    </row>
    <row r="37591">
      <c r="F37591" s="13"/>
      <c r="M37591" s="13"/>
    </row>
    <row r="37592">
      <c r="F37592" s="13"/>
      <c r="M37592" s="13"/>
    </row>
    <row r="37593">
      <c r="F37593" s="13"/>
      <c r="M37593" s="13"/>
    </row>
    <row r="37594">
      <c r="F37594" s="13"/>
      <c r="M37594" s="13"/>
    </row>
    <row r="37595">
      <c r="F37595" s="13"/>
      <c r="M37595" s="13"/>
    </row>
    <row r="37596">
      <c r="F37596" s="13"/>
      <c r="M37596" s="13"/>
    </row>
    <row r="37597">
      <c r="F37597" s="13"/>
      <c r="M37597" s="13"/>
    </row>
    <row r="37598">
      <c r="F37598" s="13"/>
      <c r="M37598" s="13"/>
    </row>
    <row r="37599">
      <c r="F37599" s="13"/>
      <c r="M37599" s="13"/>
    </row>
    <row r="37600">
      <c r="F37600" s="13"/>
      <c r="M37600" s="13"/>
    </row>
    <row r="37601">
      <c r="F37601" s="13"/>
      <c r="M37601" s="13"/>
    </row>
    <row r="37602">
      <c r="F37602" s="13"/>
      <c r="M37602" s="13"/>
    </row>
    <row r="37603">
      <c r="F37603" s="13"/>
      <c r="M37603" s="13"/>
    </row>
    <row r="37604">
      <c r="F37604" s="13"/>
      <c r="M37604" s="13"/>
    </row>
    <row r="37605">
      <c r="F37605" s="13"/>
      <c r="M37605" s="13"/>
    </row>
    <row r="37606">
      <c r="F37606" s="13"/>
      <c r="M37606" s="13"/>
    </row>
    <row r="37607">
      <c r="F37607" s="13"/>
      <c r="M37607" s="13"/>
    </row>
    <row r="37608">
      <c r="F37608" s="13"/>
      <c r="M37608" s="13"/>
    </row>
    <row r="37609">
      <c r="F37609" s="13"/>
      <c r="M37609" s="13"/>
    </row>
    <row r="37610">
      <c r="F37610" s="13"/>
      <c r="M37610" s="13"/>
    </row>
    <row r="37611">
      <c r="F37611" s="13"/>
      <c r="M37611" s="13"/>
    </row>
    <row r="37612">
      <c r="F37612" s="13"/>
      <c r="M37612" s="13"/>
    </row>
    <row r="37613">
      <c r="F37613" s="13"/>
      <c r="M37613" s="13"/>
    </row>
    <row r="37614">
      <c r="F37614" s="13"/>
      <c r="M37614" s="13"/>
    </row>
    <row r="37615">
      <c r="F37615" s="13"/>
      <c r="M37615" s="13"/>
    </row>
    <row r="37616">
      <c r="F37616" s="13"/>
      <c r="M37616" s="13"/>
    </row>
    <row r="37617">
      <c r="F37617" s="13"/>
      <c r="M37617" s="13"/>
    </row>
    <row r="37618">
      <c r="F37618" s="13"/>
      <c r="M37618" s="13"/>
    </row>
    <row r="37619">
      <c r="F37619" s="13"/>
      <c r="M37619" s="13"/>
    </row>
    <row r="37620">
      <c r="F37620" s="13"/>
      <c r="M37620" s="13"/>
    </row>
    <row r="37621">
      <c r="F37621" s="13"/>
      <c r="M37621" s="13"/>
    </row>
    <row r="37622">
      <c r="F37622" s="13"/>
      <c r="M37622" s="13"/>
    </row>
    <row r="37623">
      <c r="F37623" s="13"/>
      <c r="M37623" s="13"/>
    </row>
    <row r="37624">
      <c r="F37624" s="13"/>
      <c r="M37624" s="13"/>
    </row>
    <row r="37625">
      <c r="F37625" s="13"/>
      <c r="M37625" s="13"/>
    </row>
    <row r="37626">
      <c r="F37626" s="13"/>
      <c r="M37626" s="13"/>
    </row>
    <row r="37627">
      <c r="F37627" s="13"/>
      <c r="M37627" s="13"/>
    </row>
    <row r="37628">
      <c r="F37628" s="13"/>
      <c r="M37628" s="13"/>
    </row>
    <row r="37629">
      <c r="F37629" s="13"/>
      <c r="M37629" s="13"/>
    </row>
    <row r="37630">
      <c r="F37630" s="13"/>
      <c r="M37630" s="13"/>
    </row>
    <row r="37631">
      <c r="F37631" s="13"/>
      <c r="M37631" s="13"/>
    </row>
    <row r="37632">
      <c r="F37632" s="13"/>
      <c r="M37632" s="13"/>
    </row>
    <row r="37633">
      <c r="F37633" s="13"/>
      <c r="M37633" s="13"/>
    </row>
    <row r="37634">
      <c r="F37634" s="13"/>
      <c r="M37634" s="13"/>
    </row>
    <row r="37635">
      <c r="F37635" s="13"/>
      <c r="M37635" s="13"/>
    </row>
    <row r="37636">
      <c r="F37636" s="13"/>
      <c r="M37636" s="13"/>
    </row>
    <row r="37637">
      <c r="F37637" s="13"/>
      <c r="M37637" s="13"/>
    </row>
    <row r="37638">
      <c r="F37638" s="13"/>
      <c r="M37638" s="13"/>
    </row>
    <row r="37639">
      <c r="F37639" s="13"/>
      <c r="M37639" s="13"/>
    </row>
    <row r="37640">
      <c r="F37640" s="13"/>
      <c r="M37640" s="13"/>
    </row>
    <row r="37641">
      <c r="F37641" s="13"/>
      <c r="M37641" s="13"/>
    </row>
    <row r="37642">
      <c r="F37642" s="13"/>
      <c r="M37642" s="13"/>
    </row>
    <row r="37643">
      <c r="F37643" s="13"/>
      <c r="M37643" s="13"/>
    </row>
    <row r="37644">
      <c r="F37644" s="13"/>
      <c r="M37644" s="13"/>
    </row>
    <row r="37645">
      <c r="F37645" s="13"/>
      <c r="M37645" s="13"/>
    </row>
    <row r="37646">
      <c r="F37646" s="13"/>
      <c r="M37646" s="13"/>
    </row>
    <row r="37647">
      <c r="F37647" s="13"/>
      <c r="M37647" s="13"/>
    </row>
    <row r="37648">
      <c r="F37648" s="13"/>
      <c r="M37648" s="13"/>
    </row>
    <row r="37649">
      <c r="F37649" s="13"/>
      <c r="M37649" s="13"/>
    </row>
    <row r="37650">
      <c r="F37650" s="13"/>
      <c r="M37650" s="13"/>
    </row>
    <row r="37651">
      <c r="F37651" s="13"/>
      <c r="M37651" s="13"/>
    </row>
    <row r="37652">
      <c r="F37652" s="13"/>
      <c r="M37652" s="13"/>
    </row>
    <row r="37653">
      <c r="F37653" s="13"/>
      <c r="M37653" s="13"/>
    </row>
    <row r="37654">
      <c r="F37654" s="13"/>
      <c r="M37654" s="13"/>
    </row>
    <row r="37655">
      <c r="F37655" s="13"/>
      <c r="M37655" s="13"/>
    </row>
    <row r="37656">
      <c r="F37656" s="13"/>
      <c r="M37656" s="13"/>
    </row>
    <row r="37657">
      <c r="F37657" s="13"/>
      <c r="M37657" s="13"/>
    </row>
    <row r="37658">
      <c r="F37658" s="13"/>
      <c r="M37658" s="13"/>
    </row>
    <row r="37659">
      <c r="F37659" s="13"/>
      <c r="M37659" s="13"/>
    </row>
    <row r="37660">
      <c r="F37660" s="13"/>
      <c r="M37660" s="13"/>
    </row>
    <row r="37661">
      <c r="F37661" s="13"/>
      <c r="M37661" s="13"/>
    </row>
    <row r="37662">
      <c r="F37662" s="13"/>
      <c r="M37662" s="13"/>
    </row>
    <row r="37663">
      <c r="F37663" s="13"/>
      <c r="M37663" s="13"/>
    </row>
    <row r="37664">
      <c r="F37664" s="13"/>
      <c r="M37664" s="13"/>
    </row>
    <row r="37665">
      <c r="F37665" s="13"/>
      <c r="M37665" s="13"/>
    </row>
    <row r="37666">
      <c r="F37666" s="13"/>
      <c r="M37666" s="13"/>
    </row>
    <row r="37667">
      <c r="F37667" s="13"/>
      <c r="M37667" s="13"/>
    </row>
    <row r="37668">
      <c r="F37668" s="13"/>
      <c r="M37668" s="13"/>
    </row>
    <row r="37669">
      <c r="F37669" s="13"/>
      <c r="M37669" s="13"/>
    </row>
    <row r="37670">
      <c r="F37670" s="13"/>
      <c r="M37670" s="13"/>
    </row>
    <row r="37671">
      <c r="F37671" s="13"/>
      <c r="M37671" s="13"/>
    </row>
    <row r="37672">
      <c r="F37672" s="13"/>
      <c r="M37672" s="13"/>
    </row>
    <row r="37673">
      <c r="F37673" s="13"/>
      <c r="M37673" s="13"/>
    </row>
    <row r="37674">
      <c r="F37674" s="13"/>
      <c r="M37674" s="13"/>
    </row>
    <row r="37675">
      <c r="F37675" s="13"/>
      <c r="M37675" s="13"/>
    </row>
    <row r="37676">
      <c r="F37676" s="13"/>
      <c r="M37676" s="13"/>
    </row>
    <row r="37677">
      <c r="F37677" s="13"/>
      <c r="M37677" s="13"/>
    </row>
    <row r="37678">
      <c r="F37678" s="13"/>
      <c r="M37678" s="13"/>
    </row>
    <row r="37679">
      <c r="F37679" s="13"/>
      <c r="M37679" s="13"/>
    </row>
    <row r="37680">
      <c r="F37680" s="13"/>
      <c r="M37680" s="13"/>
    </row>
    <row r="37681">
      <c r="F37681" s="13"/>
      <c r="M37681" s="13"/>
    </row>
    <row r="37682">
      <c r="F37682" s="13"/>
      <c r="M37682" s="13"/>
    </row>
    <row r="37683">
      <c r="F37683" s="13"/>
      <c r="M37683" s="13"/>
    </row>
    <row r="37684">
      <c r="F37684" s="13"/>
      <c r="M37684" s="13"/>
    </row>
    <row r="37685">
      <c r="F37685" s="13"/>
      <c r="M37685" s="13"/>
    </row>
    <row r="37686">
      <c r="F37686" s="13"/>
      <c r="M37686" s="13"/>
    </row>
    <row r="37687">
      <c r="F37687" s="13"/>
      <c r="M37687" s="13"/>
    </row>
    <row r="37688">
      <c r="F37688" s="13"/>
      <c r="M37688" s="13"/>
    </row>
    <row r="37689">
      <c r="F37689" s="13"/>
      <c r="M37689" s="13"/>
    </row>
    <row r="37690">
      <c r="F37690" s="13"/>
      <c r="M37690" s="13"/>
    </row>
    <row r="37691">
      <c r="F37691" s="13"/>
      <c r="M37691" s="13"/>
    </row>
    <row r="37692">
      <c r="F37692" s="13"/>
      <c r="M37692" s="13"/>
    </row>
    <row r="37693">
      <c r="F37693" s="13"/>
      <c r="M37693" s="13"/>
    </row>
    <row r="37694">
      <c r="F37694" s="13"/>
      <c r="M37694" s="13"/>
    </row>
    <row r="37695">
      <c r="F37695" s="13"/>
      <c r="M37695" s="13"/>
    </row>
    <row r="37696">
      <c r="F37696" s="13"/>
      <c r="M37696" s="13"/>
    </row>
    <row r="37697">
      <c r="F37697" s="13"/>
      <c r="M37697" s="13"/>
    </row>
    <row r="37698">
      <c r="F37698" s="13"/>
      <c r="M37698" s="13"/>
    </row>
    <row r="37699">
      <c r="F37699" s="13"/>
      <c r="M37699" s="13"/>
    </row>
    <row r="37700">
      <c r="F37700" s="13"/>
      <c r="M37700" s="13"/>
    </row>
    <row r="37701">
      <c r="F37701" s="13"/>
      <c r="M37701" s="13"/>
    </row>
    <row r="37702">
      <c r="F37702" s="13"/>
      <c r="M37702" s="13"/>
    </row>
    <row r="37703">
      <c r="F37703" s="13"/>
      <c r="M37703" s="13"/>
    </row>
    <row r="37704">
      <c r="F37704" s="13"/>
      <c r="M37704" s="13"/>
    </row>
    <row r="37705">
      <c r="F37705" s="13"/>
      <c r="M37705" s="13"/>
    </row>
    <row r="37706">
      <c r="F37706" s="13"/>
      <c r="M37706" s="13"/>
    </row>
    <row r="37707">
      <c r="F37707" s="13"/>
      <c r="M37707" s="13"/>
    </row>
    <row r="37708">
      <c r="F37708" s="13"/>
      <c r="M37708" s="13"/>
    </row>
    <row r="37709">
      <c r="F37709" s="13"/>
      <c r="M37709" s="13"/>
    </row>
    <row r="37710">
      <c r="F37710" s="13"/>
      <c r="M37710" s="13"/>
    </row>
    <row r="37711">
      <c r="F37711" s="13"/>
      <c r="M37711" s="13"/>
    </row>
    <row r="37712">
      <c r="F37712" s="13"/>
      <c r="M37712" s="13"/>
    </row>
    <row r="37713">
      <c r="F37713" s="13"/>
      <c r="M37713" s="13"/>
    </row>
    <row r="37714">
      <c r="F37714" s="13"/>
      <c r="M37714" s="13"/>
    </row>
    <row r="37715">
      <c r="F37715" s="13"/>
      <c r="M37715" s="13"/>
    </row>
    <row r="37716">
      <c r="F37716" s="13"/>
      <c r="M37716" s="13"/>
    </row>
    <row r="37717">
      <c r="F37717" s="13"/>
      <c r="M37717" s="13"/>
    </row>
    <row r="37718">
      <c r="F37718" s="13"/>
      <c r="M37718" s="13"/>
    </row>
    <row r="37719">
      <c r="F37719" s="13"/>
      <c r="M37719" s="13"/>
    </row>
    <row r="37720">
      <c r="F37720" s="13"/>
      <c r="M37720" s="13"/>
    </row>
    <row r="37721">
      <c r="F37721" s="13"/>
      <c r="M37721" s="13"/>
    </row>
    <row r="37722">
      <c r="F37722" s="13"/>
      <c r="M37722" s="13"/>
    </row>
    <row r="37723">
      <c r="F37723" s="13"/>
      <c r="M37723" s="13"/>
    </row>
    <row r="37724">
      <c r="F37724" s="13"/>
      <c r="M37724" s="13"/>
    </row>
    <row r="37725">
      <c r="F37725" s="13"/>
      <c r="M37725" s="13"/>
    </row>
    <row r="37726">
      <c r="F37726" s="13"/>
      <c r="M37726" s="13"/>
    </row>
    <row r="37727">
      <c r="F37727" s="13"/>
      <c r="M37727" s="13"/>
    </row>
    <row r="37728">
      <c r="F37728" s="13"/>
      <c r="M37728" s="13"/>
    </row>
    <row r="37729">
      <c r="F37729" s="13"/>
      <c r="M37729" s="13"/>
    </row>
    <row r="37730">
      <c r="F37730" s="13"/>
      <c r="M37730" s="13"/>
    </row>
    <row r="37731">
      <c r="F37731" s="13"/>
      <c r="M37731" s="13"/>
    </row>
    <row r="37732">
      <c r="F37732" s="13"/>
      <c r="M37732" s="13"/>
    </row>
    <row r="37733">
      <c r="F37733" s="13"/>
      <c r="M37733" s="13"/>
    </row>
    <row r="37734">
      <c r="F37734" s="13"/>
      <c r="M37734" s="13"/>
    </row>
    <row r="37735">
      <c r="F37735" s="13"/>
      <c r="M37735" s="13"/>
    </row>
    <row r="37736">
      <c r="F37736" s="13"/>
      <c r="M37736" s="13"/>
    </row>
    <row r="37737">
      <c r="F37737" s="13"/>
      <c r="M37737" s="13"/>
    </row>
    <row r="37738">
      <c r="F37738" s="13"/>
      <c r="M37738" s="13"/>
    </row>
    <row r="37739">
      <c r="F37739" s="13"/>
      <c r="M37739" s="13"/>
    </row>
    <row r="37740">
      <c r="F37740" s="13"/>
      <c r="M37740" s="13"/>
    </row>
    <row r="37741">
      <c r="F37741" s="13"/>
      <c r="M37741" s="13"/>
    </row>
    <row r="37742">
      <c r="F37742" s="13"/>
      <c r="M37742" s="13"/>
    </row>
    <row r="37743">
      <c r="F37743" s="13"/>
      <c r="M37743" s="13"/>
    </row>
    <row r="37744">
      <c r="F37744" s="13"/>
      <c r="M37744" s="13"/>
    </row>
    <row r="37745">
      <c r="F37745" s="13"/>
      <c r="M37745" s="13"/>
    </row>
    <row r="37746">
      <c r="F37746" s="13"/>
      <c r="M37746" s="13"/>
    </row>
    <row r="37747">
      <c r="F37747" s="13"/>
      <c r="M37747" s="13"/>
    </row>
    <row r="37748">
      <c r="F37748" s="13"/>
      <c r="M37748" s="13"/>
    </row>
    <row r="37749">
      <c r="F37749" s="13"/>
      <c r="M37749" s="13"/>
    </row>
    <row r="37750">
      <c r="F37750" s="13"/>
      <c r="M37750" s="13"/>
    </row>
    <row r="37751">
      <c r="F37751" s="13"/>
      <c r="M37751" s="13"/>
    </row>
    <row r="37752">
      <c r="F37752" s="13"/>
      <c r="M37752" s="13"/>
    </row>
    <row r="37753">
      <c r="F37753" s="13"/>
      <c r="M37753" s="13"/>
    </row>
    <row r="37754">
      <c r="F37754" s="13"/>
      <c r="M37754" s="13"/>
    </row>
    <row r="37755">
      <c r="F37755" s="13"/>
      <c r="M37755" s="13"/>
    </row>
    <row r="37756">
      <c r="F37756" s="13"/>
      <c r="M37756" s="13"/>
    </row>
    <row r="37757">
      <c r="F37757" s="13"/>
      <c r="M37757" s="13"/>
    </row>
    <row r="37758">
      <c r="F37758" s="13"/>
      <c r="M37758" s="13"/>
    </row>
    <row r="37759">
      <c r="F37759" s="13"/>
      <c r="M37759" s="13"/>
    </row>
    <row r="37760">
      <c r="F37760" s="13"/>
      <c r="M37760" s="13"/>
    </row>
    <row r="37761">
      <c r="F37761" s="13"/>
      <c r="M37761" s="13"/>
    </row>
    <row r="37762">
      <c r="F37762" s="13"/>
      <c r="M37762" s="13"/>
    </row>
    <row r="37763">
      <c r="F37763" s="13"/>
      <c r="M37763" s="13"/>
    </row>
    <row r="37764">
      <c r="F37764" s="13"/>
      <c r="M37764" s="13"/>
    </row>
    <row r="37765">
      <c r="F37765" s="13"/>
      <c r="M37765" s="13"/>
    </row>
    <row r="37766">
      <c r="F37766" s="13"/>
      <c r="M37766" s="13"/>
    </row>
    <row r="37767">
      <c r="F37767" s="13"/>
      <c r="M37767" s="13"/>
    </row>
    <row r="37768">
      <c r="F37768" s="13"/>
      <c r="M37768" s="13"/>
    </row>
    <row r="37769">
      <c r="F37769" s="13"/>
      <c r="M37769" s="13"/>
    </row>
    <row r="37770">
      <c r="F37770" s="13"/>
      <c r="M37770" s="13"/>
    </row>
    <row r="37771">
      <c r="F37771" s="13"/>
      <c r="M37771" s="13"/>
    </row>
    <row r="37772">
      <c r="F37772" s="13"/>
      <c r="M37772" s="13"/>
    </row>
    <row r="37773">
      <c r="F37773" s="13"/>
      <c r="M37773" s="13"/>
    </row>
    <row r="37774">
      <c r="F37774" s="13"/>
      <c r="M37774" s="13"/>
    </row>
    <row r="37775">
      <c r="F37775" s="13"/>
      <c r="M37775" s="13"/>
    </row>
    <row r="37776">
      <c r="F37776" s="13"/>
      <c r="M37776" s="13"/>
    </row>
    <row r="37777">
      <c r="F37777" s="13"/>
      <c r="M37777" s="13"/>
    </row>
    <row r="37778">
      <c r="F37778" s="13"/>
      <c r="M37778" s="13"/>
    </row>
    <row r="37779">
      <c r="F37779" s="13"/>
      <c r="M37779" s="13"/>
    </row>
    <row r="37780">
      <c r="F37780" s="13"/>
      <c r="M37780" s="13"/>
    </row>
    <row r="37781">
      <c r="F37781" s="13"/>
      <c r="M37781" s="13"/>
    </row>
    <row r="37782">
      <c r="F37782" s="13"/>
      <c r="M37782" s="13"/>
    </row>
    <row r="37783">
      <c r="F37783" s="13"/>
      <c r="M37783" s="13"/>
    </row>
    <row r="37784">
      <c r="F37784" s="13"/>
      <c r="M37784" s="13"/>
    </row>
    <row r="37785">
      <c r="F37785" s="13"/>
      <c r="M37785" s="13"/>
    </row>
    <row r="37786">
      <c r="F37786" s="13"/>
      <c r="M37786" s="13"/>
    </row>
    <row r="37787">
      <c r="F37787" s="13"/>
      <c r="M37787" s="13"/>
    </row>
    <row r="37788">
      <c r="F37788" s="13"/>
      <c r="M37788" s="13"/>
    </row>
    <row r="37789">
      <c r="F37789" s="13"/>
      <c r="M37789" s="13"/>
    </row>
    <row r="37790">
      <c r="F37790" s="13"/>
      <c r="M37790" s="13"/>
    </row>
    <row r="37791">
      <c r="F37791" s="13"/>
      <c r="M37791" s="13"/>
    </row>
    <row r="37792">
      <c r="F37792" s="13"/>
      <c r="M37792" s="13"/>
    </row>
    <row r="37793">
      <c r="F37793" s="13"/>
      <c r="M37793" s="13"/>
    </row>
    <row r="37794">
      <c r="F37794" s="13"/>
      <c r="M37794" s="13"/>
    </row>
    <row r="37795">
      <c r="F37795" s="13"/>
      <c r="M37795" s="13"/>
    </row>
    <row r="37796">
      <c r="F37796" s="13"/>
      <c r="M37796" s="13"/>
    </row>
    <row r="37797">
      <c r="F37797" s="13"/>
      <c r="M37797" s="13"/>
    </row>
    <row r="37798">
      <c r="F37798" s="13"/>
      <c r="M37798" s="13"/>
    </row>
    <row r="37799">
      <c r="F37799" s="13"/>
      <c r="M37799" s="13"/>
    </row>
    <row r="37800">
      <c r="F37800" s="13"/>
      <c r="M37800" s="13"/>
    </row>
    <row r="37801">
      <c r="F37801" s="13"/>
      <c r="M37801" s="13"/>
    </row>
    <row r="37802">
      <c r="F37802" s="13"/>
      <c r="M37802" s="13"/>
    </row>
    <row r="37803">
      <c r="F37803" s="13"/>
      <c r="M37803" s="13"/>
    </row>
    <row r="37804">
      <c r="F37804" s="13"/>
      <c r="M37804" s="13"/>
    </row>
    <row r="37805">
      <c r="F37805" s="13"/>
      <c r="M37805" s="13"/>
    </row>
    <row r="37806">
      <c r="F37806" s="13"/>
      <c r="M37806" s="13"/>
    </row>
    <row r="37807">
      <c r="F37807" s="13"/>
      <c r="M37807" s="13"/>
    </row>
    <row r="37808">
      <c r="F37808" s="13"/>
      <c r="M37808" s="13"/>
    </row>
    <row r="37809">
      <c r="F37809" s="13"/>
      <c r="M37809" s="13"/>
    </row>
    <row r="37810">
      <c r="F37810" s="13"/>
      <c r="M37810" s="13"/>
    </row>
    <row r="37811">
      <c r="F37811" s="13"/>
      <c r="M37811" s="13"/>
    </row>
    <row r="37812">
      <c r="F37812" s="13"/>
      <c r="M37812" s="13"/>
    </row>
    <row r="37813">
      <c r="F37813" s="13"/>
      <c r="M37813" s="13"/>
    </row>
    <row r="37814">
      <c r="F37814" s="13"/>
      <c r="M37814" s="13"/>
    </row>
    <row r="37815">
      <c r="F37815" s="13"/>
      <c r="M37815" s="13"/>
    </row>
    <row r="37816">
      <c r="F37816" s="13"/>
      <c r="M37816" s="13"/>
    </row>
    <row r="37817">
      <c r="F37817" s="13"/>
      <c r="M37817" s="13"/>
    </row>
    <row r="37818">
      <c r="F37818" s="13"/>
      <c r="M37818" s="13"/>
    </row>
    <row r="37819">
      <c r="F37819" s="13"/>
      <c r="M37819" s="13"/>
    </row>
    <row r="37820">
      <c r="F37820" s="13"/>
      <c r="M37820" s="13"/>
    </row>
    <row r="37821">
      <c r="F37821" s="13"/>
      <c r="M37821" s="13"/>
    </row>
    <row r="37822">
      <c r="F37822" s="13"/>
      <c r="M37822" s="13"/>
    </row>
    <row r="37823">
      <c r="F37823" s="13"/>
      <c r="M37823" s="13"/>
    </row>
    <row r="37824">
      <c r="F37824" s="13"/>
      <c r="M37824" s="13"/>
    </row>
    <row r="37825">
      <c r="F37825" s="13"/>
      <c r="M37825" s="13"/>
    </row>
    <row r="37826">
      <c r="F37826" s="13"/>
      <c r="M37826" s="13"/>
    </row>
    <row r="37827">
      <c r="F37827" s="13"/>
      <c r="M37827" s="13"/>
    </row>
    <row r="37828">
      <c r="F37828" s="13"/>
      <c r="M37828" s="13"/>
    </row>
    <row r="37829">
      <c r="F37829" s="13"/>
      <c r="M37829" s="13"/>
    </row>
    <row r="37830">
      <c r="F37830" s="13"/>
      <c r="M37830" s="13"/>
    </row>
    <row r="37831">
      <c r="F37831" s="13"/>
      <c r="M37831" s="13"/>
    </row>
    <row r="37832">
      <c r="F37832" s="13"/>
      <c r="M37832" s="13"/>
    </row>
    <row r="37833">
      <c r="F37833" s="13"/>
      <c r="M37833" s="13"/>
    </row>
    <row r="37834">
      <c r="F37834" s="13"/>
      <c r="M37834" s="13"/>
    </row>
    <row r="37835">
      <c r="F37835" s="13"/>
      <c r="M37835" s="13"/>
    </row>
    <row r="37836">
      <c r="F37836" s="13"/>
      <c r="M37836" s="13"/>
    </row>
    <row r="37837">
      <c r="F37837" s="13"/>
      <c r="M37837" s="13"/>
    </row>
    <row r="37838">
      <c r="F37838" s="13"/>
      <c r="M37838" s="13"/>
    </row>
    <row r="37839">
      <c r="F37839" s="13"/>
      <c r="M37839" s="13"/>
    </row>
    <row r="37840">
      <c r="F37840" s="13"/>
      <c r="M37840" s="13"/>
    </row>
    <row r="37841">
      <c r="F37841" s="13"/>
      <c r="M37841" s="13"/>
    </row>
    <row r="37842">
      <c r="F37842" s="13"/>
      <c r="M37842" s="13"/>
    </row>
    <row r="37843">
      <c r="F37843" s="13"/>
      <c r="M37843" s="13"/>
    </row>
    <row r="37844">
      <c r="F37844" s="13"/>
      <c r="M37844" s="13"/>
    </row>
    <row r="37845">
      <c r="F37845" s="13"/>
      <c r="M37845" s="13"/>
    </row>
    <row r="37846">
      <c r="F37846" s="13"/>
      <c r="M37846" s="13"/>
    </row>
    <row r="37847">
      <c r="F37847" s="13"/>
      <c r="M37847" s="13"/>
    </row>
    <row r="37848">
      <c r="F37848" s="13"/>
      <c r="M37848" s="13"/>
    </row>
    <row r="37849">
      <c r="F37849" s="13"/>
      <c r="M37849" s="13"/>
    </row>
    <row r="37850">
      <c r="F37850" s="13"/>
      <c r="M37850" s="13"/>
    </row>
    <row r="37851">
      <c r="F37851" s="13"/>
      <c r="M37851" s="13"/>
    </row>
    <row r="37852">
      <c r="F37852" s="13"/>
      <c r="M37852" s="13"/>
    </row>
    <row r="37853">
      <c r="F37853" s="13"/>
      <c r="M37853" s="13"/>
    </row>
    <row r="37854">
      <c r="F37854" s="13"/>
      <c r="M37854" s="13"/>
    </row>
    <row r="37855">
      <c r="F37855" s="13"/>
      <c r="M37855" s="13"/>
    </row>
    <row r="37856">
      <c r="F37856" s="13"/>
      <c r="M37856" s="13"/>
    </row>
    <row r="37857">
      <c r="F37857" s="13"/>
      <c r="M37857" s="13"/>
    </row>
    <row r="37858">
      <c r="F37858" s="13"/>
      <c r="M37858" s="13"/>
    </row>
    <row r="37859">
      <c r="F37859" s="13"/>
      <c r="M37859" s="13"/>
    </row>
    <row r="37860">
      <c r="F37860" s="13"/>
      <c r="M37860" s="13"/>
    </row>
    <row r="37861">
      <c r="F37861" s="13"/>
      <c r="M37861" s="13"/>
    </row>
    <row r="37862">
      <c r="F37862" s="13"/>
      <c r="M37862" s="13"/>
    </row>
    <row r="37863">
      <c r="F37863" s="13"/>
      <c r="M37863" s="13"/>
    </row>
    <row r="37864">
      <c r="F37864" s="13"/>
      <c r="M37864" s="13"/>
    </row>
    <row r="37865">
      <c r="F37865" s="13"/>
      <c r="M37865" s="13"/>
    </row>
    <row r="37866">
      <c r="F37866" s="13"/>
      <c r="M37866" s="13"/>
    </row>
    <row r="37867">
      <c r="F37867" s="13"/>
      <c r="M37867" s="13"/>
    </row>
    <row r="37868">
      <c r="F37868" s="13"/>
      <c r="M37868" s="13"/>
    </row>
    <row r="37869">
      <c r="F37869" s="13"/>
      <c r="M37869" s="13"/>
    </row>
    <row r="37870">
      <c r="F37870" s="13"/>
      <c r="M37870" s="13"/>
    </row>
    <row r="37871">
      <c r="F37871" s="13"/>
      <c r="M37871" s="13"/>
    </row>
    <row r="37872">
      <c r="F37872" s="13"/>
      <c r="M37872" s="13"/>
    </row>
    <row r="37873">
      <c r="F37873" s="13"/>
      <c r="M37873" s="13"/>
    </row>
    <row r="37874">
      <c r="F37874" s="13"/>
      <c r="M37874" s="13"/>
    </row>
    <row r="37875">
      <c r="F37875" s="13"/>
      <c r="M37875" s="13"/>
    </row>
    <row r="37876">
      <c r="F37876" s="13"/>
      <c r="M37876" s="13"/>
    </row>
    <row r="37877">
      <c r="F37877" s="13"/>
      <c r="M37877" s="13"/>
    </row>
    <row r="37878">
      <c r="F37878" s="13"/>
      <c r="M37878" s="13"/>
    </row>
    <row r="37879">
      <c r="F37879" s="13"/>
      <c r="M37879" s="13"/>
    </row>
    <row r="37880">
      <c r="F37880" s="13"/>
      <c r="M37880" s="13"/>
    </row>
    <row r="37881">
      <c r="F37881" s="13"/>
      <c r="M37881" s="13"/>
    </row>
    <row r="37882">
      <c r="F37882" s="13"/>
      <c r="M37882" s="13"/>
    </row>
    <row r="37883">
      <c r="F37883" s="13"/>
      <c r="M37883" s="13"/>
    </row>
    <row r="37884">
      <c r="F37884" s="13"/>
      <c r="M37884" s="13"/>
    </row>
    <row r="37885">
      <c r="F37885" s="13"/>
      <c r="M37885" s="13"/>
    </row>
    <row r="37886">
      <c r="F37886" s="13"/>
      <c r="M37886" s="13"/>
    </row>
    <row r="37887">
      <c r="F37887" s="13"/>
      <c r="M37887" s="13"/>
    </row>
    <row r="37888">
      <c r="F37888" s="13"/>
      <c r="M37888" s="13"/>
    </row>
    <row r="37889">
      <c r="F37889" s="13"/>
      <c r="M37889" s="13"/>
    </row>
    <row r="37890">
      <c r="F37890" s="13"/>
      <c r="M37890" s="13"/>
    </row>
    <row r="37891">
      <c r="F37891" s="13"/>
      <c r="M37891" s="13"/>
    </row>
    <row r="37892">
      <c r="F37892" s="13"/>
      <c r="M37892" s="13"/>
    </row>
    <row r="37893">
      <c r="F37893" s="13"/>
      <c r="M37893" s="13"/>
    </row>
    <row r="37894">
      <c r="F37894" s="13"/>
      <c r="M37894" s="13"/>
    </row>
    <row r="37895">
      <c r="F37895" s="13"/>
      <c r="M37895" s="13"/>
    </row>
    <row r="37896">
      <c r="F37896" s="13"/>
      <c r="M37896" s="13"/>
    </row>
    <row r="37897">
      <c r="F37897" s="13"/>
      <c r="M37897" s="13"/>
    </row>
    <row r="37898">
      <c r="F37898" s="13"/>
      <c r="M37898" s="13"/>
    </row>
    <row r="37899">
      <c r="F37899" s="13"/>
      <c r="M37899" s="13"/>
    </row>
    <row r="37900">
      <c r="F37900" s="13"/>
      <c r="M37900" s="13"/>
    </row>
    <row r="37901">
      <c r="F37901" s="13"/>
      <c r="M37901" s="13"/>
    </row>
    <row r="37902">
      <c r="F37902" s="13"/>
      <c r="M37902" s="13"/>
    </row>
    <row r="37903">
      <c r="F37903" s="13"/>
      <c r="M37903" s="13"/>
    </row>
    <row r="37904">
      <c r="F37904" s="13"/>
      <c r="M37904" s="13"/>
    </row>
    <row r="37905">
      <c r="F37905" s="13"/>
      <c r="M37905" s="13"/>
    </row>
    <row r="37906">
      <c r="F37906" s="13"/>
      <c r="M37906" s="13"/>
    </row>
    <row r="37907">
      <c r="F37907" s="13"/>
      <c r="M37907" s="13"/>
    </row>
    <row r="37908">
      <c r="F37908" s="13"/>
      <c r="M37908" s="13"/>
    </row>
    <row r="37909">
      <c r="F37909" s="13"/>
      <c r="M37909" s="13"/>
    </row>
    <row r="37910">
      <c r="F37910" s="13"/>
      <c r="M37910" s="13"/>
    </row>
    <row r="37911">
      <c r="F37911" s="13"/>
      <c r="M37911" s="13"/>
    </row>
    <row r="37912">
      <c r="F37912" s="13"/>
      <c r="M37912" s="13"/>
    </row>
    <row r="37913">
      <c r="F37913" s="13"/>
      <c r="M37913" s="13"/>
    </row>
    <row r="37914">
      <c r="F37914" s="13"/>
      <c r="M37914" s="13"/>
    </row>
    <row r="37915">
      <c r="F37915" s="13"/>
      <c r="M37915" s="13"/>
    </row>
    <row r="37916">
      <c r="F37916" s="13"/>
      <c r="M37916" s="13"/>
    </row>
    <row r="37917">
      <c r="F37917" s="13"/>
      <c r="M37917" s="13"/>
    </row>
    <row r="37918">
      <c r="F37918" s="13"/>
      <c r="M37918" s="13"/>
    </row>
    <row r="37919">
      <c r="F37919" s="13"/>
      <c r="M37919" s="13"/>
    </row>
    <row r="37920">
      <c r="F37920" s="13"/>
      <c r="M37920" s="13"/>
    </row>
    <row r="37921">
      <c r="F37921" s="13"/>
      <c r="M37921" s="13"/>
    </row>
    <row r="37922">
      <c r="F37922" s="13"/>
      <c r="M37922" s="13"/>
    </row>
    <row r="37923">
      <c r="F37923" s="13"/>
      <c r="M37923" s="13"/>
    </row>
    <row r="37924">
      <c r="F37924" s="13"/>
      <c r="M37924" s="13"/>
    </row>
    <row r="37925">
      <c r="F37925" s="13"/>
      <c r="M37925" s="13"/>
    </row>
    <row r="37926">
      <c r="F37926" s="13"/>
      <c r="M37926" s="13"/>
    </row>
    <row r="37927">
      <c r="F37927" s="13"/>
      <c r="M37927" s="13"/>
    </row>
    <row r="37928">
      <c r="F37928" s="13"/>
      <c r="M37928" s="13"/>
    </row>
    <row r="37929">
      <c r="F37929" s="13"/>
      <c r="M37929" s="13"/>
    </row>
    <row r="37930">
      <c r="F37930" s="13"/>
      <c r="M37930" s="13"/>
    </row>
    <row r="37931">
      <c r="F37931" s="13"/>
      <c r="M37931" s="13"/>
    </row>
    <row r="37932">
      <c r="F37932" s="13"/>
      <c r="M37932" s="13"/>
    </row>
    <row r="37933">
      <c r="F37933" s="13"/>
      <c r="M37933" s="13"/>
    </row>
    <row r="37934">
      <c r="F37934" s="13"/>
      <c r="M37934" s="13"/>
    </row>
    <row r="37935">
      <c r="F37935" s="13"/>
      <c r="M37935" s="13"/>
    </row>
    <row r="37936">
      <c r="F37936" s="13"/>
      <c r="M37936" s="13"/>
    </row>
    <row r="37937">
      <c r="F37937" s="13"/>
      <c r="M37937" s="13"/>
    </row>
    <row r="37938">
      <c r="F37938" s="13"/>
      <c r="M37938" s="13"/>
    </row>
    <row r="37939">
      <c r="F37939" s="13"/>
      <c r="M37939" s="13"/>
    </row>
    <row r="37940">
      <c r="F37940" s="13"/>
      <c r="M37940" s="13"/>
    </row>
    <row r="37941">
      <c r="F37941" s="13"/>
      <c r="M37941" s="13"/>
    </row>
    <row r="37942">
      <c r="F37942" s="13"/>
      <c r="M37942" s="13"/>
    </row>
    <row r="37943">
      <c r="F37943" s="13"/>
      <c r="M37943" s="13"/>
    </row>
    <row r="37944">
      <c r="F37944" s="13"/>
      <c r="M37944" s="13"/>
    </row>
    <row r="37945">
      <c r="F37945" s="13"/>
      <c r="M37945" s="13"/>
    </row>
    <row r="37946">
      <c r="F37946" s="13"/>
      <c r="M37946" s="13"/>
    </row>
    <row r="37947">
      <c r="F37947" s="13"/>
      <c r="M37947" s="13"/>
    </row>
    <row r="37948">
      <c r="F37948" s="13"/>
      <c r="M37948" s="13"/>
    </row>
    <row r="37949">
      <c r="F37949" s="13"/>
      <c r="M37949" s="13"/>
    </row>
    <row r="37950">
      <c r="F37950" s="13"/>
      <c r="M37950" s="13"/>
    </row>
    <row r="37951">
      <c r="F37951" s="13"/>
      <c r="M37951" s="13"/>
    </row>
    <row r="37952">
      <c r="F37952" s="13"/>
      <c r="M37952" s="13"/>
    </row>
    <row r="37953">
      <c r="F37953" s="13"/>
      <c r="M37953" s="13"/>
    </row>
    <row r="37954">
      <c r="F37954" s="13"/>
      <c r="M37954" s="13"/>
    </row>
    <row r="37955">
      <c r="F37955" s="13"/>
      <c r="M37955" s="13"/>
    </row>
    <row r="37956">
      <c r="F37956" s="13"/>
      <c r="M37956" s="13"/>
    </row>
    <row r="37957">
      <c r="F37957" s="13"/>
      <c r="M37957" s="13"/>
    </row>
    <row r="37958">
      <c r="F37958" s="13"/>
      <c r="M37958" s="13"/>
    </row>
    <row r="37959">
      <c r="F37959" s="13"/>
      <c r="M37959" s="13"/>
    </row>
    <row r="37960">
      <c r="F37960" s="13"/>
      <c r="M37960" s="13"/>
    </row>
    <row r="37961">
      <c r="F37961" s="13"/>
      <c r="M37961" s="13"/>
    </row>
    <row r="37962">
      <c r="F37962" s="13"/>
      <c r="M37962" s="13"/>
    </row>
    <row r="37963">
      <c r="F37963" s="13"/>
      <c r="M37963" s="13"/>
    </row>
    <row r="37964">
      <c r="F37964" s="13"/>
      <c r="M37964" s="13"/>
    </row>
    <row r="37965">
      <c r="F37965" s="13"/>
      <c r="M37965" s="13"/>
    </row>
    <row r="37966">
      <c r="F37966" s="13"/>
      <c r="M37966" s="13"/>
    </row>
    <row r="37967">
      <c r="F37967" s="13"/>
      <c r="M37967" s="13"/>
    </row>
    <row r="37968">
      <c r="F37968" s="13"/>
      <c r="M37968" s="13"/>
    </row>
    <row r="37969">
      <c r="F37969" s="13"/>
      <c r="M37969" s="13"/>
    </row>
    <row r="37970">
      <c r="F37970" s="13"/>
      <c r="M37970" s="13"/>
    </row>
    <row r="37971">
      <c r="F37971" s="13"/>
      <c r="M37971" s="13"/>
    </row>
    <row r="37972">
      <c r="F37972" s="13"/>
      <c r="M37972" s="13"/>
    </row>
    <row r="37973">
      <c r="F37973" s="13"/>
      <c r="M37973" s="13"/>
    </row>
    <row r="37974">
      <c r="F37974" s="13"/>
      <c r="M37974" s="13"/>
    </row>
    <row r="37975">
      <c r="F37975" s="13"/>
      <c r="M37975" s="13"/>
    </row>
    <row r="37976">
      <c r="F37976" s="13"/>
      <c r="M37976" s="13"/>
    </row>
    <row r="37977">
      <c r="F37977" s="13"/>
      <c r="M37977" s="13"/>
    </row>
    <row r="37978">
      <c r="F37978" s="13"/>
      <c r="M37978" s="13"/>
    </row>
    <row r="37979">
      <c r="F37979" s="13"/>
      <c r="M37979" s="13"/>
    </row>
    <row r="37980">
      <c r="F37980" s="13"/>
      <c r="M37980" s="13"/>
    </row>
    <row r="37981">
      <c r="F37981" s="13"/>
      <c r="M37981" s="13"/>
    </row>
    <row r="37982">
      <c r="F37982" s="13"/>
      <c r="M37982" s="13"/>
    </row>
    <row r="37983">
      <c r="F37983" s="13"/>
      <c r="M37983" s="13"/>
    </row>
    <row r="37984">
      <c r="F37984" s="13"/>
      <c r="M37984" s="13"/>
    </row>
    <row r="37985">
      <c r="F37985" s="13"/>
      <c r="M37985" s="13"/>
    </row>
    <row r="37986">
      <c r="F37986" s="13"/>
      <c r="M37986" s="13"/>
    </row>
    <row r="37987">
      <c r="F37987" s="13"/>
      <c r="M37987" s="13"/>
    </row>
    <row r="37988">
      <c r="F37988" s="13"/>
      <c r="M37988" s="13"/>
    </row>
    <row r="37989">
      <c r="F37989" s="13"/>
      <c r="M37989" s="13"/>
    </row>
    <row r="37990">
      <c r="F37990" s="13"/>
      <c r="M37990" s="13"/>
    </row>
    <row r="37991">
      <c r="F37991" s="13"/>
      <c r="M37991" s="13"/>
    </row>
    <row r="37992">
      <c r="F37992" s="13"/>
      <c r="M37992" s="13"/>
    </row>
    <row r="37993">
      <c r="F37993" s="13"/>
      <c r="M37993" s="13"/>
    </row>
    <row r="37994">
      <c r="F37994" s="13"/>
      <c r="M37994" s="13"/>
    </row>
    <row r="37995">
      <c r="F37995" s="13"/>
      <c r="M37995" s="13"/>
    </row>
    <row r="37996">
      <c r="F37996" s="13"/>
      <c r="M37996" s="13"/>
    </row>
    <row r="37997">
      <c r="F37997" s="13"/>
      <c r="M37997" s="13"/>
    </row>
    <row r="37998">
      <c r="F37998" s="13"/>
      <c r="M37998" s="13"/>
    </row>
    <row r="37999">
      <c r="F37999" s="13"/>
      <c r="M37999" s="13"/>
    </row>
    <row r="38000">
      <c r="F38000" s="13"/>
      <c r="M38000" s="13"/>
    </row>
    <row r="38001">
      <c r="F38001" s="13"/>
      <c r="M38001" s="13"/>
    </row>
    <row r="38002">
      <c r="F38002" s="13"/>
      <c r="M38002" s="13"/>
    </row>
    <row r="38003">
      <c r="F38003" s="13"/>
      <c r="M38003" s="13"/>
    </row>
    <row r="38004">
      <c r="F38004" s="13"/>
      <c r="M38004" s="13"/>
    </row>
    <row r="38005">
      <c r="F38005" s="13"/>
      <c r="M38005" s="13"/>
    </row>
    <row r="38006">
      <c r="F38006" s="13"/>
      <c r="M38006" s="13"/>
    </row>
    <row r="38007">
      <c r="F38007" s="13"/>
      <c r="M38007" s="13"/>
    </row>
    <row r="38008">
      <c r="F38008" s="13"/>
      <c r="M38008" s="13"/>
    </row>
    <row r="38009">
      <c r="F38009" s="13"/>
      <c r="M38009" s="13"/>
    </row>
    <row r="38010">
      <c r="F38010" s="13"/>
      <c r="M38010" s="13"/>
    </row>
    <row r="38011">
      <c r="F38011" s="13"/>
      <c r="M38011" s="13"/>
    </row>
    <row r="38012">
      <c r="F38012" s="13"/>
      <c r="M38012" s="13"/>
    </row>
    <row r="38013">
      <c r="F38013" s="13"/>
      <c r="M38013" s="13"/>
    </row>
    <row r="38014">
      <c r="F38014" s="13"/>
      <c r="M38014" s="13"/>
    </row>
    <row r="38015">
      <c r="F38015" s="13"/>
      <c r="M38015" s="13"/>
    </row>
    <row r="38016">
      <c r="F38016" s="13"/>
      <c r="M38016" s="13"/>
    </row>
    <row r="38017">
      <c r="F38017" s="13"/>
      <c r="M38017" s="13"/>
    </row>
    <row r="38018">
      <c r="F38018" s="13"/>
      <c r="M38018" s="13"/>
    </row>
    <row r="38019">
      <c r="F38019" s="13"/>
      <c r="M38019" s="13"/>
    </row>
    <row r="38020">
      <c r="F38020" s="13"/>
      <c r="M38020" s="13"/>
    </row>
    <row r="38021">
      <c r="F38021" s="13"/>
      <c r="M38021" s="13"/>
    </row>
    <row r="38022">
      <c r="F38022" s="13"/>
      <c r="M38022" s="13"/>
    </row>
    <row r="38023">
      <c r="F38023" s="13"/>
      <c r="M38023" s="13"/>
    </row>
    <row r="38024">
      <c r="F38024" s="13"/>
      <c r="M38024" s="13"/>
    </row>
    <row r="38025">
      <c r="F38025" s="13"/>
      <c r="M38025" s="13"/>
    </row>
    <row r="38026">
      <c r="F38026" s="13"/>
      <c r="M38026" s="13"/>
    </row>
    <row r="38027">
      <c r="F38027" s="13"/>
      <c r="M38027" s="13"/>
    </row>
    <row r="38028">
      <c r="F38028" s="13"/>
      <c r="M38028" s="13"/>
    </row>
    <row r="38029">
      <c r="F38029" s="13"/>
      <c r="M38029" s="13"/>
    </row>
    <row r="38030">
      <c r="F38030" s="13"/>
      <c r="M38030" s="13"/>
    </row>
    <row r="38031">
      <c r="F38031" s="13"/>
      <c r="M38031" s="13"/>
    </row>
    <row r="38032">
      <c r="F38032" s="13"/>
      <c r="M38032" s="13"/>
    </row>
    <row r="38033">
      <c r="F38033" s="13"/>
      <c r="M38033" s="13"/>
    </row>
    <row r="38034">
      <c r="F38034" s="13"/>
      <c r="M38034" s="13"/>
    </row>
    <row r="38035">
      <c r="F38035" s="13"/>
      <c r="M38035" s="13"/>
    </row>
    <row r="38036">
      <c r="F38036" s="13"/>
      <c r="M38036" s="13"/>
    </row>
    <row r="38037">
      <c r="F38037" s="13"/>
      <c r="M38037" s="13"/>
    </row>
    <row r="38038">
      <c r="F38038" s="13"/>
      <c r="M38038" s="13"/>
    </row>
    <row r="38039">
      <c r="F38039" s="13"/>
      <c r="M38039" s="13"/>
    </row>
    <row r="38040">
      <c r="F38040" s="13"/>
      <c r="M38040" s="13"/>
    </row>
    <row r="38041">
      <c r="F38041" s="13"/>
      <c r="M38041" s="13"/>
    </row>
    <row r="38042">
      <c r="F38042" s="13"/>
      <c r="M38042" s="13"/>
    </row>
    <row r="38043">
      <c r="F38043" s="13"/>
      <c r="M38043" s="13"/>
    </row>
    <row r="38044">
      <c r="F38044" s="13"/>
      <c r="M38044" s="13"/>
    </row>
    <row r="38045">
      <c r="F38045" s="13"/>
      <c r="M38045" s="13"/>
    </row>
    <row r="38046">
      <c r="F38046" s="13"/>
      <c r="M38046" s="13"/>
    </row>
    <row r="38047">
      <c r="F38047" s="13"/>
      <c r="M38047" s="13"/>
    </row>
    <row r="38048">
      <c r="F38048" s="13"/>
      <c r="M38048" s="13"/>
    </row>
    <row r="38049">
      <c r="F38049" s="13"/>
      <c r="M38049" s="13"/>
    </row>
    <row r="38050">
      <c r="F38050" s="13"/>
      <c r="M38050" s="13"/>
    </row>
    <row r="38051">
      <c r="F38051" s="13"/>
      <c r="M38051" s="13"/>
    </row>
    <row r="38052">
      <c r="F38052" s="13"/>
      <c r="M38052" s="13"/>
    </row>
    <row r="38053">
      <c r="F38053" s="13"/>
      <c r="M38053" s="13"/>
    </row>
    <row r="38054">
      <c r="F38054" s="13"/>
      <c r="M38054" s="13"/>
    </row>
    <row r="38055">
      <c r="F38055" s="13"/>
      <c r="M38055" s="13"/>
    </row>
    <row r="38056">
      <c r="F38056" s="13"/>
      <c r="M38056" s="13"/>
    </row>
    <row r="38057">
      <c r="F38057" s="13"/>
      <c r="M38057" s="13"/>
    </row>
    <row r="38058">
      <c r="F38058" s="13"/>
      <c r="M38058" s="13"/>
    </row>
    <row r="38059">
      <c r="F38059" s="13"/>
      <c r="M38059" s="13"/>
    </row>
    <row r="38060">
      <c r="F38060" s="13"/>
      <c r="M38060" s="13"/>
    </row>
    <row r="38061">
      <c r="F38061" s="13"/>
      <c r="M38061" s="13"/>
    </row>
    <row r="38062">
      <c r="F38062" s="13"/>
      <c r="M38062" s="13"/>
    </row>
    <row r="38063">
      <c r="F38063" s="13"/>
      <c r="M38063" s="13"/>
    </row>
    <row r="38064">
      <c r="F38064" s="13"/>
      <c r="M38064" s="13"/>
    </row>
    <row r="38065">
      <c r="F38065" s="13"/>
      <c r="M38065" s="13"/>
    </row>
    <row r="38066">
      <c r="F38066" s="13"/>
      <c r="M38066" s="13"/>
    </row>
    <row r="38067">
      <c r="F38067" s="13"/>
      <c r="M38067" s="13"/>
    </row>
    <row r="38068">
      <c r="F38068" s="13"/>
      <c r="M38068" s="13"/>
    </row>
    <row r="38069">
      <c r="F38069" s="13"/>
      <c r="M38069" s="13"/>
    </row>
    <row r="38070">
      <c r="F38070" s="13"/>
      <c r="M38070" s="13"/>
    </row>
    <row r="38071">
      <c r="F38071" s="13"/>
      <c r="M38071" s="13"/>
    </row>
    <row r="38072">
      <c r="F38072" s="13"/>
      <c r="M38072" s="13"/>
    </row>
    <row r="38073">
      <c r="F38073" s="13"/>
      <c r="M38073" s="13"/>
    </row>
    <row r="38074">
      <c r="F38074" s="13"/>
      <c r="M38074" s="13"/>
    </row>
    <row r="38075">
      <c r="F38075" s="13"/>
      <c r="M38075" s="13"/>
    </row>
    <row r="38076">
      <c r="F38076" s="13"/>
      <c r="M38076" s="13"/>
    </row>
    <row r="38077">
      <c r="F38077" s="13"/>
      <c r="M38077" s="13"/>
    </row>
    <row r="38078">
      <c r="F38078" s="13"/>
      <c r="M38078" s="13"/>
    </row>
    <row r="38079">
      <c r="F38079" s="13"/>
      <c r="M38079" s="13"/>
    </row>
    <row r="38080">
      <c r="F38080" s="13"/>
      <c r="M38080" s="13"/>
    </row>
    <row r="38081">
      <c r="F38081" s="13"/>
      <c r="M38081" s="13"/>
    </row>
    <row r="38082">
      <c r="F38082" s="13"/>
      <c r="M38082" s="13"/>
    </row>
    <row r="38083">
      <c r="F38083" s="13"/>
      <c r="M38083" s="13"/>
    </row>
    <row r="38084">
      <c r="F38084" s="13"/>
      <c r="M38084" s="13"/>
    </row>
    <row r="38085">
      <c r="F38085" s="13"/>
      <c r="M38085" s="13"/>
    </row>
    <row r="38086">
      <c r="F38086" s="13"/>
      <c r="M38086" s="13"/>
    </row>
    <row r="38087">
      <c r="F38087" s="13"/>
      <c r="M38087" s="13"/>
    </row>
    <row r="38088">
      <c r="F38088" s="13"/>
      <c r="M38088" s="13"/>
    </row>
    <row r="38089">
      <c r="F38089" s="13"/>
      <c r="M38089" s="13"/>
    </row>
    <row r="38090">
      <c r="F38090" s="13"/>
      <c r="M38090" s="13"/>
    </row>
    <row r="38091">
      <c r="F38091" s="13"/>
      <c r="M38091" s="13"/>
    </row>
    <row r="38092">
      <c r="F38092" s="13"/>
      <c r="M38092" s="13"/>
    </row>
    <row r="38093">
      <c r="F38093" s="13"/>
      <c r="M38093" s="13"/>
    </row>
    <row r="38094">
      <c r="F38094" s="13"/>
      <c r="M38094" s="13"/>
    </row>
    <row r="38095">
      <c r="F38095" s="13"/>
      <c r="M38095" s="13"/>
    </row>
    <row r="38096">
      <c r="F38096" s="13"/>
      <c r="M38096" s="13"/>
    </row>
    <row r="38097">
      <c r="F38097" s="13"/>
      <c r="M38097" s="13"/>
    </row>
    <row r="38098">
      <c r="F38098" s="13"/>
      <c r="M38098" s="13"/>
    </row>
    <row r="38099">
      <c r="F38099" s="13"/>
      <c r="M38099" s="13"/>
    </row>
    <row r="38100">
      <c r="F38100" s="13"/>
      <c r="M38100" s="13"/>
    </row>
    <row r="38101">
      <c r="F38101" s="13"/>
      <c r="M38101" s="13"/>
    </row>
    <row r="38102">
      <c r="F38102" s="13"/>
      <c r="M38102" s="13"/>
    </row>
    <row r="38103">
      <c r="F38103" s="13"/>
      <c r="M38103" s="13"/>
    </row>
    <row r="38104">
      <c r="F38104" s="13"/>
      <c r="M38104" s="13"/>
    </row>
    <row r="38105">
      <c r="F38105" s="13"/>
      <c r="M38105" s="13"/>
    </row>
    <row r="38106">
      <c r="F38106" s="13"/>
      <c r="M38106" s="13"/>
    </row>
    <row r="38107">
      <c r="F38107" s="13"/>
      <c r="M38107" s="13"/>
    </row>
    <row r="38108">
      <c r="F38108" s="13"/>
      <c r="M38108" s="13"/>
    </row>
    <row r="38109">
      <c r="F38109" s="13"/>
      <c r="M38109" s="13"/>
    </row>
    <row r="38110">
      <c r="F38110" s="13"/>
      <c r="M38110" s="13"/>
    </row>
    <row r="38111">
      <c r="F38111" s="13"/>
      <c r="M38111" s="13"/>
    </row>
    <row r="38112">
      <c r="F38112" s="13"/>
      <c r="M38112" s="13"/>
    </row>
    <row r="38113">
      <c r="F38113" s="13"/>
      <c r="M38113" s="13"/>
    </row>
    <row r="38114">
      <c r="F38114" s="13"/>
      <c r="M38114" s="13"/>
    </row>
    <row r="38115">
      <c r="F38115" s="13"/>
      <c r="M38115" s="13"/>
    </row>
    <row r="38116">
      <c r="F38116" s="13"/>
      <c r="M38116" s="13"/>
    </row>
    <row r="38117">
      <c r="F38117" s="13"/>
      <c r="M38117" s="13"/>
    </row>
    <row r="38118">
      <c r="F38118" s="13"/>
      <c r="M38118" s="13"/>
    </row>
    <row r="38119">
      <c r="F38119" s="13"/>
      <c r="M38119" s="13"/>
    </row>
    <row r="38120">
      <c r="F38120" s="13"/>
      <c r="M38120" s="13"/>
    </row>
    <row r="38121">
      <c r="F38121" s="13"/>
      <c r="M38121" s="13"/>
    </row>
    <row r="38122">
      <c r="F38122" s="13"/>
      <c r="M38122" s="13"/>
    </row>
    <row r="38123">
      <c r="F38123" s="13"/>
      <c r="M38123" s="13"/>
    </row>
    <row r="38124">
      <c r="F38124" s="13"/>
      <c r="M38124" s="13"/>
    </row>
    <row r="38125">
      <c r="F38125" s="13"/>
      <c r="M38125" s="13"/>
    </row>
    <row r="38126">
      <c r="F38126" s="13"/>
      <c r="M38126" s="13"/>
    </row>
    <row r="38127">
      <c r="F38127" s="13"/>
      <c r="M38127" s="13"/>
    </row>
    <row r="38128">
      <c r="F38128" s="13"/>
      <c r="M38128" s="13"/>
    </row>
    <row r="38129">
      <c r="F38129" s="13"/>
      <c r="M38129" s="13"/>
    </row>
    <row r="38130">
      <c r="F38130" s="13"/>
      <c r="M38130" s="13"/>
    </row>
    <row r="38131">
      <c r="F38131" s="13"/>
      <c r="M38131" s="13"/>
    </row>
    <row r="38132">
      <c r="F38132" s="13"/>
      <c r="M38132" s="13"/>
    </row>
    <row r="38133">
      <c r="F38133" s="13"/>
      <c r="M38133" s="13"/>
    </row>
    <row r="38134">
      <c r="F38134" s="13"/>
      <c r="M38134" s="13"/>
    </row>
    <row r="38135">
      <c r="F38135" s="13"/>
      <c r="M38135" s="13"/>
    </row>
    <row r="38136">
      <c r="F38136" s="13"/>
      <c r="M38136" s="13"/>
    </row>
    <row r="38137">
      <c r="F38137" s="13"/>
      <c r="M38137" s="13"/>
    </row>
    <row r="38138">
      <c r="F38138" s="13"/>
      <c r="M38138" s="13"/>
    </row>
    <row r="38139">
      <c r="F38139" s="13"/>
      <c r="M38139" s="13"/>
    </row>
    <row r="38140">
      <c r="F38140" s="13"/>
      <c r="M38140" s="13"/>
    </row>
    <row r="38141">
      <c r="F38141" s="13"/>
      <c r="M38141" s="13"/>
    </row>
    <row r="38142">
      <c r="F38142" s="13"/>
      <c r="M38142" s="13"/>
    </row>
    <row r="38143">
      <c r="F38143" s="13"/>
      <c r="M38143" s="13"/>
    </row>
    <row r="38144">
      <c r="F38144" s="13"/>
      <c r="M38144" s="13"/>
    </row>
    <row r="38145">
      <c r="F38145" s="13"/>
      <c r="M38145" s="13"/>
    </row>
    <row r="38146">
      <c r="F38146" s="13"/>
      <c r="M38146" s="13"/>
    </row>
    <row r="38147">
      <c r="F38147" s="13"/>
      <c r="M38147" s="13"/>
    </row>
    <row r="38148">
      <c r="F38148" s="13"/>
      <c r="M38148" s="13"/>
    </row>
    <row r="38149">
      <c r="F38149" s="13"/>
      <c r="M38149" s="13"/>
    </row>
    <row r="38150">
      <c r="F38150" s="13"/>
      <c r="M38150" s="13"/>
    </row>
    <row r="38151">
      <c r="F38151" s="13"/>
      <c r="M38151" s="13"/>
    </row>
    <row r="38152">
      <c r="F38152" s="13"/>
      <c r="M38152" s="13"/>
    </row>
    <row r="38153">
      <c r="F38153" s="13"/>
      <c r="M38153" s="13"/>
    </row>
    <row r="38154">
      <c r="F38154" s="13"/>
      <c r="M38154" s="13"/>
    </row>
    <row r="38155">
      <c r="F38155" s="13"/>
      <c r="M38155" s="13"/>
    </row>
    <row r="38156">
      <c r="F38156" s="13"/>
      <c r="M38156" s="13"/>
    </row>
    <row r="38157">
      <c r="F38157" s="13"/>
      <c r="M38157" s="13"/>
    </row>
    <row r="38158">
      <c r="F38158" s="13"/>
      <c r="M38158" s="13"/>
    </row>
    <row r="38159">
      <c r="F38159" s="13"/>
      <c r="M38159" s="13"/>
    </row>
    <row r="38160">
      <c r="F38160" s="13"/>
      <c r="M38160" s="13"/>
    </row>
    <row r="38161">
      <c r="F38161" s="13"/>
      <c r="M38161" s="13"/>
    </row>
    <row r="38162">
      <c r="F38162" s="13"/>
      <c r="M38162" s="13"/>
    </row>
    <row r="38163">
      <c r="F38163" s="13"/>
      <c r="M38163" s="13"/>
    </row>
    <row r="38164">
      <c r="F38164" s="13"/>
      <c r="M38164" s="13"/>
    </row>
    <row r="38165">
      <c r="F38165" s="13"/>
      <c r="M38165" s="13"/>
    </row>
    <row r="38166">
      <c r="F38166" s="13"/>
      <c r="M38166" s="13"/>
    </row>
    <row r="38167">
      <c r="F38167" s="13"/>
      <c r="M38167" s="13"/>
    </row>
    <row r="38168">
      <c r="F38168" s="13"/>
      <c r="M38168" s="13"/>
    </row>
    <row r="38169">
      <c r="F38169" s="13"/>
      <c r="M38169" s="13"/>
    </row>
    <row r="38170">
      <c r="F38170" s="13"/>
      <c r="M38170" s="13"/>
    </row>
    <row r="38171">
      <c r="F38171" s="13"/>
      <c r="M38171" s="13"/>
    </row>
    <row r="38172">
      <c r="F38172" s="13"/>
      <c r="M38172" s="13"/>
    </row>
    <row r="38173">
      <c r="F38173" s="13"/>
      <c r="M38173" s="13"/>
    </row>
    <row r="38174">
      <c r="F38174" s="13"/>
      <c r="M38174" s="13"/>
    </row>
    <row r="38175">
      <c r="F38175" s="13"/>
      <c r="M38175" s="13"/>
    </row>
    <row r="38176">
      <c r="F38176" s="13"/>
      <c r="M38176" s="13"/>
    </row>
    <row r="38177">
      <c r="F38177" s="13"/>
      <c r="M38177" s="13"/>
    </row>
    <row r="38178">
      <c r="F38178" s="13"/>
      <c r="M38178" s="13"/>
    </row>
    <row r="38179">
      <c r="F38179" s="13"/>
      <c r="M38179" s="13"/>
    </row>
    <row r="38180">
      <c r="F38180" s="13"/>
      <c r="M38180" s="13"/>
    </row>
    <row r="38181">
      <c r="F38181" s="13"/>
      <c r="M38181" s="13"/>
    </row>
    <row r="38182">
      <c r="F38182" s="13"/>
      <c r="M38182" s="13"/>
    </row>
    <row r="38183">
      <c r="F38183" s="13"/>
      <c r="M38183" s="13"/>
    </row>
    <row r="38184">
      <c r="F38184" s="13"/>
      <c r="M38184" s="13"/>
    </row>
    <row r="38185">
      <c r="F38185" s="13"/>
      <c r="M38185" s="13"/>
    </row>
    <row r="38186">
      <c r="F38186" s="13"/>
      <c r="M38186" s="13"/>
    </row>
    <row r="38187">
      <c r="F38187" s="13"/>
      <c r="M38187" s="13"/>
    </row>
    <row r="38188">
      <c r="F38188" s="13"/>
      <c r="M38188" s="13"/>
    </row>
    <row r="38189">
      <c r="F38189" s="13"/>
      <c r="M38189" s="13"/>
    </row>
    <row r="38190">
      <c r="F38190" s="13"/>
      <c r="M38190" s="13"/>
    </row>
    <row r="38191">
      <c r="F38191" s="13"/>
      <c r="M38191" s="13"/>
    </row>
    <row r="38192">
      <c r="F38192" s="13"/>
      <c r="M38192" s="13"/>
    </row>
    <row r="38193">
      <c r="F38193" s="13"/>
      <c r="M38193" s="13"/>
    </row>
    <row r="38194">
      <c r="F38194" s="13"/>
      <c r="M38194" s="13"/>
    </row>
    <row r="38195">
      <c r="F38195" s="13"/>
      <c r="M38195" s="13"/>
    </row>
    <row r="38196">
      <c r="F38196" s="13"/>
      <c r="M38196" s="13"/>
    </row>
    <row r="38197">
      <c r="F38197" s="13"/>
      <c r="M38197" s="13"/>
    </row>
    <row r="38198">
      <c r="F38198" s="13"/>
      <c r="M38198" s="13"/>
    </row>
    <row r="38199">
      <c r="F38199" s="13"/>
      <c r="M38199" s="13"/>
    </row>
    <row r="38200">
      <c r="F38200" s="13"/>
      <c r="M38200" s="13"/>
    </row>
    <row r="38201">
      <c r="F38201" s="13"/>
      <c r="M38201" s="13"/>
    </row>
    <row r="38202">
      <c r="F38202" s="13"/>
      <c r="M38202" s="13"/>
    </row>
    <row r="38203">
      <c r="F38203" s="13"/>
      <c r="M38203" s="13"/>
    </row>
    <row r="38204">
      <c r="F38204" s="13"/>
      <c r="M38204" s="13"/>
    </row>
    <row r="38205">
      <c r="F38205" s="13"/>
      <c r="M38205" s="13"/>
    </row>
    <row r="38206">
      <c r="F38206" s="13"/>
      <c r="M38206" s="13"/>
    </row>
    <row r="38207">
      <c r="F38207" s="13"/>
      <c r="M38207" s="13"/>
    </row>
    <row r="38208">
      <c r="F38208" s="13"/>
      <c r="M38208" s="13"/>
    </row>
    <row r="38209">
      <c r="F38209" s="13"/>
      <c r="M38209" s="13"/>
    </row>
    <row r="38210">
      <c r="F38210" s="13"/>
      <c r="M38210" s="13"/>
    </row>
    <row r="38211">
      <c r="F38211" s="13"/>
      <c r="M38211" s="13"/>
    </row>
    <row r="38212">
      <c r="F38212" s="13"/>
      <c r="M38212" s="13"/>
    </row>
    <row r="38213">
      <c r="F38213" s="13"/>
      <c r="M38213" s="13"/>
    </row>
    <row r="38214">
      <c r="F38214" s="13"/>
      <c r="M38214" s="13"/>
    </row>
    <row r="38215">
      <c r="F38215" s="13"/>
      <c r="M38215" s="13"/>
    </row>
    <row r="38216">
      <c r="F38216" s="13"/>
      <c r="M38216" s="13"/>
    </row>
    <row r="38217">
      <c r="F38217" s="13"/>
      <c r="M38217" s="13"/>
    </row>
    <row r="38218">
      <c r="F38218" s="13"/>
      <c r="M38218" s="13"/>
    </row>
    <row r="38219">
      <c r="F38219" s="13"/>
      <c r="M38219" s="13"/>
    </row>
    <row r="38220">
      <c r="F38220" s="13"/>
      <c r="M38220" s="13"/>
    </row>
    <row r="38221">
      <c r="F38221" s="13"/>
      <c r="M38221" s="13"/>
    </row>
    <row r="38222">
      <c r="F38222" s="13"/>
      <c r="M38222" s="13"/>
    </row>
    <row r="38223">
      <c r="F38223" s="13"/>
      <c r="M38223" s="13"/>
    </row>
    <row r="38224">
      <c r="F38224" s="13"/>
      <c r="M38224" s="13"/>
    </row>
    <row r="38225">
      <c r="F38225" s="13"/>
      <c r="M38225" s="13"/>
    </row>
    <row r="38226">
      <c r="F38226" s="13"/>
      <c r="M38226" s="13"/>
    </row>
    <row r="38227">
      <c r="F38227" s="13"/>
      <c r="M38227" s="13"/>
    </row>
    <row r="38228">
      <c r="F38228" s="13"/>
      <c r="M38228" s="13"/>
    </row>
    <row r="38229">
      <c r="F38229" s="13"/>
      <c r="M38229" s="13"/>
    </row>
    <row r="38230">
      <c r="F38230" s="13"/>
      <c r="M38230" s="13"/>
    </row>
    <row r="38231">
      <c r="F38231" s="13"/>
      <c r="M38231" s="13"/>
    </row>
    <row r="38232">
      <c r="F38232" s="13"/>
      <c r="M38232" s="13"/>
    </row>
    <row r="38233">
      <c r="F38233" s="13"/>
      <c r="M38233" s="13"/>
    </row>
    <row r="38234">
      <c r="F38234" s="13"/>
      <c r="M38234" s="13"/>
    </row>
    <row r="38235">
      <c r="F38235" s="13"/>
      <c r="M38235" s="13"/>
    </row>
    <row r="38236">
      <c r="F38236" s="13"/>
      <c r="M38236" s="13"/>
    </row>
    <row r="38237">
      <c r="F38237" s="13"/>
      <c r="M38237" s="13"/>
    </row>
    <row r="38238">
      <c r="F38238" s="13"/>
      <c r="M38238" s="13"/>
    </row>
    <row r="38239">
      <c r="F38239" s="13"/>
      <c r="M38239" s="13"/>
    </row>
    <row r="38240">
      <c r="F38240" s="13"/>
      <c r="M38240" s="13"/>
    </row>
    <row r="38241">
      <c r="F38241" s="13"/>
      <c r="M38241" s="13"/>
    </row>
    <row r="38242">
      <c r="F38242" s="13"/>
      <c r="M38242" s="13"/>
    </row>
    <row r="38243">
      <c r="F38243" s="13"/>
      <c r="M38243" s="13"/>
    </row>
    <row r="38244">
      <c r="F38244" s="13"/>
      <c r="M38244" s="13"/>
    </row>
    <row r="38245">
      <c r="F38245" s="13"/>
      <c r="M38245" s="13"/>
    </row>
    <row r="38246">
      <c r="F38246" s="13"/>
      <c r="M38246" s="13"/>
    </row>
    <row r="38247">
      <c r="F38247" s="13"/>
      <c r="M38247" s="13"/>
    </row>
    <row r="38248">
      <c r="F38248" s="13"/>
      <c r="M38248" s="13"/>
    </row>
    <row r="38249">
      <c r="F38249" s="13"/>
      <c r="M38249" s="13"/>
    </row>
    <row r="38250">
      <c r="F38250" s="13"/>
      <c r="M38250" s="13"/>
    </row>
    <row r="38251">
      <c r="F38251" s="13"/>
      <c r="M38251" s="13"/>
    </row>
    <row r="38252">
      <c r="F38252" s="13"/>
      <c r="M38252" s="13"/>
    </row>
    <row r="38253">
      <c r="F38253" s="13"/>
      <c r="M38253" s="13"/>
    </row>
    <row r="38254">
      <c r="F38254" s="13"/>
      <c r="M38254" s="13"/>
    </row>
    <row r="38255">
      <c r="F38255" s="13"/>
      <c r="M38255" s="13"/>
    </row>
    <row r="38256">
      <c r="F38256" s="13"/>
      <c r="M38256" s="13"/>
    </row>
    <row r="38257">
      <c r="F38257" s="13"/>
      <c r="M38257" s="13"/>
    </row>
    <row r="38258">
      <c r="F38258" s="13"/>
      <c r="M38258" s="13"/>
    </row>
    <row r="38259">
      <c r="F38259" s="13"/>
      <c r="M38259" s="13"/>
    </row>
    <row r="38260">
      <c r="F38260" s="13"/>
      <c r="M38260" s="13"/>
    </row>
    <row r="38261">
      <c r="F38261" s="13"/>
      <c r="M38261" s="13"/>
    </row>
    <row r="38262">
      <c r="F38262" s="13"/>
      <c r="M38262" s="13"/>
    </row>
    <row r="38263">
      <c r="F38263" s="13"/>
      <c r="M38263" s="13"/>
    </row>
    <row r="38264">
      <c r="F38264" s="13"/>
      <c r="M38264" s="13"/>
    </row>
    <row r="38265">
      <c r="F38265" s="13"/>
      <c r="M38265" s="13"/>
    </row>
    <row r="38266">
      <c r="F38266" s="13"/>
      <c r="M38266" s="13"/>
    </row>
    <row r="38267">
      <c r="F38267" s="13"/>
      <c r="M38267" s="13"/>
    </row>
    <row r="38268">
      <c r="F38268" s="13"/>
      <c r="M38268" s="13"/>
    </row>
    <row r="38269">
      <c r="F38269" s="13"/>
      <c r="M38269" s="13"/>
    </row>
    <row r="38270">
      <c r="F38270" s="13"/>
      <c r="M38270" s="13"/>
    </row>
    <row r="38271">
      <c r="F38271" s="13"/>
      <c r="M38271" s="13"/>
    </row>
    <row r="38272">
      <c r="F38272" s="13"/>
      <c r="M38272" s="13"/>
    </row>
    <row r="38273">
      <c r="F38273" s="13"/>
      <c r="M38273" s="13"/>
    </row>
    <row r="38274">
      <c r="F38274" s="13"/>
      <c r="M38274" s="13"/>
    </row>
    <row r="38275">
      <c r="F38275" s="13"/>
      <c r="M38275" s="13"/>
    </row>
    <row r="38276">
      <c r="F38276" s="13"/>
      <c r="M38276" s="13"/>
    </row>
    <row r="38277">
      <c r="F38277" s="13"/>
      <c r="M38277" s="13"/>
    </row>
    <row r="38278">
      <c r="F38278" s="13"/>
      <c r="M38278" s="13"/>
    </row>
    <row r="38279">
      <c r="F38279" s="13"/>
      <c r="M38279" s="13"/>
    </row>
    <row r="38280">
      <c r="F38280" s="13"/>
      <c r="M38280" s="13"/>
    </row>
    <row r="38281">
      <c r="F38281" s="13"/>
      <c r="M38281" s="13"/>
    </row>
    <row r="38282">
      <c r="F38282" s="13"/>
      <c r="M38282" s="13"/>
    </row>
    <row r="38283">
      <c r="F38283" s="13"/>
      <c r="M38283" s="13"/>
    </row>
    <row r="38284">
      <c r="F38284" s="13"/>
      <c r="M38284" s="13"/>
    </row>
    <row r="38285">
      <c r="F38285" s="13"/>
      <c r="M38285" s="13"/>
    </row>
    <row r="38286">
      <c r="F38286" s="13"/>
      <c r="M38286" s="13"/>
    </row>
    <row r="38287">
      <c r="F38287" s="13"/>
      <c r="M38287" s="13"/>
    </row>
    <row r="38288">
      <c r="F38288" s="13"/>
      <c r="M38288" s="13"/>
    </row>
    <row r="38289">
      <c r="F38289" s="13"/>
      <c r="M38289" s="13"/>
    </row>
    <row r="38290">
      <c r="F38290" s="13"/>
      <c r="M38290" s="13"/>
    </row>
    <row r="38291">
      <c r="F38291" s="13"/>
      <c r="M38291" s="13"/>
    </row>
    <row r="38292">
      <c r="F38292" s="13"/>
      <c r="M38292" s="13"/>
    </row>
    <row r="38293">
      <c r="F38293" s="13"/>
      <c r="M38293" s="13"/>
    </row>
    <row r="38294">
      <c r="F38294" s="13"/>
      <c r="M38294" s="13"/>
    </row>
    <row r="38295">
      <c r="F38295" s="13"/>
      <c r="M38295" s="13"/>
    </row>
    <row r="38296">
      <c r="F38296" s="13"/>
      <c r="M38296" s="13"/>
    </row>
    <row r="38297">
      <c r="F38297" s="13"/>
      <c r="M38297" s="13"/>
    </row>
    <row r="38298">
      <c r="F38298" s="13"/>
      <c r="M38298" s="13"/>
    </row>
    <row r="38299">
      <c r="F38299" s="13"/>
      <c r="M38299" s="13"/>
    </row>
    <row r="38300">
      <c r="F38300" s="13"/>
      <c r="M38300" s="13"/>
    </row>
    <row r="38301">
      <c r="F38301" s="13"/>
      <c r="M38301" s="13"/>
    </row>
    <row r="38302">
      <c r="F38302" s="13"/>
      <c r="M38302" s="13"/>
    </row>
    <row r="38303">
      <c r="F38303" s="13"/>
      <c r="M38303" s="13"/>
    </row>
    <row r="38304">
      <c r="F38304" s="13"/>
      <c r="M38304" s="13"/>
    </row>
    <row r="38305">
      <c r="F38305" s="13"/>
      <c r="M38305" s="13"/>
    </row>
    <row r="38306">
      <c r="F38306" s="13"/>
      <c r="M38306" s="13"/>
    </row>
    <row r="38307">
      <c r="F38307" s="13"/>
      <c r="M38307" s="13"/>
    </row>
    <row r="38308">
      <c r="F38308" s="13"/>
      <c r="M38308" s="13"/>
    </row>
    <row r="38309">
      <c r="F38309" s="13"/>
      <c r="M38309" s="13"/>
    </row>
    <row r="38310">
      <c r="F38310" s="13"/>
      <c r="M38310" s="13"/>
    </row>
    <row r="38311">
      <c r="F38311" s="13"/>
      <c r="M38311" s="13"/>
    </row>
    <row r="38312">
      <c r="F38312" s="13"/>
      <c r="M38312" s="13"/>
    </row>
    <row r="38313">
      <c r="F38313" s="13"/>
      <c r="M38313" s="13"/>
    </row>
    <row r="38314">
      <c r="F38314" s="13"/>
      <c r="M38314" s="13"/>
    </row>
    <row r="38315">
      <c r="F38315" s="13"/>
      <c r="M38315" s="13"/>
    </row>
    <row r="38316">
      <c r="F38316" s="13"/>
      <c r="M38316" s="13"/>
    </row>
    <row r="38317">
      <c r="F38317" s="13"/>
      <c r="M38317" s="13"/>
    </row>
    <row r="38318">
      <c r="F38318" s="13"/>
      <c r="M38318" s="13"/>
    </row>
    <row r="38319">
      <c r="F38319" s="13"/>
      <c r="M38319" s="13"/>
    </row>
    <row r="38320">
      <c r="F38320" s="13"/>
      <c r="M38320" s="13"/>
    </row>
    <row r="38321">
      <c r="F38321" s="13"/>
      <c r="M38321" s="13"/>
    </row>
    <row r="38322">
      <c r="F38322" s="13"/>
      <c r="M38322" s="13"/>
    </row>
    <row r="38323">
      <c r="F38323" s="13"/>
      <c r="M38323" s="13"/>
    </row>
    <row r="38324">
      <c r="F38324" s="13"/>
      <c r="M38324" s="13"/>
    </row>
    <row r="38325">
      <c r="F38325" s="13"/>
      <c r="M38325" s="13"/>
    </row>
    <row r="38326">
      <c r="F38326" s="13"/>
      <c r="M38326" s="13"/>
    </row>
    <row r="38327">
      <c r="F38327" s="13"/>
      <c r="M38327" s="13"/>
    </row>
    <row r="38328">
      <c r="F38328" s="13"/>
      <c r="M38328" s="13"/>
    </row>
    <row r="38329">
      <c r="F38329" s="13"/>
      <c r="M38329" s="13"/>
    </row>
    <row r="38330">
      <c r="F38330" s="13"/>
      <c r="M38330" s="13"/>
    </row>
    <row r="38331">
      <c r="F38331" s="13"/>
      <c r="M38331" s="13"/>
    </row>
    <row r="38332">
      <c r="F38332" s="13"/>
      <c r="M38332" s="13"/>
    </row>
    <row r="38333">
      <c r="F38333" s="13"/>
      <c r="M38333" s="13"/>
    </row>
    <row r="38334">
      <c r="F38334" s="13"/>
      <c r="M38334" s="13"/>
    </row>
    <row r="38335">
      <c r="F38335" s="13"/>
      <c r="M38335" s="13"/>
    </row>
    <row r="38336">
      <c r="F38336" s="13"/>
      <c r="M38336" s="13"/>
    </row>
    <row r="38337">
      <c r="F38337" s="13"/>
      <c r="M38337" s="13"/>
    </row>
    <row r="38338">
      <c r="F38338" s="13"/>
      <c r="M38338" s="13"/>
    </row>
    <row r="38339">
      <c r="F38339" s="13"/>
      <c r="M38339" s="13"/>
    </row>
    <row r="38340">
      <c r="F38340" s="13"/>
      <c r="M38340" s="13"/>
    </row>
    <row r="38341">
      <c r="F38341" s="13"/>
      <c r="M38341" s="13"/>
    </row>
    <row r="38342">
      <c r="F38342" s="13"/>
      <c r="M38342" s="13"/>
    </row>
    <row r="38343">
      <c r="F38343" s="13"/>
      <c r="M38343" s="13"/>
    </row>
    <row r="38344">
      <c r="F38344" s="13"/>
      <c r="M38344" s="13"/>
    </row>
    <row r="38345">
      <c r="F38345" s="13"/>
      <c r="M38345" s="13"/>
    </row>
    <row r="38346">
      <c r="F38346" s="13"/>
      <c r="M38346" s="13"/>
    </row>
    <row r="38347">
      <c r="F38347" s="13"/>
      <c r="M38347" s="13"/>
    </row>
    <row r="38348">
      <c r="F38348" s="13"/>
      <c r="M38348" s="13"/>
    </row>
    <row r="38349">
      <c r="F38349" s="13"/>
      <c r="M38349" s="13"/>
    </row>
    <row r="38350">
      <c r="F38350" s="13"/>
      <c r="M38350" s="13"/>
    </row>
    <row r="38351">
      <c r="F38351" s="13"/>
      <c r="M38351" s="13"/>
    </row>
    <row r="38352">
      <c r="F38352" s="13"/>
      <c r="M38352" s="13"/>
    </row>
    <row r="38353">
      <c r="F38353" s="13"/>
      <c r="M38353" s="13"/>
    </row>
    <row r="38354">
      <c r="F38354" s="13"/>
      <c r="M38354" s="13"/>
    </row>
    <row r="38355">
      <c r="F38355" s="13"/>
      <c r="M38355" s="13"/>
    </row>
    <row r="38356">
      <c r="F38356" s="13"/>
      <c r="M38356" s="13"/>
    </row>
    <row r="38357">
      <c r="F38357" s="13"/>
      <c r="M38357" s="13"/>
    </row>
    <row r="38358">
      <c r="F38358" s="13"/>
      <c r="M38358" s="13"/>
    </row>
    <row r="38359">
      <c r="F38359" s="13"/>
      <c r="M38359" s="13"/>
    </row>
    <row r="38360">
      <c r="F38360" s="13"/>
      <c r="M38360" s="13"/>
    </row>
    <row r="38361">
      <c r="F38361" s="13"/>
      <c r="M38361" s="13"/>
    </row>
    <row r="38362">
      <c r="F38362" s="13"/>
      <c r="M38362" s="13"/>
    </row>
    <row r="38363">
      <c r="F38363" s="13"/>
      <c r="M38363" s="13"/>
    </row>
    <row r="38364">
      <c r="F38364" s="13"/>
      <c r="M38364" s="13"/>
    </row>
    <row r="38365">
      <c r="F38365" s="13"/>
      <c r="M38365" s="13"/>
    </row>
    <row r="38366">
      <c r="F38366" s="13"/>
      <c r="M38366" s="13"/>
    </row>
    <row r="38367">
      <c r="F38367" s="13"/>
      <c r="M38367" s="13"/>
    </row>
    <row r="38368">
      <c r="F38368" s="13"/>
      <c r="M38368" s="13"/>
    </row>
    <row r="38369">
      <c r="F38369" s="13"/>
      <c r="M38369" s="13"/>
    </row>
    <row r="38370">
      <c r="F38370" s="13"/>
      <c r="M38370" s="13"/>
    </row>
    <row r="38371">
      <c r="F38371" s="13"/>
      <c r="M38371" s="13"/>
    </row>
    <row r="38372">
      <c r="F38372" s="13"/>
      <c r="M38372" s="13"/>
    </row>
    <row r="38373">
      <c r="F38373" s="13"/>
      <c r="M38373" s="13"/>
    </row>
    <row r="38374">
      <c r="F38374" s="13"/>
      <c r="M38374" s="13"/>
    </row>
    <row r="38375">
      <c r="F38375" s="13"/>
      <c r="M38375" s="13"/>
    </row>
    <row r="38376">
      <c r="F38376" s="13"/>
      <c r="M38376" s="13"/>
    </row>
    <row r="38377">
      <c r="F38377" s="13"/>
      <c r="M38377" s="13"/>
    </row>
    <row r="38378">
      <c r="F38378" s="13"/>
      <c r="M38378" s="13"/>
    </row>
    <row r="38379">
      <c r="F38379" s="13"/>
      <c r="M38379" s="13"/>
    </row>
    <row r="38380">
      <c r="F38380" s="13"/>
      <c r="M38380" s="13"/>
    </row>
    <row r="38381">
      <c r="F38381" s="13"/>
      <c r="M38381" s="13"/>
    </row>
    <row r="38382">
      <c r="F38382" s="13"/>
      <c r="M38382" s="13"/>
    </row>
    <row r="38383">
      <c r="F38383" s="13"/>
      <c r="M38383" s="13"/>
    </row>
    <row r="38384">
      <c r="F38384" s="13"/>
      <c r="M38384" s="13"/>
    </row>
    <row r="38385">
      <c r="F38385" s="13"/>
      <c r="M38385" s="13"/>
    </row>
    <row r="38386">
      <c r="F38386" s="13"/>
      <c r="M38386" s="13"/>
    </row>
    <row r="38387">
      <c r="F38387" s="13"/>
      <c r="M38387" s="13"/>
    </row>
    <row r="38388">
      <c r="F38388" s="13"/>
      <c r="M38388" s="13"/>
    </row>
    <row r="38389">
      <c r="F38389" s="13"/>
      <c r="M38389" s="13"/>
    </row>
    <row r="38390">
      <c r="F38390" s="13"/>
      <c r="M38390" s="13"/>
    </row>
    <row r="38391">
      <c r="F38391" s="13"/>
      <c r="M38391" s="13"/>
    </row>
    <row r="38392">
      <c r="F38392" s="13"/>
      <c r="M38392" s="13"/>
    </row>
    <row r="38393">
      <c r="F38393" s="13"/>
      <c r="M38393" s="13"/>
    </row>
    <row r="38394">
      <c r="F38394" s="13"/>
      <c r="M38394" s="13"/>
    </row>
    <row r="38395">
      <c r="F38395" s="13"/>
      <c r="M38395" s="13"/>
    </row>
    <row r="38396">
      <c r="F38396" s="13"/>
      <c r="M38396" s="13"/>
    </row>
    <row r="38397">
      <c r="F38397" s="13"/>
      <c r="M38397" s="13"/>
    </row>
    <row r="38398">
      <c r="F38398" s="13"/>
      <c r="M38398" s="13"/>
    </row>
    <row r="38399">
      <c r="F38399" s="13"/>
      <c r="M38399" s="13"/>
    </row>
    <row r="38400">
      <c r="F38400" s="13"/>
      <c r="M38400" s="13"/>
    </row>
    <row r="38401">
      <c r="F38401" s="13"/>
      <c r="M38401" s="13"/>
    </row>
    <row r="38402">
      <c r="F38402" s="13"/>
      <c r="M38402" s="13"/>
    </row>
    <row r="38403">
      <c r="F38403" s="13"/>
      <c r="M38403" s="13"/>
    </row>
    <row r="38404">
      <c r="F38404" s="13"/>
      <c r="M38404" s="13"/>
    </row>
    <row r="38405">
      <c r="F38405" s="13"/>
      <c r="M38405" s="13"/>
    </row>
    <row r="38406">
      <c r="F38406" s="13"/>
      <c r="M38406" s="13"/>
    </row>
    <row r="38407">
      <c r="F38407" s="13"/>
      <c r="M38407" s="13"/>
    </row>
    <row r="38408">
      <c r="F38408" s="13"/>
      <c r="M38408" s="13"/>
    </row>
    <row r="38409">
      <c r="F38409" s="13"/>
      <c r="M38409" s="13"/>
    </row>
    <row r="38410">
      <c r="F38410" s="13"/>
      <c r="M38410" s="13"/>
    </row>
    <row r="38411">
      <c r="F38411" s="13"/>
      <c r="M38411" s="13"/>
    </row>
    <row r="38412">
      <c r="F38412" s="13"/>
      <c r="M38412" s="13"/>
    </row>
    <row r="38413">
      <c r="F38413" s="13"/>
      <c r="M38413" s="13"/>
    </row>
    <row r="38414">
      <c r="F38414" s="13"/>
      <c r="M38414" s="13"/>
    </row>
    <row r="38415">
      <c r="F38415" s="13"/>
      <c r="M38415" s="13"/>
    </row>
    <row r="38416">
      <c r="F38416" s="13"/>
      <c r="M38416" s="13"/>
    </row>
    <row r="38417">
      <c r="F38417" s="13"/>
      <c r="M38417" s="13"/>
    </row>
    <row r="38418">
      <c r="F38418" s="13"/>
      <c r="M38418" s="13"/>
    </row>
    <row r="38419">
      <c r="F38419" s="13"/>
      <c r="M38419" s="13"/>
    </row>
    <row r="38420">
      <c r="F38420" s="13"/>
      <c r="M38420" s="13"/>
    </row>
    <row r="38421">
      <c r="F38421" s="13"/>
      <c r="M38421" s="13"/>
    </row>
    <row r="38422">
      <c r="F38422" s="13"/>
      <c r="M38422" s="13"/>
    </row>
    <row r="38423">
      <c r="F38423" s="13"/>
      <c r="M38423" s="13"/>
    </row>
    <row r="38424">
      <c r="F38424" s="13"/>
      <c r="M38424" s="13"/>
    </row>
    <row r="38425">
      <c r="F38425" s="13"/>
      <c r="M38425" s="13"/>
    </row>
    <row r="38426">
      <c r="F38426" s="13"/>
      <c r="M38426" s="13"/>
    </row>
    <row r="38427">
      <c r="F38427" s="13"/>
      <c r="M38427" s="13"/>
    </row>
    <row r="38428">
      <c r="F38428" s="13"/>
      <c r="M38428" s="13"/>
    </row>
    <row r="38429">
      <c r="F38429" s="13"/>
      <c r="M38429" s="13"/>
    </row>
    <row r="38430">
      <c r="F38430" s="13"/>
      <c r="M38430" s="13"/>
    </row>
    <row r="38431">
      <c r="F38431" s="13"/>
      <c r="M38431" s="13"/>
    </row>
    <row r="38432">
      <c r="F38432" s="13"/>
      <c r="M38432" s="13"/>
    </row>
    <row r="38433">
      <c r="F38433" s="13"/>
      <c r="M38433" s="13"/>
    </row>
    <row r="38434">
      <c r="F38434" s="13"/>
      <c r="M38434" s="13"/>
    </row>
    <row r="38435">
      <c r="F38435" s="13"/>
      <c r="M38435" s="13"/>
    </row>
    <row r="38436">
      <c r="F38436" s="13"/>
      <c r="M38436" s="13"/>
    </row>
    <row r="38437">
      <c r="F38437" s="13"/>
      <c r="M38437" s="13"/>
    </row>
    <row r="38438">
      <c r="F38438" s="13"/>
      <c r="M38438" s="13"/>
    </row>
    <row r="38439">
      <c r="F38439" s="13"/>
      <c r="M38439" s="13"/>
    </row>
    <row r="38440">
      <c r="F38440" s="13"/>
      <c r="M38440" s="13"/>
    </row>
    <row r="38441">
      <c r="F38441" s="13"/>
      <c r="M38441" s="13"/>
    </row>
    <row r="38442">
      <c r="F38442" s="13"/>
      <c r="M38442" s="13"/>
    </row>
    <row r="38443">
      <c r="F38443" s="13"/>
      <c r="M38443" s="13"/>
    </row>
    <row r="38444">
      <c r="F38444" s="13"/>
      <c r="M38444" s="13"/>
    </row>
    <row r="38445">
      <c r="F38445" s="13"/>
      <c r="M38445" s="13"/>
    </row>
    <row r="38446">
      <c r="F38446" s="13"/>
      <c r="M38446" s="13"/>
    </row>
    <row r="38447">
      <c r="F38447" s="13"/>
      <c r="M38447" s="13"/>
    </row>
    <row r="38448">
      <c r="F38448" s="13"/>
      <c r="M38448" s="13"/>
    </row>
    <row r="38449">
      <c r="F38449" s="13"/>
      <c r="M38449" s="13"/>
    </row>
    <row r="38450">
      <c r="F38450" s="13"/>
      <c r="M38450" s="13"/>
    </row>
    <row r="38451">
      <c r="F38451" s="13"/>
      <c r="M38451" s="13"/>
    </row>
    <row r="38452">
      <c r="F38452" s="13"/>
      <c r="M38452" s="13"/>
    </row>
    <row r="38453">
      <c r="F38453" s="13"/>
      <c r="M38453" s="13"/>
    </row>
    <row r="38454">
      <c r="F38454" s="13"/>
      <c r="M38454" s="13"/>
    </row>
    <row r="38455">
      <c r="F38455" s="13"/>
      <c r="M38455" s="13"/>
    </row>
    <row r="38456">
      <c r="F38456" s="13"/>
      <c r="M38456" s="13"/>
    </row>
    <row r="38457">
      <c r="F38457" s="13"/>
      <c r="M38457" s="13"/>
    </row>
    <row r="38458">
      <c r="F38458" s="13"/>
      <c r="M38458" s="13"/>
    </row>
    <row r="38459">
      <c r="F38459" s="13"/>
      <c r="M38459" s="13"/>
    </row>
    <row r="38460">
      <c r="F38460" s="13"/>
      <c r="M38460" s="13"/>
    </row>
    <row r="38461">
      <c r="F38461" s="13"/>
      <c r="M38461" s="13"/>
    </row>
    <row r="38462">
      <c r="F38462" s="13"/>
      <c r="M38462" s="13"/>
    </row>
    <row r="38463">
      <c r="F38463" s="13"/>
      <c r="M38463" s="13"/>
    </row>
    <row r="38464">
      <c r="F38464" s="13"/>
      <c r="M38464" s="13"/>
    </row>
    <row r="38465">
      <c r="F38465" s="13"/>
      <c r="M38465" s="13"/>
    </row>
    <row r="38466">
      <c r="F38466" s="13"/>
      <c r="M38466" s="13"/>
    </row>
    <row r="38467">
      <c r="F38467" s="13"/>
      <c r="M38467" s="13"/>
    </row>
    <row r="38468">
      <c r="F38468" s="13"/>
      <c r="M38468" s="13"/>
    </row>
    <row r="38469">
      <c r="F38469" s="13"/>
      <c r="M38469" s="13"/>
    </row>
    <row r="38470">
      <c r="F38470" s="13"/>
      <c r="M38470" s="13"/>
    </row>
    <row r="38471">
      <c r="F38471" s="13"/>
      <c r="M38471" s="13"/>
    </row>
    <row r="38472">
      <c r="F38472" s="13"/>
      <c r="M38472" s="13"/>
    </row>
    <row r="38473">
      <c r="F38473" s="13"/>
      <c r="M38473" s="13"/>
    </row>
    <row r="38474">
      <c r="F38474" s="13"/>
      <c r="M38474" s="13"/>
    </row>
    <row r="38475">
      <c r="F38475" s="13"/>
      <c r="M38475" s="13"/>
    </row>
    <row r="38476">
      <c r="F38476" s="13"/>
      <c r="M38476" s="13"/>
    </row>
    <row r="38477">
      <c r="F38477" s="13"/>
      <c r="M38477" s="13"/>
    </row>
    <row r="38478">
      <c r="F38478" s="13"/>
      <c r="M38478" s="13"/>
    </row>
    <row r="38479">
      <c r="F38479" s="13"/>
      <c r="M38479" s="13"/>
    </row>
    <row r="38480">
      <c r="F38480" s="13"/>
      <c r="M38480" s="13"/>
    </row>
    <row r="38481">
      <c r="F38481" s="13"/>
      <c r="M38481" s="13"/>
    </row>
    <row r="38482">
      <c r="F38482" s="13"/>
      <c r="M38482" s="13"/>
    </row>
    <row r="38483">
      <c r="F38483" s="13"/>
      <c r="M38483" s="13"/>
    </row>
    <row r="38484">
      <c r="F38484" s="13"/>
      <c r="M38484" s="13"/>
    </row>
    <row r="38485">
      <c r="F38485" s="13"/>
      <c r="M38485" s="13"/>
    </row>
    <row r="38486">
      <c r="F38486" s="13"/>
      <c r="M38486" s="13"/>
    </row>
    <row r="38487">
      <c r="F38487" s="13"/>
      <c r="M38487" s="13"/>
    </row>
    <row r="38488">
      <c r="F38488" s="13"/>
      <c r="M38488" s="13"/>
    </row>
    <row r="38489">
      <c r="F38489" s="13"/>
      <c r="M38489" s="13"/>
    </row>
    <row r="38490">
      <c r="F38490" s="13"/>
      <c r="M38490" s="13"/>
    </row>
    <row r="38491">
      <c r="F38491" s="13"/>
      <c r="M38491" s="13"/>
    </row>
    <row r="38492">
      <c r="F38492" s="13"/>
      <c r="M38492" s="13"/>
    </row>
    <row r="38493">
      <c r="F38493" s="13"/>
      <c r="M38493" s="13"/>
    </row>
    <row r="38494">
      <c r="F38494" s="13"/>
      <c r="M38494" s="13"/>
    </row>
    <row r="38495">
      <c r="F38495" s="13"/>
      <c r="M38495" s="13"/>
    </row>
    <row r="38496">
      <c r="F38496" s="13"/>
      <c r="M38496" s="13"/>
    </row>
    <row r="38497">
      <c r="F38497" s="13"/>
      <c r="M38497" s="13"/>
    </row>
    <row r="38498">
      <c r="F38498" s="13"/>
      <c r="M38498" s="13"/>
    </row>
    <row r="38499">
      <c r="F38499" s="13"/>
      <c r="M38499" s="13"/>
    </row>
    <row r="38500">
      <c r="F38500" s="13"/>
      <c r="M38500" s="13"/>
    </row>
    <row r="38501">
      <c r="F38501" s="13"/>
      <c r="M38501" s="13"/>
    </row>
    <row r="38502">
      <c r="F38502" s="13"/>
      <c r="M38502" s="13"/>
    </row>
    <row r="38503">
      <c r="F38503" s="13"/>
      <c r="M38503" s="13"/>
    </row>
    <row r="38504">
      <c r="F38504" s="13"/>
      <c r="M38504" s="13"/>
    </row>
    <row r="38505">
      <c r="F38505" s="13"/>
      <c r="M38505" s="13"/>
    </row>
    <row r="38506">
      <c r="F38506" s="13"/>
      <c r="M38506" s="13"/>
    </row>
    <row r="38507">
      <c r="F38507" s="13"/>
      <c r="M38507" s="13"/>
    </row>
    <row r="38508">
      <c r="F38508" s="13"/>
      <c r="M38508" s="13"/>
    </row>
    <row r="38509">
      <c r="F38509" s="13"/>
      <c r="M38509" s="13"/>
    </row>
    <row r="38510">
      <c r="F38510" s="13"/>
      <c r="M38510" s="13"/>
    </row>
    <row r="38511">
      <c r="F38511" s="13"/>
      <c r="M38511" s="13"/>
    </row>
    <row r="38512">
      <c r="F38512" s="13"/>
      <c r="M38512" s="13"/>
    </row>
    <row r="38513">
      <c r="F38513" s="13"/>
      <c r="M38513" s="13"/>
    </row>
    <row r="38514">
      <c r="F38514" s="13"/>
      <c r="M38514" s="13"/>
    </row>
    <row r="38515">
      <c r="F38515" s="13"/>
      <c r="M38515" s="13"/>
    </row>
    <row r="38516">
      <c r="F38516" s="13"/>
      <c r="M38516" s="13"/>
    </row>
    <row r="38517">
      <c r="F38517" s="13"/>
      <c r="M38517" s="13"/>
    </row>
    <row r="38518">
      <c r="F38518" s="13"/>
      <c r="M38518" s="13"/>
    </row>
    <row r="38519">
      <c r="F38519" s="13"/>
      <c r="M38519" s="13"/>
    </row>
    <row r="38520">
      <c r="F38520" s="13"/>
      <c r="M38520" s="13"/>
    </row>
    <row r="38521">
      <c r="F38521" s="13"/>
      <c r="M38521" s="13"/>
    </row>
    <row r="38522">
      <c r="F38522" s="13"/>
      <c r="M38522" s="13"/>
    </row>
    <row r="38523">
      <c r="F38523" s="13"/>
      <c r="M38523" s="13"/>
    </row>
    <row r="38524">
      <c r="F38524" s="13"/>
      <c r="M38524" s="13"/>
    </row>
    <row r="38525">
      <c r="F38525" s="13"/>
      <c r="M38525" s="13"/>
    </row>
    <row r="38526">
      <c r="F38526" s="13"/>
      <c r="M38526" s="13"/>
    </row>
    <row r="38527">
      <c r="F38527" s="13"/>
      <c r="M38527" s="13"/>
    </row>
    <row r="38528">
      <c r="F38528" s="13"/>
      <c r="M38528" s="13"/>
    </row>
    <row r="38529">
      <c r="F38529" s="13"/>
      <c r="M38529" s="13"/>
    </row>
    <row r="38530">
      <c r="F38530" s="13"/>
      <c r="M38530" s="13"/>
    </row>
    <row r="38531">
      <c r="F38531" s="13"/>
      <c r="M38531" s="13"/>
    </row>
    <row r="38532">
      <c r="F38532" s="13"/>
      <c r="M38532" s="13"/>
    </row>
    <row r="38533">
      <c r="F38533" s="13"/>
      <c r="M38533" s="13"/>
    </row>
    <row r="38534">
      <c r="F38534" s="13"/>
      <c r="M38534" s="13"/>
    </row>
    <row r="38535">
      <c r="F38535" s="13"/>
      <c r="M38535" s="13"/>
    </row>
    <row r="38536">
      <c r="F38536" s="13"/>
      <c r="M38536" s="13"/>
    </row>
    <row r="38537">
      <c r="F38537" s="13"/>
      <c r="M38537" s="13"/>
    </row>
    <row r="38538">
      <c r="F38538" s="13"/>
      <c r="M38538" s="13"/>
    </row>
    <row r="38539">
      <c r="F38539" s="13"/>
      <c r="M38539" s="13"/>
    </row>
    <row r="38540">
      <c r="F38540" s="13"/>
      <c r="M38540" s="13"/>
    </row>
    <row r="38541">
      <c r="F38541" s="13"/>
      <c r="M38541" s="13"/>
    </row>
    <row r="38542">
      <c r="F38542" s="13"/>
      <c r="M38542" s="13"/>
    </row>
    <row r="38543">
      <c r="F38543" s="13"/>
      <c r="M38543" s="13"/>
    </row>
    <row r="38544">
      <c r="F38544" s="13"/>
      <c r="M38544" s="13"/>
    </row>
    <row r="38545">
      <c r="F38545" s="13"/>
      <c r="M38545" s="13"/>
    </row>
    <row r="38546">
      <c r="F38546" s="13"/>
      <c r="M38546" s="13"/>
    </row>
    <row r="38547">
      <c r="F38547" s="13"/>
      <c r="M38547" s="13"/>
    </row>
    <row r="38548">
      <c r="F38548" s="13"/>
      <c r="M38548" s="13"/>
    </row>
    <row r="38549">
      <c r="F38549" s="13"/>
      <c r="M38549" s="13"/>
    </row>
    <row r="38550">
      <c r="F38550" s="13"/>
      <c r="M38550" s="13"/>
    </row>
    <row r="38551">
      <c r="F38551" s="13"/>
      <c r="M38551" s="13"/>
    </row>
    <row r="38552">
      <c r="F38552" s="13"/>
      <c r="M38552" s="13"/>
    </row>
    <row r="38553">
      <c r="F38553" s="13"/>
      <c r="M38553" s="13"/>
    </row>
    <row r="38554">
      <c r="F38554" s="13"/>
      <c r="M38554" s="13"/>
    </row>
    <row r="38555">
      <c r="F38555" s="13"/>
      <c r="M38555" s="13"/>
    </row>
    <row r="38556">
      <c r="F38556" s="13"/>
      <c r="M38556" s="13"/>
    </row>
    <row r="38557">
      <c r="F38557" s="13"/>
      <c r="M38557" s="13"/>
    </row>
    <row r="38558">
      <c r="F38558" s="13"/>
      <c r="M38558" s="13"/>
    </row>
    <row r="38559">
      <c r="F38559" s="13"/>
      <c r="M38559" s="13"/>
    </row>
    <row r="38560">
      <c r="F38560" s="13"/>
      <c r="M38560" s="13"/>
    </row>
    <row r="38561">
      <c r="F38561" s="13"/>
      <c r="M38561" s="13"/>
    </row>
    <row r="38562">
      <c r="F38562" s="13"/>
      <c r="M38562" s="13"/>
    </row>
    <row r="38563">
      <c r="F38563" s="13"/>
      <c r="M38563" s="13"/>
    </row>
    <row r="38564">
      <c r="F38564" s="13"/>
      <c r="M38564" s="13"/>
    </row>
    <row r="38565">
      <c r="F38565" s="13"/>
      <c r="M38565" s="13"/>
    </row>
    <row r="38566">
      <c r="F38566" s="13"/>
      <c r="M38566" s="13"/>
    </row>
    <row r="38567">
      <c r="F38567" s="13"/>
      <c r="M38567" s="13"/>
    </row>
    <row r="38568">
      <c r="F38568" s="13"/>
      <c r="M38568" s="13"/>
    </row>
    <row r="38569">
      <c r="F38569" s="13"/>
      <c r="M38569" s="13"/>
    </row>
    <row r="38570">
      <c r="F38570" s="13"/>
      <c r="M38570" s="13"/>
    </row>
    <row r="38571">
      <c r="F38571" s="13"/>
      <c r="M38571" s="13"/>
    </row>
    <row r="38572">
      <c r="F38572" s="13"/>
      <c r="M38572" s="13"/>
    </row>
    <row r="38573">
      <c r="F38573" s="13"/>
      <c r="M38573" s="13"/>
    </row>
    <row r="38574">
      <c r="F38574" s="13"/>
      <c r="M38574" s="13"/>
    </row>
    <row r="38575">
      <c r="F38575" s="13"/>
      <c r="M38575" s="13"/>
    </row>
    <row r="38576">
      <c r="F38576" s="13"/>
      <c r="M38576" s="13"/>
    </row>
    <row r="38577">
      <c r="F38577" s="13"/>
      <c r="M38577" s="13"/>
    </row>
    <row r="38578">
      <c r="F38578" s="13"/>
      <c r="M38578" s="13"/>
    </row>
    <row r="38579">
      <c r="F38579" s="13"/>
      <c r="M38579" s="13"/>
    </row>
    <row r="38580">
      <c r="F38580" s="13"/>
      <c r="M38580" s="13"/>
    </row>
    <row r="38581">
      <c r="F38581" s="13"/>
      <c r="M38581" s="13"/>
    </row>
    <row r="38582">
      <c r="F38582" s="13"/>
      <c r="M38582" s="13"/>
    </row>
    <row r="38583">
      <c r="F38583" s="13"/>
      <c r="M38583" s="13"/>
    </row>
    <row r="38584">
      <c r="F38584" s="13"/>
      <c r="M38584" s="13"/>
    </row>
    <row r="38585">
      <c r="F38585" s="13"/>
      <c r="M38585" s="13"/>
    </row>
    <row r="38586">
      <c r="F38586" s="13"/>
      <c r="M38586" s="13"/>
    </row>
    <row r="38587">
      <c r="F38587" s="13"/>
      <c r="M38587" s="13"/>
    </row>
    <row r="38588">
      <c r="F38588" s="13"/>
      <c r="M38588" s="13"/>
    </row>
    <row r="38589">
      <c r="F38589" s="13"/>
      <c r="M38589" s="13"/>
    </row>
    <row r="38590">
      <c r="F38590" s="13"/>
      <c r="M38590" s="13"/>
    </row>
    <row r="38591">
      <c r="F38591" s="13"/>
      <c r="M38591" s="13"/>
    </row>
    <row r="38592">
      <c r="F38592" s="13"/>
      <c r="M38592" s="13"/>
    </row>
    <row r="38593">
      <c r="F38593" s="13"/>
      <c r="M38593" s="13"/>
    </row>
    <row r="38594">
      <c r="F38594" s="13"/>
      <c r="M38594" s="13"/>
    </row>
    <row r="38595">
      <c r="F38595" s="13"/>
      <c r="M38595" s="13"/>
    </row>
    <row r="38596">
      <c r="F38596" s="13"/>
      <c r="M38596" s="13"/>
    </row>
    <row r="38597">
      <c r="F38597" s="13"/>
      <c r="M38597" s="13"/>
    </row>
    <row r="38598">
      <c r="F38598" s="13"/>
      <c r="M38598" s="13"/>
    </row>
    <row r="38599">
      <c r="F38599" s="13"/>
      <c r="M38599" s="13"/>
    </row>
    <row r="38600">
      <c r="F38600" s="13"/>
      <c r="M38600" s="13"/>
    </row>
    <row r="38601">
      <c r="F38601" s="13"/>
      <c r="M38601" s="13"/>
    </row>
    <row r="38602">
      <c r="F38602" s="13"/>
      <c r="M38602" s="13"/>
    </row>
    <row r="38603">
      <c r="F38603" s="13"/>
      <c r="M38603" s="13"/>
    </row>
    <row r="38604">
      <c r="F38604" s="13"/>
      <c r="M38604" s="13"/>
    </row>
    <row r="38605">
      <c r="F38605" s="13"/>
      <c r="M38605" s="13"/>
    </row>
    <row r="38606">
      <c r="F38606" s="13"/>
      <c r="M38606" s="13"/>
    </row>
    <row r="38607">
      <c r="F38607" s="13"/>
      <c r="M38607" s="13"/>
    </row>
    <row r="38608">
      <c r="F38608" s="13"/>
      <c r="M38608" s="13"/>
    </row>
    <row r="38609">
      <c r="F38609" s="13"/>
      <c r="M38609" s="13"/>
    </row>
    <row r="38610">
      <c r="F38610" s="13"/>
      <c r="M38610" s="13"/>
    </row>
    <row r="38611">
      <c r="F38611" s="13"/>
      <c r="M38611" s="13"/>
    </row>
    <row r="38612">
      <c r="F38612" s="13"/>
      <c r="M38612" s="13"/>
    </row>
    <row r="38613">
      <c r="F38613" s="13"/>
      <c r="M38613" s="13"/>
    </row>
    <row r="38614">
      <c r="F38614" s="13"/>
      <c r="M38614" s="13"/>
    </row>
    <row r="38615">
      <c r="F38615" s="13"/>
      <c r="M38615" s="13"/>
    </row>
    <row r="38616">
      <c r="F38616" s="13"/>
      <c r="M38616" s="13"/>
    </row>
    <row r="38617">
      <c r="F38617" s="13"/>
      <c r="M38617" s="13"/>
    </row>
    <row r="38618">
      <c r="F38618" s="13"/>
      <c r="M38618" s="13"/>
    </row>
    <row r="38619">
      <c r="F38619" s="13"/>
      <c r="M38619" s="13"/>
    </row>
    <row r="38620">
      <c r="F38620" s="13"/>
      <c r="M38620" s="13"/>
    </row>
    <row r="38621">
      <c r="F38621" s="13"/>
      <c r="M38621" s="13"/>
    </row>
    <row r="38622">
      <c r="F38622" s="13"/>
      <c r="M38622" s="13"/>
    </row>
    <row r="38623">
      <c r="F38623" s="13"/>
      <c r="M38623" s="13"/>
    </row>
    <row r="38624">
      <c r="F38624" s="13"/>
      <c r="M38624" s="13"/>
    </row>
    <row r="38625">
      <c r="F38625" s="13"/>
      <c r="M38625" s="13"/>
    </row>
    <row r="38626">
      <c r="F38626" s="13"/>
      <c r="M38626" s="13"/>
    </row>
    <row r="38627">
      <c r="F38627" s="13"/>
      <c r="M38627" s="13"/>
    </row>
    <row r="38628">
      <c r="F38628" s="13"/>
      <c r="M38628" s="13"/>
    </row>
    <row r="38629">
      <c r="F38629" s="13"/>
      <c r="M38629" s="13"/>
    </row>
    <row r="38630">
      <c r="F38630" s="13"/>
      <c r="M38630" s="13"/>
    </row>
    <row r="38631">
      <c r="F38631" s="13"/>
      <c r="M38631" s="13"/>
    </row>
    <row r="38632">
      <c r="F38632" s="13"/>
      <c r="M38632" s="13"/>
    </row>
    <row r="38633">
      <c r="F38633" s="13"/>
      <c r="M38633" s="13"/>
    </row>
    <row r="38634">
      <c r="F38634" s="13"/>
      <c r="M38634" s="13"/>
    </row>
    <row r="38635">
      <c r="F38635" s="13"/>
      <c r="M38635" s="13"/>
    </row>
    <row r="38636">
      <c r="F38636" s="13"/>
      <c r="M38636" s="13"/>
    </row>
    <row r="38637">
      <c r="F38637" s="13"/>
      <c r="M38637" s="13"/>
    </row>
    <row r="38638">
      <c r="F38638" s="13"/>
      <c r="M38638" s="13"/>
    </row>
    <row r="38639">
      <c r="F38639" s="13"/>
      <c r="M38639" s="13"/>
    </row>
    <row r="38640">
      <c r="F38640" s="13"/>
      <c r="M38640" s="13"/>
    </row>
    <row r="38641">
      <c r="F38641" s="13"/>
      <c r="M38641" s="13"/>
    </row>
    <row r="38642">
      <c r="F38642" s="13"/>
      <c r="M38642" s="13"/>
    </row>
    <row r="38643">
      <c r="F38643" s="13"/>
      <c r="M38643" s="13"/>
    </row>
    <row r="38644">
      <c r="F38644" s="13"/>
      <c r="M38644" s="13"/>
    </row>
    <row r="38645">
      <c r="F38645" s="13"/>
      <c r="M38645" s="13"/>
    </row>
    <row r="38646">
      <c r="F38646" s="13"/>
      <c r="M38646" s="13"/>
    </row>
    <row r="38647">
      <c r="F38647" s="13"/>
      <c r="M38647" s="13"/>
    </row>
    <row r="38648">
      <c r="F38648" s="13"/>
      <c r="M38648" s="13"/>
    </row>
    <row r="38649">
      <c r="F38649" s="13"/>
      <c r="M38649" s="13"/>
    </row>
    <row r="38650">
      <c r="F38650" s="13"/>
      <c r="M38650" s="13"/>
    </row>
    <row r="38651">
      <c r="F38651" s="13"/>
      <c r="M38651" s="13"/>
    </row>
    <row r="38652">
      <c r="F38652" s="13"/>
      <c r="M38652" s="13"/>
    </row>
    <row r="38653">
      <c r="F38653" s="13"/>
      <c r="M38653" s="13"/>
    </row>
    <row r="38654">
      <c r="F38654" s="13"/>
      <c r="M38654" s="13"/>
    </row>
    <row r="38655">
      <c r="F38655" s="13"/>
      <c r="M38655" s="13"/>
    </row>
    <row r="38656">
      <c r="F38656" s="13"/>
      <c r="M38656" s="13"/>
    </row>
    <row r="38657">
      <c r="F38657" s="13"/>
      <c r="M38657" s="13"/>
    </row>
    <row r="38658">
      <c r="F38658" s="13"/>
      <c r="M38658" s="13"/>
    </row>
    <row r="38659">
      <c r="F38659" s="13"/>
      <c r="M38659" s="13"/>
    </row>
    <row r="38660">
      <c r="F38660" s="13"/>
      <c r="M38660" s="13"/>
    </row>
    <row r="38661">
      <c r="F38661" s="13"/>
      <c r="M38661" s="13"/>
    </row>
    <row r="38662">
      <c r="F38662" s="13"/>
      <c r="M38662" s="13"/>
    </row>
    <row r="38663">
      <c r="F38663" s="13"/>
      <c r="M38663" s="13"/>
    </row>
    <row r="38664">
      <c r="F38664" s="13"/>
      <c r="M38664" s="13"/>
    </row>
    <row r="38665">
      <c r="F38665" s="13"/>
      <c r="M38665" s="13"/>
    </row>
    <row r="38666">
      <c r="F38666" s="13"/>
      <c r="M38666" s="13"/>
    </row>
    <row r="38667">
      <c r="F38667" s="13"/>
      <c r="M38667" s="13"/>
    </row>
    <row r="38668">
      <c r="F38668" s="13"/>
      <c r="M38668" s="13"/>
    </row>
    <row r="38669">
      <c r="F38669" s="13"/>
      <c r="M38669" s="13"/>
    </row>
    <row r="38670">
      <c r="F38670" s="13"/>
      <c r="M38670" s="13"/>
    </row>
    <row r="38671">
      <c r="F38671" s="13"/>
      <c r="M38671" s="13"/>
    </row>
    <row r="38672">
      <c r="F38672" s="13"/>
      <c r="M38672" s="13"/>
    </row>
    <row r="38673">
      <c r="F38673" s="13"/>
      <c r="M38673" s="13"/>
    </row>
    <row r="38674">
      <c r="F38674" s="13"/>
      <c r="M38674" s="13"/>
    </row>
    <row r="38675">
      <c r="F38675" s="13"/>
      <c r="M38675" s="13"/>
    </row>
    <row r="38676">
      <c r="F38676" s="13"/>
      <c r="M38676" s="13"/>
    </row>
    <row r="38677">
      <c r="F38677" s="13"/>
      <c r="M38677" s="13"/>
    </row>
    <row r="38678">
      <c r="F38678" s="13"/>
      <c r="M38678" s="13"/>
    </row>
    <row r="38679">
      <c r="F38679" s="13"/>
      <c r="M38679" s="13"/>
    </row>
    <row r="38680">
      <c r="F38680" s="13"/>
      <c r="M38680" s="13"/>
    </row>
    <row r="38681">
      <c r="F38681" s="13"/>
      <c r="M38681" s="13"/>
    </row>
    <row r="38682">
      <c r="F38682" s="13"/>
      <c r="M38682" s="13"/>
    </row>
    <row r="38683">
      <c r="F38683" s="13"/>
      <c r="M38683" s="13"/>
    </row>
    <row r="38684">
      <c r="F38684" s="13"/>
      <c r="M38684" s="13"/>
    </row>
    <row r="38685">
      <c r="F38685" s="13"/>
      <c r="M38685" s="13"/>
    </row>
    <row r="38686">
      <c r="F38686" s="13"/>
      <c r="M38686" s="13"/>
    </row>
    <row r="38687">
      <c r="F38687" s="13"/>
      <c r="M38687" s="13"/>
    </row>
    <row r="38688">
      <c r="F38688" s="13"/>
      <c r="M38688" s="13"/>
    </row>
    <row r="38689">
      <c r="F38689" s="13"/>
      <c r="M38689" s="13"/>
    </row>
    <row r="38690">
      <c r="F38690" s="13"/>
      <c r="M38690" s="13"/>
    </row>
    <row r="38691">
      <c r="F38691" s="13"/>
      <c r="M38691" s="13"/>
    </row>
    <row r="38692">
      <c r="F38692" s="13"/>
      <c r="M38692" s="13"/>
    </row>
    <row r="38693">
      <c r="F38693" s="13"/>
      <c r="M38693" s="13"/>
    </row>
    <row r="38694">
      <c r="F38694" s="13"/>
      <c r="M38694" s="13"/>
    </row>
    <row r="38695">
      <c r="F38695" s="13"/>
      <c r="M38695" s="13"/>
    </row>
    <row r="38696">
      <c r="F38696" s="13"/>
      <c r="M38696" s="13"/>
    </row>
    <row r="38697">
      <c r="F38697" s="13"/>
      <c r="M38697" s="13"/>
    </row>
    <row r="38698">
      <c r="F38698" s="13"/>
      <c r="M38698" s="13"/>
    </row>
    <row r="38699">
      <c r="F38699" s="13"/>
      <c r="M38699" s="13"/>
    </row>
    <row r="38700">
      <c r="F38700" s="13"/>
      <c r="M38700" s="13"/>
    </row>
    <row r="38701">
      <c r="F38701" s="13"/>
      <c r="M38701" s="13"/>
    </row>
    <row r="38702">
      <c r="F38702" s="13"/>
      <c r="M38702" s="13"/>
    </row>
    <row r="38703">
      <c r="F38703" s="13"/>
      <c r="M38703" s="13"/>
    </row>
    <row r="38704">
      <c r="F38704" s="13"/>
      <c r="M38704" s="13"/>
    </row>
    <row r="38705">
      <c r="F38705" s="13"/>
      <c r="M38705" s="13"/>
    </row>
    <row r="38706">
      <c r="F38706" s="13"/>
      <c r="M38706" s="13"/>
    </row>
    <row r="38707">
      <c r="F38707" s="13"/>
      <c r="M38707" s="13"/>
    </row>
    <row r="38708">
      <c r="F38708" s="13"/>
      <c r="M38708" s="13"/>
    </row>
    <row r="38709">
      <c r="F38709" s="13"/>
      <c r="M38709" s="13"/>
    </row>
    <row r="38710">
      <c r="F38710" s="13"/>
      <c r="M38710" s="13"/>
    </row>
    <row r="38711">
      <c r="F38711" s="13"/>
      <c r="M38711" s="13"/>
    </row>
    <row r="38712">
      <c r="F38712" s="13"/>
      <c r="M38712" s="13"/>
    </row>
    <row r="38713">
      <c r="F38713" s="13"/>
      <c r="M38713" s="13"/>
    </row>
    <row r="38714">
      <c r="F38714" s="13"/>
      <c r="M38714" s="13"/>
    </row>
    <row r="38715">
      <c r="F38715" s="13"/>
      <c r="M38715" s="13"/>
    </row>
    <row r="38716">
      <c r="F38716" s="13"/>
      <c r="M38716" s="13"/>
    </row>
    <row r="38717">
      <c r="F38717" s="13"/>
      <c r="M38717" s="13"/>
    </row>
    <row r="38718">
      <c r="F38718" s="13"/>
      <c r="M38718" s="13"/>
    </row>
    <row r="38719">
      <c r="F38719" s="13"/>
      <c r="M38719" s="13"/>
    </row>
    <row r="38720">
      <c r="F38720" s="13"/>
      <c r="M38720" s="13"/>
    </row>
    <row r="38721">
      <c r="F38721" s="13"/>
      <c r="M38721" s="13"/>
    </row>
    <row r="38722">
      <c r="F38722" s="13"/>
      <c r="M38722" s="13"/>
    </row>
    <row r="38723">
      <c r="F38723" s="13"/>
      <c r="M38723" s="13"/>
    </row>
    <row r="38724">
      <c r="F38724" s="13"/>
      <c r="M38724" s="13"/>
    </row>
    <row r="38725">
      <c r="F38725" s="13"/>
      <c r="M38725" s="13"/>
    </row>
    <row r="38726">
      <c r="F38726" s="13"/>
      <c r="M38726" s="13"/>
    </row>
    <row r="38727">
      <c r="F38727" s="13"/>
      <c r="M38727" s="13"/>
    </row>
    <row r="38728">
      <c r="F38728" s="13"/>
      <c r="M38728" s="13"/>
    </row>
    <row r="38729">
      <c r="F38729" s="13"/>
      <c r="M38729" s="13"/>
    </row>
    <row r="38730">
      <c r="F38730" s="13"/>
      <c r="M38730" s="13"/>
    </row>
    <row r="38731">
      <c r="F38731" s="13"/>
      <c r="M38731" s="13"/>
    </row>
    <row r="38732">
      <c r="F38732" s="13"/>
      <c r="M38732" s="13"/>
    </row>
    <row r="38733">
      <c r="F38733" s="13"/>
      <c r="M38733" s="13"/>
    </row>
    <row r="38734">
      <c r="F38734" s="13"/>
      <c r="M38734" s="13"/>
    </row>
    <row r="38735">
      <c r="F38735" s="13"/>
      <c r="M38735" s="13"/>
    </row>
    <row r="38736">
      <c r="F38736" s="13"/>
      <c r="M38736" s="13"/>
    </row>
    <row r="38737">
      <c r="F38737" s="13"/>
      <c r="M38737" s="13"/>
    </row>
    <row r="38738">
      <c r="F38738" s="13"/>
      <c r="M38738" s="13"/>
    </row>
    <row r="38739">
      <c r="F38739" s="13"/>
      <c r="M38739" s="13"/>
    </row>
    <row r="38740">
      <c r="F38740" s="13"/>
      <c r="M38740" s="13"/>
    </row>
    <row r="38741">
      <c r="F38741" s="13"/>
      <c r="M38741" s="13"/>
    </row>
    <row r="38742">
      <c r="F38742" s="13"/>
      <c r="M38742" s="13"/>
    </row>
    <row r="38743">
      <c r="F38743" s="13"/>
      <c r="M38743" s="13"/>
    </row>
    <row r="38744">
      <c r="F38744" s="13"/>
      <c r="M38744" s="13"/>
    </row>
    <row r="38745">
      <c r="F38745" s="13"/>
      <c r="M38745" s="13"/>
    </row>
    <row r="38746">
      <c r="F38746" s="13"/>
      <c r="M38746" s="13"/>
    </row>
    <row r="38747">
      <c r="F38747" s="13"/>
      <c r="M38747" s="13"/>
    </row>
    <row r="38748">
      <c r="F38748" s="13"/>
      <c r="M38748" s="13"/>
    </row>
    <row r="38749">
      <c r="F38749" s="13"/>
      <c r="M38749" s="13"/>
    </row>
    <row r="38750">
      <c r="F38750" s="13"/>
      <c r="M38750" s="13"/>
    </row>
    <row r="38751">
      <c r="F38751" s="13"/>
      <c r="M38751" s="13"/>
    </row>
    <row r="38752">
      <c r="F38752" s="13"/>
      <c r="M38752" s="13"/>
    </row>
    <row r="38753">
      <c r="F38753" s="13"/>
      <c r="M38753" s="13"/>
    </row>
    <row r="38754">
      <c r="F38754" s="13"/>
      <c r="M38754" s="13"/>
    </row>
    <row r="38755">
      <c r="F38755" s="13"/>
      <c r="M38755" s="13"/>
    </row>
    <row r="38756">
      <c r="F38756" s="13"/>
      <c r="M38756" s="13"/>
    </row>
    <row r="38757">
      <c r="F38757" s="13"/>
      <c r="M38757" s="13"/>
    </row>
    <row r="38758">
      <c r="F38758" s="13"/>
      <c r="M38758" s="13"/>
    </row>
    <row r="38759">
      <c r="F38759" s="13"/>
      <c r="M38759" s="13"/>
    </row>
    <row r="38760">
      <c r="F38760" s="13"/>
      <c r="M38760" s="13"/>
    </row>
    <row r="38761">
      <c r="F38761" s="13"/>
      <c r="M38761" s="13"/>
    </row>
    <row r="38762">
      <c r="F38762" s="13"/>
      <c r="M38762" s="13"/>
    </row>
    <row r="38763">
      <c r="F38763" s="13"/>
      <c r="M38763" s="13"/>
    </row>
    <row r="38764">
      <c r="F38764" s="13"/>
      <c r="M38764" s="13"/>
    </row>
    <row r="38765">
      <c r="F38765" s="13"/>
      <c r="M38765" s="13"/>
    </row>
    <row r="38766">
      <c r="F38766" s="13"/>
      <c r="M38766" s="13"/>
    </row>
    <row r="38767">
      <c r="F38767" s="13"/>
      <c r="M38767" s="13"/>
    </row>
    <row r="38768">
      <c r="F38768" s="13"/>
      <c r="M38768" s="13"/>
    </row>
    <row r="38769">
      <c r="F38769" s="13"/>
      <c r="M38769" s="13"/>
    </row>
    <row r="38770">
      <c r="F38770" s="13"/>
      <c r="M38770" s="13"/>
    </row>
    <row r="38771">
      <c r="F38771" s="13"/>
      <c r="M38771" s="13"/>
    </row>
    <row r="38772">
      <c r="F38772" s="13"/>
      <c r="M38772" s="13"/>
    </row>
    <row r="38773">
      <c r="F38773" s="13"/>
      <c r="M38773" s="13"/>
    </row>
    <row r="38774">
      <c r="F38774" s="13"/>
      <c r="M38774" s="13"/>
    </row>
    <row r="38775">
      <c r="F38775" s="13"/>
      <c r="M38775" s="13"/>
    </row>
    <row r="38776">
      <c r="F38776" s="13"/>
      <c r="M38776" s="13"/>
    </row>
    <row r="38777">
      <c r="F38777" s="13"/>
      <c r="M38777" s="13"/>
    </row>
    <row r="38778">
      <c r="F38778" s="13"/>
      <c r="M38778" s="13"/>
    </row>
    <row r="38779">
      <c r="F38779" s="13"/>
      <c r="M38779" s="13"/>
    </row>
    <row r="38780">
      <c r="F38780" s="13"/>
      <c r="M38780" s="13"/>
    </row>
    <row r="38781">
      <c r="F38781" s="13"/>
      <c r="M38781" s="13"/>
    </row>
    <row r="38782">
      <c r="F38782" s="13"/>
      <c r="M38782" s="13"/>
    </row>
    <row r="38783">
      <c r="F38783" s="13"/>
      <c r="M38783" s="13"/>
    </row>
    <row r="38784">
      <c r="F38784" s="13"/>
      <c r="M38784" s="13"/>
    </row>
    <row r="38785">
      <c r="F38785" s="13"/>
      <c r="M38785" s="13"/>
    </row>
    <row r="38786">
      <c r="F38786" s="13"/>
      <c r="M38786" s="13"/>
    </row>
    <row r="38787">
      <c r="F38787" s="13"/>
      <c r="M38787" s="13"/>
    </row>
    <row r="38788">
      <c r="F38788" s="13"/>
      <c r="M38788" s="13"/>
    </row>
    <row r="38789">
      <c r="F38789" s="13"/>
      <c r="M38789" s="13"/>
    </row>
    <row r="38790">
      <c r="F38790" s="13"/>
      <c r="M38790" s="13"/>
    </row>
    <row r="38791">
      <c r="F38791" s="13"/>
      <c r="M38791" s="13"/>
    </row>
    <row r="38792">
      <c r="F38792" s="13"/>
      <c r="M38792" s="13"/>
    </row>
    <row r="38793">
      <c r="F38793" s="13"/>
      <c r="M38793" s="13"/>
    </row>
    <row r="38794">
      <c r="F38794" s="13"/>
      <c r="M38794" s="13"/>
    </row>
    <row r="38795">
      <c r="F38795" s="13"/>
      <c r="M38795" s="13"/>
    </row>
    <row r="38796">
      <c r="F38796" s="13"/>
      <c r="M38796" s="13"/>
    </row>
    <row r="38797">
      <c r="F38797" s="13"/>
      <c r="M38797" s="13"/>
    </row>
    <row r="38798">
      <c r="F38798" s="13"/>
      <c r="M38798" s="13"/>
    </row>
    <row r="38799">
      <c r="F38799" s="13"/>
      <c r="M38799" s="13"/>
    </row>
    <row r="38800">
      <c r="F38800" s="13"/>
      <c r="M38800" s="13"/>
    </row>
    <row r="38801">
      <c r="F38801" s="13"/>
      <c r="M38801" s="13"/>
    </row>
    <row r="38802">
      <c r="F38802" s="13"/>
      <c r="M38802" s="13"/>
    </row>
    <row r="38803">
      <c r="F38803" s="13"/>
      <c r="M38803" s="13"/>
    </row>
    <row r="38804">
      <c r="F38804" s="13"/>
      <c r="M38804" s="13"/>
    </row>
    <row r="38805">
      <c r="F38805" s="13"/>
      <c r="M38805" s="13"/>
    </row>
    <row r="38806">
      <c r="F38806" s="13"/>
      <c r="M38806" s="13"/>
    </row>
    <row r="38807">
      <c r="F38807" s="13"/>
      <c r="M38807" s="13"/>
    </row>
    <row r="38808">
      <c r="F38808" s="13"/>
      <c r="M38808" s="13"/>
    </row>
    <row r="38809">
      <c r="F38809" s="13"/>
      <c r="M38809" s="13"/>
    </row>
    <row r="38810">
      <c r="F38810" s="13"/>
      <c r="M38810" s="13"/>
    </row>
    <row r="38811">
      <c r="F38811" s="13"/>
      <c r="M38811" s="13"/>
    </row>
    <row r="38812">
      <c r="F38812" s="13"/>
      <c r="M38812" s="13"/>
    </row>
    <row r="38813">
      <c r="F38813" s="13"/>
      <c r="M38813" s="13"/>
    </row>
    <row r="38814">
      <c r="F38814" s="13"/>
      <c r="M38814" s="13"/>
    </row>
    <row r="38815">
      <c r="F38815" s="13"/>
      <c r="M38815" s="13"/>
    </row>
    <row r="38816">
      <c r="F38816" s="13"/>
      <c r="M38816" s="13"/>
    </row>
    <row r="38817">
      <c r="F38817" s="13"/>
      <c r="M38817" s="13"/>
    </row>
    <row r="38818">
      <c r="F38818" s="13"/>
      <c r="M38818" s="13"/>
    </row>
    <row r="38819">
      <c r="F38819" s="13"/>
      <c r="M38819" s="13"/>
    </row>
    <row r="38820">
      <c r="F38820" s="13"/>
      <c r="M38820" s="13"/>
    </row>
    <row r="38821">
      <c r="F38821" s="13"/>
      <c r="M38821" s="13"/>
    </row>
    <row r="38822">
      <c r="F38822" s="13"/>
      <c r="M38822" s="13"/>
    </row>
    <row r="38823">
      <c r="F38823" s="13"/>
      <c r="M38823" s="13"/>
    </row>
    <row r="38824">
      <c r="F38824" s="13"/>
      <c r="M38824" s="13"/>
    </row>
    <row r="38825">
      <c r="F38825" s="13"/>
      <c r="M38825" s="13"/>
    </row>
    <row r="38826">
      <c r="F38826" s="13"/>
      <c r="M38826" s="13"/>
    </row>
    <row r="38827">
      <c r="F38827" s="13"/>
      <c r="M38827" s="13"/>
    </row>
    <row r="38828">
      <c r="F38828" s="13"/>
      <c r="M38828" s="13"/>
    </row>
    <row r="38829">
      <c r="F38829" s="13"/>
      <c r="M38829" s="13"/>
    </row>
    <row r="38830">
      <c r="F38830" s="13"/>
      <c r="M38830" s="13"/>
    </row>
    <row r="38831">
      <c r="F38831" s="13"/>
      <c r="M38831" s="13"/>
    </row>
    <row r="38832">
      <c r="F38832" s="13"/>
      <c r="M38832" s="13"/>
    </row>
    <row r="38833">
      <c r="F38833" s="13"/>
      <c r="M38833" s="13"/>
    </row>
    <row r="38834">
      <c r="F38834" s="13"/>
      <c r="M38834" s="13"/>
    </row>
    <row r="38835">
      <c r="F38835" s="13"/>
      <c r="M38835" s="13"/>
    </row>
    <row r="38836">
      <c r="F38836" s="13"/>
      <c r="M38836" s="13"/>
    </row>
    <row r="38837">
      <c r="F38837" s="13"/>
      <c r="M38837" s="13"/>
    </row>
    <row r="38838">
      <c r="F38838" s="13"/>
      <c r="M38838" s="13"/>
    </row>
    <row r="38839">
      <c r="F38839" s="13"/>
      <c r="M38839" s="13"/>
    </row>
    <row r="38840">
      <c r="F38840" s="13"/>
      <c r="M38840" s="13"/>
    </row>
    <row r="38841">
      <c r="F38841" s="13"/>
      <c r="M38841" s="13"/>
    </row>
    <row r="38842">
      <c r="F38842" s="13"/>
      <c r="M38842" s="13"/>
    </row>
    <row r="38843">
      <c r="F38843" s="13"/>
      <c r="M38843" s="13"/>
    </row>
    <row r="38844">
      <c r="F38844" s="13"/>
      <c r="M38844" s="13"/>
    </row>
    <row r="38845">
      <c r="F38845" s="13"/>
      <c r="M38845" s="13"/>
    </row>
    <row r="38846">
      <c r="F38846" s="13"/>
      <c r="M38846" s="13"/>
    </row>
    <row r="38847">
      <c r="F38847" s="13"/>
      <c r="M38847" s="13"/>
    </row>
    <row r="38848">
      <c r="F38848" s="13"/>
      <c r="M38848" s="13"/>
    </row>
    <row r="38849">
      <c r="F38849" s="13"/>
      <c r="M38849" s="13"/>
    </row>
    <row r="38850">
      <c r="F38850" s="13"/>
      <c r="M38850" s="13"/>
    </row>
    <row r="38851">
      <c r="F38851" s="13"/>
      <c r="M38851" s="13"/>
    </row>
    <row r="38852">
      <c r="F38852" s="13"/>
      <c r="M38852" s="13"/>
    </row>
    <row r="38853">
      <c r="F38853" s="13"/>
      <c r="M38853" s="13"/>
    </row>
    <row r="38854">
      <c r="F38854" s="13"/>
      <c r="M38854" s="13"/>
    </row>
    <row r="38855">
      <c r="F38855" s="13"/>
      <c r="M38855" s="13"/>
    </row>
    <row r="38856">
      <c r="F38856" s="13"/>
      <c r="M38856" s="13"/>
    </row>
    <row r="38857">
      <c r="F38857" s="13"/>
      <c r="M38857" s="13"/>
    </row>
    <row r="38858">
      <c r="F38858" s="13"/>
      <c r="M38858" s="13"/>
    </row>
    <row r="38859">
      <c r="F38859" s="13"/>
      <c r="M38859" s="13"/>
    </row>
    <row r="38860">
      <c r="F38860" s="13"/>
      <c r="M38860" s="13"/>
    </row>
    <row r="38861">
      <c r="F38861" s="13"/>
      <c r="M38861" s="13"/>
    </row>
    <row r="38862">
      <c r="F38862" s="13"/>
      <c r="M38862" s="13"/>
    </row>
    <row r="38863">
      <c r="F38863" s="13"/>
      <c r="M38863" s="13"/>
    </row>
    <row r="38864">
      <c r="F38864" s="13"/>
      <c r="M38864" s="13"/>
    </row>
    <row r="38865">
      <c r="F38865" s="13"/>
      <c r="M38865" s="13"/>
    </row>
    <row r="38866">
      <c r="F38866" s="13"/>
      <c r="M38866" s="13"/>
    </row>
    <row r="38867">
      <c r="F38867" s="13"/>
      <c r="M38867" s="13"/>
    </row>
    <row r="38868">
      <c r="F38868" s="13"/>
      <c r="M38868" s="13"/>
    </row>
    <row r="38869">
      <c r="F38869" s="13"/>
      <c r="M38869" s="13"/>
    </row>
    <row r="38870">
      <c r="F38870" s="13"/>
      <c r="M38870" s="13"/>
    </row>
    <row r="38871">
      <c r="F38871" s="13"/>
      <c r="M38871" s="13"/>
    </row>
    <row r="38872">
      <c r="F38872" s="13"/>
      <c r="M38872" s="13"/>
    </row>
    <row r="38873">
      <c r="F38873" s="13"/>
      <c r="M38873" s="13"/>
    </row>
    <row r="38874">
      <c r="F38874" s="13"/>
      <c r="M38874" s="13"/>
    </row>
    <row r="38875">
      <c r="F38875" s="13"/>
      <c r="M38875" s="13"/>
    </row>
    <row r="38876">
      <c r="F38876" s="13"/>
      <c r="M38876" s="13"/>
    </row>
    <row r="38877">
      <c r="F38877" s="13"/>
      <c r="M38877" s="13"/>
    </row>
    <row r="38878">
      <c r="F38878" s="13"/>
      <c r="M38878" s="13"/>
    </row>
    <row r="38879">
      <c r="F38879" s="13"/>
      <c r="M38879" s="13"/>
    </row>
    <row r="38880">
      <c r="F38880" s="13"/>
      <c r="M38880" s="13"/>
    </row>
    <row r="38881">
      <c r="F38881" s="13"/>
      <c r="M38881" s="13"/>
    </row>
    <row r="38882">
      <c r="F38882" s="13"/>
      <c r="M38882" s="13"/>
    </row>
    <row r="38883">
      <c r="F38883" s="13"/>
      <c r="M38883" s="13"/>
    </row>
    <row r="38884">
      <c r="F38884" s="13"/>
      <c r="M38884" s="13"/>
    </row>
    <row r="38885">
      <c r="F38885" s="13"/>
      <c r="M38885" s="13"/>
    </row>
    <row r="38886">
      <c r="F38886" s="13"/>
      <c r="M38886" s="13"/>
    </row>
    <row r="38887">
      <c r="F38887" s="13"/>
      <c r="M38887" s="13"/>
    </row>
    <row r="38888">
      <c r="F38888" s="13"/>
      <c r="M38888" s="13"/>
    </row>
    <row r="38889">
      <c r="F38889" s="13"/>
      <c r="M38889" s="13"/>
    </row>
    <row r="38890">
      <c r="F38890" s="13"/>
      <c r="M38890" s="13"/>
    </row>
    <row r="38891">
      <c r="F38891" s="13"/>
      <c r="M38891" s="13"/>
    </row>
    <row r="38892">
      <c r="F38892" s="13"/>
      <c r="M38892" s="13"/>
    </row>
    <row r="38893">
      <c r="F38893" s="13"/>
      <c r="M38893" s="13"/>
    </row>
    <row r="38894">
      <c r="F38894" s="13"/>
      <c r="M38894" s="13"/>
    </row>
    <row r="38895">
      <c r="F38895" s="13"/>
      <c r="M38895" s="13"/>
    </row>
    <row r="38896">
      <c r="F38896" s="13"/>
      <c r="M38896" s="13"/>
    </row>
    <row r="38897">
      <c r="F38897" s="13"/>
      <c r="M38897" s="13"/>
    </row>
    <row r="38898">
      <c r="F38898" s="13"/>
      <c r="M38898" s="13"/>
    </row>
    <row r="38899">
      <c r="F38899" s="13"/>
      <c r="M38899" s="13"/>
    </row>
    <row r="38900">
      <c r="F38900" s="13"/>
      <c r="M38900" s="13"/>
    </row>
    <row r="38901">
      <c r="F38901" s="13"/>
      <c r="M38901" s="13"/>
    </row>
    <row r="38902">
      <c r="F38902" s="13"/>
      <c r="M38902" s="13"/>
    </row>
    <row r="38903">
      <c r="F38903" s="13"/>
      <c r="M38903" s="13"/>
    </row>
    <row r="38904">
      <c r="F38904" s="13"/>
      <c r="M38904" s="13"/>
    </row>
    <row r="38905">
      <c r="F38905" s="13"/>
      <c r="M38905" s="13"/>
    </row>
    <row r="38906">
      <c r="F38906" s="13"/>
      <c r="M38906" s="13"/>
    </row>
    <row r="38907">
      <c r="F38907" s="13"/>
      <c r="M38907" s="13"/>
    </row>
    <row r="38908">
      <c r="F38908" s="13"/>
      <c r="M38908" s="13"/>
    </row>
    <row r="38909">
      <c r="F38909" s="13"/>
      <c r="M38909" s="13"/>
    </row>
    <row r="38910">
      <c r="F38910" s="13"/>
      <c r="M38910" s="13"/>
    </row>
    <row r="38911">
      <c r="F38911" s="13"/>
      <c r="M38911" s="13"/>
    </row>
    <row r="38912">
      <c r="F38912" s="13"/>
      <c r="M38912" s="13"/>
    </row>
    <row r="38913">
      <c r="F38913" s="13"/>
      <c r="M38913" s="13"/>
    </row>
    <row r="38914">
      <c r="F38914" s="13"/>
      <c r="M38914" s="13"/>
    </row>
    <row r="38915">
      <c r="F38915" s="13"/>
      <c r="M38915" s="13"/>
    </row>
    <row r="38916">
      <c r="F38916" s="13"/>
      <c r="M38916" s="13"/>
    </row>
    <row r="38917">
      <c r="F38917" s="13"/>
      <c r="M38917" s="13"/>
    </row>
    <row r="38918">
      <c r="F38918" s="13"/>
      <c r="M38918" s="13"/>
    </row>
    <row r="38919">
      <c r="F38919" s="13"/>
      <c r="M38919" s="13"/>
    </row>
    <row r="38920">
      <c r="F38920" s="13"/>
      <c r="M38920" s="13"/>
    </row>
    <row r="38921">
      <c r="F38921" s="13"/>
      <c r="M38921" s="13"/>
    </row>
    <row r="38922">
      <c r="F38922" s="13"/>
      <c r="M38922" s="13"/>
    </row>
    <row r="38923">
      <c r="F38923" s="13"/>
      <c r="M38923" s="13"/>
    </row>
    <row r="38924">
      <c r="F38924" s="13"/>
      <c r="M38924" s="13"/>
    </row>
    <row r="38925">
      <c r="F38925" s="13"/>
      <c r="M38925" s="13"/>
    </row>
    <row r="38926">
      <c r="F38926" s="13"/>
      <c r="M38926" s="13"/>
    </row>
    <row r="38927">
      <c r="F38927" s="13"/>
      <c r="M38927" s="13"/>
    </row>
    <row r="38928">
      <c r="F38928" s="13"/>
      <c r="M38928" s="13"/>
    </row>
    <row r="38929">
      <c r="F38929" s="13"/>
      <c r="M38929" s="13"/>
    </row>
    <row r="38930">
      <c r="F38930" s="13"/>
      <c r="M38930" s="13"/>
    </row>
    <row r="38931">
      <c r="F38931" s="13"/>
      <c r="M38931" s="13"/>
    </row>
    <row r="38932">
      <c r="F38932" s="13"/>
      <c r="M38932" s="13"/>
    </row>
    <row r="38933">
      <c r="F38933" s="13"/>
      <c r="M38933" s="13"/>
    </row>
    <row r="38934">
      <c r="F38934" s="13"/>
      <c r="M38934" s="13"/>
    </row>
    <row r="38935">
      <c r="F38935" s="13"/>
      <c r="M38935" s="13"/>
    </row>
    <row r="38936">
      <c r="F38936" s="13"/>
      <c r="M38936" s="13"/>
    </row>
    <row r="38937">
      <c r="F38937" s="13"/>
      <c r="M38937" s="13"/>
    </row>
    <row r="38938">
      <c r="F38938" s="13"/>
      <c r="M38938" s="13"/>
    </row>
    <row r="38939">
      <c r="F38939" s="13"/>
      <c r="M38939" s="13"/>
    </row>
    <row r="38940">
      <c r="F38940" s="13"/>
      <c r="M38940" s="13"/>
    </row>
    <row r="38941">
      <c r="F38941" s="13"/>
      <c r="M38941" s="13"/>
    </row>
    <row r="38942">
      <c r="F38942" s="13"/>
      <c r="M38942" s="13"/>
    </row>
    <row r="38943">
      <c r="F38943" s="13"/>
      <c r="M38943" s="13"/>
    </row>
    <row r="38944">
      <c r="F38944" s="13"/>
      <c r="M38944" s="13"/>
    </row>
    <row r="38945">
      <c r="F38945" s="13"/>
      <c r="M38945" s="13"/>
    </row>
    <row r="38946">
      <c r="F38946" s="13"/>
      <c r="M38946" s="13"/>
    </row>
    <row r="38947">
      <c r="F38947" s="13"/>
      <c r="M38947" s="13"/>
    </row>
    <row r="38948">
      <c r="F38948" s="13"/>
      <c r="M38948" s="13"/>
    </row>
    <row r="38949">
      <c r="F38949" s="13"/>
      <c r="M38949" s="13"/>
    </row>
    <row r="38950">
      <c r="F38950" s="13"/>
      <c r="M38950" s="13"/>
    </row>
    <row r="38951">
      <c r="F38951" s="13"/>
      <c r="M38951" s="13"/>
    </row>
    <row r="38952">
      <c r="F38952" s="13"/>
      <c r="M38952" s="13"/>
    </row>
    <row r="38953">
      <c r="F38953" s="13"/>
      <c r="M38953" s="13"/>
    </row>
    <row r="38954">
      <c r="F38954" s="13"/>
      <c r="M38954" s="13"/>
    </row>
    <row r="38955">
      <c r="F38955" s="13"/>
      <c r="M38955" s="13"/>
    </row>
    <row r="38956">
      <c r="F38956" s="13"/>
      <c r="M38956" s="13"/>
    </row>
    <row r="38957">
      <c r="F38957" s="13"/>
      <c r="M38957" s="13"/>
    </row>
    <row r="38958">
      <c r="F38958" s="13"/>
      <c r="M38958" s="13"/>
    </row>
    <row r="38959">
      <c r="F38959" s="13"/>
      <c r="M38959" s="13"/>
    </row>
    <row r="38960">
      <c r="F38960" s="13"/>
      <c r="M38960" s="13"/>
    </row>
    <row r="38961">
      <c r="F38961" s="13"/>
      <c r="M38961" s="13"/>
    </row>
    <row r="38962">
      <c r="F38962" s="13"/>
      <c r="M38962" s="13"/>
    </row>
    <row r="38963">
      <c r="F38963" s="13"/>
      <c r="M38963" s="13"/>
    </row>
    <row r="38964">
      <c r="F38964" s="13"/>
      <c r="M38964" s="13"/>
    </row>
    <row r="38965">
      <c r="F38965" s="13"/>
      <c r="M38965" s="13"/>
    </row>
    <row r="38966">
      <c r="F38966" s="13"/>
      <c r="M38966" s="13"/>
    </row>
    <row r="38967">
      <c r="F38967" s="13"/>
      <c r="M38967" s="13"/>
    </row>
    <row r="38968">
      <c r="F38968" s="13"/>
      <c r="M38968" s="13"/>
    </row>
    <row r="38969">
      <c r="F38969" s="13"/>
      <c r="M38969" s="13"/>
    </row>
    <row r="38970">
      <c r="F38970" s="13"/>
      <c r="M38970" s="13"/>
    </row>
    <row r="38971">
      <c r="F38971" s="13"/>
      <c r="M38971" s="13"/>
    </row>
    <row r="38972">
      <c r="F38972" s="13"/>
      <c r="M38972" s="13"/>
    </row>
    <row r="38973">
      <c r="F38973" s="13"/>
      <c r="M38973" s="13"/>
    </row>
    <row r="38974">
      <c r="F38974" s="13"/>
      <c r="M38974" s="13"/>
    </row>
    <row r="38975">
      <c r="F38975" s="13"/>
      <c r="M38975" s="13"/>
    </row>
    <row r="38976">
      <c r="F38976" s="13"/>
      <c r="M38976" s="13"/>
    </row>
    <row r="38977">
      <c r="F38977" s="13"/>
      <c r="M38977" s="13"/>
    </row>
    <row r="38978">
      <c r="F38978" s="13"/>
      <c r="M38978" s="13"/>
    </row>
    <row r="38979">
      <c r="F38979" s="13"/>
      <c r="M38979" s="13"/>
    </row>
    <row r="38980">
      <c r="F38980" s="13"/>
      <c r="M38980" s="13"/>
    </row>
    <row r="38981">
      <c r="F38981" s="13"/>
      <c r="M38981" s="13"/>
    </row>
    <row r="38982">
      <c r="F38982" s="13"/>
      <c r="M38982" s="13"/>
    </row>
    <row r="38983">
      <c r="F38983" s="13"/>
      <c r="M38983" s="13"/>
    </row>
    <row r="38984">
      <c r="F38984" s="13"/>
      <c r="M38984" s="13"/>
    </row>
    <row r="38985">
      <c r="F38985" s="13"/>
      <c r="M38985" s="13"/>
    </row>
    <row r="38986">
      <c r="F38986" s="13"/>
      <c r="M38986" s="13"/>
    </row>
    <row r="38987">
      <c r="F38987" s="13"/>
      <c r="M38987" s="13"/>
    </row>
    <row r="38988">
      <c r="F38988" s="13"/>
      <c r="M38988" s="13"/>
    </row>
    <row r="38989">
      <c r="F38989" s="13"/>
      <c r="M38989" s="13"/>
    </row>
    <row r="38990">
      <c r="F38990" s="13"/>
      <c r="M38990" s="13"/>
    </row>
    <row r="38991">
      <c r="F38991" s="13"/>
      <c r="M38991" s="13"/>
    </row>
    <row r="38992">
      <c r="F38992" s="13"/>
      <c r="M38992" s="13"/>
    </row>
    <row r="38993">
      <c r="F38993" s="13"/>
      <c r="M38993" s="13"/>
    </row>
    <row r="38994">
      <c r="F38994" s="13"/>
      <c r="M38994" s="13"/>
    </row>
    <row r="38995">
      <c r="F38995" s="13"/>
      <c r="M38995" s="13"/>
    </row>
    <row r="38996">
      <c r="F38996" s="13"/>
      <c r="M38996" s="13"/>
    </row>
    <row r="38997">
      <c r="F38997" s="13"/>
      <c r="M38997" s="13"/>
    </row>
    <row r="38998">
      <c r="F38998" s="13"/>
      <c r="M38998" s="13"/>
    </row>
    <row r="38999">
      <c r="F38999" s="13"/>
      <c r="M38999" s="13"/>
    </row>
    <row r="39000">
      <c r="F39000" s="13"/>
      <c r="M39000" s="13"/>
    </row>
    <row r="39001">
      <c r="F39001" s="13"/>
      <c r="M39001" s="13"/>
    </row>
    <row r="39002">
      <c r="F39002" s="13"/>
      <c r="M39002" s="13"/>
    </row>
    <row r="39003">
      <c r="F39003" s="13"/>
      <c r="M39003" s="13"/>
    </row>
    <row r="39004">
      <c r="F39004" s="13"/>
      <c r="M39004" s="13"/>
    </row>
    <row r="39005">
      <c r="F39005" s="13"/>
      <c r="M39005" s="13"/>
    </row>
    <row r="39006">
      <c r="F39006" s="13"/>
      <c r="M39006" s="13"/>
    </row>
    <row r="39007">
      <c r="F39007" s="13"/>
      <c r="M39007" s="13"/>
    </row>
    <row r="39008">
      <c r="F39008" s="13"/>
      <c r="M39008" s="13"/>
    </row>
    <row r="39009">
      <c r="F39009" s="13"/>
      <c r="M39009" s="13"/>
    </row>
    <row r="39010">
      <c r="F39010" s="13"/>
      <c r="M39010" s="13"/>
    </row>
    <row r="39011">
      <c r="F39011" s="13"/>
      <c r="M39011" s="13"/>
    </row>
    <row r="39012">
      <c r="F39012" s="13"/>
      <c r="M39012" s="13"/>
    </row>
    <row r="39013">
      <c r="F39013" s="13"/>
      <c r="M39013" s="13"/>
    </row>
    <row r="39014">
      <c r="F39014" s="13"/>
      <c r="M39014" s="13"/>
    </row>
    <row r="39015">
      <c r="F39015" s="13"/>
      <c r="M39015" s="13"/>
    </row>
    <row r="39016">
      <c r="F39016" s="13"/>
      <c r="M39016" s="13"/>
    </row>
    <row r="39017">
      <c r="F39017" s="13"/>
      <c r="M39017" s="13"/>
    </row>
    <row r="39018">
      <c r="F39018" s="13"/>
      <c r="M39018" s="13"/>
    </row>
    <row r="39019">
      <c r="F39019" s="13"/>
      <c r="M39019" s="13"/>
    </row>
    <row r="39020">
      <c r="F39020" s="13"/>
      <c r="M39020" s="13"/>
    </row>
    <row r="39021">
      <c r="F39021" s="13"/>
      <c r="M39021" s="13"/>
    </row>
    <row r="39022">
      <c r="F39022" s="13"/>
      <c r="M39022" s="13"/>
    </row>
    <row r="39023">
      <c r="F39023" s="13"/>
      <c r="M39023" s="13"/>
    </row>
    <row r="39024">
      <c r="F39024" s="13"/>
      <c r="M39024" s="13"/>
    </row>
    <row r="39025">
      <c r="F39025" s="13"/>
      <c r="M39025" s="13"/>
    </row>
    <row r="39026">
      <c r="F39026" s="13"/>
      <c r="M39026" s="13"/>
    </row>
    <row r="39027">
      <c r="F39027" s="13"/>
      <c r="M39027" s="13"/>
    </row>
    <row r="39028">
      <c r="F39028" s="13"/>
      <c r="M39028" s="13"/>
    </row>
    <row r="39029">
      <c r="F39029" s="13"/>
      <c r="M39029" s="13"/>
    </row>
    <row r="39030">
      <c r="F39030" s="13"/>
      <c r="M39030" s="13"/>
    </row>
    <row r="39031">
      <c r="F39031" s="13"/>
      <c r="M39031" s="13"/>
    </row>
    <row r="39032">
      <c r="F39032" s="13"/>
      <c r="M39032" s="13"/>
    </row>
    <row r="39033">
      <c r="F39033" s="13"/>
      <c r="M39033" s="13"/>
    </row>
    <row r="39034">
      <c r="F39034" s="13"/>
      <c r="M39034" s="13"/>
    </row>
    <row r="39035">
      <c r="F39035" s="13"/>
      <c r="M39035" s="13"/>
    </row>
    <row r="39036">
      <c r="F39036" s="13"/>
      <c r="M39036" s="13"/>
    </row>
    <row r="39037">
      <c r="F39037" s="13"/>
      <c r="M39037" s="13"/>
    </row>
    <row r="39038">
      <c r="F39038" s="13"/>
      <c r="M39038" s="13"/>
    </row>
    <row r="39039">
      <c r="F39039" s="13"/>
      <c r="M39039" s="13"/>
    </row>
    <row r="39040">
      <c r="F39040" s="13"/>
      <c r="M39040" s="13"/>
    </row>
    <row r="39041">
      <c r="F39041" s="13"/>
      <c r="M39041" s="13"/>
    </row>
    <row r="39042">
      <c r="F39042" s="13"/>
      <c r="M39042" s="13"/>
    </row>
    <row r="39043">
      <c r="F39043" s="13"/>
      <c r="M39043" s="13"/>
    </row>
    <row r="39044">
      <c r="F39044" s="13"/>
      <c r="M39044" s="13"/>
    </row>
    <row r="39045">
      <c r="F39045" s="13"/>
      <c r="M39045" s="13"/>
    </row>
    <row r="39046">
      <c r="F39046" s="13"/>
      <c r="M39046" s="13"/>
    </row>
    <row r="39047">
      <c r="F39047" s="13"/>
      <c r="M39047" s="13"/>
    </row>
    <row r="39048">
      <c r="F39048" s="13"/>
      <c r="M39048" s="13"/>
    </row>
    <row r="39049">
      <c r="F39049" s="13"/>
      <c r="M39049" s="13"/>
    </row>
    <row r="39050">
      <c r="F39050" s="13"/>
      <c r="M39050" s="13"/>
    </row>
    <row r="39051">
      <c r="F39051" s="13"/>
      <c r="M39051" s="13"/>
    </row>
    <row r="39052">
      <c r="F39052" s="13"/>
      <c r="M39052" s="13"/>
    </row>
    <row r="39053">
      <c r="F39053" s="13"/>
      <c r="M39053" s="13"/>
    </row>
    <row r="39054">
      <c r="F39054" s="13"/>
      <c r="M39054" s="13"/>
    </row>
    <row r="39055">
      <c r="F39055" s="13"/>
      <c r="M39055" s="13"/>
    </row>
    <row r="39056">
      <c r="F39056" s="13"/>
      <c r="M39056" s="13"/>
    </row>
    <row r="39057">
      <c r="F39057" s="13"/>
      <c r="M39057" s="13"/>
    </row>
    <row r="39058">
      <c r="F39058" s="13"/>
      <c r="M39058" s="13"/>
    </row>
    <row r="39059">
      <c r="F39059" s="13"/>
      <c r="M39059" s="13"/>
    </row>
    <row r="39060">
      <c r="F39060" s="13"/>
      <c r="M39060" s="13"/>
    </row>
    <row r="39061">
      <c r="F39061" s="13"/>
      <c r="M39061" s="13"/>
    </row>
    <row r="39062">
      <c r="F39062" s="13"/>
      <c r="M39062" s="13"/>
    </row>
    <row r="39063">
      <c r="F39063" s="13"/>
      <c r="M39063" s="13"/>
    </row>
    <row r="39064">
      <c r="F39064" s="13"/>
      <c r="M39064" s="13"/>
    </row>
    <row r="39065">
      <c r="F39065" s="13"/>
      <c r="M39065" s="13"/>
    </row>
    <row r="39066">
      <c r="F39066" s="13"/>
      <c r="M39066" s="13"/>
    </row>
    <row r="39067">
      <c r="F39067" s="13"/>
      <c r="M39067" s="13"/>
    </row>
    <row r="39068">
      <c r="F39068" s="13"/>
      <c r="M39068" s="13"/>
    </row>
    <row r="39069">
      <c r="F39069" s="13"/>
      <c r="M39069" s="13"/>
    </row>
    <row r="39070">
      <c r="F39070" s="13"/>
      <c r="M39070" s="13"/>
    </row>
    <row r="39071">
      <c r="F39071" s="13"/>
      <c r="M39071" s="13"/>
    </row>
    <row r="39072">
      <c r="F39072" s="13"/>
      <c r="M39072" s="13"/>
    </row>
    <row r="39073">
      <c r="F39073" s="13"/>
      <c r="M39073" s="13"/>
    </row>
    <row r="39074">
      <c r="F39074" s="13"/>
      <c r="M39074" s="13"/>
    </row>
    <row r="39075">
      <c r="F39075" s="13"/>
      <c r="M39075" s="13"/>
    </row>
    <row r="39076">
      <c r="F39076" s="13"/>
      <c r="M39076" s="13"/>
    </row>
    <row r="39077">
      <c r="F39077" s="13"/>
      <c r="M39077" s="13"/>
    </row>
    <row r="39078">
      <c r="F39078" s="13"/>
      <c r="M39078" s="13"/>
    </row>
    <row r="39079">
      <c r="F39079" s="13"/>
      <c r="M39079" s="13"/>
    </row>
    <row r="39080">
      <c r="F39080" s="13"/>
      <c r="M39080" s="13"/>
    </row>
    <row r="39081">
      <c r="F39081" s="13"/>
      <c r="M39081" s="13"/>
    </row>
    <row r="39082">
      <c r="F39082" s="13"/>
      <c r="M39082" s="13"/>
    </row>
    <row r="39083">
      <c r="F39083" s="13"/>
      <c r="M39083" s="13"/>
    </row>
    <row r="39084">
      <c r="F39084" s="13"/>
      <c r="M39084" s="13"/>
    </row>
    <row r="39085">
      <c r="F39085" s="13"/>
      <c r="M39085" s="13"/>
    </row>
    <row r="39086">
      <c r="F39086" s="13"/>
      <c r="M39086" s="13"/>
    </row>
    <row r="39087">
      <c r="F39087" s="13"/>
      <c r="M39087" s="13"/>
    </row>
    <row r="39088">
      <c r="F39088" s="13"/>
      <c r="M39088" s="13"/>
    </row>
    <row r="39089">
      <c r="F39089" s="13"/>
      <c r="M39089" s="13"/>
    </row>
    <row r="39090">
      <c r="F39090" s="13"/>
      <c r="M39090" s="13"/>
    </row>
    <row r="39091">
      <c r="F39091" s="13"/>
      <c r="M39091" s="13"/>
    </row>
    <row r="39092">
      <c r="F39092" s="13"/>
      <c r="M39092" s="13"/>
    </row>
    <row r="39093">
      <c r="F39093" s="13"/>
      <c r="M39093" s="13"/>
    </row>
    <row r="39094">
      <c r="F39094" s="13"/>
      <c r="M39094" s="13"/>
    </row>
    <row r="39095">
      <c r="F39095" s="13"/>
      <c r="M39095" s="13"/>
    </row>
    <row r="39096">
      <c r="F39096" s="13"/>
      <c r="M39096" s="13"/>
    </row>
    <row r="39097">
      <c r="F39097" s="13"/>
      <c r="M39097" s="13"/>
    </row>
    <row r="39098">
      <c r="F39098" s="13"/>
      <c r="M39098" s="13"/>
    </row>
    <row r="39099">
      <c r="F39099" s="13"/>
      <c r="M39099" s="13"/>
    </row>
    <row r="39100">
      <c r="F39100" s="13"/>
      <c r="M39100" s="13"/>
    </row>
    <row r="39101">
      <c r="F39101" s="13"/>
      <c r="M39101" s="13"/>
    </row>
    <row r="39102">
      <c r="F39102" s="13"/>
      <c r="M39102" s="13"/>
    </row>
    <row r="39103">
      <c r="F39103" s="13"/>
      <c r="M39103" s="13"/>
    </row>
    <row r="39104">
      <c r="F39104" s="13"/>
      <c r="M39104" s="13"/>
    </row>
    <row r="39105">
      <c r="F39105" s="13"/>
      <c r="M39105" s="13"/>
    </row>
    <row r="39106">
      <c r="F39106" s="13"/>
      <c r="M39106" s="13"/>
    </row>
    <row r="39107">
      <c r="F39107" s="13"/>
      <c r="M39107" s="13"/>
    </row>
    <row r="39108">
      <c r="F39108" s="13"/>
      <c r="M39108" s="13"/>
    </row>
    <row r="39109">
      <c r="F39109" s="13"/>
      <c r="M39109" s="13"/>
    </row>
    <row r="39110">
      <c r="F39110" s="13"/>
      <c r="M39110" s="13"/>
    </row>
    <row r="39111">
      <c r="F39111" s="13"/>
      <c r="M39111" s="13"/>
    </row>
    <row r="39112">
      <c r="F39112" s="13"/>
      <c r="M39112" s="13"/>
    </row>
    <row r="39113">
      <c r="F39113" s="13"/>
      <c r="M39113" s="13"/>
    </row>
    <row r="39114">
      <c r="F39114" s="13"/>
      <c r="M39114" s="13"/>
    </row>
    <row r="39115">
      <c r="F39115" s="13"/>
      <c r="M39115" s="13"/>
    </row>
    <row r="39116">
      <c r="F39116" s="13"/>
      <c r="M39116" s="13"/>
    </row>
    <row r="39117">
      <c r="F39117" s="13"/>
      <c r="M39117" s="13"/>
    </row>
    <row r="39118">
      <c r="F39118" s="13"/>
      <c r="M39118" s="13"/>
    </row>
    <row r="39119">
      <c r="F39119" s="13"/>
      <c r="M39119" s="13"/>
    </row>
    <row r="39120">
      <c r="F39120" s="13"/>
      <c r="M39120" s="13"/>
    </row>
    <row r="39121">
      <c r="F39121" s="13"/>
      <c r="M39121" s="13"/>
    </row>
    <row r="39122">
      <c r="F39122" s="13"/>
      <c r="M39122" s="13"/>
    </row>
    <row r="39123">
      <c r="F39123" s="13"/>
      <c r="M39123" s="13"/>
    </row>
    <row r="39124">
      <c r="F39124" s="13"/>
      <c r="M39124" s="13"/>
    </row>
    <row r="39125">
      <c r="F39125" s="13"/>
      <c r="M39125" s="13"/>
    </row>
    <row r="39126">
      <c r="F39126" s="13"/>
      <c r="M39126" s="13"/>
    </row>
    <row r="39127">
      <c r="F39127" s="13"/>
      <c r="M39127" s="13"/>
    </row>
    <row r="39128">
      <c r="F39128" s="13"/>
      <c r="M39128" s="13"/>
    </row>
    <row r="39129">
      <c r="F39129" s="13"/>
      <c r="M39129" s="13"/>
    </row>
    <row r="39130">
      <c r="F39130" s="13"/>
      <c r="M39130" s="13"/>
    </row>
    <row r="39131">
      <c r="F39131" s="13"/>
      <c r="M39131" s="13"/>
    </row>
    <row r="39132">
      <c r="F39132" s="13"/>
      <c r="M39132" s="13"/>
    </row>
    <row r="39133">
      <c r="F39133" s="13"/>
      <c r="M39133" s="13"/>
    </row>
    <row r="39134">
      <c r="F39134" s="13"/>
      <c r="M39134" s="13"/>
    </row>
    <row r="39135">
      <c r="F39135" s="13"/>
      <c r="M39135" s="13"/>
    </row>
    <row r="39136">
      <c r="F39136" s="13"/>
      <c r="M39136" s="13"/>
    </row>
    <row r="39137">
      <c r="F39137" s="13"/>
      <c r="M39137" s="13"/>
    </row>
    <row r="39138">
      <c r="F39138" s="13"/>
      <c r="M39138" s="13"/>
    </row>
    <row r="39139">
      <c r="F39139" s="13"/>
      <c r="M39139" s="13"/>
    </row>
    <row r="39140">
      <c r="F39140" s="13"/>
      <c r="M39140" s="13"/>
    </row>
    <row r="39141">
      <c r="F39141" s="13"/>
      <c r="M39141" s="13"/>
    </row>
    <row r="39142">
      <c r="F39142" s="13"/>
      <c r="M39142" s="13"/>
    </row>
    <row r="39143">
      <c r="F39143" s="13"/>
      <c r="M39143" s="13"/>
    </row>
    <row r="39144">
      <c r="F39144" s="13"/>
      <c r="M39144" s="13"/>
    </row>
    <row r="39145">
      <c r="F39145" s="13"/>
      <c r="M39145" s="13"/>
    </row>
    <row r="39146">
      <c r="F39146" s="13"/>
      <c r="M39146" s="13"/>
    </row>
    <row r="39147">
      <c r="F39147" s="13"/>
      <c r="M39147" s="13"/>
    </row>
    <row r="39148">
      <c r="F39148" s="13"/>
      <c r="M39148" s="13"/>
    </row>
    <row r="39149">
      <c r="F39149" s="13"/>
      <c r="M39149" s="13"/>
    </row>
    <row r="39150">
      <c r="F39150" s="13"/>
      <c r="M39150" s="13"/>
    </row>
    <row r="39151">
      <c r="F39151" s="13"/>
      <c r="M39151" s="13"/>
    </row>
    <row r="39152">
      <c r="F39152" s="13"/>
      <c r="M39152" s="13"/>
    </row>
    <row r="39153">
      <c r="F39153" s="13"/>
      <c r="M39153" s="13"/>
    </row>
    <row r="39154">
      <c r="F39154" s="13"/>
      <c r="M39154" s="13"/>
    </row>
    <row r="39155">
      <c r="F39155" s="13"/>
      <c r="M39155" s="13"/>
    </row>
    <row r="39156">
      <c r="F39156" s="13"/>
      <c r="M39156" s="13"/>
    </row>
    <row r="39157">
      <c r="F39157" s="13"/>
      <c r="M39157" s="13"/>
    </row>
    <row r="39158">
      <c r="F39158" s="13"/>
      <c r="M39158" s="13"/>
    </row>
    <row r="39159">
      <c r="F39159" s="13"/>
      <c r="M39159" s="13"/>
    </row>
    <row r="39160">
      <c r="F39160" s="13"/>
      <c r="M39160" s="13"/>
    </row>
    <row r="39161">
      <c r="F39161" s="13"/>
      <c r="M39161" s="13"/>
    </row>
    <row r="39162">
      <c r="F39162" s="13"/>
      <c r="M39162" s="13"/>
    </row>
    <row r="39163">
      <c r="F39163" s="13"/>
      <c r="M39163" s="13"/>
    </row>
    <row r="39164">
      <c r="F39164" s="13"/>
      <c r="M39164" s="13"/>
    </row>
    <row r="39165">
      <c r="F39165" s="13"/>
      <c r="M39165" s="13"/>
    </row>
    <row r="39166">
      <c r="F39166" s="13"/>
      <c r="M39166" s="13"/>
    </row>
    <row r="39167">
      <c r="F39167" s="13"/>
      <c r="M39167" s="13"/>
    </row>
    <row r="39168">
      <c r="F39168" s="13"/>
      <c r="M39168" s="13"/>
    </row>
    <row r="39169">
      <c r="F39169" s="13"/>
      <c r="M39169" s="13"/>
    </row>
    <row r="39170">
      <c r="F39170" s="13"/>
      <c r="M39170" s="13"/>
    </row>
    <row r="39171">
      <c r="F39171" s="13"/>
      <c r="M39171" s="13"/>
    </row>
    <row r="39172">
      <c r="F39172" s="13"/>
      <c r="M39172" s="13"/>
    </row>
    <row r="39173">
      <c r="F39173" s="13"/>
      <c r="M39173" s="13"/>
    </row>
    <row r="39174">
      <c r="F39174" s="13"/>
      <c r="M39174" s="13"/>
    </row>
    <row r="39175">
      <c r="F39175" s="13"/>
      <c r="M39175" s="13"/>
    </row>
    <row r="39176">
      <c r="F39176" s="13"/>
      <c r="M39176" s="13"/>
    </row>
    <row r="39177">
      <c r="F39177" s="13"/>
      <c r="M39177" s="13"/>
    </row>
    <row r="39178">
      <c r="F39178" s="13"/>
      <c r="M39178" s="13"/>
    </row>
    <row r="39179">
      <c r="F39179" s="13"/>
      <c r="M39179" s="13"/>
    </row>
    <row r="39180">
      <c r="F39180" s="13"/>
      <c r="M39180" s="13"/>
    </row>
    <row r="39181">
      <c r="F39181" s="13"/>
      <c r="M39181" s="13"/>
    </row>
    <row r="39182">
      <c r="F39182" s="13"/>
      <c r="M39182" s="13"/>
    </row>
    <row r="39183">
      <c r="F39183" s="13"/>
      <c r="M39183" s="13"/>
    </row>
    <row r="39184">
      <c r="F39184" s="13"/>
      <c r="M39184" s="13"/>
    </row>
    <row r="39185">
      <c r="F39185" s="13"/>
      <c r="M39185" s="13"/>
    </row>
    <row r="39186">
      <c r="F39186" s="13"/>
      <c r="M39186" s="13"/>
    </row>
    <row r="39187">
      <c r="F39187" s="13"/>
      <c r="M39187" s="13"/>
    </row>
    <row r="39188">
      <c r="F39188" s="13"/>
      <c r="M39188" s="13"/>
    </row>
    <row r="39189">
      <c r="F39189" s="13"/>
      <c r="M39189" s="13"/>
    </row>
    <row r="39190">
      <c r="F39190" s="13"/>
      <c r="M39190" s="13"/>
    </row>
    <row r="39191">
      <c r="F39191" s="13"/>
      <c r="M39191" s="13"/>
    </row>
    <row r="39192">
      <c r="F39192" s="13"/>
      <c r="M39192" s="13"/>
    </row>
    <row r="39193">
      <c r="F39193" s="13"/>
      <c r="M39193" s="13"/>
    </row>
    <row r="39194">
      <c r="F39194" s="13"/>
      <c r="M39194" s="13"/>
    </row>
    <row r="39195">
      <c r="F39195" s="13"/>
      <c r="M39195" s="13"/>
    </row>
    <row r="39196">
      <c r="F39196" s="13"/>
      <c r="M39196" s="13"/>
    </row>
    <row r="39197">
      <c r="F39197" s="13"/>
      <c r="M39197" s="13"/>
    </row>
    <row r="39198">
      <c r="F39198" s="13"/>
      <c r="M39198" s="13"/>
    </row>
    <row r="39199">
      <c r="F39199" s="13"/>
      <c r="M39199" s="13"/>
    </row>
    <row r="39200">
      <c r="F39200" s="13"/>
      <c r="M39200" s="13"/>
    </row>
    <row r="39201">
      <c r="F39201" s="13"/>
      <c r="M39201" s="13"/>
    </row>
    <row r="39202">
      <c r="F39202" s="13"/>
      <c r="M39202" s="13"/>
    </row>
    <row r="39203">
      <c r="F39203" s="13"/>
      <c r="M39203" s="13"/>
    </row>
    <row r="39204">
      <c r="F39204" s="13"/>
      <c r="M39204" s="13"/>
    </row>
    <row r="39205">
      <c r="F39205" s="13"/>
      <c r="M39205" s="13"/>
    </row>
    <row r="39206">
      <c r="F39206" s="13"/>
      <c r="M39206" s="13"/>
    </row>
    <row r="39207">
      <c r="F39207" s="13"/>
      <c r="M39207" s="13"/>
    </row>
    <row r="39208">
      <c r="F39208" s="13"/>
      <c r="M39208" s="13"/>
    </row>
    <row r="39209">
      <c r="F39209" s="13"/>
      <c r="M39209" s="13"/>
    </row>
    <row r="39210">
      <c r="F39210" s="13"/>
      <c r="M39210" s="13"/>
    </row>
    <row r="39211">
      <c r="F39211" s="13"/>
      <c r="M39211" s="13"/>
    </row>
    <row r="39212">
      <c r="F39212" s="13"/>
      <c r="M39212" s="13"/>
    </row>
    <row r="39213">
      <c r="F39213" s="13"/>
      <c r="M39213" s="13"/>
    </row>
    <row r="39214">
      <c r="F39214" s="13"/>
      <c r="M39214" s="13"/>
    </row>
    <row r="39215">
      <c r="F39215" s="13"/>
      <c r="M39215" s="13"/>
    </row>
    <row r="39216">
      <c r="F39216" s="13"/>
      <c r="M39216" s="13"/>
    </row>
    <row r="39217">
      <c r="F39217" s="13"/>
      <c r="M39217" s="13"/>
    </row>
    <row r="39218">
      <c r="F39218" s="13"/>
      <c r="M39218" s="13"/>
    </row>
    <row r="39219">
      <c r="F39219" s="13"/>
      <c r="M39219" s="13"/>
    </row>
    <row r="39220">
      <c r="F39220" s="13"/>
      <c r="M39220" s="13"/>
    </row>
    <row r="39221">
      <c r="F39221" s="13"/>
      <c r="M39221" s="13"/>
    </row>
    <row r="39222">
      <c r="F39222" s="13"/>
      <c r="M39222" s="13"/>
    </row>
    <row r="39223">
      <c r="F39223" s="13"/>
      <c r="M39223" s="13"/>
    </row>
    <row r="39224">
      <c r="F39224" s="13"/>
      <c r="M39224" s="13"/>
    </row>
    <row r="39225">
      <c r="F39225" s="13"/>
      <c r="M39225" s="13"/>
    </row>
    <row r="39226">
      <c r="F39226" s="13"/>
      <c r="M39226" s="13"/>
    </row>
    <row r="39227">
      <c r="F39227" s="13"/>
      <c r="M39227" s="13"/>
    </row>
    <row r="39228">
      <c r="F39228" s="13"/>
      <c r="M39228" s="13"/>
    </row>
    <row r="39229">
      <c r="F39229" s="13"/>
      <c r="M39229" s="13"/>
    </row>
    <row r="39230">
      <c r="F39230" s="13"/>
      <c r="M39230" s="13"/>
    </row>
    <row r="39231">
      <c r="F39231" s="13"/>
      <c r="M39231" s="13"/>
    </row>
    <row r="39232">
      <c r="F39232" s="13"/>
      <c r="M39232" s="13"/>
    </row>
    <row r="39233">
      <c r="F39233" s="13"/>
      <c r="M39233" s="13"/>
    </row>
    <row r="39234">
      <c r="F39234" s="13"/>
      <c r="M39234" s="13"/>
    </row>
    <row r="39235">
      <c r="F39235" s="13"/>
      <c r="M39235" s="13"/>
    </row>
    <row r="39236">
      <c r="F39236" s="13"/>
      <c r="M39236" s="13"/>
    </row>
    <row r="39237">
      <c r="F39237" s="13"/>
      <c r="M39237" s="13"/>
    </row>
    <row r="39238">
      <c r="F39238" s="13"/>
      <c r="M39238" s="13"/>
    </row>
    <row r="39239">
      <c r="F39239" s="13"/>
      <c r="M39239" s="13"/>
    </row>
    <row r="39240">
      <c r="F39240" s="13"/>
      <c r="M39240" s="13"/>
    </row>
    <row r="39241">
      <c r="F39241" s="13"/>
      <c r="M39241" s="13"/>
    </row>
    <row r="39242">
      <c r="F39242" s="13"/>
      <c r="M39242" s="13"/>
    </row>
    <row r="39243">
      <c r="F39243" s="13"/>
      <c r="M39243" s="13"/>
    </row>
    <row r="39244">
      <c r="F39244" s="13"/>
      <c r="M39244" s="13"/>
    </row>
    <row r="39245">
      <c r="F39245" s="13"/>
      <c r="M39245" s="13"/>
    </row>
    <row r="39246">
      <c r="F39246" s="13"/>
      <c r="M39246" s="13"/>
    </row>
    <row r="39247">
      <c r="F39247" s="13"/>
      <c r="M39247" s="13"/>
    </row>
    <row r="39248">
      <c r="F39248" s="13"/>
      <c r="M39248" s="13"/>
    </row>
    <row r="39249">
      <c r="F39249" s="13"/>
      <c r="M39249" s="13"/>
    </row>
    <row r="39250">
      <c r="F39250" s="13"/>
      <c r="M39250" s="13"/>
    </row>
    <row r="39251">
      <c r="F39251" s="13"/>
      <c r="M39251" s="13"/>
    </row>
    <row r="39252">
      <c r="F39252" s="13"/>
      <c r="M39252" s="13"/>
    </row>
    <row r="39253">
      <c r="F39253" s="13"/>
      <c r="M39253" s="13"/>
    </row>
    <row r="39254">
      <c r="F39254" s="13"/>
      <c r="M39254" s="13"/>
    </row>
    <row r="39255">
      <c r="F39255" s="13"/>
      <c r="M39255" s="13"/>
    </row>
    <row r="39256">
      <c r="F39256" s="13"/>
      <c r="M39256" s="13"/>
    </row>
    <row r="39257">
      <c r="F39257" s="13"/>
      <c r="M39257" s="13"/>
    </row>
    <row r="39258">
      <c r="F39258" s="13"/>
      <c r="M39258" s="13"/>
    </row>
    <row r="39259">
      <c r="F39259" s="13"/>
      <c r="M39259" s="13"/>
    </row>
    <row r="39260">
      <c r="F39260" s="13"/>
      <c r="M39260" s="13"/>
    </row>
    <row r="39261">
      <c r="F39261" s="13"/>
      <c r="M39261" s="13"/>
    </row>
    <row r="39262">
      <c r="F39262" s="13"/>
      <c r="M39262" s="13"/>
    </row>
    <row r="39263">
      <c r="F39263" s="13"/>
      <c r="M39263" s="13"/>
    </row>
    <row r="39264">
      <c r="F39264" s="13"/>
      <c r="M39264" s="13"/>
    </row>
    <row r="39265">
      <c r="F39265" s="13"/>
      <c r="M39265" s="13"/>
    </row>
    <row r="39266">
      <c r="F39266" s="13"/>
      <c r="M39266" s="13"/>
    </row>
    <row r="39267">
      <c r="F39267" s="13"/>
      <c r="M39267" s="13"/>
    </row>
    <row r="39268">
      <c r="F39268" s="13"/>
      <c r="M39268" s="13"/>
    </row>
    <row r="39269">
      <c r="F39269" s="13"/>
      <c r="M39269" s="13"/>
    </row>
    <row r="39270">
      <c r="F39270" s="13"/>
      <c r="M39270" s="13"/>
    </row>
    <row r="39271">
      <c r="F39271" s="13"/>
      <c r="M39271" s="13"/>
    </row>
    <row r="39272">
      <c r="F39272" s="13"/>
      <c r="M39272" s="13"/>
    </row>
    <row r="39273">
      <c r="F39273" s="13"/>
      <c r="M39273" s="13"/>
    </row>
    <row r="39274">
      <c r="F39274" s="13"/>
      <c r="M39274" s="13"/>
    </row>
    <row r="39275">
      <c r="F39275" s="13"/>
      <c r="M39275" s="13"/>
    </row>
    <row r="39276">
      <c r="F39276" s="13"/>
      <c r="M39276" s="13"/>
    </row>
    <row r="39277">
      <c r="F39277" s="13"/>
      <c r="M39277" s="13"/>
    </row>
    <row r="39278">
      <c r="F39278" s="13"/>
      <c r="M39278" s="13"/>
    </row>
    <row r="39279">
      <c r="F39279" s="13"/>
      <c r="M39279" s="13"/>
    </row>
    <row r="39280">
      <c r="F39280" s="13"/>
      <c r="M39280" s="13"/>
    </row>
    <row r="39281">
      <c r="F39281" s="13"/>
      <c r="M39281" s="13"/>
    </row>
    <row r="39282">
      <c r="F39282" s="13"/>
      <c r="M39282" s="13"/>
    </row>
    <row r="39283">
      <c r="F39283" s="13"/>
      <c r="M39283" s="13"/>
    </row>
    <row r="39284">
      <c r="F39284" s="13"/>
      <c r="M39284" s="13"/>
    </row>
    <row r="39285">
      <c r="F39285" s="13"/>
      <c r="M39285" s="13"/>
    </row>
    <row r="39286">
      <c r="F39286" s="13"/>
      <c r="M39286" s="13"/>
    </row>
    <row r="39287">
      <c r="F39287" s="13"/>
      <c r="M39287" s="13"/>
    </row>
    <row r="39288">
      <c r="F39288" s="13"/>
      <c r="M39288" s="13"/>
    </row>
    <row r="39289">
      <c r="F39289" s="13"/>
      <c r="M39289" s="13"/>
    </row>
    <row r="39290">
      <c r="F39290" s="13"/>
      <c r="M39290" s="13"/>
    </row>
    <row r="39291">
      <c r="F39291" s="13"/>
      <c r="M39291" s="13"/>
    </row>
    <row r="39292">
      <c r="F39292" s="13"/>
      <c r="M39292" s="13"/>
    </row>
    <row r="39293">
      <c r="F39293" s="13"/>
      <c r="M39293" s="13"/>
    </row>
    <row r="39294">
      <c r="F39294" s="13"/>
      <c r="M39294" s="13"/>
    </row>
    <row r="39295">
      <c r="F39295" s="13"/>
      <c r="M39295" s="13"/>
    </row>
    <row r="39296">
      <c r="F39296" s="13"/>
      <c r="M39296" s="13"/>
    </row>
    <row r="39297">
      <c r="F39297" s="13"/>
      <c r="M39297" s="13"/>
    </row>
    <row r="39298">
      <c r="F39298" s="13"/>
      <c r="M39298" s="13"/>
    </row>
    <row r="39299">
      <c r="F39299" s="13"/>
      <c r="M39299" s="13"/>
    </row>
    <row r="39300">
      <c r="F39300" s="13"/>
      <c r="M39300" s="13"/>
    </row>
    <row r="39301">
      <c r="F39301" s="13"/>
      <c r="M39301" s="13"/>
    </row>
    <row r="39302">
      <c r="F39302" s="13"/>
      <c r="M39302" s="13"/>
    </row>
    <row r="39303">
      <c r="F39303" s="13"/>
      <c r="M39303" s="13"/>
    </row>
    <row r="39304">
      <c r="F39304" s="13"/>
      <c r="M39304" s="13"/>
    </row>
    <row r="39305">
      <c r="F39305" s="13"/>
      <c r="M39305" s="13"/>
    </row>
    <row r="39306">
      <c r="F39306" s="13"/>
      <c r="M39306" s="13"/>
    </row>
    <row r="39307">
      <c r="F39307" s="13"/>
      <c r="M39307" s="13"/>
    </row>
    <row r="39308">
      <c r="F39308" s="13"/>
      <c r="M39308" s="13"/>
    </row>
    <row r="39309">
      <c r="F39309" s="13"/>
      <c r="M39309" s="13"/>
    </row>
    <row r="39310">
      <c r="F39310" s="13"/>
      <c r="M39310" s="13"/>
    </row>
    <row r="39311">
      <c r="F39311" s="13"/>
      <c r="M39311" s="13"/>
    </row>
    <row r="39312">
      <c r="F39312" s="13"/>
      <c r="M39312" s="13"/>
    </row>
    <row r="39313">
      <c r="F39313" s="13"/>
      <c r="M39313" s="13"/>
    </row>
    <row r="39314">
      <c r="F39314" s="13"/>
      <c r="M39314" s="13"/>
    </row>
    <row r="39315">
      <c r="F39315" s="13"/>
      <c r="M39315" s="13"/>
    </row>
    <row r="39316">
      <c r="F39316" s="13"/>
      <c r="M39316" s="13"/>
    </row>
    <row r="39317">
      <c r="F39317" s="13"/>
      <c r="M39317" s="13"/>
    </row>
    <row r="39318">
      <c r="F39318" s="13"/>
      <c r="M39318" s="13"/>
    </row>
    <row r="39319">
      <c r="F39319" s="13"/>
      <c r="M39319" s="13"/>
    </row>
    <row r="39320">
      <c r="F39320" s="13"/>
      <c r="M39320" s="13"/>
    </row>
    <row r="39321">
      <c r="F39321" s="13"/>
      <c r="M39321" s="13"/>
    </row>
    <row r="39322">
      <c r="F39322" s="13"/>
      <c r="M39322" s="13"/>
    </row>
    <row r="39323">
      <c r="F39323" s="13"/>
      <c r="M39323" s="13"/>
    </row>
    <row r="39324">
      <c r="F39324" s="13"/>
      <c r="M39324" s="13"/>
    </row>
    <row r="39325">
      <c r="F39325" s="13"/>
      <c r="M39325" s="13"/>
    </row>
    <row r="39326">
      <c r="F39326" s="13"/>
      <c r="M39326" s="13"/>
    </row>
    <row r="39327">
      <c r="F39327" s="13"/>
      <c r="M39327" s="13"/>
    </row>
    <row r="39328">
      <c r="F39328" s="13"/>
      <c r="M39328" s="13"/>
    </row>
    <row r="39329">
      <c r="F39329" s="13"/>
      <c r="M39329" s="13"/>
    </row>
    <row r="39330">
      <c r="F39330" s="13"/>
      <c r="M39330" s="13"/>
    </row>
    <row r="39331">
      <c r="F39331" s="13"/>
      <c r="M39331" s="13"/>
    </row>
    <row r="39332">
      <c r="F39332" s="13"/>
      <c r="M39332" s="13"/>
    </row>
    <row r="39333">
      <c r="F39333" s="13"/>
      <c r="M39333" s="13"/>
    </row>
    <row r="39334">
      <c r="F39334" s="13"/>
      <c r="M39334" s="13"/>
    </row>
    <row r="39335">
      <c r="F39335" s="13"/>
      <c r="M39335" s="13"/>
    </row>
    <row r="39336">
      <c r="F39336" s="13"/>
      <c r="M39336" s="13"/>
    </row>
    <row r="39337">
      <c r="F39337" s="13"/>
      <c r="M39337" s="13"/>
    </row>
    <row r="39338">
      <c r="F39338" s="13"/>
      <c r="M39338" s="13"/>
    </row>
    <row r="39339">
      <c r="F39339" s="13"/>
      <c r="M39339" s="13"/>
    </row>
    <row r="39340">
      <c r="F39340" s="13"/>
      <c r="M39340" s="13"/>
    </row>
    <row r="39341">
      <c r="F39341" s="13"/>
      <c r="M39341" s="13"/>
    </row>
    <row r="39342">
      <c r="F39342" s="13"/>
      <c r="M39342" s="13"/>
    </row>
    <row r="39343">
      <c r="F39343" s="13"/>
      <c r="M39343" s="13"/>
    </row>
    <row r="39344">
      <c r="F39344" s="13"/>
      <c r="M39344" s="13"/>
    </row>
    <row r="39345">
      <c r="F39345" s="13"/>
      <c r="M39345" s="13"/>
    </row>
    <row r="39346">
      <c r="F39346" s="13"/>
      <c r="M39346" s="13"/>
    </row>
    <row r="39347">
      <c r="F39347" s="13"/>
      <c r="M39347" s="13"/>
    </row>
    <row r="39348">
      <c r="F39348" s="13"/>
      <c r="M39348" s="13"/>
    </row>
    <row r="39349">
      <c r="F39349" s="13"/>
      <c r="M39349" s="13"/>
    </row>
    <row r="39350">
      <c r="F39350" s="13"/>
      <c r="M39350" s="13"/>
    </row>
    <row r="39351">
      <c r="F39351" s="13"/>
      <c r="M39351" s="13"/>
    </row>
    <row r="39352">
      <c r="F39352" s="13"/>
      <c r="M39352" s="13"/>
    </row>
    <row r="39353">
      <c r="F39353" s="13"/>
      <c r="M39353" s="13"/>
    </row>
    <row r="39354">
      <c r="F39354" s="13"/>
      <c r="M39354" s="13"/>
    </row>
    <row r="39355">
      <c r="F39355" s="13"/>
      <c r="M39355" s="13"/>
    </row>
    <row r="39356">
      <c r="F39356" s="13"/>
      <c r="M39356" s="13"/>
    </row>
    <row r="39357">
      <c r="F39357" s="13"/>
      <c r="M39357" s="13"/>
    </row>
    <row r="39358">
      <c r="F39358" s="13"/>
      <c r="M39358" s="13"/>
    </row>
    <row r="39359">
      <c r="F39359" s="13"/>
      <c r="M39359" s="13"/>
    </row>
    <row r="39360">
      <c r="F39360" s="13"/>
      <c r="M39360" s="13"/>
    </row>
    <row r="39361">
      <c r="F39361" s="13"/>
      <c r="M39361" s="13"/>
    </row>
    <row r="39362">
      <c r="F39362" s="13"/>
      <c r="M39362" s="13"/>
    </row>
    <row r="39363">
      <c r="F39363" s="13"/>
      <c r="M39363" s="13"/>
    </row>
    <row r="39364">
      <c r="F39364" s="13"/>
      <c r="M39364" s="13"/>
    </row>
    <row r="39365">
      <c r="F39365" s="13"/>
      <c r="M39365" s="13"/>
    </row>
    <row r="39366">
      <c r="F39366" s="13"/>
      <c r="M39366" s="13"/>
    </row>
    <row r="39367">
      <c r="F39367" s="13"/>
      <c r="M39367" s="13"/>
    </row>
    <row r="39368">
      <c r="F39368" s="13"/>
      <c r="M39368" s="13"/>
    </row>
    <row r="39369">
      <c r="F39369" s="13"/>
      <c r="M39369" s="13"/>
    </row>
    <row r="39370">
      <c r="F39370" s="13"/>
      <c r="M39370" s="13"/>
    </row>
    <row r="39371">
      <c r="F39371" s="13"/>
      <c r="M39371" s="13"/>
    </row>
    <row r="39372">
      <c r="F39372" s="13"/>
      <c r="M39372" s="13"/>
    </row>
    <row r="39373">
      <c r="F39373" s="13"/>
      <c r="M39373" s="13"/>
    </row>
    <row r="39374">
      <c r="F39374" s="13"/>
      <c r="M39374" s="13"/>
    </row>
    <row r="39375">
      <c r="F39375" s="13"/>
      <c r="M39375" s="13"/>
    </row>
    <row r="39376">
      <c r="F39376" s="13"/>
      <c r="M39376" s="13"/>
    </row>
    <row r="39377">
      <c r="F39377" s="13"/>
      <c r="M39377" s="13"/>
    </row>
    <row r="39378">
      <c r="F39378" s="13"/>
      <c r="M39378" s="13"/>
    </row>
    <row r="39379">
      <c r="F39379" s="13"/>
      <c r="M39379" s="13"/>
    </row>
    <row r="39380">
      <c r="F39380" s="13"/>
      <c r="M39380" s="13"/>
    </row>
    <row r="39381">
      <c r="F39381" s="13"/>
      <c r="M39381" s="13"/>
    </row>
    <row r="39382">
      <c r="F39382" s="13"/>
      <c r="M39382" s="13"/>
    </row>
    <row r="39383">
      <c r="F39383" s="13"/>
      <c r="M39383" s="13"/>
    </row>
    <row r="39384">
      <c r="F39384" s="13"/>
      <c r="M39384" s="13"/>
    </row>
    <row r="39385">
      <c r="F39385" s="13"/>
      <c r="M39385" s="13"/>
    </row>
    <row r="39386">
      <c r="F39386" s="13"/>
      <c r="M39386" s="13"/>
    </row>
    <row r="39387">
      <c r="F39387" s="13"/>
      <c r="M39387" s="13"/>
    </row>
    <row r="39388">
      <c r="F39388" s="13"/>
      <c r="M39388" s="13"/>
    </row>
    <row r="39389">
      <c r="F39389" s="13"/>
      <c r="M39389" s="13"/>
    </row>
    <row r="39390">
      <c r="F39390" s="13"/>
      <c r="M39390" s="13"/>
    </row>
    <row r="39391">
      <c r="F39391" s="13"/>
      <c r="M39391" s="13"/>
    </row>
    <row r="39392">
      <c r="F39392" s="13"/>
      <c r="M39392" s="13"/>
    </row>
    <row r="39393">
      <c r="F39393" s="13"/>
      <c r="M39393" s="13"/>
    </row>
    <row r="39394">
      <c r="F39394" s="13"/>
      <c r="M39394" s="13"/>
    </row>
    <row r="39395">
      <c r="F39395" s="13"/>
      <c r="M39395" s="13"/>
    </row>
    <row r="39396">
      <c r="F39396" s="13"/>
      <c r="M39396" s="13"/>
    </row>
    <row r="39397">
      <c r="F39397" s="13"/>
      <c r="M39397" s="13"/>
    </row>
    <row r="39398">
      <c r="F39398" s="13"/>
      <c r="M39398" s="13"/>
    </row>
    <row r="39399">
      <c r="F39399" s="13"/>
      <c r="M39399" s="13"/>
    </row>
    <row r="39400">
      <c r="F39400" s="13"/>
      <c r="M39400" s="13"/>
    </row>
    <row r="39401">
      <c r="F39401" s="13"/>
      <c r="M39401" s="13"/>
    </row>
    <row r="39402">
      <c r="F39402" s="13"/>
      <c r="M39402" s="13"/>
    </row>
    <row r="39403">
      <c r="F39403" s="13"/>
      <c r="M39403" s="13"/>
    </row>
    <row r="39404">
      <c r="F39404" s="13"/>
      <c r="M39404" s="13"/>
    </row>
    <row r="39405">
      <c r="F39405" s="13"/>
      <c r="M39405" s="13"/>
    </row>
    <row r="39406">
      <c r="F39406" s="13"/>
      <c r="M39406" s="13"/>
    </row>
    <row r="39407">
      <c r="F39407" s="13"/>
      <c r="M39407" s="13"/>
    </row>
    <row r="39408">
      <c r="F39408" s="13"/>
      <c r="M39408" s="13"/>
    </row>
    <row r="39409">
      <c r="F39409" s="13"/>
      <c r="M39409" s="13"/>
    </row>
    <row r="39410">
      <c r="F39410" s="13"/>
      <c r="M39410" s="13"/>
    </row>
    <row r="39411">
      <c r="F39411" s="13"/>
      <c r="M39411" s="13"/>
    </row>
    <row r="39412">
      <c r="F39412" s="13"/>
      <c r="M39412" s="13"/>
    </row>
    <row r="39413">
      <c r="F39413" s="13"/>
      <c r="M39413" s="13"/>
    </row>
    <row r="39414">
      <c r="F39414" s="13"/>
      <c r="M39414" s="13"/>
    </row>
    <row r="39415">
      <c r="F39415" s="13"/>
      <c r="M39415" s="13"/>
    </row>
    <row r="39416">
      <c r="F39416" s="13"/>
      <c r="M39416" s="13"/>
    </row>
    <row r="39417">
      <c r="F39417" s="13"/>
      <c r="M39417" s="13"/>
    </row>
    <row r="39418">
      <c r="F39418" s="13"/>
      <c r="M39418" s="13"/>
    </row>
    <row r="39419">
      <c r="F39419" s="13"/>
      <c r="M39419" s="13"/>
    </row>
    <row r="39420">
      <c r="F39420" s="13"/>
      <c r="M39420" s="13"/>
    </row>
    <row r="39421">
      <c r="F39421" s="13"/>
      <c r="M39421" s="13"/>
    </row>
    <row r="39422">
      <c r="F39422" s="13"/>
      <c r="M39422" s="13"/>
    </row>
    <row r="39423">
      <c r="F39423" s="13"/>
      <c r="M39423" s="13"/>
    </row>
    <row r="39424">
      <c r="F39424" s="13"/>
      <c r="M39424" s="13"/>
    </row>
    <row r="39425">
      <c r="F39425" s="13"/>
      <c r="M39425" s="13"/>
    </row>
    <row r="39426">
      <c r="F39426" s="13"/>
      <c r="M39426" s="13"/>
    </row>
    <row r="39427">
      <c r="F39427" s="13"/>
      <c r="M39427" s="13"/>
    </row>
    <row r="39428">
      <c r="F39428" s="13"/>
      <c r="M39428" s="13"/>
    </row>
    <row r="39429">
      <c r="F39429" s="13"/>
      <c r="M39429" s="13"/>
    </row>
    <row r="39430">
      <c r="F39430" s="13"/>
      <c r="M39430" s="13"/>
    </row>
    <row r="39431">
      <c r="F39431" s="13"/>
      <c r="M39431" s="13"/>
    </row>
    <row r="39432">
      <c r="F39432" s="13"/>
      <c r="M39432" s="13"/>
    </row>
    <row r="39433">
      <c r="F39433" s="13"/>
      <c r="M39433" s="13"/>
    </row>
    <row r="39434">
      <c r="F39434" s="13"/>
      <c r="M39434" s="13"/>
    </row>
    <row r="39435">
      <c r="F39435" s="13"/>
      <c r="M39435" s="13"/>
    </row>
    <row r="39436">
      <c r="F39436" s="13"/>
      <c r="M39436" s="13"/>
    </row>
    <row r="39437">
      <c r="F39437" s="13"/>
      <c r="M39437" s="13"/>
    </row>
    <row r="39438">
      <c r="F39438" s="13"/>
      <c r="M39438" s="13"/>
    </row>
    <row r="39439">
      <c r="F39439" s="13"/>
      <c r="M39439" s="13"/>
    </row>
    <row r="39440">
      <c r="F39440" s="13"/>
      <c r="M39440" s="13"/>
    </row>
    <row r="39441">
      <c r="F39441" s="13"/>
      <c r="M39441" s="13"/>
    </row>
    <row r="39442">
      <c r="F39442" s="13"/>
      <c r="M39442" s="13"/>
    </row>
    <row r="39443">
      <c r="F39443" s="13"/>
      <c r="M39443" s="13"/>
    </row>
    <row r="39444">
      <c r="F39444" s="13"/>
      <c r="M39444" s="13"/>
    </row>
    <row r="39445">
      <c r="F39445" s="13"/>
      <c r="M39445" s="13"/>
    </row>
    <row r="39446">
      <c r="F39446" s="13"/>
      <c r="M39446" s="13"/>
    </row>
    <row r="39447">
      <c r="F39447" s="13"/>
      <c r="M39447" s="13"/>
    </row>
    <row r="39448">
      <c r="F39448" s="13"/>
      <c r="M39448" s="13"/>
    </row>
    <row r="39449">
      <c r="F39449" s="13"/>
      <c r="M39449" s="13"/>
    </row>
    <row r="39450">
      <c r="F39450" s="13"/>
      <c r="M39450" s="13"/>
    </row>
    <row r="39451">
      <c r="F39451" s="13"/>
      <c r="M39451" s="13"/>
    </row>
    <row r="39452">
      <c r="F39452" s="13"/>
      <c r="M39452" s="13"/>
    </row>
    <row r="39453">
      <c r="F39453" s="13"/>
      <c r="M39453" s="13"/>
    </row>
    <row r="39454">
      <c r="F39454" s="13"/>
      <c r="M39454" s="13"/>
    </row>
    <row r="39455">
      <c r="F39455" s="13"/>
      <c r="M39455" s="13"/>
    </row>
    <row r="39456">
      <c r="F39456" s="13"/>
      <c r="M39456" s="13"/>
    </row>
    <row r="39457">
      <c r="F39457" s="13"/>
      <c r="M39457" s="13"/>
    </row>
    <row r="39458">
      <c r="F39458" s="13"/>
      <c r="M39458" s="13"/>
    </row>
    <row r="39459">
      <c r="F39459" s="13"/>
      <c r="M39459" s="13"/>
    </row>
    <row r="39460">
      <c r="F39460" s="13"/>
      <c r="M39460" s="13"/>
    </row>
    <row r="39461">
      <c r="F39461" s="13"/>
      <c r="M39461" s="13"/>
    </row>
    <row r="39462">
      <c r="F39462" s="13"/>
      <c r="M39462" s="13"/>
    </row>
    <row r="39463">
      <c r="F39463" s="13"/>
      <c r="M39463" s="13"/>
    </row>
    <row r="39464">
      <c r="F39464" s="13"/>
      <c r="M39464" s="13"/>
    </row>
    <row r="39465">
      <c r="F39465" s="13"/>
      <c r="M39465" s="13"/>
    </row>
    <row r="39466">
      <c r="F39466" s="13"/>
      <c r="M39466" s="13"/>
    </row>
    <row r="39467">
      <c r="F39467" s="13"/>
      <c r="M39467" s="13"/>
    </row>
    <row r="39468">
      <c r="F39468" s="13"/>
      <c r="M39468" s="13"/>
    </row>
    <row r="39469">
      <c r="F39469" s="13"/>
      <c r="M39469" s="13"/>
    </row>
    <row r="39470">
      <c r="F39470" s="13"/>
      <c r="M39470" s="13"/>
    </row>
    <row r="39471">
      <c r="F39471" s="13"/>
      <c r="M39471" s="13"/>
    </row>
    <row r="39472">
      <c r="F39472" s="13"/>
      <c r="M39472" s="13"/>
    </row>
    <row r="39473">
      <c r="F39473" s="13"/>
      <c r="M39473" s="13"/>
    </row>
    <row r="39474">
      <c r="F39474" s="13"/>
      <c r="M39474" s="13"/>
    </row>
    <row r="39475">
      <c r="F39475" s="13"/>
      <c r="M39475" s="13"/>
    </row>
    <row r="39476">
      <c r="F39476" s="13"/>
      <c r="M39476" s="13"/>
    </row>
    <row r="39477">
      <c r="F39477" s="13"/>
      <c r="M39477" s="13"/>
    </row>
    <row r="39478">
      <c r="F39478" s="13"/>
      <c r="M39478" s="13"/>
    </row>
    <row r="39479">
      <c r="F39479" s="13"/>
      <c r="M39479" s="13"/>
    </row>
    <row r="39480">
      <c r="F39480" s="13"/>
      <c r="M39480" s="13"/>
    </row>
    <row r="39481">
      <c r="F39481" s="13"/>
      <c r="M39481" s="13"/>
    </row>
    <row r="39482">
      <c r="F39482" s="13"/>
      <c r="M39482" s="13"/>
    </row>
    <row r="39483">
      <c r="F39483" s="13"/>
      <c r="M39483" s="13"/>
    </row>
    <row r="39484">
      <c r="F39484" s="13"/>
      <c r="M39484" s="13"/>
    </row>
    <row r="39485">
      <c r="F39485" s="13"/>
      <c r="M39485" s="13"/>
    </row>
    <row r="39486">
      <c r="F39486" s="13"/>
      <c r="M39486" s="13"/>
    </row>
    <row r="39487">
      <c r="F39487" s="13"/>
      <c r="M39487" s="13"/>
    </row>
    <row r="39488">
      <c r="F39488" s="13"/>
      <c r="M39488" s="13"/>
    </row>
    <row r="39489">
      <c r="F39489" s="13"/>
      <c r="M39489" s="13"/>
    </row>
    <row r="39490">
      <c r="F39490" s="13"/>
      <c r="M39490" s="13"/>
    </row>
    <row r="39491">
      <c r="F39491" s="13"/>
      <c r="M39491" s="13"/>
    </row>
    <row r="39492">
      <c r="F39492" s="13"/>
      <c r="M39492" s="13"/>
    </row>
    <row r="39493">
      <c r="F39493" s="13"/>
      <c r="M39493" s="13"/>
    </row>
    <row r="39494">
      <c r="F39494" s="13"/>
      <c r="M39494" s="13"/>
    </row>
    <row r="39495">
      <c r="F39495" s="13"/>
      <c r="M39495" s="13"/>
    </row>
    <row r="39496">
      <c r="F39496" s="13"/>
      <c r="M39496" s="13"/>
    </row>
    <row r="39497">
      <c r="F39497" s="13"/>
      <c r="M39497" s="13"/>
    </row>
    <row r="39498">
      <c r="F39498" s="13"/>
      <c r="M39498" s="13"/>
    </row>
    <row r="39499">
      <c r="F39499" s="13"/>
      <c r="M39499" s="13"/>
    </row>
    <row r="39500">
      <c r="F39500" s="13"/>
      <c r="M39500" s="13"/>
    </row>
    <row r="39501">
      <c r="F39501" s="13"/>
      <c r="M39501" s="13"/>
    </row>
    <row r="39502">
      <c r="F39502" s="13"/>
      <c r="M39502" s="13"/>
    </row>
    <row r="39503">
      <c r="F39503" s="13"/>
      <c r="M39503" s="13"/>
    </row>
    <row r="39504">
      <c r="F39504" s="13"/>
      <c r="M39504" s="13"/>
    </row>
    <row r="39505">
      <c r="F39505" s="13"/>
      <c r="M39505" s="13"/>
    </row>
    <row r="39506">
      <c r="F39506" s="13"/>
      <c r="M39506" s="13"/>
    </row>
    <row r="39507">
      <c r="F39507" s="13"/>
      <c r="M39507" s="13"/>
    </row>
    <row r="39508">
      <c r="F39508" s="13"/>
      <c r="M39508" s="13"/>
    </row>
    <row r="39509">
      <c r="F39509" s="13"/>
      <c r="M39509" s="13"/>
    </row>
    <row r="39510">
      <c r="F39510" s="13"/>
      <c r="M39510" s="13"/>
    </row>
    <row r="39511">
      <c r="F39511" s="13"/>
      <c r="M39511" s="13"/>
    </row>
    <row r="39512">
      <c r="F39512" s="13"/>
      <c r="M39512" s="13"/>
    </row>
    <row r="39513">
      <c r="F39513" s="13"/>
      <c r="M39513" s="13"/>
    </row>
    <row r="39514">
      <c r="F39514" s="13"/>
      <c r="M39514" s="13"/>
    </row>
    <row r="39515">
      <c r="F39515" s="13"/>
      <c r="M39515" s="13"/>
    </row>
    <row r="39516">
      <c r="F39516" s="13"/>
      <c r="M39516" s="13"/>
    </row>
    <row r="39517">
      <c r="F39517" s="13"/>
      <c r="M39517" s="13"/>
    </row>
    <row r="39518">
      <c r="F39518" s="13"/>
      <c r="M39518" s="13"/>
    </row>
    <row r="39519">
      <c r="F39519" s="13"/>
      <c r="M39519" s="13"/>
    </row>
    <row r="39520">
      <c r="F39520" s="13"/>
      <c r="M39520" s="13"/>
    </row>
    <row r="39521">
      <c r="F39521" s="13"/>
      <c r="M39521" s="13"/>
    </row>
    <row r="39522">
      <c r="F39522" s="13"/>
      <c r="M39522" s="13"/>
    </row>
    <row r="39523">
      <c r="F39523" s="13"/>
      <c r="M39523" s="13"/>
    </row>
    <row r="39524">
      <c r="F39524" s="13"/>
      <c r="M39524" s="13"/>
    </row>
    <row r="39525">
      <c r="F39525" s="13"/>
      <c r="M39525" s="13"/>
    </row>
    <row r="39526">
      <c r="F39526" s="13"/>
      <c r="M39526" s="13"/>
    </row>
    <row r="39527">
      <c r="F39527" s="13"/>
      <c r="M39527" s="13"/>
    </row>
    <row r="39528">
      <c r="F39528" s="13"/>
      <c r="M39528" s="13"/>
    </row>
    <row r="39529">
      <c r="F39529" s="13"/>
      <c r="M39529" s="13"/>
    </row>
    <row r="39530">
      <c r="F39530" s="13"/>
      <c r="M39530" s="13"/>
    </row>
    <row r="39531">
      <c r="F39531" s="13"/>
      <c r="M39531" s="13"/>
    </row>
    <row r="39532">
      <c r="F39532" s="13"/>
      <c r="M39532" s="13"/>
    </row>
    <row r="39533">
      <c r="F39533" s="13"/>
      <c r="M39533" s="13"/>
    </row>
    <row r="39534">
      <c r="F39534" s="13"/>
      <c r="M39534" s="13"/>
    </row>
    <row r="39535">
      <c r="F39535" s="13"/>
      <c r="M39535" s="13"/>
    </row>
    <row r="39536">
      <c r="F39536" s="13"/>
      <c r="M39536" s="13"/>
    </row>
    <row r="39537">
      <c r="F39537" s="13"/>
      <c r="M39537" s="13"/>
    </row>
    <row r="39538">
      <c r="F39538" s="13"/>
      <c r="M39538" s="13"/>
    </row>
    <row r="39539">
      <c r="F39539" s="13"/>
      <c r="M39539" s="13"/>
    </row>
    <row r="39540">
      <c r="F39540" s="13"/>
      <c r="M39540" s="13"/>
    </row>
    <row r="39541">
      <c r="F39541" s="13"/>
      <c r="M39541" s="13"/>
    </row>
    <row r="39542">
      <c r="F39542" s="13"/>
      <c r="M39542" s="13"/>
    </row>
    <row r="39543">
      <c r="F39543" s="13"/>
      <c r="M39543" s="13"/>
    </row>
    <row r="39544">
      <c r="F39544" s="13"/>
      <c r="M39544" s="13"/>
    </row>
    <row r="39545">
      <c r="F39545" s="13"/>
      <c r="M39545" s="13"/>
    </row>
    <row r="39546">
      <c r="F39546" s="13"/>
      <c r="M39546" s="13"/>
    </row>
    <row r="39547">
      <c r="F39547" s="13"/>
      <c r="M39547" s="13"/>
    </row>
    <row r="39548">
      <c r="F39548" s="13"/>
      <c r="M39548" s="13"/>
    </row>
    <row r="39549">
      <c r="F39549" s="13"/>
      <c r="M39549" s="13"/>
    </row>
    <row r="39550">
      <c r="F39550" s="13"/>
      <c r="M39550" s="13"/>
    </row>
    <row r="39551">
      <c r="F39551" s="13"/>
      <c r="M39551" s="13"/>
    </row>
    <row r="39552">
      <c r="F39552" s="13"/>
      <c r="M39552" s="13"/>
    </row>
    <row r="39553">
      <c r="F39553" s="13"/>
      <c r="M39553" s="13"/>
    </row>
    <row r="39554">
      <c r="F39554" s="13"/>
      <c r="M39554" s="13"/>
    </row>
    <row r="39555">
      <c r="F39555" s="13"/>
      <c r="M39555" s="13"/>
    </row>
    <row r="39556">
      <c r="F39556" s="13"/>
      <c r="M39556" s="13"/>
    </row>
    <row r="39557">
      <c r="F39557" s="13"/>
      <c r="M39557" s="13"/>
    </row>
    <row r="39558">
      <c r="F39558" s="13"/>
      <c r="M39558" s="13"/>
    </row>
    <row r="39559">
      <c r="F39559" s="13"/>
      <c r="M39559" s="13"/>
    </row>
    <row r="39560">
      <c r="F39560" s="13"/>
      <c r="M39560" s="13"/>
    </row>
    <row r="39561">
      <c r="F39561" s="13"/>
      <c r="M39561" s="13"/>
    </row>
    <row r="39562">
      <c r="F39562" s="13"/>
      <c r="M39562" s="13"/>
    </row>
    <row r="39563">
      <c r="F39563" s="13"/>
      <c r="M39563" s="13"/>
    </row>
    <row r="39564">
      <c r="F39564" s="13"/>
      <c r="M39564" s="13"/>
    </row>
    <row r="39565">
      <c r="F39565" s="13"/>
      <c r="M39565" s="13"/>
    </row>
    <row r="39566">
      <c r="F39566" s="13"/>
      <c r="M39566" s="13"/>
    </row>
    <row r="39567">
      <c r="F39567" s="13"/>
      <c r="M39567" s="13"/>
    </row>
    <row r="39568">
      <c r="F39568" s="13"/>
      <c r="M39568" s="13"/>
    </row>
    <row r="39569">
      <c r="F39569" s="13"/>
      <c r="M39569" s="13"/>
    </row>
    <row r="39570">
      <c r="F39570" s="13"/>
      <c r="M39570" s="13"/>
    </row>
    <row r="39571">
      <c r="F39571" s="13"/>
      <c r="M39571" s="13"/>
    </row>
    <row r="39572">
      <c r="F39572" s="13"/>
      <c r="M39572" s="13"/>
    </row>
    <row r="39573">
      <c r="F39573" s="13"/>
      <c r="M39573" s="13"/>
    </row>
    <row r="39574">
      <c r="F39574" s="13"/>
      <c r="M39574" s="13"/>
    </row>
    <row r="39575">
      <c r="F39575" s="13"/>
      <c r="M39575" s="13"/>
    </row>
    <row r="39576">
      <c r="F39576" s="13"/>
      <c r="M39576" s="13"/>
    </row>
    <row r="39577">
      <c r="F39577" s="13"/>
      <c r="M39577" s="13"/>
    </row>
    <row r="39578">
      <c r="F39578" s="13"/>
      <c r="M39578" s="13"/>
    </row>
    <row r="39579">
      <c r="F39579" s="13"/>
      <c r="M39579" s="13"/>
    </row>
    <row r="39580">
      <c r="F39580" s="13"/>
      <c r="M39580" s="13"/>
    </row>
    <row r="39581">
      <c r="F39581" s="13"/>
      <c r="M39581" s="13"/>
    </row>
    <row r="39582">
      <c r="F39582" s="13"/>
      <c r="M39582" s="13"/>
    </row>
    <row r="39583">
      <c r="F39583" s="13"/>
      <c r="M39583" s="13"/>
    </row>
    <row r="39584">
      <c r="F39584" s="13"/>
      <c r="M39584" s="13"/>
    </row>
    <row r="39585">
      <c r="F39585" s="13"/>
      <c r="M39585" s="13"/>
    </row>
    <row r="39586">
      <c r="F39586" s="13"/>
      <c r="M39586" s="13"/>
    </row>
    <row r="39587">
      <c r="F39587" s="13"/>
      <c r="M39587" s="13"/>
    </row>
    <row r="39588">
      <c r="F39588" s="13"/>
      <c r="M39588" s="13"/>
    </row>
    <row r="39589">
      <c r="F39589" s="13"/>
      <c r="M39589" s="13"/>
    </row>
    <row r="39590">
      <c r="F39590" s="13"/>
      <c r="M39590" s="13"/>
    </row>
    <row r="39591">
      <c r="F39591" s="13"/>
      <c r="M39591" s="13"/>
    </row>
    <row r="39592">
      <c r="F39592" s="13"/>
      <c r="M39592" s="13"/>
    </row>
    <row r="39593">
      <c r="F39593" s="13"/>
      <c r="M39593" s="13"/>
    </row>
    <row r="39594">
      <c r="F39594" s="13"/>
      <c r="M39594" s="13"/>
    </row>
    <row r="39595">
      <c r="F39595" s="13"/>
      <c r="M39595" s="13"/>
    </row>
    <row r="39596">
      <c r="F39596" s="13"/>
      <c r="M39596" s="13"/>
    </row>
    <row r="39597">
      <c r="F39597" s="13"/>
      <c r="M39597" s="13"/>
    </row>
    <row r="39598">
      <c r="F39598" s="13"/>
      <c r="M39598" s="13"/>
    </row>
    <row r="39599">
      <c r="F39599" s="13"/>
      <c r="M39599" s="13"/>
    </row>
    <row r="39600">
      <c r="F39600" s="13"/>
      <c r="M39600" s="13"/>
    </row>
    <row r="39601">
      <c r="F39601" s="13"/>
      <c r="M39601" s="13"/>
    </row>
    <row r="39602">
      <c r="F39602" s="13"/>
      <c r="M39602" s="13"/>
    </row>
    <row r="39603">
      <c r="F39603" s="13"/>
      <c r="M39603" s="13"/>
    </row>
    <row r="39604">
      <c r="F39604" s="13"/>
      <c r="M39604" s="13"/>
    </row>
    <row r="39605">
      <c r="F39605" s="13"/>
      <c r="M39605" s="13"/>
    </row>
    <row r="39606">
      <c r="F39606" s="13"/>
      <c r="M39606" s="13"/>
    </row>
    <row r="39607">
      <c r="F39607" s="13"/>
      <c r="M39607" s="13"/>
    </row>
    <row r="39608">
      <c r="F39608" s="13"/>
      <c r="M39608" s="13"/>
    </row>
    <row r="39609">
      <c r="F39609" s="13"/>
      <c r="M39609" s="13"/>
    </row>
    <row r="39610">
      <c r="F39610" s="13"/>
      <c r="M39610" s="13"/>
    </row>
    <row r="39611">
      <c r="F39611" s="13"/>
      <c r="M39611" s="13"/>
    </row>
    <row r="39612">
      <c r="F39612" s="13"/>
      <c r="M39612" s="13"/>
    </row>
    <row r="39613">
      <c r="F39613" s="13"/>
      <c r="M39613" s="13"/>
    </row>
    <row r="39614">
      <c r="F39614" s="13"/>
      <c r="M39614" s="13"/>
    </row>
    <row r="39615">
      <c r="F39615" s="13"/>
      <c r="M39615" s="13"/>
    </row>
    <row r="39616">
      <c r="F39616" s="13"/>
      <c r="M39616" s="13"/>
    </row>
    <row r="39617">
      <c r="F39617" s="13"/>
      <c r="M39617" s="13"/>
    </row>
    <row r="39618">
      <c r="F39618" s="13"/>
      <c r="M39618" s="13"/>
    </row>
    <row r="39619">
      <c r="F39619" s="13"/>
      <c r="M39619" s="13"/>
    </row>
    <row r="39620">
      <c r="F39620" s="13"/>
      <c r="M39620" s="13"/>
    </row>
    <row r="39621">
      <c r="F39621" s="13"/>
      <c r="M39621" s="13"/>
    </row>
    <row r="39622">
      <c r="F39622" s="13"/>
      <c r="M39622" s="13"/>
    </row>
    <row r="39623">
      <c r="F39623" s="13"/>
      <c r="M39623" s="13"/>
    </row>
    <row r="39624">
      <c r="F39624" s="13"/>
      <c r="M39624" s="13"/>
    </row>
    <row r="39625">
      <c r="F39625" s="13"/>
      <c r="M39625" s="13"/>
    </row>
    <row r="39626">
      <c r="F39626" s="13"/>
      <c r="M39626" s="13"/>
    </row>
    <row r="39627">
      <c r="F39627" s="13"/>
      <c r="M39627" s="13"/>
    </row>
    <row r="39628">
      <c r="F39628" s="13"/>
      <c r="M39628" s="13"/>
    </row>
    <row r="39629">
      <c r="F39629" s="13"/>
      <c r="M39629" s="13"/>
    </row>
    <row r="39630">
      <c r="F39630" s="13"/>
      <c r="M39630" s="13"/>
    </row>
    <row r="39631">
      <c r="F39631" s="13"/>
      <c r="M39631" s="13"/>
    </row>
    <row r="39632">
      <c r="F39632" s="13"/>
      <c r="M39632" s="13"/>
    </row>
    <row r="39633">
      <c r="F39633" s="13"/>
      <c r="M39633" s="13"/>
    </row>
    <row r="39634">
      <c r="F39634" s="13"/>
      <c r="M39634" s="13"/>
    </row>
    <row r="39635">
      <c r="F39635" s="13"/>
      <c r="M39635" s="13"/>
    </row>
    <row r="39636">
      <c r="F39636" s="13"/>
      <c r="M39636" s="13"/>
    </row>
    <row r="39637">
      <c r="F39637" s="13"/>
      <c r="M39637" s="13"/>
    </row>
    <row r="39638">
      <c r="F39638" s="13"/>
      <c r="M39638" s="13"/>
    </row>
    <row r="39639">
      <c r="F39639" s="13"/>
      <c r="M39639" s="13"/>
    </row>
    <row r="39640">
      <c r="F39640" s="13"/>
      <c r="M39640" s="13"/>
    </row>
    <row r="39641">
      <c r="F39641" s="13"/>
      <c r="M39641" s="13"/>
    </row>
    <row r="39642">
      <c r="F39642" s="13"/>
      <c r="M39642" s="13"/>
    </row>
    <row r="39643">
      <c r="F39643" s="13"/>
      <c r="M39643" s="13"/>
    </row>
    <row r="39644">
      <c r="F39644" s="13"/>
      <c r="M39644" s="13"/>
    </row>
    <row r="39645">
      <c r="F39645" s="13"/>
      <c r="M39645" s="13"/>
    </row>
    <row r="39646">
      <c r="F39646" s="13"/>
      <c r="M39646" s="13"/>
    </row>
    <row r="39647">
      <c r="F39647" s="13"/>
      <c r="M39647" s="13"/>
    </row>
    <row r="39648">
      <c r="F39648" s="13"/>
      <c r="M39648" s="13"/>
    </row>
    <row r="39649">
      <c r="F39649" s="13"/>
      <c r="M39649" s="13"/>
    </row>
    <row r="39650">
      <c r="F39650" s="13"/>
      <c r="M39650" s="13"/>
    </row>
    <row r="39651">
      <c r="F39651" s="13"/>
      <c r="M39651" s="13"/>
    </row>
    <row r="39652">
      <c r="F39652" s="13"/>
      <c r="M39652" s="13"/>
    </row>
    <row r="39653">
      <c r="F39653" s="13"/>
      <c r="M39653" s="13"/>
    </row>
    <row r="39654">
      <c r="F39654" s="13"/>
      <c r="M39654" s="13"/>
    </row>
    <row r="39655">
      <c r="F39655" s="13"/>
      <c r="M39655" s="13"/>
    </row>
    <row r="39656">
      <c r="F39656" s="13"/>
      <c r="M39656" s="13"/>
    </row>
    <row r="39657">
      <c r="F39657" s="13"/>
      <c r="M39657" s="13"/>
    </row>
    <row r="39658">
      <c r="F39658" s="13"/>
      <c r="M39658" s="13"/>
    </row>
    <row r="39659">
      <c r="F39659" s="13"/>
      <c r="M39659" s="13"/>
    </row>
    <row r="39660">
      <c r="F39660" s="13"/>
      <c r="M39660" s="13"/>
    </row>
    <row r="39661">
      <c r="F39661" s="13"/>
      <c r="M39661" s="13"/>
    </row>
    <row r="39662">
      <c r="F39662" s="13"/>
      <c r="M39662" s="13"/>
    </row>
    <row r="39663">
      <c r="F39663" s="13"/>
      <c r="M39663" s="13"/>
    </row>
    <row r="39664">
      <c r="F39664" s="13"/>
      <c r="M39664" s="13"/>
    </row>
    <row r="39665">
      <c r="F39665" s="13"/>
      <c r="M39665" s="13"/>
    </row>
    <row r="39666">
      <c r="F39666" s="13"/>
      <c r="M39666" s="13"/>
    </row>
    <row r="39667">
      <c r="F39667" s="13"/>
      <c r="M39667" s="13"/>
    </row>
    <row r="39668">
      <c r="F39668" s="13"/>
      <c r="M39668" s="13"/>
    </row>
    <row r="39669">
      <c r="F39669" s="13"/>
      <c r="M39669" s="13"/>
    </row>
    <row r="39670">
      <c r="F39670" s="13"/>
      <c r="M39670" s="13"/>
    </row>
    <row r="39671">
      <c r="F39671" s="13"/>
      <c r="M39671" s="13"/>
    </row>
    <row r="39672">
      <c r="F39672" s="13"/>
      <c r="M39672" s="13"/>
    </row>
    <row r="39673">
      <c r="F39673" s="13"/>
      <c r="M39673" s="13"/>
    </row>
    <row r="39674">
      <c r="F39674" s="13"/>
      <c r="M39674" s="13"/>
    </row>
    <row r="39675">
      <c r="F39675" s="13"/>
      <c r="M39675" s="13"/>
    </row>
    <row r="39676">
      <c r="F39676" s="13"/>
      <c r="M39676" s="13"/>
    </row>
    <row r="39677">
      <c r="F39677" s="13"/>
      <c r="M39677" s="13"/>
    </row>
    <row r="39678">
      <c r="F39678" s="13"/>
      <c r="M39678" s="13"/>
    </row>
    <row r="39679">
      <c r="F39679" s="13"/>
      <c r="M39679" s="13"/>
    </row>
    <row r="39680">
      <c r="F39680" s="13"/>
      <c r="M39680" s="13"/>
    </row>
    <row r="39681">
      <c r="F39681" s="13"/>
      <c r="M39681" s="13"/>
    </row>
    <row r="39682">
      <c r="F39682" s="13"/>
      <c r="M39682" s="13"/>
    </row>
    <row r="39683">
      <c r="F39683" s="13"/>
      <c r="M39683" s="13"/>
    </row>
    <row r="39684">
      <c r="F39684" s="13"/>
      <c r="M39684" s="13"/>
    </row>
    <row r="39685">
      <c r="F39685" s="13"/>
      <c r="M39685" s="13"/>
    </row>
    <row r="39686">
      <c r="F39686" s="13"/>
      <c r="M39686" s="13"/>
    </row>
    <row r="39687">
      <c r="F39687" s="13"/>
      <c r="M39687" s="13"/>
    </row>
    <row r="39688">
      <c r="F39688" s="13"/>
      <c r="M39688" s="13"/>
    </row>
    <row r="39689">
      <c r="F39689" s="13"/>
      <c r="M39689" s="13"/>
    </row>
    <row r="39690">
      <c r="F39690" s="13"/>
      <c r="M39690" s="13"/>
    </row>
    <row r="39691">
      <c r="F39691" s="13"/>
      <c r="M39691" s="13"/>
    </row>
    <row r="39692">
      <c r="F39692" s="13"/>
      <c r="M39692" s="13"/>
    </row>
    <row r="39693">
      <c r="F39693" s="13"/>
      <c r="M39693" s="13"/>
    </row>
    <row r="39694">
      <c r="F39694" s="13"/>
      <c r="M39694" s="13"/>
    </row>
    <row r="39695">
      <c r="F39695" s="13"/>
      <c r="M39695" s="13"/>
    </row>
    <row r="39696">
      <c r="F39696" s="13"/>
      <c r="M39696" s="13"/>
    </row>
    <row r="39697">
      <c r="F39697" s="13"/>
      <c r="M39697" s="13"/>
    </row>
    <row r="39698">
      <c r="F39698" s="13"/>
      <c r="M39698" s="13"/>
    </row>
    <row r="39699">
      <c r="F39699" s="13"/>
      <c r="M39699" s="13"/>
    </row>
    <row r="39700">
      <c r="F39700" s="13"/>
      <c r="M39700" s="13"/>
    </row>
    <row r="39701">
      <c r="F39701" s="13"/>
      <c r="M39701" s="13"/>
    </row>
    <row r="39702">
      <c r="F39702" s="13"/>
      <c r="M39702" s="13"/>
    </row>
    <row r="39703">
      <c r="F39703" s="13"/>
      <c r="M39703" s="13"/>
    </row>
    <row r="39704">
      <c r="F39704" s="13"/>
      <c r="M39704" s="13"/>
    </row>
    <row r="39705">
      <c r="F39705" s="13"/>
      <c r="M39705" s="13"/>
    </row>
    <row r="39706">
      <c r="F39706" s="13"/>
      <c r="M39706" s="13"/>
    </row>
    <row r="39707">
      <c r="F39707" s="13"/>
      <c r="M39707" s="13"/>
    </row>
    <row r="39708">
      <c r="F39708" s="13"/>
      <c r="M39708" s="13"/>
    </row>
    <row r="39709">
      <c r="F39709" s="13"/>
      <c r="M39709" s="13"/>
    </row>
    <row r="39710">
      <c r="F39710" s="13"/>
      <c r="M39710" s="13"/>
    </row>
    <row r="39711">
      <c r="F39711" s="13"/>
      <c r="M39711" s="13"/>
    </row>
    <row r="39712">
      <c r="F39712" s="13"/>
      <c r="M39712" s="13"/>
    </row>
    <row r="39713">
      <c r="F39713" s="13"/>
      <c r="M39713" s="13"/>
    </row>
    <row r="39714">
      <c r="F39714" s="13"/>
      <c r="M39714" s="13"/>
    </row>
    <row r="39715">
      <c r="F39715" s="13"/>
      <c r="M39715" s="13"/>
    </row>
    <row r="39716">
      <c r="F39716" s="13"/>
      <c r="M39716" s="13"/>
    </row>
    <row r="39717">
      <c r="F39717" s="13"/>
      <c r="M39717" s="13"/>
    </row>
    <row r="39718">
      <c r="F39718" s="13"/>
      <c r="M39718" s="13"/>
    </row>
    <row r="39719">
      <c r="F39719" s="13"/>
      <c r="M39719" s="13"/>
    </row>
    <row r="39720">
      <c r="F39720" s="13"/>
      <c r="M39720" s="13"/>
    </row>
    <row r="39721">
      <c r="F39721" s="13"/>
      <c r="M39721" s="13"/>
    </row>
    <row r="39722">
      <c r="F39722" s="13"/>
      <c r="M39722" s="13"/>
    </row>
    <row r="39723">
      <c r="F39723" s="13"/>
      <c r="M39723" s="13"/>
    </row>
    <row r="39724">
      <c r="F39724" s="13"/>
      <c r="M39724" s="13"/>
    </row>
    <row r="39725">
      <c r="F39725" s="13"/>
      <c r="M39725" s="13"/>
    </row>
    <row r="39726">
      <c r="F39726" s="13"/>
      <c r="M39726" s="13"/>
    </row>
    <row r="39727">
      <c r="F39727" s="13"/>
      <c r="M39727" s="13"/>
    </row>
    <row r="39728">
      <c r="F39728" s="13"/>
      <c r="M39728" s="13"/>
    </row>
    <row r="39729">
      <c r="F39729" s="13"/>
      <c r="M39729" s="13"/>
    </row>
    <row r="39730">
      <c r="F39730" s="13"/>
      <c r="M39730" s="13"/>
    </row>
    <row r="39731">
      <c r="F39731" s="13"/>
      <c r="M39731" s="13"/>
    </row>
    <row r="39732">
      <c r="F39732" s="13"/>
      <c r="M39732" s="13"/>
    </row>
    <row r="39733">
      <c r="F39733" s="13"/>
      <c r="M39733" s="13"/>
    </row>
    <row r="39734">
      <c r="F39734" s="13"/>
      <c r="M39734" s="13"/>
    </row>
    <row r="39735">
      <c r="F39735" s="13"/>
      <c r="M39735" s="13"/>
    </row>
    <row r="39736">
      <c r="F39736" s="13"/>
      <c r="M39736" s="13"/>
    </row>
    <row r="39737">
      <c r="F39737" s="13"/>
      <c r="M39737" s="13"/>
    </row>
    <row r="39738">
      <c r="F39738" s="13"/>
      <c r="M39738" s="13"/>
    </row>
    <row r="39739">
      <c r="F39739" s="13"/>
      <c r="M39739" s="13"/>
    </row>
    <row r="39740">
      <c r="F39740" s="13"/>
      <c r="M39740" s="13"/>
    </row>
    <row r="39741">
      <c r="F39741" s="13"/>
      <c r="M39741" s="13"/>
    </row>
    <row r="39742">
      <c r="F39742" s="13"/>
      <c r="M39742" s="13"/>
    </row>
    <row r="39743">
      <c r="F39743" s="13"/>
      <c r="M39743" s="13"/>
    </row>
    <row r="39744">
      <c r="F39744" s="13"/>
      <c r="M39744" s="13"/>
    </row>
    <row r="39745">
      <c r="F39745" s="13"/>
      <c r="M39745" s="13"/>
    </row>
    <row r="39746">
      <c r="F39746" s="13"/>
      <c r="M39746" s="13"/>
    </row>
    <row r="39747">
      <c r="F39747" s="13"/>
      <c r="M39747" s="13"/>
    </row>
    <row r="39748">
      <c r="F39748" s="13"/>
      <c r="M39748" s="13"/>
    </row>
    <row r="39749">
      <c r="F39749" s="13"/>
      <c r="M39749" s="13"/>
    </row>
    <row r="39750">
      <c r="F39750" s="13"/>
      <c r="M39750" s="13"/>
    </row>
    <row r="39751">
      <c r="F39751" s="13"/>
      <c r="M39751" s="13"/>
    </row>
    <row r="39752">
      <c r="F39752" s="13"/>
      <c r="M39752" s="13"/>
    </row>
    <row r="39753">
      <c r="F39753" s="13"/>
      <c r="M39753" s="13"/>
    </row>
    <row r="39754">
      <c r="F39754" s="13"/>
      <c r="M39754" s="13"/>
    </row>
    <row r="39755">
      <c r="F39755" s="13"/>
      <c r="M39755" s="13"/>
    </row>
    <row r="39756">
      <c r="F39756" s="13"/>
      <c r="M39756" s="13"/>
    </row>
    <row r="39757">
      <c r="F39757" s="13"/>
      <c r="M39757" s="13"/>
    </row>
    <row r="39758">
      <c r="F39758" s="13"/>
      <c r="M39758" s="13"/>
    </row>
    <row r="39759">
      <c r="F39759" s="13"/>
      <c r="M39759" s="13"/>
    </row>
    <row r="39760">
      <c r="F39760" s="13"/>
      <c r="M39760" s="13"/>
    </row>
    <row r="39761">
      <c r="F39761" s="13"/>
      <c r="M39761" s="13"/>
    </row>
    <row r="39762">
      <c r="F39762" s="13"/>
      <c r="M39762" s="13"/>
    </row>
    <row r="39763">
      <c r="F39763" s="13"/>
      <c r="M39763" s="13"/>
    </row>
    <row r="39764">
      <c r="F39764" s="13"/>
      <c r="M39764" s="13"/>
    </row>
    <row r="39765">
      <c r="F39765" s="13"/>
      <c r="M39765" s="13"/>
    </row>
    <row r="39766">
      <c r="F39766" s="13"/>
      <c r="M39766" s="13"/>
    </row>
    <row r="39767">
      <c r="F39767" s="13"/>
      <c r="M39767" s="13"/>
    </row>
    <row r="39768">
      <c r="F39768" s="13"/>
      <c r="M39768" s="13"/>
    </row>
    <row r="39769">
      <c r="F39769" s="13"/>
      <c r="M39769" s="13"/>
    </row>
    <row r="39770">
      <c r="F39770" s="13"/>
      <c r="M39770" s="13"/>
    </row>
    <row r="39771">
      <c r="F39771" s="13"/>
      <c r="M39771" s="13"/>
    </row>
    <row r="39772">
      <c r="F39772" s="13"/>
      <c r="M39772" s="13"/>
    </row>
    <row r="39773">
      <c r="F39773" s="13"/>
      <c r="M39773" s="13"/>
    </row>
    <row r="39774">
      <c r="F39774" s="13"/>
      <c r="M39774" s="13"/>
    </row>
    <row r="39775">
      <c r="F39775" s="13"/>
      <c r="M39775" s="13"/>
    </row>
    <row r="39776">
      <c r="F39776" s="13"/>
      <c r="M39776" s="13"/>
    </row>
    <row r="39777">
      <c r="F39777" s="13"/>
      <c r="M39777" s="13"/>
    </row>
    <row r="39778">
      <c r="F39778" s="13"/>
      <c r="M39778" s="13"/>
    </row>
    <row r="39779">
      <c r="F39779" s="13"/>
      <c r="M39779" s="13"/>
    </row>
    <row r="39780">
      <c r="F39780" s="13"/>
      <c r="M39780" s="13"/>
    </row>
    <row r="39781">
      <c r="F39781" s="13"/>
      <c r="M39781" s="13"/>
    </row>
    <row r="39782">
      <c r="F39782" s="13"/>
      <c r="M39782" s="13"/>
    </row>
    <row r="39783">
      <c r="F39783" s="13"/>
      <c r="M39783" s="13"/>
    </row>
    <row r="39784">
      <c r="F39784" s="13"/>
      <c r="M39784" s="13"/>
    </row>
    <row r="39785">
      <c r="F39785" s="13"/>
      <c r="M39785" s="13"/>
    </row>
    <row r="39786">
      <c r="F39786" s="13"/>
      <c r="M39786" s="13"/>
    </row>
    <row r="39787">
      <c r="F39787" s="13"/>
      <c r="M39787" s="13"/>
    </row>
    <row r="39788">
      <c r="F39788" s="13"/>
      <c r="M39788" s="13"/>
    </row>
    <row r="39789">
      <c r="F39789" s="13"/>
      <c r="M39789" s="13"/>
    </row>
    <row r="39790">
      <c r="F39790" s="13"/>
      <c r="M39790" s="13"/>
    </row>
    <row r="39791">
      <c r="F39791" s="13"/>
      <c r="M39791" s="13"/>
    </row>
    <row r="39792">
      <c r="F39792" s="13"/>
      <c r="M39792" s="13"/>
    </row>
    <row r="39793">
      <c r="F39793" s="13"/>
      <c r="M39793" s="13"/>
    </row>
    <row r="39794">
      <c r="F39794" s="13"/>
      <c r="M39794" s="13"/>
    </row>
    <row r="39795">
      <c r="F39795" s="13"/>
      <c r="M39795" s="13"/>
    </row>
    <row r="39796">
      <c r="F39796" s="13"/>
      <c r="M39796" s="13"/>
    </row>
    <row r="39797">
      <c r="F39797" s="13"/>
      <c r="M39797" s="13"/>
    </row>
    <row r="39798">
      <c r="F39798" s="13"/>
      <c r="M39798" s="13"/>
    </row>
    <row r="39799">
      <c r="F39799" s="13"/>
      <c r="M39799" s="13"/>
    </row>
    <row r="39800">
      <c r="F39800" s="13"/>
      <c r="M39800" s="13"/>
    </row>
    <row r="39801">
      <c r="F39801" s="13"/>
      <c r="M39801" s="13"/>
    </row>
    <row r="39802">
      <c r="F39802" s="13"/>
      <c r="M39802" s="13"/>
    </row>
    <row r="39803">
      <c r="F39803" s="13"/>
      <c r="M39803" s="13"/>
    </row>
    <row r="39804">
      <c r="F39804" s="13"/>
      <c r="M39804" s="13"/>
    </row>
    <row r="39805">
      <c r="F39805" s="13"/>
      <c r="M39805" s="13"/>
    </row>
    <row r="39806">
      <c r="F39806" s="13"/>
      <c r="M39806" s="13"/>
    </row>
    <row r="39807">
      <c r="F39807" s="13"/>
      <c r="M39807" s="13"/>
    </row>
    <row r="39808">
      <c r="F39808" s="13"/>
      <c r="M39808" s="13"/>
    </row>
    <row r="39809">
      <c r="F39809" s="13"/>
      <c r="M39809" s="13"/>
    </row>
    <row r="39810">
      <c r="F39810" s="13"/>
      <c r="M39810" s="13"/>
    </row>
    <row r="39811">
      <c r="F39811" s="13"/>
      <c r="M39811" s="13"/>
    </row>
    <row r="39812">
      <c r="F39812" s="13"/>
      <c r="M39812" s="13"/>
    </row>
    <row r="39813">
      <c r="F39813" s="13"/>
      <c r="M39813" s="13"/>
    </row>
    <row r="39814">
      <c r="F39814" s="13"/>
      <c r="M39814" s="13"/>
    </row>
    <row r="39815">
      <c r="F39815" s="13"/>
      <c r="M39815" s="13"/>
    </row>
    <row r="39816">
      <c r="F39816" s="13"/>
      <c r="M39816" s="13"/>
    </row>
    <row r="39817">
      <c r="F39817" s="13"/>
      <c r="M39817" s="13"/>
    </row>
    <row r="39818">
      <c r="F39818" s="13"/>
      <c r="M39818" s="13"/>
    </row>
    <row r="39819">
      <c r="F39819" s="13"/>
      <c r="M39819" s="13"/>
    </row>
    <row r="39820">
      <c r="F39820" s="13"/>
      <c r="M39820" s="13"/>
    </row>
    <row r="39821">
      <c r="F39821" s="13"/>
      <c r="M39821" s="13"/>
    </row>
    <row r="39822">
      <c r="F39822" s="13"/>
      <c r="M39822" s="13"/>
    </row>
    <row r="39823">
      <c r="F39823" s="13"/>
      <c r="M39823" s="13"/>
    </row>
    <row r="39824">
      <c r="F39824" s="13"/>
      <c r="M39824" s="13"/>
    </row>
    <row r="39825">
      <c r="F39825" s="13"/>
      <c r="M39825" s="13"/>
    </row>
    <row r="39826">
      <c r="F39826" s="13"/>
      <c r="M39826" s="13"/>
    </row>
    <row r="39827">
      <c r="F39827" s="13"/>
      <c r="M39827" s="13"/>
    </row>
    <row r="39828">
      <c r="F39828" s="13"/>
      <c r="M39828" s="13"/>
    </row>
    <row r="39829">
      <c r="F39829" s="13"/>
      <c r="M39829" s="13"/>
    </row>
    <row r="39830">
      <c r="F39830" s="13"/>
      <c r="M39830" s="13"/>
    </row>
    <row r="39831">
      <c r="F39831" s="13"/>
      <c r="M39831" s="13"/>
    </row>
    <row r="39832">
      <c r="F39832" s="13"/>
      <c r="M39832" s="13"/>
    </row>
    <row r="39833">
      <c r="F39833" s="13"/>
      <c r="M39833" s="13"/>
    </row>
    <row r="39834">
      <c r="F39834" s="13"/>
      <c r="M39834" s="13"/>
    </row>
    <row r="39835">
      <c r="F39835" s="13"/>
      <c r="M39835" s="13"/>
    </row>
    <row r="39836">
      <c r="F39836" s="13"/>
      <c r="M39836" s="13"/>
    </row>
    <row r="39837">
      <c r="F39837" s="13"/>
      <c r="M39837" s="13"/>
    </row>
    <row r="39838">
      <c r="F39838" s="13"/>
      <c r="M39838" s="13"/>
    </row>
    <row r="39839">
      <c r="F39839" s="13"/>
      <c r="M39839" s="13"/>
    </row>
    <row r="39840">
      <c r="F39840" s="13"/>
      <c r="M39840" s="13"/>
    </row>
    <row r="39841">
      <c r="F39841" s="13"/>
      <c r="M39841" s="13"/>
    </row>
    <row r="39842">
      <c r="F39842" s="13"/>
      <c r="M39842" s="13"/>
    </row>
    <row r="39843">
      <c r="F39843" s="13"/>
      <c r="M39843" s="13"/>
    </row>
    <row r="39844">
      <c r="F39844" s="13"/>
      <c r="M39844" s="13"/>
    </row>
    <row r="39845">
      <c r="F39845" s="13"/>
      <c r="M39845" s="13"/>
    </row>
    <row r="39846">
      <c r="F39846" s="13"/>
      <c r="M39846" s="13"/>
    </row>
    <row r="39847">
      <c r="F39847" s="13"/>
      <c r="M39847" s="13"/>
    </row>
    <row r="39848">
      <c r="F39848" s="13"/>
      <c r="M39848" s="13"/>
    </row>
    <row r="39849">
      <c r="F39849" s="13"/>
      <c r="M39849" s="13"/>
    </row>
    <row r="39850">
      <c r="F39850" s="13"/>
      <c r="M39850" s="13"/>
    </row>
    <row r="39851">
      <c r="F39851" s="13"/>
      <c r="M39851" s="13"/>
    </row>
    <row r="39852">
      <c r="F39852" s="13"/>
      <c r="M39852" s="13"/>
    </row>
    <row r="39853">
      <c r="F39853" s="13"/>
      <c r="M39853" s="13"/>
    </row>
    <row r="39854">
      <c r="F39854" s="13"/>
      <c r="M39854" s="13"/>
    </row>
    <row r="39855">
      <c r="F39855" s="13"/>
      <c r="M39855" s="13"/>
    </row>
    <row r="39856">
      <c r="F39856" s="13"/>
      <c r="M39856" s="13"/>
    </row>
    <row r="39857">
      <c r="F39857" s="13"/>
      <c r="M39857" s="13"/>
    </row>
    <row r="39858">
      <c r="F39858" s="13"/>
      <c r="M39858" s="13"/>
    </row>
    <row r="39859">
      <c r="F39859" s="13"/>
      <c r="M39859" s="13"/>
    </row>
    <row r="39860">
      <c r="F39860" s="13"/>
      <c r="M39860" s="13"/>
    </row>
    <row r="39861">
      <c r="F39861" s="13"/>
      <c r="M39861" s="13"/>
    </row>
    <row r="39862">
      <c r="F39862" s="13"/>
      <c r="M39862" s="13"/>
    </row>
    <row r="39863">
      <c r="F39863" s="13"/>
      <c r="M39863" s="13"/>
    </row>
    <row r="39864">
      <c r="F39864" s="13"/>
      <c r="M39864" s="13"/>
    </row>
    <row r="39865">
      <c r="F39865" s="13"/>
      <c r="M39865" s="13"/>
    </row>
    <row r="39866">
      <c r="F39866" s="13"/>
      <c r="M39866" s="13"/>
    </row>
    <row r="39867">
      <c r="F39867" s="13"/>
      <c r="M39867" s="13"/>
    </row>
    <row r="39868">
      <c r="F39868" s="13"/>
      <c r="M39868" s="13"/>
    </row>
    <row r="39869">
      <c r="F39869" s="13"/>
      <c r="M39869" s="13"/>
    </row>
    <row r="39870">
      <c r="F39870" s="13"/>
      <c r="M39870" s="13"/>
    </row>
    <row r="39871">
      <c r="F39871" s="13"/>
      <c r="M39871" s="13"/>
    </row>
    <row r="39872">
      <c r="F39872" s="13"/>
      <c r="M39872" s="13"/>
    </row>
    <row r="39873">
      <c r="F39873" s="13"/>
      <c r="M39873" s="13"/>
    </row>
    <row r="39874">
      <c r="F39874" s="13"/>
      <c r="M39874" s="13"/>
    </row>
    <row r="39875">
      <c r="F39875" s="13"/>
      <c r="M39875" s="13"/>
    </row>
    <row r="39876">
      <c r="F39876" s="13"/>
      <c r="M39876" s="13"/>
    </row>
    <row r="39877">
      <c r="F39877" s="13"/>
      <c r="M39877" s="13"/>
    </row>
    <row r="39878">
      <c r="F39878" s="13"/>
      <c r="M39878" s="13"/>
    </row>
    <row r="39879">
      <c r="F39879" s="13"/>
      <c r="M39879" s="13"/>
    </row>
    <row r="39880">
      <c r="F39880" s="13"/>
      <c r="M39880" s="13"/>
    </row>
    <row r="39881">
      <c r="F39881" s="13"/>
      <c r="M39881" s="13"/>
    </row>
    <row r="39882">
      <c r="F39882" s="13"/>
      <c r="M39882" s="13"/>
    </row>
    <row r="39883">
      <c r="F39883" s="13"/>
      <c r="M39883" s="13"/>
    </row>
    <row r="39884">
      <c r="F39884" s="13"/>
      <c r="M39884" s="13"/>
    </row>
    <row r="39885">
      <c r="F39885" s="13"/>
      <c r="M39885" s="13"/>
    </row>
    <row r="39886">
      <c r="F39886" s="13"/>
      <c r="M39886" s="13"/>
    </row>
    <row r="39887">
      <c r="F39887" s="13"/>
      <c r="M39887" s="13"/>
    </row>
    <row r="39888">
      <c r="F39888" s="13"/>
      <c r="M39888" s="13"/>
    </row>
    <row r="39889">
      <c r="F39889" s="13"/>
      <c r="M39889" s="13"/>
    </row>
    <row r="39890">
      <c r="F39890" s="13"/>
      <c r="M39890" s="13"/>
    </row>
    <row r="39891">
      <c r="F39891" s="13"/>
      <c r="M39891" s="13"/>
    </row>
    <row r="39892">
      <c r="F39892" s="13"/>
      <c r="M39892" s="13"/>
    </row>
    <row r="39893">
      <c r="F39893" s="13"/>
      <c r="M39893" s="13"/>
    </row>
    <row r="39894">
      <c r="F39894" s="13"/>
      <c r="M39894" s="13"/>
    </row>
    <row r="39895">
      <c r="F39895" s="13"/>
      <c r="M39895" s="13"/>
    </row>
    <row r="39896">
      <c r="F39896" s="13"/>
      <c r="M39896" s="13"/>
    </row>
    <row r="39897">
      <c r="F39897" s="13"/>
      <c r="M39897" s="13"/>
    </row>
    <row r="39898">
      <c r="F39898" s="13"/>
      <c r="M39898" s="13"/>
    </row>
    <row r="39899">
      <c r="F39899" s="13"/>
      <c r="M39899" s="13"/>
    </row>
    <row r="39900">
      <c r="F39900" s="13"/>
      <c r="M39900" s="13"/>
    </row>
    <row r="39901">
      <c r="F39901" s="13"/>
      <c r="M39901" s="13"/>
    </row>
    <row r="39902">
      <c r="F39902" s="13"/>
      <c r="M39902" s="13"/>
    </row>
    <row r="39903">
      <c r="F39903" s="13"/>
      <c r="M39903" s="13"/>
    </row>
    <row r="39904">
      <c r="F39904" s="13"/>
      <c r="M39904" s="13"/>
    </row>
    <row r="39905">
      <c r="F39905" s="13"/>
      <c r="M39905" s="13"/>
    </row>
    <row r="39906">
      <c r="F39906" s="13"/>
      <c r="M39906" s="13"/>
    </row>
    <row r="39907">
      <c r="F39907" s="13"/>
      <c r="M39907" s="13"/>
    </row>
    <row r="39908">
      <c r="F39908" s="13"/>
      <c r="M39908" s="13"/>
    </row>
    <row r="39909">
      <c r="F39909" s="13"/>
      <c r="M39909" s="13"/>
    </row>
    <row r="39910">
      <c r="F39910" s="13"/>
      <c r="M39910" s="13"/>
    </row>
    <row r="39911">
      <c r="F39911" s="13"/>
      <c r="M39911" s="13"/>
    </row>
    <row r="39912">
      <c r="F39912" s="13"/>
      <c r="M39912" s="13"/>
    </row>
    <row r="39913">
      <c r="F39913" s="13"/>
      <c r="M39913" s="13"/>
    </row>
    <row r="39914">
      <c r="F39914" s="13"/>
      <c r="M39914" s="13"/>
    </row>
    <row r="39915">
      <c r="F39915" s="13"/>
      <c r="M39915" s="13"/>
    </row>
    <row r="39916">
      <c r="F39916" s="13"/>
      <c r="M39916" s="13"/>
    </row>
    <row r="39917">
      <c r="F39917" s="13"/>
      <c r="M39917" s="13"/>
    </row>
    <row r="39918">
      <c r="F39918" s="13"/>
      <c r="M39918" s="13"/>
    </row>
    <row r="39919">
      <c r="F39919" s="13"/>
      <c r="M39919" s="13"/>
    </row>
    <row r="39920">
      <c r="F39920" s="13"/>
      <c r="M39920" s="13"/>
    </row>
    <row r="39921">
      <c r="F39921" s="13"/>
      <c r="M39921" s="13"/>
    </row>
    <row r="39922">
      <c r="F39922" s="13"/>
      <c r="M39922" s="13"/>
    </row>
    <row r="39923">
      <c r="F39923" s="13"/>
      <c r="M39923" s="13"/>
    </row>
    <row r="39924">
      <c r="F39924" s="13"/>
      <c r="M39924" s="13"/>
    </row>
    <row r="39925">
      <c r="F39925" s="13"/>
      <c r="M39925" s="13"/>
    </row>
    <row r="39926">
      <c r="F39926" s="13"/>
      <c r="M39926" s="13"/>
    </row>
    <row r="39927">
      <c r="F39927" s="13"/>
      <c r="M39927" s="13"/>
    </row>
    <row r="39928">
      <c r="F39928" s="13"/>
      <c r="M39928" s="13"/>
    </row>
    <row r="39929">
      <c r="F39929" s="13"/>
      <c r="M39929" s="13"/>
    </row>
    <row r="39930">
      <c r="F39930" s="13"/>
      <c r="M39930" s="13"/>
    </row>
    <row r="39931">
      <c r="F39931" s="13"/>
      <c r="M39931" s="13"/>
    </row>
    <row r="39932">
      <c r="F39932" s="13"/>
      <c r="M39932" s="13"/>
    </row>
    <row r="39933">
      <c r="F39933" s="13"/>
      <c r="M39933" s="13"/>
    </row>
    <row r="39934">
      <c r="F39934" s="13"/>
      <c r="M39934" s="13"/>
    </row>
    <row r="39935">
      <c r="F39935" s="13"/>
      <c r="M39935" s="13"/>
    </row>
    <row r="39936">
      <c r="F39936" s="13"/>
      <c r="M39936" s="13"/>
    </row>
    <row r="39937">
      <c r="F39937" s="13"/>
      <c r="M39937" s="13"/>
    </row>
    <row r="39938">
      <c r="F39938" s="13"/>
      <c r="M39938" s="13"/>
    </row>
    <row r="39939">
      <c r="F39939" s="13"/>
      <c r="M39939" s="13"/>
    </row>
    <row r="39940">
      <c r="F39940" s="13"/>
      <c r="M39940" s="13"/>
    </row>
    <row r="39941">
      <c r="F39941" s="13"/>
      <c r="M39941" s="13"/>
    </row>
    <row r="39942">
      <c r="F39942" s="13"/>
      <c r="M39942" s="13"/>
    </row>
    <row r="39943">
      <c r="F39943" s="13"/>
      <c r="M39943" s="13"/>
    </row>
    <row r="39944">
      <c r="F39944" s="13"/>
      <c r="M39944" s="13"/>
    </row>
    <row r="39945">
      <c r="F39945" s="13"/>
      <c r="M39945" s="13"/>
    </row>
    <row r="39946">
      <c r="F39946" s="13"/>
      <c r="M39946" s="13"/>
    </row>
    <row r="39947">
      <c r="F39947" s="13"/>
      <c r="M39947" s="13"/>
    </row>
    <row r="39948">
      <c r="F39948" s="13"/>
      <c r="M39948" s="13"/>
    </row>
    <row r="39949">
      <c r="F39949" s="13"/>
      <c r="M39949" s="13"/>
    </row>
    <row r="39950">
      <c r="F39950" s="13"/>
      <c r="M39950" s="13"/>
    </row>
    <row r="39951">
      <c r="F39951" s="13"/>
      <c r="M39951" s="13"/>
    </row>
    <row r="39952">
      <c r="F39952" s="13"/>
      <c r="M39952" s="13"/>
    </row>
    <row r="39953">
      <c r="F39953" s="13"/>
      <c r="M39953" s="13"/>
    </row>
    <row r="39954">
      <c r="F39954" s="13"/>
      <c r="M39954" s="13"/>
    </row>
    <row r="39955">
      <c r="F39955" s="13"/>
      <c r="M39955" s="13"/>
    </row>
    <row r="39956">
      <c r="F39956" s="13"/>
      <c r="M39956" s="13"/>
    </row>
    <row r="39957">
      <c r="F39957" s="13"/>
      <c r="M39957" s="13"/>
    </row>
    <row r="39958">
      <c r="F39958" s="13"/>
      <c r="M39958" s="13"/>
    </row>
    <row r="39959">
      <c r="F39959" s="13"/>
      <c r="M39959" s="13"/>
    </row>
    <row r="39960">
      <c r="F39960" s="13"/>
      <c r="M39960" s="13"/>
    </row>
    <row r="39961">
      <c r="F39961" s="13"/>
      <c r="M39961" s="13"/>
    </row>
    <row r="39962">
      <c r="F39962" s="13"/>
      <c r="M39962" s="13"/>
    </row>
    <row r="39963">
      <c r="F39963" s="13"/>
      <c r="M39963" s="13"/>
    </row>
    <row r="39964">
      <c r="F39964" s="13"/>
      <c r="M39964" s="13"/>
    </row>
    <row r="39965">
      <c r="F39965" s="13"/>
      <c r="M39965" s="13"/>
    </row>
    <row r="39966">
      <c r="F39966" s="13"/>
      <c r="M39966" s="13"/>
    </row>
    <row r="39967">
      <c r="F39967" s="13"/>
      <c r="M39967" s="13"/>
    </row>
    <row r="39968">
      <c r="F39968" s="13"/>
      <c r="M39968" s="13"/>
    </row>
    <row r="39969">
      <c r="F39969" s="13"/>
      <c r="M39969" s="13"/>
    </row>
    <row r="39970">
      <c r="F39970" s="13"/>
      <c r="M39970" s="13"/>
    </row>
    <row r="39971">
      <c r="F39971" s="13"/>
      <c r="M39971" s="13"/>
    </row>
    <row r="39972">
      <c r="F39972" s="13"/>
      <c r="M39972" s="13"/>
    </row>
    <row r="39973">
      <c r="F39973" s="13"/>
      <c r="M39973" s="13"/>
    </row>
    <row r="39974">
      <c r="F39974" s="13"/>
      <c r="M39974" s="13"/>
    </row>
    <row r="39975">
      <c r="F39975" s="13"/>
      <c r="M39975" s="13"/>
    </row>
    <row r="39976">
      <c r="F39976" s="13"/>
      <c r="M39976" s="13"/>
    </row>
    <row r="39977">
      <c r="F39977" s="13"/>
      <c r="M39977" s="13"/>
    </row>
    <row r="39978">
      <c r="F39978" s="13"/>
      <c r="M39978" s="13"/>
    </row>
    <row r="39979">
      <c r="F39979" s="13"/>
      <c r="M39979" s="13"/>
    </row>
    <row r="39980">
      <c r="F39980" s="13"/>
      <c r="M39980" s="13"/>
    </row>
    <row r="39981">
      <c r="F39981" s="13"/>
      <c r="M39981" s="13"/>
    </row>
    <row r="39982">
      <c r="F39982" s="13"/>
      <c r="M39982" s="13"/>
    </row>
    <row r="39983">
      <c r="F39983" s="13"/>
      <c r="M39983" s="13"/>
    </row>
    <row r="39984">
      <c r="F39984" s="13"/>
      <c r="M39984" s="13"/>
    </row>
    <row r="39985">
      <c r="F39985" s="13"/>
      <c r="M39985" s="13"/>
    </row>
    <row r="39986">
      <c r="F39986" s="13"/>
      <c r="M39986" s="13"/>
    </row>
    <row r="39987">
      <c r="F39987" s="13"/>
      <c r="M39987" s="13"/>
    </row>
    <row r="39988">
      <c r="F39988" s="13"/>
      <c r="M39988" s="13"/>
    </row>
    <row r="39989">
      <c r="F39989" s="13"/>
      <c r="M39989" s="13"/>
    </row>
    <row r="39990">
      <c r="F39990" s="13"/>
      <c r="M39990" s="13"/>
    </row>
    <row r="39991">
      <c r="F39991" s="13"/>
      <c r="M39991" s="13"/>
    </row>
    <row r="39992">
      <c r="F39992" s="13"/>
      <c r="M39992" s="13"/>
    </row>
    <row r="39993">
      <c r="F39993" s="13"/>
      <c r="M39993" s="13"/>
    </row>
    <row r="39994">
      <c r="F39994" s="13"/>
      <c r="M39994" s="13"/>
    </row>
    <row r="39995">
      <c r="F39995" s="13"/>
      <c r="M39995" s="13"/>
    </row>
    <row r="39996">
      <c r="F39996" s="13"/>
      <c r="M39996" s="13"/>
    </row>
    <row r="39997">
      <c r="F39997" s="13"/>
      <c r="M39997" s="13"/>
    </row>
    <row r="39998">
      <c r="F39998" s="13"/>
      <c r="M39998" s="13"/>
    </row>
    <row r="39999">
      <c r="F39999" s="13"/>
      <c r="M39999" s="13"/>
    </row>
    <row r="40000">
      <c r="F40000" s="13"/>
      <c r="M40000" s="13"/>
    </row>
    <row r="40001">
      <c r="F40001" s="13"/>
      <c r="M40001" s="13"/>
    </row>
    <row r="40002">
      <c r="F40002" s="13"/>
      <c r="M40002" s="13"/>
    </row>
    <row r="40003">
      <c r="F40003" s="13"/>
      <c r="M40003" s="13"/>
    </row>
    <row r="40004">
      <c r="F40004" s="13"/>
      <c r="M40004" s="13"/>
    </row>
    <row r="40005">
      <c r="F40005" s="13"/>
      <c r="M40005" s="13"/>
    </row>
    <row r="40006">
      <c r="F40006" s="13"/>
      <c r="M40006" s="13"/>
    </row>
    <row r="40007">
      <c r="F40007" s="13"/>
      <c r="M40007" s="13"/>
    </row>
    <row r="40008">
      <c r="F40008" s="13"/>
      <c r="M40008" s="13"/>
    </row>
    <row r="40009">
      <c r="F40009" s="13"/>
      <c r="M40009" s="13"/>
    </row>
    <row r="40010">
      <c r="F40010" s="13"/>
      <c r="M40010" s="13"/>
    </row>
    <row r="40011">
      <c r="F40011" s="13"/>
      <c r="M40011" s="13"/>
    </row>
    <row r="40012">
      <c r="F40012" s="13"/>
      <c r="M40012" s="13"/>
    </row>
    <row r="40013">
      <c r="F40013" s="13"/>
      <c r="M40013" s="13"/>
    </row>
    <row r="40014">
      <c r="F40014" s="13"/>
      <c r="M40014" s="13"/>
    </row>
    <row r="40015">
      <c r="F40015" s="13"/>
      <c r="M40015" s="13"/>
    </row>
    <row r="40016">
      <c r="F40016" s="13"/>
      <c r="M40016" s="13"/>
    </row>
    <row r="40017">
      <c r="F40017" s="13"/>
      <c r="M40017" s="13"/>
    </row>
    <row r="40018">
      <c r="F40018" s="13"/>
      <c r="M40018" s="13"/>
    </row>
    <row r="40019">
      <c r="F40019" s="13"/>
      <c r="M40019" s="13"/>
    </row>
    <row r="40020">
      <c r="F40020" s="13"/>
      <c r="M40020" s="13"/>
    </row>
    <row r="40021">
      <c r="F40021" s="13"/>
      <c r="M40021" s="13"/>
    </row>
    <row r="40022">
      <c r="F40022" s="13"/>
      <c r="M40022" s="13"/>
    </row>
    <row r="40023">
      <c r="F40023" s="13"/>
      <c r="M40023" s="13"/>
    </row>
    <row r="40024">
      <c r="F40024" s="13"/>
      <c r="M40024" s="13"/>
    </row>
    <row r="40025">
      <c r="F40025" s="13"/>
      <c r="M40025" s="13"/>
    </row>
    <row r="40026">
      <c r="F40026" s="13"/>
      <c r="M40026" s="13"/>
    </row>
    <row r="40027">
      <c r="F40027" s="13"/>
      <c r="M40027" s="13"/>
    </row>
    <row r="40028">
      <c r="F40028" s="13"/>
      <c r="M40028" s="13"/>
    </row>
    <row r="40029">
      <c r="F40029" s="13"/>
      <c r="M40029" s="13"/>
    </row>
    <row r="40030">
      <c r="F40030" s="13"/>
      <c r="M40030" s="13"/>
    </row>
    <row r="40031">
      <c r="F40031" s="13"/>
      <c r="M40031" s="13"/>
    </row>
    <row r="40032">
      <c r="F40032" s="13"/>
      <c r="M40032" s="13"/>
    </row>
    <row r="40033">
      <c r="F40033" s="13"/>
      <c r="M40033" s="13"/>
    </row>
    <row r="40034">
      <c r="F40034" s="13"/>
      <c r="M40034" s="13"/>
    </row>
    <row r="40035">
      <c r="F40035" s="13"/>
      <c r="M40035" s="13"/>
    </row>
    <row r="40036">
      <c r="F40036" s="13"/>
      <c r="M40036" s="13"/>
    </row>
    <row r="40037">
      <c r="F40037" s="13"/>
      <c r="M40037" s="13"/>
    </row>
    <row r="40038">
      <c r="F40038" s="13"/>
      <c r="M40038" s="13"/>
    </row>
    <row r="40039">
      <c r="F40039" s="13"/>
      <c r="M40039" s="13"/>
    </row>
    <row r="40040">
      <c r="F40040" s="13"/>
      <c r="M40040" s="13"/>
    </row>
    <row r="40041">
      <c r="F40041" s="13"/>
      <c r="M40041" s="13"/>
    </row>
    <row r="40042">
      <c r="F40042" s="13"/>
      <c r="M40042" s="13"/>
    </row>
    <row r="40043">
      <c r="F40043" s="13"/>
      <c r="M40043" s="13"/>
    </row>
    <row r="40044">
      <c r="F40044" s="13"/>
      <c r="M40044" s="13"/>
    </row>
    <row r="40045">
      <c r="F40045" s="13"/>
      <c r="M40045" s="13"/>
    </row>
    <row r="40046">
      <c r="F40046" s="13"/>
      <c r="M40046" s="13"/>
    </row>
    <row r="40047">
      <c r="F40047" s="13"/>
      <c r="M40047" s="13"/>
    </row>
    <row r="40048">
      <c r="F40048" s="13"/>
      <c r="M40048" s="13"/>
    </row>
    <row r="40049">
      <c r="F40049" s="13"/>
      <c r="M40049" s="13"/>
    </row>
    <row r="40050">
      <c r="F40050" s="13"/>
      <c r="M40050" s="13"/>
    </row>
    <row r="40051">
      <c r="F40051" s="13"/>
      <c r="M40051" s="13"/>
    </row>
    <row r="40052">
      <c r="F40052" s="13"/>
      <c r="M40052" s="13"/>
    </row>
    <row r="40053">
      <c r="F40053" s="13"/>
      <c r="M40053" s="13"/>
    </row>
    <row r="40054">
      <c r="F40054" s="13"/>
      <c r="M40054" s="13"/>
    </row>
    <row r="40055">
      <c r="F40055" s="13"/>
      <c r="M40055" s="13"/>
    </row>
    <row r="40056">
      <c r="F40056" s="13"/>
      <c r="M40056" s="13"/>
    </row>
    <row r="40057">
      <c r="F40057" s="13"/>
      <c r="M40057" s="13"/>
    </row>
    <row r="40058">
      <c r="F40058" s="13"/>
      <c r="M40058" s="13"/>
    </row>
    <row r="40059">
      <c r="F40059" s="13"/>
      <c r="M40059" s="13"/>
    </row>
    <row r="40060">
      <c r="F40060" s="13"/>
      <c r="M40060" s="13"/>
    </row>
    <row r="40061">
      <c r="F40061" s="13"/>
      <c r="M40061" s="13"/>
    </row>
    <row r="40062">
      <c r="F40062" s="13"/>
      <c r="M40062" s="13"/>
    </row>
    <row r="40063">
      <c r="F40063" s="13"/>
      <c r="M40063" s="13"/>
    </row>
    <row r="40064">
      <c r="F40064" s="13"/>
      <c r="M40064" s="13"/>
    </row>
    <row r="40065">
      <c r="F40065" s="13"/>
      <c r="M40065" s="13"/>
    </row>
    <row r="40066">
      <c r="F40066" s="13"/>
      <c r="M40066" s="13"/>
    </row>
    <row r="40067">
      <c r="F40067" s="13"/>
      <c r="M40067" s="13"/>
    </row>
    <row r="40068">
      <c r="F40068" s="13"/>
      <c r="M40068" s="13"/>
    </row>
    <row r="40069">
      <c r="F40069" s="13"/>
      <c r="M40069" s="13"/>
    </row>
    <row r="40070">
      <c r="F40070" s="13"/>
      <c r="M40070" s="13"/>
    </row>
    <row r="40071">
      <c r="F40071" s="13"/>
      <c r="M40071" s="13"/>
    </row>
    <row r="40072">
      <c r="F40072" s="13"/>
      <c r="M40072" s="13"/>
    </row>
    <row r="40073">
      <c r="F40073" s="13"/>
      <c r="M40073" s="13"/>
    </row>
    <row r="40074">
      <c r="F40074" s="13"/>
      <c r="M40074" s="13"/>
    </row>
    <row r="40075">
      <c r="F40075" s="13"/>
      <c r="M40075" s="13"/>
    </row>
    <row r="40076">
      <c r="F40076" s="13"/>
      <c r="M40076" s="13"/>
    </row>
    <row r="40077">
      <c r="F40077" s="13"/>
      <c r="M40077" s="13"/>
    </row>
    <row r="40078">
      <c r="F40078" s="13"/>
      <c r="M40078" s="13"/>
    </row>
    <row r="40079">
      <c r="F40079" s="13"/>
      <c r="M40079" s="13"/>
    </row>
    <row r="40080">
      <c r="F40080" s="13"/>
      <c r="M40080" s="13"/>
    </row>
    <row r="40081">
      <c r="F40081" s="13"/>
      <c r="M40081" s="13"/>
    </row>
    <row r="40082">
      <c r="F40082" s="13"/>
      <c r="M40082" s="13"/>
    </row>
    <row r="40083">
      <c r="F40083" s="13"/>
      <c r="M40083" s="13"/>
    </row>
    <row r="40084">
      <c r="F40084" s="13"/>
      <c r="M40084" s="13"/>
    </row>
    <row r="40085">
      <c r="F40085" s="13"/>
      <c r="M40085" s="13"/>
    </row>
    <row r="40086">
      <c r="F40086" s="13"/>
      <c r="M40086" s="13"/>
    </row>
    <row r="40087">
      <c r="F40087" s="13"/>
      <c r="M40087" s="13"/>
    </row>
    <row r="40088">
      <c r="F40088" s="13"/>
      <c r="M40088" s="13"/>
    </row>
    <row r="40089">
      <c r="F40089" s="13"/>
      <c r="M40089" s="13"/>
    </row>
    <row r="40090">
      <c r="F40090" s="13"/>
      <c r="M40090" s="13"/>
    </row>
    <row r="40091">
      <c r="F40091" s="13"/>
      <c r="M40091" s="13"/>
    </row>
    <row r="40092">
      <c r="F40092" s="13"/>
      <c r="M40092" s="13"/>
    </row>
    <row r="40093">
      <c r="F40093" s="13"/>
      <c r="M40093" s="13"/>
    </row>
    <row r="40094">
      <c r="F40094" s="13"/>
      <c r="M40094" s="13"/>
    </row>
    <row r="40095">
      <c r="F40095" s="13"/>
      <c r="M40095" s="13"/>
    </row>
    <row r="40096">
      <c r="F40096" s="13"/>
      <c r="M40096" s="13"/>
    </row>
    <row r="40097">
      <c r="F40097" s="13"/>
      <c r="M40097" s="13"/>
    </row>
    <row r="40098">
      <c r="F40098" s="13"/>
      <c r="M40098" s="13"/>
    </row>
    <row r="40099">
      <c r="F40099" s="13"/>
      <c r="M40099" s="13"/>
    </row>
    <row r="40100">
      <c r="F40100" s="13"/>
      <c r="M40100" s="13"/>
    </row>
    <row r="40101">
      <c r="F40101" s="13"/>
      <c r="M40101" s="13"/>
    </row>
    <row r="40102">
      <c r="F40102" s="13"/>
      <c r="M40102" s="13"/>
    </row>
    <row r="40103">
      <c r="F40103" s="13"/>
      <c r="M40103" s="13"/>
    </row>
    <row r="40104">
      <c r="F40104" s="13"/>
      <c r="M40104" s="13"/>
    </row>
    <row r="40105">
      <c r="F40105" s="13"/>
      <c r="M40105" s="13"/>
    </row>
    <row r="40106">
      <c r="F40106" s="13"/>
      <c r="M40106" s="13"/>
    </row>
    <row r="40107">
      <c r="F40107" s="13"/>
      <c r="M40107" s="13"/>
    </row>
    <row r="40108">
      <c r="F40108" s="13"/>
      <c r="M40108" s="13"/>
    </row>
    <row r="40109">
      <c r="F40109" s="13"/>
      <c r="M40109" s="13"/>
    </row>
    <row r="40110">
      <c r="F40110" s="13"/>
      <c r="M40110" s="13"/>
    </row>
    <row r="40111">
      <c r="F40111" s="13"/>
      <c r="M40111" s="13"/>
    </row>
    <row r="40112">
      <c r="F40112" s="13"/>
      <c r="M40112" s="13"/>
    </row>
    <row r="40113">
      <c r="F40113" s="13"/>
      <c r="M40113" s="13"/>
    </row>
    <row r="40114">
      <c r="F40114" s="13"/>
      <c r="M40114" s="13"/>
    </row>
    <row r="40115">
      <c r="F40115" s="13"/>
      <c r="M40115" s="13"/>
    </row>
    <row r="40116">
      <c r="F40116" s="13"/>
      <c r="M40116" s="13"/>
    </row>
    <row r="40117">
      <c r="F40117" s="13"/>
      <c r="M40117" s="13"/>
    </row>
    <row r="40118">
      <c r="F40118" s="13"/>
      <c r="M40118" s="13"/>
    </row>
    <row r="40119">
      <c r="F40119" s="13"/>
      <c r="M40119" s="13"/>
    </row>
    <row r="40120">
      <c r="F40120" s="13"/>
      <c r="M40120" s="13"/>
    </row>
    <row r="40121">
      <c r="F40121" s="13"/>
      <c r="M40121" s="13"/>
    </row>
    <row r="40122">
      <c r="F40122" s="13"/>
      <c r="M40122" s="13"/>
    </row>
    <row r="40123">
      <c r="F40123" s="13"/>
      <c r="M40123" s="13"/>
    </row>
    <row r="40124">
      <c r="F40124" s="13"/>
      <c r="M40124" s="13"/>
    </row>
    <row r="40125">
      <c r="F40125" s="13"/>
      <c r="M40125" s="13"/>
    </row>
    <row r="40126">
      <c r="F40126" s="13"/>
      <c r="M40126" s="13"/>
    </row>
    <row r="40127">
      <c r="F40127" s="13"/>
      <c r="M40127" s="13"/>
    </row>
    <row r="40128">
      <c r="F40128" s="13"/>
      <c r="M40128" s="13"/>
    </row>
    <row r="40129">
      <c r="F40129" s="13"/>
      <c r="M40129" s="13"/>
    </row>
    <row r="40130">
      <c r="F40130" s="13"/>
      <c r="M40130" s="13"/>
    </row>
    <row r="40131">
      <c r="F40131" s="13"/>
      <c r="M40131" s="13"/>
    </row>
    <row r="40132">
      <c r="F40132" s="13"/>
      <c r="M40132" s="13"/>
    </row>
    <row r="40133">
      <c r="F40133" s="13"/>
      <c r="M40133" s="13"/>
    </row>
    <row r="40134">
      <c r="F40134" s="13"/>
      <c r="M40134" s="13"/>
    </row>
    <row r="40135">
      <c r="F40135" s="13"/>
      <c r="M40135" s="13"/>
    </row>
    <row r="40136">
      <c r="F40136" s="13"/>
      <c r="M40136" s="13"/>
    </row>
    <row r="40137">
      <c r="F40137" s="13"/>
      <c r="M40137" s="13"/>
    </row>
    <row r="40138">
      <c r="F40138" s="13"/>
      <c r="M40138" s="13"/>
    </row>
    <row r="40139">
      <c r="F40139" s="13"/>
      <c r="M40139" s="13"/>
    </row>
    <row r="40140">
      <c r="F40140" s="13"/>
      <c r="M40140" s="13"/>
    </row>
    <row r="40141">
      <c r="F40141" s="13"/>
      <c r="M40141" s="13"/>
    </row>
    <row r="40142">
      <c r="F40142" s="13"/>
      <c r="M40142" s="13"/>
    </row>
    <row r="40143">
      <c r="F40143" s="13"/>
      <c r="M40143" s="13"/>
    </row>
    <row r="40144">
      <c r="F40144" s="13"/>
      <c r="M40144" s="13"/>
    </row>
    <row r="40145">
      <c r="F40145" s="13"/>
      <c r="M40145" s="13"/>
    </row>
    <row r="40146">
      <c r="F40146" s="13"/>
      <c r="M40146" s="13"/>
    </row>
    <row r="40147">
      <c r="F40147" s="13"/>
      <c r="M40147" s="13"/>
    </row>
    <row r="40148">
      <c r="F40148" s="13"/>
      <c r="M40148" s="13"/>
    </row>
    <row r="40149">
      <c r="F40149" s="13"/>
      <c r="M40149" s="13"/>
    </row>
    <row r="40150">
      <c r="F40150" s="13"/>
      <c r="M40150" s="13"/>
    </row>
    <row r="40151">
      <c r="F40151" s="13"/>
      <c r="M40151" s="13"/>
    </row>
    <row r="40152">
      <c r="F40152" s="13"/>
      <c r="M40152" s="13"/>
    </row>
    <row r="40153">
      <c r="F40153" s="13"/>
      <c r="M40153" s="13"/>
    </row>
    <row r="40154">
      <c r="F40154" s="13"/>
      <c r="M40154" s="13"/>
    </row>
    <row r="40155">
      <c r="F40155" s="13"/>
      <c r="M40155" s="13"/>
    </row>
    <row r="40156">
      <c r="F40156" s="13"/>
      <c r="M40156" s="13"/>
    </row>
    <row r="40157">
      <c r="F40157" s="13"/>
      <c r="M40157" s="13"/>
    </row>
    <row r="40158">
      <c r="F40158" s="13"/>
      <c r="M40158" s="13"/>
    </row>
    <row r="40159">
      <c r="F40159" s="13"/>
      <c r="M40159" s="13"/>
    </row>
    <row r="40160">
      <c r="F40160" s="13"/>
      <c r="M40160" s="13"/>
    </row>
    <row r="40161">
      <c r="F40161" s="13"/>
      <c r="M40161" s="13"/>
    </row>
    <row r="40162">
      <c r="F40162" s="13"/>
      <c r="M40162" s="13"/>
    </row>
    <row r="40163">
      <c r="F40163" s="13"/>
      <c r="M40163" s="13"/>
    </row>
    <row r="40164">
      <c r="F40164" s="13"/>
      <c r="M40164" s="13"/>
    </row>
    <row r="40165">
      <c r="F40165" s="13"/>
      <c r="M40165" s="13"/>
    </row>
    <row r="40166">
      <c r="F40166" s="13"/>
      <c r="M40166" s="13"/>
    </row>
    <row r="40167">
      <c r="F40167" s="13"/>
      <c r="M40167" s="13"/>
    </row>
    <row r="40168">
      <c r="F40168" s="13"/>
      <c r="M40168" s="13"/>
    </row>
    <row r="40169">
      <c r="F40169" s="13"/>
      <c r="M40169" s="13"/>
    </row>
    <row r="40170">
      <c r="F40170" s="13"/>
      <c r="M40170" s="13"/>
    </row>
    <row r="40171">
      <c r="F40171" s="13"/>
      <c r="M40171" s="13"/>
    </row>
    <row r="40172">
      <c r="F40172" s="13"/>
      <c r="M40172" s="13"/>
    </row>
    <row r="40173">
      <c r="F40173" s="13"/>
      <c r="M40173" s="13"/>
    </row>
    <row r="40174">
      <c r="F40174" s="13"/>
      <c r="M40174" s="13"/>
    </row>
    <row r="40175">
      <c r="F40175" s="13"/>
      <c r="M40175" s="13"/>
    </row>
    <row r="40176">
      <c r="F40176" s="13"/>
      <c r="M40176" s="13"/>
    </row>
    <row r="40177">
      <c r="F40177" s="13"/>
      <c r="M40177" s="13"/>
    </row>
    <row r="40178">
      <c r="F40178" s="13"/>
      <c r="M40178" s="13"/>
    </row>
    <row r="40179">
      <c r="F40179" s="13"/>
      <c r="M40179" s="13"/>
    </row>
    <row r="40180">
      <c r="F40180" s="13"/>
      <c r="M40180" s="13"/>
    </row>
    <row r="40181">
      <c r="F40181" s="13"/>
      <c r="M40181" s="13"/>
    </row>
    <row r="40182">
      <c r="F40182" s="13"/>
      <c r="M40182" s="13"/>
    </row>
    <row r="40183">
      <c r="F40183" s="13"/>
      <c r="M40183" s="13"/>
    </row>
    <row r="40184">
      <c r="F40184" s="13"/>
      <c r="M40184" s="13"/>
    </row>
    <row r="40185">
      <c r="F40185" s="13"/>
      <c r="M40185" s="13"/>
    </row>
    <row r="40186">
      <c r="F40186" s="13"/>
      <c r="M40186" s="13"/>
    </row>
    <row r="40187">
      <c r="F40187" s="13"/>
      <c r="M40187" s="13"/>
    </row>
    <row r="40188">
      <c r="F40188" s="13"/>
      <c r="M40188" s="13"/>
    </row>
    <row r="40189">
      <c r="F40189" s="13"/>
      <c r="M40189" s="13"/>
    </row>
    <row r="40190">
      <c r="F40190" s="13"/>
      <c r="M40190" s="13"/>
    </row>
    <row r="40191">
      <c r="F40191" s="13"/>
      <c r="M40191" s="13"/>
    </row>
    <row r="40192">
      <c r="F40192" s="13"/>
      <c r="M40192" s="13"/>
    </row>
    <row r="40193">
      <c r="F40193" s="13"/>
      <c r="M40193" s="13"/>
    </row>
    <row r="40194">
      <c r="F40194" s="13"/>
      <c r="M40194" s="13"/>
    </row>
    <row r="40195">
      <c r="F40195" s="13"/>
      <c r="M40195" s="13"/>
    </row>
    <row r="40196">
      <c r="F40196" s="13"/>
      <c r="M40196" s="13"/>
    </row>
    <row r="40197">
      <c r="F40197" s="13"/>
      <c r="M40197" s="13"/>
    </row>
    <row r="40198">
      <c r="F40198" s="13"/>
      <c r="M40198" s="13"/>
    </row>
    <row r="40199">
      <c r="F40199" s="13"/>
      <c r="M40199" s="13"/>
    </row>
    <row r="40200">
      <c r="F40200" s="13"/>
      <c r="M40200" s="13"/>
    </row>
    <row r="40201">
      <c r="F40201" s="13"/>
      <c r="M40201" s="13"/>
    </row>
    <row r="40202">
      <c r="F40202" s="13"/>
      <c r="M40202" s="13"/>
    </row>
    <row r="40203">
      <c r="F40203" s="13"/>
      <c r="M40203" s="13"/>
    </row>
    <row r="40204">
      <c r="F40204" s="13"/>
      <c r="M40204" s="13"/>
    </row>
    <row r="40205">
      <c r="F40205" s="13"/>
      <c r="M40205" s="13"/>
    </row>
    <row r="40206">
      <c r="F40206" s="13"/>
      <c r="M40206" s="13"/>
    </row>
    <row r="40207">
      <c r="F40207" s="13"/>
      <c r="M40207" s="13"/>
    </row>
    <row r="40208">
      <c r="F40208" s="13"/>
      <c r="M40208" s="13"/>
    </row>
    <row r="40209">
      <c r="F40209" s="13"/>
      <c r="M40209" s="13"/>
    </row>
    <row r="40210">
      <c r="F40210" s="13"/>
      <c r="M40210" s="13"/>
    </row>
    <row r="40211">
      <c r="F40211" s="13"/>
      <c r="M40211" s="13"/>
    </row>
    <row r="40212">
      <c r="F40212" s="13"/>
      <c r="M40212" s="13"/>
    </row>
    <row r="40213">
      <c r="F40213" s="13"/>
      <c r="M40213" s="13"/>
    </row>
    <row r="40214">
      <c r="F40214" s="13"/>
      <c r="M40214" s="13"/>
    </row>
    <row r="40215">
      <c r="F40215" s="13"/>
      <c r="M40215" s="13"/>
    </row>
    <row r="40216">
      <c r="F40216" s="13"/>
      <c r="M40216" s="13"/>
    </row>
    <row r="40217">
      <c r="F40217" s="13"/>
      <c r="M40217" s="13"/>
    </row>
    <row r="40218">
      <c r="F40218" s="13"/>
      <c r="M40218" s="13"/>
    </row>
    <row r="40219">
      <c r="F40219" s="13"/>
      <c r="M40219" s="13"/>
    </row>
    <row r="40220">
      <c r="F40220" s="13"/>
      <c r="M40220" s="13"/>
    </row>
    <row r="40221">
      <c r="F40221" s="13"/>
      <c r="M40221" s="13"/>
    </row>
    <row r="40222">
      <c r="F40222" s="13"/>
      <c r="M40222" s="13"/>
    </row>
    <row r="40223">
      <c r="F40223" s="13"/>
      <c r="M40223" s="13"/>
    </row>
    <row r="40224">
      <c r="F40224" s="13"/>
      <c r="M40224" s="13"/>
    </row>
    <row r="40225">
      <c r="F40225" s="13"/>
      <c r="M40225" s="13"/>
    </row>
    <row r="40226">
      <c r="F40226" s="13"/>
      <c r="M40226" s="13"/>
    </row>
    <row r="40227">
      <c r="F40227" s="13"/>
      <c r="M40227" s="13"/>
    </row>
    <row r="40228">
      <c r="F40228" s="13"/>
      <c r="M40228" s="13"/>
    </row>
    <row r="40229">
      <c r="F40229" s="13"/>
      <c r="M40229" s="13"/>
    </row>
    <row r="40230">
      <c r="F40230" s="13"/>
      <c r="M40230" s="13"/>
    </row>
    <row r="40231">
      <c r="F40231" s="13"/>
      <c r="M40231" s="13"/>
    </row>
    <row r="40232">
      <c r="F40232" s="13"/>
      <c r="M40232" s="13"/>
    </row>
    <row r="40233">
      <c r="F40233" s="13"/>
      <c r="M40233" s="13"/>
    </row>
    <row r="40234">
      <c r="F40234" s="13"/>
      <c r="M40234" s="13"/>
    </row>
    <row r="40235">
      <c r="F40235" s="13"/>
      <c r="M40235" s="13"/>
    </row>
    <row r="40236">
      <c r="F40236" s="13"/>
      <c r="M40236" s="13"/>
    </row>
    <row r="40237">
      <c r="F40237" s="13"/>
      <c r="M40237" s="13"/>
    </row>
    <row r="40238">
      <c r="F40238" s="13"/>
      <c r="M40238" s="13"/>
    </row>
    <row r="40239">
      <c r="F40239" s="13"/>
      <c r="M40239" s="13"/>
    </row>
    <row r="40240">
      <c r="F40240" s="13"/>
      <c r="M40240" s="13"/>
    </row>
    <row r="40241">
      <c r="F40241" s="13"/>
      <c r="M40241" s="13"/>
    </row>
    <row r="40242">
      <c r="F40242" s="13"/>
      <c r="M40242" s="13"/>
    </row>
    <row r="40243">
      <c r="F40243" s="13"/>
      <c r="M40243" s="13"/>
    </row>
    <row r="40244">
      <c r="F40244" s="13"/>
      <c r="M40244" s="13"/>
    </row>
    <row r="40245">
      <c r="F40245" s="13"/>
      <c r="M40245" s="13"/>
    </row>
    <row r="40246">
      <c r="F40246" s="13"/>
      <c r="M40246" s="13"/>
    </row>
    <row r="40247">
      <c r="F40247" s="13"/>
      <c r="M40247" s="13"/>
    </row>
    <row r="40248">
      <c r="F40248" s="13"/>
      <c r="M40248" s="13"/>
    </row>
    <row r="40249">
      <c r="F40249" s="13"/>
      <c r="M40249" s="13"/>
    </row>
    <row r="40250">
      <c r="F40250" s="13"/>
      <c r="M40250" s="13"/>
    </row>
    <row r="40251">
      <c r="F40251" s="13"/>
      <c r="M40251" s="13"/>
    </row>
    <row r="40252">
      <c r="F40252" s="13"/>
      <c r="M40252" s="13"/>
    </row>
    <row r="40253">
      <c r="F40253" s="13"/>
      <c r="M40253" s="13"/>
    </row>
    <row r="40254">
      <c r="F40254" s="13"/>
      <c r="M40254" s="13"/>
    </row>
    <row r="40255">
      <c r="F40255" s="13"/>
      <c r="M40255" s="13"/>
    </row>
    <row r="40256">
      <c r="F40256" s="13"/>
      <c r="M40256" s="13"/>
    </row>
    <row r="40257">
      <c r="F40257" s="13"/>
      <c r="M40257" s="13"/>
    </row>
    <row r="40258">
      <c r="F40258" s="13"/>
      <c r="M40258" s="13"/>
    </row>
    <row r="40259">
      <c r="F40259" s="13"/>
      <c r="M40259" s="13"/>
    </row>
    <row r="40260">
      <c r="F40260" s="13"/>
      <c r="M40260" s="13"/>
    </row>
    <row r="40261">
      <c r="F40261" s="13"/>
      <c r="M40261" s="13"/>
    </row>
    <row r="40262">
      <c r="F40262" s="13"/>
      <c r="M40262" s="13"/>
    </row>
    <row r="40263">
      <c r="F40263" s="13"/>
      <c r="M40263" s="13"/>
    </row>
    <row r="40264">
      <c r="F40264" s="13"/>
      <c r="M40264" s="13"/>
    </row>
    <row r="40265">
      <c r="F40265" s="13"/>
      <c r="M40265" s="13"/>
    </row>
    <row r="40266">
      <c r="F40266" s="13"/>
      <c r="M40266" s="13"/>
    </row>
    <row r="40267">
      <c r="F40267" s="13"/>
      <c r="M40267" s="13"/>
    </row>
    <row r="40268">
      <c r="F40268" s="13"/>
      <c r="M40268" s="13"/>
    </row>
    <row r="40269">
      <c r="F40269" s="13"/>
      <c r="M40269" s="13"/>
    </row>
    <row r="40270">
      <c r="F40270" s="13"/>
      <c r="M40270" s="13"/>
    </row>
    <row r="40271">
      <c r="F40271" s="13"/>
      <c r="M40271" s="13"/>
    </row>
    <row r="40272">
      <c r="F40272" s="13"/>
      <c r="M40272" s="13"/>
    </row>
    <row r="40273">
      <c r="F40273" s="13"/>
      <c r="M40273" s="13"/>
    </row>
    <row r="40274">
      <c r="F40274" s="13"/>
      <c r="M40274" s="13"/>
    </row>
    <row r="40275">
      <c r="F40275" s="13"/>
      <c r="M40275" s="13"/>
    </row>
    <row r="40276">
      <c r="F40276" s="13"/>
      <c r="M40276" s="13"/>
    </row>
    <row r="40277">
      <c r="F40277" s="13"/>
      <c r="M40277" s="13"/>
    </row>
    <row r="40278">
      <c r="F40278" s="13"/>
      <c r="M40278" s="13"/>
    </row>
    <row r="40279">
      <c r="F40279" s="13"/>
      <c r="M40279" s="13"/>
    </row>
    <row r="40280">
      <c r="F40280" s="13"/>
      <c r="M40280" s="13"/>
    </row>
    <row r="40281">
      <c r="F40281" s="13"/>
      <c r="M40281" s="13"/>
    </row>
    <row r="40282">
      <c r="F40282" s="13"/>
      <c r="M40282" s="13"/>
    </row>
    <row r="40283">
      <c r="F40283" s="13"/>
      <c r="M40283" s="13"/>
    </row>
    <row r="40284">
      <c r="F40284" s="13"/>
      <c r="M40284" s="13"/>
    </row>
    <row r="40285">
      <c r="F40285" s="13"/>
      <c r="M40285" s="13"/>
    </row>
    <row r="40286">
      <c r="F40286" s="13"/>
      <c r="M40286" s="13"/>
    </row>
    <row r="40287">
      <c r="F40287" s="13"/>
      <c r="M40287" s="13"/>
    </row>
    <row r="40288">
      <c r="F40288" s="13"/>
      <c r="M40288" s="13"/>
    </row>
    <row r="40289">
      <c r="F40289" s="13"/>
      <c r="M40289" s="13"/>
    </row>
    <row r="40290">
      <c r="F40290" s="13"/>
      <c r="M40290" s="13"/>
    </row>
    <row r="40291">
      <c r="F40291" s="13"/>
      <c r="M40291" s="13"/>
    </row>
    <row r="40292">
      <c r="F40292" s="13"/>
      <c r="M40292" s="13"/>
    </row>
    <row r="40293">
      <c r="F40293" s="13"/>
      <c r="M40293" s="13"/>
    </row>
    <row r="40294">
      <c r="F40294" s="13"/>
      <c r="M40294" s="13"/>
    </row>
    <row r="40295">
      <c r="F40295" s="13"/>
      <c r="M40295" s="13"/>
    </row>
    <row r="40296">
      <c r="F40296" s="13"/>
      <c r="M40296" s="13"/>
    </row>
    <row r="40297">
      <c r="F40297" s="13"/>
      <c r="M40297" s="13"/>
    </row>
    <row r="40298">
      <c r="F40298" s="13"/>
      <c r="M40298" s="13"/>
    </row>
    <row r="40299">
      <c r="F40299" s="13"/>
      <c r="M40299" s="13"/>
    </row>
    <row r="40300">
      <c r="F40300" s="13"/>
      <c r="M40300" s="13"/>
    </row>
    <row r="40301">
      <c r="F40301" s="13"/>
      <c r="M40301" s="13"/>
    </row>
    <row r="40302">
      <c r="F40302" s="13"/>
      <c r="M40302" s="13"/>
    </row>
    <row r="40303">
      <c r="F40303" s="13"/>
      <c r="M40303" s="13"/>
    </row>
    <row r="40304">
      <c r="F40304" s="13"/>
      <c r="M40304" s="13"/>
    </row>
    <row r="40305">
      <c r="F40305" s="13"/>
      <c r="M40305" s="13"/>
    </row>
    <row r="40306">
      <c r="F40306" s="13"/>
      <c r="M40306" s="13"/>
    </row>
    <row r="40307">
      <c r="F40307" s="13"/>
      <c r="M40307" s="13"/>
    </row>
    <row r="40308">
      <c r="F40308" s="13"/>
      <c r="M40308" s="13"/>
    </row>
    <row r="40309">
      <c r="F40309" s="13"/>
      <c r="M40309" s="13"/>
    </row>
    <row r="40310">
      <c r="F40310" s="13"/>
      <c r="M40310" s="13"/>
    </row>
    <row r="40311">
      <c r="F40311" s="13"/>
      <c r="M40311" s="13"/>
    </row>
    <row r="40312">
      <c r="F40312" s="13"/>
      <c r="M40312" s="13"/>
    </row>
    <row r="40313">
      <c r="F40313" s="13"/>
      <c r="M40313" s="13"/>
    </row>
    <row r="40314">
      <c r="F40314" s="13"/>
      <c r="M40314" s="13"/>
    </row>
    <row r="40315">
      <c r="F40315" s="13"/>
      <c r="M40315" s="13"/>
    </row>
    <row r="40316">
      <c r="F40316" s="13"/>
      <c r="M40316" s="13"/>
    </row>
    <row r="40317">
      <c r="F40317" s="13"/>
      <c r="M40317" s="13"/>
    </row>
    <row r="40318">
      <c r="F40318" s="13"/>
      <c r="M40318" s="13"/>
    </row>
    <row r="40319">
      <c r="F40319" s="13"/>
      <c r="M40319" s="13"/>
    </row>
    <row r="40320">
      <c r="F40320" s="13"/>
      <c r="M40320" s="13"/>
    </row>
    <row r="40321">
      <c r="F40321" s="13"/>
      <c r="M40321" s="13"/>
    </row>
    <row r="40322">
      <c r="F40322" s="13"/>
      <c r="M40322" s="13"/>
    </row>
    <row r="40323">
      <c r="F40323" s="13"/>
      <c r="M40323" s="13"/>
    </row>
    <row r="40324">
      <c r="F40324" s="13"/>
      <c r="M40324" s="13"/>
    </row>
    <row r="40325">
      <c r="F40325" s="13"/>
      <c r="M40325" s="13"/>
    </row>
    <row r="40326">
      <c r="F40326" s="13"/>
      <c r="M40326" s="13"/>
    </row>
    <row r="40327">
      <c r="F40327" s="13"/>
      <c r="M40327" s="13"/>
    </row>
    <row r="40328">
      <c r="F40328" s="13"/>
      <c r="M40328" s="13"/>
    </row>
    <row r="40329">
      <c r="F40329" s="13"/>
      <c r="M40329" s="13"/>
    </row>
    <row r="40330">
      <c r="F40330" s="13"/>
      <c r="M40330" s="13"/>
    </row>
    <row r="40331">
      <c r="F40331" s="13"/>
      <c r="M40331" s="13"/>
    </row>
    <row r="40332">
      <c r="F40332" s="13"/>
      <c r="M40332" s="13"/>
    </row>
    <row r="40333">
      <c r="F40333" s="13"/>
      <c r="M40333" s="13"/>
    </row>
    <row r="40334">
      <c r="F40334" s="13"/>
      <c r="M40334" s="13"/>
    </row>
    <row r="40335">
      <c r="F40335" s="13"/>
      <c r="M40335" s="13"/>
    </row>
    <row r="40336">
      <c r="F40336" s="13"/>
      <c r="M40336" s="13"/>
    </row>
    <row r="40337">
      <c r="F40337" s="13"/>
      <c r="M40337" s="13"/>
    </row>
    <row r="40338">
      <c r="F40338" s="13"/>
      <c r="M40338" s="13"/>
    </row>
    <row r="40339">
      <c r="F40339" s="13"/>
      <c r="M40339" s="13"/>
    </row>
    <row r="40340">
      <c r="F40340" s="13"/>
      <c r="M40340" s="13"/>
    </row>
    <row r="40341">
      <c r="F40341" s="13"/>
      <c r="M40341" s="13"/>
    </row>
    <row r="40342">
      <c r="F40342" s="13"/>
      <c r="M40342" s="13"/>
    </row>
    <row r="40343">
      <c r="F40343" s="13"/>
      <c r="M40343" s="13"/>
    </row>
    <row r="40344">
      <c r="F40344" s="13"/>
      <c r="M40344" s="13"/>
    </row>
    <row r="40345">
      <c r="F40345" s="13"/>
      <c r="M40345" s="13"/>
    </row>
    <row r="40346">
      <c r="F40346" s="13"/>
      <c r="M40346" s="13"/>
    </row>
    <row r="40347">
      <c r="F40347" s="13"/>
      <c r="M40347" s="13"/>
    </row>
    <row r="40348">
      <c r="F40348" s="13"/>
      <c r="M40348" s="13"/>
    </row>
    <row r="40349">
      <c r="F40349" s="13"/>
      <c r="M40349" s="13"/>
    </row>
    <row r="40350">
      <c r="F40350" s="13"/>
      <c r="M40350" s="13"/>
    </row>
    <row r="40351">
      <c r="F40351" s="13"/>
      <c r="M40351" s="13"/>
    </row>
    <row r="40352">
      <c r="F40352" s="13"/>
      <c r="M40352" s="13"/>
    </row>
    <row r="40353">
      <c r="F40353" s="13"/>
      <c r="M40353" s="13"/>
    </row>
    <row r="40354">
      <c r="F40354" s="13"/>
      <c r="M40354" s="13"/>
    </row>
    <row r="40355">
      <c r="F40355" s="13"/>
      <c r="M40355" s="13"/>
    </row>
    <row r="40356">
      <c r="F40356" s="13"/>
      <c r="M40356" s="13"/>
    </row>
    <row r="40357">
      <c r="F40357" s="13"/>
      <c r="M40357" s="13"/>
    </row>
    <row r="40358">
      <c r="F40358" s="13"/>
      <c r="M40358" s="13"/>
    </row>
    <row r="40359">
      <c r="F40359" s="13"/>
      <c r="M40359" s="13"/>
    </row>
    <row r="40360">
      <c r="F40360" s="13"/>
      <c r="M40360" s="13"/>
    </row>
    <row r="40361">
      <c r="F40361" s="13"/>
      <c r="M40361" s="13"/>
    </row>
    <row r="40362">
      <c r="F40362" s="13"/>
      <c r="M40362" s="13"/>
    </row>
    <row r="40363">
      <c r="F40363" s="13"/>
      <c r="M40363" s="13"/>
    </row>
    <row r="40364">
      <c r="F40364" s="13"/>
      <c r="M40364" s="13"/>
    </row>
    <row r="40365">
      <c r="F40365" s="13"/>
      <c r="M40365" s="13"/>
    </row>
    <row r="40366">
      <c r="F40366" s="13"/>
      <c r="M40366" s="13"/>
    </row>
    <row r="40367">
      <c r="F40367" s="13"/>
      <c r="M40367" s="13"/>
    </row>
    <row r="40368">
      <c r="F40368" s="13"/>
      <c r="M40368" s="13"/>
    </row>
    <row r="40369">
      <c r="F40369" s="13"/>
      <c r="M40369" s="13"/>
    </row>
    <row r="40370">
      <c r="F40370" s="13"/>
      <c r="M40370" s="13"/>
    </row>
    <row r="40371">
      <c r="F40371" s="13"/>
      <c r="M40371" s="13"/>
    </row>
    <row r="40372">
      <c r="F40372" s="13"/>
      <c r="M40372" s="13"/>
    </row>
    <row r="40373">
      <c r="F40373" s="13"/>
      <c r="M40373" s="13"/>
    </row>
    <row r="40374">
      <c r="F40374" s="13"/>
      <c r="M40374" s="13"/>
    </row>
    <row r="40375">
      <c r="F40375" s="13"/>
      <c r="M40375" s="13"/>
    </row>
    <row r="40376">
      <c r="F40376" s="13"/>
      <c r="M40376" s="13"/>
    </row>
    <row r="40377">
      <c r="F40377" s="13"/>
      <c r="M40377" s="13"/>
    </row>
    <row r="40378">
      <c r="F40378" s="13"/>
      <c r="M40378" s="13"/>
    </row>
    <row r="40379">
      <c r="F40379" s="13"/>
      <c r="M40379" s="13"/>
    </row>
    <row r="40380">
      <c r="F40380" s="13"/>
      <c r="M40380" s="13"/>
    </row>
    <row r="40381">
      <c r="F40381" s="13"/>
      <c r="M40381" s="13"/>
    </row>
    <row r="40382">
      <c r="F40382" s="13"/>
      <c r="M40382" s="13"/>
    </row>
    <row r="40383">
      <c r="F40383" s="13"/>
      <c r="M40383" s="13"/>
    </row>
    <row r="40384">
      <c r="F40384" s="13"/>
      <c r="M40384" s="13"/>
    </row>
    <row r="40385">
      <c r="F40385" s="13"/>
      <c r="M40385" s="13"/>
    </row>
    <row r="40386">
      <c r="F40386" s="13"/>
      <c r="M40386" s="13"/>
    </row>
    <row r="40387">
      <c r="F40387" s="13"/>
      <c r="M40387" s="13"/>
    </row>
    <row r="40388">
      <c r="F40388" s="13"/>
      <c r="M40388" s="13"/>
    </row>
    <row r="40389">
      <c r="F40389" s="13"/>
      <c r="M40389" s="13"/>
    </row>
    <row r="40390">
      <c r="F40390" s="13"/>
      <c r="M40390" s="13"/>
    </row>
    <row r="40391">
      <c r="F40391" s="13"/>
      <c r="M40391" s="13"/>
    </row>
    <row r="40392">
      <c r="F40392" s="13"/>
      <c r="M40392" s="13"/>
    </row>
    <row r="40393">
      <c r="F40393" s="13"/>
      <c r="M40393" s="13"/>
    </row>
    <row r="40394">
      <c r="F40394" s="13"/>
      <c r="M40394" s="13"/>
    </row>
    <row r="40395">
      <c r="F40395" s="13"/>
      <c r="M40395" s="13"/>
    </row>
    <row r="40396">
      <c r="F40396" s="13"/>
      <c r="M40396" s="13"/>
    </row>
    <row r="40397">
      <c r="F40397" s="13"/>
      <c r="M40397" s="13"/>
    </row>
    <row r="40398">
      <c r="F40398" s="13"/>
      <c r="M40398" s="13"/>
    </row>
    <row r="40399">
      <c r="F40399" s="13"/>
      <c r="M40399" s="13"/>
    </row>
    <row r="40400">
      <c r="F40400" s="13"/>
      <c r="M40400" s="13"/>
    </row>
    <row r="40401">
      <c r="F40401" s="13"/>
      <c r="M40401" s="13"/>
    </row>
    <row r="40402">
      <c r="F40402" s="13"/>
      <c r="M40402" s="13"/>
    </row>
    <row r="40403">
      <c r="F40403" s="13"/>
      <c r="M40403" s="13"/>
    </row>
    <row r="40404">
      <c r="F40404" s="13"/>
      <c r="M40404" s="13"/>
    </row>
    <row r="40405">
      <c r="F40405" s="13"/>
      <c r="M40405" s="13"/>
    </row>
    <row r="40406">
      <c r="F40406" s="13"/>
      <c r="M40406" s="13"/>
    </row>
    <row r="40407">
      <c r="F40407" s="13"/>
      <c r="M40407" s="13"/>
    </row>
    <row r="40408">
      <c r="F40408" s="13"/>
      <c r="M40408" s="13"/>
    </row>
    <row r="40409">
      <c r="F40409" s="13"/>
      <c r="M40409" s="13"/>
    </row>
    <row r="40410">
      <c r="F40410" s="13"/>
      <c r="M40410" s="13"/>
    </row>
    <row r="40411">
      <c r="F40411" s="13"/>
      <c r="M40411" s="13"/>
    </row>
    <row r="40412">
      <c r="F40412" s="13"/>
      <c r="M40412" s="13"/>
    </row>
    <row r="40413">
      <c r="F40413" s="13"/>
      <c r="M40413" s="13"/>
    </row>
    <row r="40414">
      <c r="F40414" s="13"/>
      <c r="M40414" s="13"/>
    </row>
    <row r="40415">
      <c r="F40415" s="13"/>
      <c r="M40415" s="13"/>
    </row>
    <row r="40416">
      <c r="F40416" s="13"/>
      <c r="M40416" s="13"/>
    </row>
    <row r="40417">
      <c r="F40417" s="13"/>
      <c r="M40417" s="13"/>
    </row>
    <row r="40418">
      <c r="F40418" s="13"/>
      <c r="M40418" s="13"/>
    </row>
    <row r="40419">
      <c r="F40419" s="13"/>
      <c r="M40419" s="13"/>
    </row>
    <row r="40420">
      <c r="F40420" s="13"/>
      <c r="M40420" s="13"/>
    </row>
    <row r="40421">
      <c r="F40421" s="13"/>
      <c r="M40421" s="13"/>
    </row>
    <row r="40422">
      <c r="F40422" s="13"/>
      <c r="M40422" s="13"/>
    </row>
    <row r="40423">
      <c r="F40423" s="13"/>
      <c r="M40423" s="13"/>
    </row>
    <row r="40424">
      <c r="F40424" s="13"/>
      <c r="M40424" s="13"/>
    </row>
    <row r="40425">
      <c r="F40425" s="13"/>
      <c r="M40425" s="13"/>
    </row>
    <row r="40426">
      <c r="F40426" s="13"/>
      <c r="M40426" s="13"/>
    </row>
    <row r="40427">
      <c r="F40427" s="13"/>
      <c r="M40427" s="13"/>
    </row>
    <row r="40428">
      <c r="F40428" s="13"/>
      <c r="M40428" s="13"/>
    </row>
    <row r="40429">
      <c r="F40429" s="13"/>
      <c r="M40429" s="13"/>
    </row>
    <row r="40430">
      <c r="F40430" s="13"/>
      <c r="M40430" s="13"/>
    </row>
    <row r="40431">
      <c r="F40431" s="13"/>
      <c r="M40431" s="13"/>
    </row>
    <row r="40432">
      <c r="F40432" s="13"/>
      <c r="M40432" s="13"/>
    </row>
    <row r="40433">
      <c r="F40433" s="13"/>
      <c r="M40433" s="13"/>
    </row>
    <row r="40434">
      <c r="F40434" s="13"/>
      <c r="M40434" s="13"/>
    </row>
    <row r="40435">
      <c r="F40435" s="13"/>
      <c r="M40435" s="13"/>
    </row>
    <row r="40436">
      <c r="F40436" s="13"/>
      <c r="M40436" s="13"/>
    </row>
    <row r="40437">
      <c r="F40437" s="13"/>
      <c r="M40437" s="13"/>
    </row>
    <row r="40438">
      <c r="F40438" s="13"/>
      <c r="M40438" s="13"/>
    </row>
    <row r="40439">
      <c r="F40439" s="13"/>
      <c r="M40439" s="13"/>
    </row>
    <row r="40440">
      <c r="F40440" s="13"/>
      <c r="M40440" s="13"/>
    </row>
    <row r="40441">
      <c r="F40441" s="13"/>
      <c r="M40441" s="13"/>
    </row>
    <row r="40442">
      <c r="F40442" s="13"/>
      <c r="M40442" s="13"/>
    </row>
    <row r="40443">
      <c r="F40443" s="13"/>
      <c r="M40443" s="13"/>
    </row>
    <row r="40444">
      <c r="F40444" s="13"/>
      <c r="M40444" s="13"/>
    </row>
    <row r="40445">
      <c r="F40445" s="13"/>
      <c r="M40445" s="13"/>
    </row>
    <row r="40446">
      <c r="F40446" s="13"/>
      <c r="M40446" s="13"/>
    </row>
    <row r="40447">
      <c r="F40447" s="13"/>
      <c r="M40447" s="13"/>
    </row>
    <row r="40448">
      <c r="F40448" s="13"/>
      <c r="M40448" s="13"/>
    </row>
    <row r="40449">
      <c r="F40449" s="13"/>
      <c r="M40449" s="13"/>
    </row>
    <row r="40450">
      <c r="F40450" s="13"/>
      <c r="M40450" s="13"/>
    </row>
    <row r="40451">
      <c r="F40451" s="13"/>
      <c r="M40451" s="13"/>
    </row>
    <row r="40452">
      <c r="F40452" s="13"/>
      <c r="M40452" s="13"/>
    </row>
    <row r="40453">
      <c r="F40453" s="13"/>
      <c r="M40453" s="13"/>
    </row>
    <row r="40454">
      <c r="F40454" s="13"/>
      <c r="M40454" s="13"/>
    </row>
    <row r="40455">
      <c r="F40455" s="13"/>
      <c r="M40455" s="13"/>
    </row>
    <row r="40456">
      <c r="F40456" s="13"/>
      <c r="M40456" s="13"/>
    </row>
    <row r="40457">
      <c r="F40457" s="13"/>
      <c r="M40457" s="13"/>
    </row>
    <row r="40458">
      <c r="F40458" s="13"/>
      <c r="M40458" s="13"/>
    </row>
    <row r="40459">
      <c r="F40459" s="13"/>
      <c r="M40459" s="13"/>
    </row>
    <row r="40460">
      <c r="F40460" s="13"/>
      <c r="M40460" s="13"/>
    </row>
    <row r="40461">
      <c r="F40461" s="13"/>
      <c r="M40461" s="13"/>
    </row>
    <row r="40462">
      <c r="F40462" s="13"/>
      <c r="M40462" s="13"/>
    </row>
    <row r="40463">
      <c r="F40463" s="13"/>
      <c r="M40463" s="13"/>
    </row>
    <row r="40464">
      <c r="F40464" s="13"/>
      <c r="M40464" s="13"/>
    </row>
    <row r="40465">
      <c r="F40465" s="13"/>
      <c r="M40465" s="13"/>
    </row>
    <row r="40466">
      <c r="F40466" s="13"/>
      <c r="M40466" s="13"/>
    </row>
    <row r="40467">
      <c r="F40467" s="13"/>
      <c r="M40467" s="13"/>
    </row>
    <row r="40468">
      <c r="F40468" s="13"/>
      <c r="M40468" s="13"/>
    </row>
    <row r="40469">
      <c r="F40469" s="13"/>
      <c r="M40469" s="13"/>
    </row>
    <row r="40470">
      <c r="F40470" s="13"/>
      <c r="M40470" s="13"/>
    </row>
    <row r="40471">
      <c r="F40471" s="13"/>
      <c r="M40471" s="13"/>
    </row>
    <row r="40472">
      <c r="F40472" s="13"/>
      <c r="M40472" s="13"/>
    </row>
    <row r="40473">
      <c r="F40473" s="13"/>
      <c r="M40473" s="13"/>
    </row>
    <row r="40474">
      <c r="F40474" s="13"/>
      <c r="M40474" s="13"/>
    </row>
    <row r="40475">
      <c r="F40475" s="13"/>
      <c r="M40475" s="13"/>
    </row>
    <row r="40476">
      <c r="F40476" s="13"/>
      <c r="M40476" s="13"/>
    </row>
    <row r="40477">
      <c r="F40477" s="13"/>
      <c r="M40477" s="13"/>
    </row>
    <row r="40478">
      <c r="F40478" s="13"/>
      <c r="M40478" s="13"/>
    </row>
    <row r="40479">
      <c r="F40479" s="13"/>
      <c r="M40479" s="13"/>
    </row>
    <row r="40480">
      <c r="F40480" s="13"/>
      <c r="M40480" s="13"/>
    </row>
    <row r="40481">
      <c r="F40481" s="13"/>
      <c r="M40481" s="13"/>
    </row>
    <row r="40482">
      <c r="F40482" s="13"/>
      <c r="M40482" s="13"/>
    </row>
    <row r="40483">
      <c r="F40483" s="13"/>
      <c r="M40483" s="13"/>
    </row>
    <row r="40484">
      <c r="F40484" s="13"/>
      <c r="M40484" s="13"/>
    </row>
    <row r="40485">
      <c r="F40485" s="13"/>
      <c r="M40485" s="13"/>
    </row>
    <row r="40486">
      <c r="F40486" s="13"/>
      <c r="M40486" s="13"/>
    </row>
    <row r="40487">
      <c r="F40487" s="13"/>
      <c r="M40487" s="13"/>
    </row>
    <row r="40488">
      <c r="F40488" s="13"/>
      <c r="M40488" s="13"/>
    </row>
    <row r="40489">
      <c r="F40489" s="13"/>
      <c r="M40489" s="13"/>
    </row>
    <row r="40490">
      <c r="F40490" s="13"/>
      <c r="M40490" s="13"/>
    </row>
    <row r="40491">
      <c r="F40491" s="13"/>
      <c r="M40491" s="13"/>
    </row>
    <row r="40492">
      <c r="F40492" s="13"/>
      <c r="M40492" s="13"/>
    </row>
    <row r="40493">
      <c r="F40493" s="13"/>
      <c r="M40493" s="13"/>
    </row>
    <row r="40494">
      <c r="F40494" s="13"/>
      <c r="M40494" s="13"/>
    </row>
    <row r="40495">
      <c r="F40495" s="13"/>
      <c r="M40495" s="13"/>
    </row>
    <row r="40496">
      <c r="F40496" s="13"/>
      <c r="M40496" s="13"/>
    </row>
    <row r="40497">
      <c r="F40497" s="13"/>
      <c r="M40497" s="13"/>
    </row>
    <row r="40498">
      <c r="F40498" s="13"/>
      <c r="M40498" s="13"/>
    </row>
    <row r="40499">
      <c r="F40499" s="13"/>
      <c r="M40499" s="13"/>
    </row>
    <row r="40500">
      <c r="F40500" s="13"/>
      <c r="M40500" s="13"/>
    </row>
    <row r="40501">
      <c r="F40501" s="13"/>
      <c r="M40501" s="13"/>
    </row>
    <row r="40502">
      <c r="F40502" s="13"/>
      <c r="M40502" s="13"/>
    </row>
    <row r="40503">
      <c r="F40503" s="13"/>
      <c r="M40503" s="13"/>
    </row>
    <row r="40504">
      <c r="F40504" s="13"/>
      <c r="M40504" s="13"/>
    </row>
    <row r="40505">
      <c r="F40505" s="13"/>
      <c r="M40505" s="13"/>
    </row>
    <row r="40506">
      <c r="F40506" s="13"/>
      <c r="M40506" s="13"/>
    </row>
    <row r="40507">
      <c r="F40507" s="13"/>
      <c r="M40507" s="13"/>
    </row>
    <row r="40508">
      <c r="F40508" s="13"/>
      <c r="M40508" s="13"/>
    </row>
    <row r="40509">
      <c r="F40509" s="13"/>
      <c r="M40509" s="13"/>
    </row>
    <row r="40510">
      <c r="F40510" s="13"/>
      <c r="M40510" s="13"/>
    </row>
    <row r="40511">
      <c r="F40511" s="13"/>
      <c r="M40511" s="13"/>
    </row>
    <row r="40512">
      <c r="F40512" s="13"/>
      <c r="M40512" s="13"/>
    </row>
    <row r="40513">
      <c r="F40513" s="13"/>
      <c r="M40513" s="13"/>
    </row>
    <row r="40514">
      <c r="F40514" s="13"/>
      <c r="M40514" s="13"/>
    </row>
    <row r="40515">
      <c r="F40515" s="13"/>
      <c r="M40515" s="13"/>
    </row>
    <row r="40516">
      <c r="F40516" s="13"/>
      <c r="M40516" s="13"/>
    </row>
    <row r="40517">
      <c r="F40517" s="13"/>
      <c r="M40517" s="13"/>
    </row>
    <row r="40518">
      <c r="F40518" s="13"/>
      <c r="M40518" s="13"/>
    </row>
    <row r="40519">
      <c r="F40519" s="13"/>
      <c r="M40519" s="13"/>
    </row>
    <row r="40520">
      <c r="F40520" s="13"/>
      <c r="M40520" s="13"/>
    </row>
    <row r="40521">
      <c r="F40521" s="13"/>
      <c r="M40521" s="13"/>
    </row>
    <row r="40522">
      <c r="F40522" s="13"/>
      <c r="M40522" s="13"/>
    </row>
    <row r="40523">
      <c r="F40523" s="13"/>
      <c r="M40523" s="13"/>
    </row>
    <row r="40524">
      <c r="F40524" s="13"/>
      <c r="M40524" s="13"/>
    </row>
    <row r="40525">
      <c r="F40525" s="13"/>
      <c r="M40525" s="13"/>
    </row>
    <row r="40526">
      <c r="F40526" s="13"/>
      <c r="M40526" s="13"/>
    </row>
    <row r="40527">
      <c r="F40527" s="13"/>
      <c r="M40527" s="13"/>
    </row>
    <row r="40528">
      <c r="F40528" s="13"/>
      <c r="M40528" s="13"/>
    </row>
    <row r="40529">
      <c r="F40529" s="13"/>
      <c r="M40529" s="13"/>
    </row>
    <row r="40530">
      <c r="F40530" s="13"/>
      <c r="M40530" s="13"/>
    </row>
    <row r="40531">
      <c r="F40531" s="13"/>
      <c r="M40531" s="13"/>
    </row>
    <row r="40532">
      <c r="F40532" s="13"/>
      <c r="M40532" s="13"/>
    </row>
    <row r="40533">
      <c r="F40533" s="13"/>
      <c r="M40533" s="13"/>
    </row>
    <row r="40534">
      <c r="F40534" s="13"/>
      <c r="M40534" s="13"/>
    </row>
    <row r="40535">
      <c r="F40535" s="13"/>
      <c r="M40535" s="13"/>
    </row>
    <row r="40536">
      <c r="F40536" s="13"/>
      <c r="M40536" s="13"/>
    </row>
    <row r="40537">
      <c r="F40537" s="13"/>
      <c r="M40537" s="13"/>
    </row>
    <row r="40538">
      <c r="F40538" s="13"/>
      <c r="M40538" s="13"/>
    </row>
    <row r="40539">
      <c r="F40539" s="13"/>
      <c r="M40539" s="13"/>
    </row>
    <row r="40540">
      <c r="F40540" s="13"/>
      <c r="M40540" s="13"/>
    </row>
    <row r="40541">
      <c r="F40541" s="13"/>
      <c r="M40541" s="13"/>
    </row>
    <row r="40542">
      <c r="F40542" s="13"/>
      <c r="M40542" s="13"/>
    </row>
    <row r="40543">
      <c r="F40543" s="13"/>
      <c r="M40543" s="13"/>
    </row>
    <row r="40544">
      <c r="F40544" s="13"/>
      <c r="M40544" s="13"/>
    </row>
    <row r="40545">
      <c r="F40545" s="13"/>
      <c r="M40545" s="13"/>
    </row>
    <row r="40546">
      <c r="F40546" s="13"/>
      <c r="M40546" s="13"/>
    </row>
    <row r="40547">
      <c r="F40547" s="13"/>
      <c r="M40547" s="13"/>
    </row>
    <row r="40548">
      <c r="F40548" s="13"/>
      <c r="M40548" s="13"/>
    </row>
    <row r="40549">
      <c r="F40549" s="13"/>
      <c r="M40549" s="13"/>
    </row>
    <row r="40550">
      <c r="F40550" s="13"/>
      <c r="M40550" s="13"/>
    </row>
    <row r="40551">
      <c r="F40551" s="13"/>
      <c r="M40551" s="13"/>
    </row>
    <row r="40552">
      <c r="F40552" s="13"/>
      <c r="M40552" s="13"/>
    </row>
    <row r="40553">
      <c r="F40553" s="13"/>
      <c r="M40553" s="13"/>
    </row>
    <row r="40554">
      <c r="F40554" s="13"/>
      <c r="M40554" s="13"/>
    </row>
    <row r="40555">
      <c r="F40555" s="13"/>
      <c r="M40555" s="13"/>
    </row>
    <row r="40556">
      <c r="F40556" s="13"/>
      <c r="M40556" s="13"/>
    </row>
    <row r="40557">
      <c r="F40557" s="13"/>
      <c r="M40557" s="13"/>
    </row>
    <row r="40558">
      <c r="F40558" s="13"/>
      <c r="M40558" s="13"/>
    </row>
    <row r="40559">
      <c r="F40559" s="13"/>
      <c r="M40559" s="13"/>
    </row>
    <row r="40560">
      <c r="F40560" s="13"/>
      <c r="M40560" s="13"/>
    </row>
    <row r="40561">
      <c r="F40561" s="13"/>
      <c r="M40561" s="13"/>
    </row>
    <row r="40562">
      <c r="F40562" s="13"/>
      <c r="M40562" s="13"/>
    </row>
    <row r="40563">
      <c r="F40563" s="13"/>
      <c r="M40563" s="13"/>
    </row>
    <row r="40564">
      <c r="F40564" s="13"/>
      <c r="M40564" s="13"/>
    </row>
    <row r="40565">
      <c r="F40565" s="13"/>
      <c r="M40565" s="13"/>
    </row>
    <row r="40566">
      <c r="F40566" s="13"/>
      <c r="M40566" s="13"/>
    </row>
    <row r="40567">
      <c r="F40567" s="13"/>
      <c r="M40567" s="13"/>
    </row>
    <row r="40568">
      <c r="F40568" s="13"/>
      <c r="M40568" s="13"/>
    </row>
    <row r="40569">
      <c r="F40569" s="13"/>
      <c r="M40569" s="13"/>
    </row>
    <row r="40570">
      <c r="F40570" s="13"/>
      <c r="M40570" s="13"/>
    </row>
    <row r="40571">
      <c r="F40571" s="13"/>
      <c r="M40571" s="13"/>
    </row>
    <row r="40572">
      <c r="F40572" s="13"/>
      <c r="M40572" s="13"/>
    </row>
    <row r="40573">
      <c r="F40573" s="13"/>
      <c r="M40573" s="13"/>
    </row>
    <row r="40574">
      <c r="F40574" s="13"/>
      <c r="M40574" s="13"/>
    </row>
    <row r="40575">
      <c r="F40575" s="13"/>
      <c r="M40575" s="13"/>
    </row>
    <row r="40576">
      <c r="F40576" s="13"/>
      <c r="M40576" s="13"/>
    </row>
    <row r="40577">
      <c r="F40577" s="13"/>
      <c r="M40577" s="13"/>
    </row>
    <row r="40578">
      <c r="F40578" s="13"/>
      <c r="M40578" s="13"/>
    </row>
    <row r="40579">
      <c r="F40579" s="13"/>
      <c r="M40579" s="13"/>
    </row>
    <row r="40580">
      <c r="F40580" s="13"/>
      <c r="M40580" s="13"/>
    </row>
    <row r="40581">
      <c r="F40581" s="13"/>
      <c r="M40581" s="13"/>
    </row>
    <row r="40582">
      <c r="F40582" s="13"/>
      <c r="M40582" s="13"/>
    </row>
    <row r="40583">
      <c r="F40583" s="13"/>
      <c r="M40583" s="13"/>
    </row>
    <row r="40584">
      <c r="F40584" s="13"/>
      <c r="M40584" s="13"/>
    </row>
    <row r="40585">
      <c r="F40585" s="13"/>
      <c r="M40585" s="13"/>
    </row>
    <row r="40586">
      <c r="F40586" s="13"/>
      <c r="M40586" s="13"/>
    </row>
    <row r="40587">
      <c r="F40587" s="13"/>
      <c r="M40587" s="13"/>
    </row>
    <row r="40588">
      <c r="F40588" s="13"/>
      <c r="M40588" s="13"/>
    </row>
    <row r="40589">
      <c r="F40589" s="13"/>
      <c r="M40589" s="13"/>
    </row>
    <row r="40590">
      <c r="F40590" s="13"/>
      <c r="M40590" s="13"/>
    </row>
    <row r="40591">
      <c r="F40591" s="13"/>
      <c r="M40591" s="13"/>
    </row>
    <row r="40592">
      <c r="F40592" s="13"/>
      <c r="M40592" s="13"/>
    </row>
    <row r="40593">
      <c r="F40593" s="13"/>
      <c r="M40593" s="13"/>
    </row>
    <row r="40594">
      <c r="F40594" s="13"/>
      <c r="M40594" s="13"/>
    </row>
    <row r="40595">
      <c r="F40595" s="13"/>
      <c r="M40595" s="13"/>
    </row>
    <row r="40596">
      <c r="F40596" s="13"/>
      <c r="M40596" s="13"/>
    </row>
    <row r="40597">
      <c r="F40597" s="13"/>
      <c r="M40597" s="13"/>
    </row>
    <row r="40598">
      <c r="F40598" s="13"/>
      <c r="M40598" s="13"/>
    </row>
    <row r="40599">
      <c r="F40599" s="13"/>
      <c r="M40599" s="13"/>
    </row>
    <row r="40600">
      <c r="F40600" s="13"/>
      <c r="M40600" s="13"/>
    </row>
    <row r="40601">
      <c r="F40601" s="13"/>
      <c r="M40601" s="13"/>
    </row>
    <row r="40602">
      <c r="F40602" s="13"/>
      <c r="M40602" s="13"/>
    </row>
    <row r="40603">
      <c r="F40603" s="13"/>
      <c r="M40603" s="13"/>
    </row>
    <row r="40604">
      <c r="F40604" s="13"/>
      <c r="M40604" s="13"/>
    </row>
    <row r="40605">
      <c r="F40605" s="13"/>
      <c r="M40605" s="13"/>
    </row>
    <row r="40606">
      <c r="F40606" s="13"/>
      <c r="M40606" s="13"/>
    </row>
    <row r="40607">
      <c r="F40607" s="13"/>
      <c r="M40607" s="13"/>
    </row>
    <row r="40608">
      <c r="F40608" s="13"/>
      <c r="M40608" s="13"/>
    </row>
    <row r="40609">
      <c r="F40609" s="13"/>
      <c r="M40609" s="13"/>
    </row>
    <row r="40610">
      <c r="F40610" s="13"/>
      <c r="M40610" s="13"/>
    </row>
    <row r="40611">
      <c r="F40611" s="13"/>
      <c r="M40611" s="13"/>
    </row>
    <row r="40612">
      <c r="F40612" s="13"/>
      <c r="M40612" s="13"/>
    </row>
    <row r="40613">
      <c r="F40613" s="13"/>
      <c r="M40613" s="13"/>
    </row>
    <row r="40614">
      <c r="F40614" s="13"/>
      <c r="M40614" s="13"/>
    </row>
    <row r="40615">
      <c r="F40615" s="13"/>
      <c r="M40615" s="13"/>
    </row>
    <row r="40616">
      <c r="F40616" s="13"/>
      <c r="M40616" s="13"/>
    </row>
    <row r="40617">
      <c r="F40617" s="13"/>
      <c r="M40617" s="13"/>
    </row>
    <row r="40618">
      <c r="F40618" s="13"/>
      <c r="M40618" s="13"/>
    </row>
    <row r="40619">
      <c r="F40619" s="13"/>
      <c r="M40619" s="13"/>
    </row>
    <row r="40620">
      <c r="F40620" s="13"/>
      <c r="M40620" s="13"/>
    </row>
    <row r="40621">
      <c r="F40621" s="13"/>
      <c r="M40621" s="13"/>
    </row>
    <row r="40622">
      <c r="F40622" s="13"/>
      <c r="M40622" s="13"/>
    </row>
    <row r="40623">
      <c r="F40623" s="13"/>
      <c r="M40623" s="13"/>
    </row>
    <row r="40624">
      <c r="F40624" s="13"/>
      <c r="M40624" s="13"/>
    </row>
    <row r="40625">
      <c r="F40625" s="13"/>
      <c r="M40625" s="13"/>
    </row>
    <row r="40626">
      <c r="F40626" s="13"/>
      <c r="M40626" s="13"/>
    </row>
    <row r="40627">
      <c r="F40627" s="13"/>
      <c r="M40627" s="13"/>
    </row>
    <row r="40628">
      <c r="F40628" s="13"/>
      <c r="M40628" s="13"/>
    </row>
    <row r="40629">
      <c r="F40629" s="13"/>
      <c r="M40629" s="13"/>
    </row>
    <row r="40630">
      <c r="F40630" s="13"/>
      <c r="M40630" s="13"/>
    </row>
    <row r="40631">
      <c r="F40631" s="13"/>
      <c r="M40631" s="13"/>
    </row>
    <row r="40632">
      <c r="F40632" s="13"/>
      <c r="M40632" s="13"/>
    </row>
    <row r="40633">
      <c r="F40633" s="13"/>
      <c r="M40633" s="13"/>
    </row>
    <row r="40634">
      <c r="F40634" s="13"/>
      <c r="M40634" s="13"/>
    </row>
    <row r="40635">
      <c r="F40635" s="13"/>
      <c r="M40635" s="13"/>
    </row>
    <row r="40636">
      <c r="F40636" s="13"/>
      <c r="M40636" s="13"/>
    </row>
    <row r="40637">
      <c r="F40637" s="13"/>
      <c r="M40637" s="13"/>
    </row>
    <row r="40638">
      <c r="F40638" s="13"/>
      <c r="M40638" s="13"/>
    </row>
    <row r="40639">
      <c r="F40639" s="13"/>
      <c r="M40639" s="13"/>
    </row>
    <row r="40640">
      <c r="F40640" s="13"/>
      <c r="M40640" s="13"/>
    </row>
    <row r="40641">
      <c r="F40641" s="13"/>
      <c r="M40641" s="13"/>
    </row>
    <row r="40642">
      <c r="F40642" s="13"/>
      <c r="M40642" s="13"/>
    </row>
    <row r="40643">
      <c r="F40643" s="13"/>
      <c r="M40643" s="13"/>
    </row>
    <row r="40644">
      <c r="F40644" s="13"/>
      <c r="M40644" s="13"/>
    </row>
    <row r="40645">
      <c r="F40645" s="13"/>
      <c r="M40645" s="13"/>
    </row>
    <row r="40646">
      <c r="F40646" s="13"/>
      <c r="M40646" s="13"/>
    </row>
    <row r="40647">
      <c r="F40647" s="13"/>
      <c r="M40647" s="13"/>
    </row>
    <row r="40648">
      <c r="F40648" s="13"/>
      <c r="M40648" s="13"/>
    </row>
    <row r="40649">
      <c r="F40649" s="13"/>
      <c r="M40649" s="13"/>
    </row>
    <row r="40650">
      <c r="F40650" s="13"/>
      <c r="M40650" s="13"/>
    </row>
    <row r="40651">
      <c r="F40651" s="13"/>
      <c r="M40651" s="13"/>
    </row>
    <row r="40652">
      <c r="F40652" s="13"/>
      <c r="M40652" s="13"/>
    </row>
    <row r="40653">
      <c r="F40653" s="13"/>
      <c r="M40653" s="13"/>
    </row>
    <row r="40654">
      <c r="F40654" s="13"/>
      <c r="M40654" s="13"/>
    </row>
    <row r="40655">
      <c r="F40655" s="13"/>
      <c r="M40655" s="13"/>
    </row>
    <row r="40656">
      <c r="F40656" s="13"/>
      <c r="M40656" s="13"/>
    </row>
    <row r="40657">
      <c r="F40657" s="13"/>
      <c r="M40657" s="13"/>
    </row>
    <row r="40658">
      <c r="F40658" s="13"/>
      <c r="M40658" s="13"/>
    </row>
    <row r="40659">
      <c r="F40659" s="13"/>
      <c r="M40659" s="13"/>
    </row>
    <row r="40660">
      <c r="F40660" s="13"/>
      <c r="M40660" s="13"/>
    </row>
    <row r="40661">
      <c r="F40661" s="13"/>
      <c r="M40661" s="13"/>
    </row>
    <row r="40662">
      <c r="F40662" s="13"/>
      <c r="M40662" s="13"/>
    </row>
    <row r="40663">
      <c r="F40663" s="13"/>
      <c r="M40663" s="13"/>
    </row>
    <row r="40664">
      <c r="F40664" s="13"/>
      <c r="M40664" s="13"/>
    </row>
    <row r="40665">
      <c r="F40665" s="13"/>
      <c r="M40665" s="13"/>
    </row>
    <row r="40666">
      <c r="F40666" s="13"/>
      <c r="M40666" s="13"/>
    </row>
    <row r="40667">
      <c r="F40667" s="13"/>
      <c r="M40667" s="13"/>
    </row>
    <row r="40668">
      <c r="F40668" s="13"/>
      <c r="M40668" s="13"/>
    </row>
    <row r="40669">
      <c r="F40669" s="13"/>
      <c r="M40669" s="13"/>
    </row>
    <row r="40670">
      <c r="F40670" s="13"/>
      <c r="M40670" s="13"/>
    </row>
    <row r="40671">
      <c r="F40671" s="13"/>
      <c r="M40671" s="13"/>
    </row>
    <row r="40672">
      <c r="F40672" s="13"/>
      <c r="M40672" s="13"/>
    </row>
    <row r="40673">
      <c r="F40673" s="13"/>
      <c r="M40673" s="13"/>
    </row>
    <row r="40674">
      <c r="F40674" s="13"/>
      <c r="M40674" s="13"/>
    </row>
    <row r="40675">
      <c r="F40675" s="13"/>
      <c r="M40675" s="13"/>
    </row>
    <row r="40676">
      <c r="F40676" s="13"/>
      <c r="M40676" s="13"/>
    </row>
    <row r="40677">
      <c r="F40677" s="13"/>
      <c r="M40677" s="13"/>
    </row>
    <row r="40678">
      <c r="F40678" s="13"/>
      <c r="M40678" s="13"/>
    </row>
    <row r="40679">
      <c r="F40679" s="13"/>
      <c r="M40679" s="13"/>
    </row>
    <row r="40680">
      <c r="F40680" s="13"/>
      <c r="M40680" s="13"/>
    </row>
    <row r="40681">
      <c r="F40681" s="13"/>
      <c r="M40681" s="13"/>
    </row>
    <row r="40682">
      <c r="F40682" s="13"/>
      <c r="M40682" s="13"/>
    </row>
    <row r="40683">
      <c r="F40683" s="13"/>
      <c r="M40683" s="13"/>
    </row>
    <row r="40684">
      <c r="F40684" s="13"/>
      <c r="M40684" s="13"/>
    </row>
    <row r="40685">
      <c r="F40685" s="13"/>
      <c r="M40685" s="13"/>
    </row>
    <row r="40686">
      <c r="F40686" s="13"/>
      <c r="M40686" s="13"/>
    </row>
    <row r="40687">
      <c r="F40687" s="13"/>
      <c r="M40687" s="13"/>
    </row>
    <row r="40688">
      <c r="F40688" s="13"/>
      <c r="M40688" s="13"/>
    </row>
    <row r="40689">
      <c r="F40689" s="13"/>
      <c r="M40689" s="13"/>
    </row>
    <row r="40690">
      <c r="F40690" s="13"/>
      <c r="M40690" s="13"/>
    </row>
    <row r="40691">
      <c r="F40691" s="13"/>
      <c r="M40691" s="13"/>
    </row>
    <row r="40692">
      <c r="F40692" s="13"/>
      <c r="M40692" s="13"/>
    </row>
    <row r="40693">
      <c r="F40693" s="13"/>
      <c r="M40693" s="13"/>
    </row>
    <row r="40694">
      <c r="F40694" s="13"/>
      <c r="M40694" s="13"/>
    </row>
    <row r="40695">
      <c r="F40695" s="13"/>
      <c r="M40695" s="13"/>
    </row>
    <row r="40696">
      <c r="F40696" s="13"/>
      <c r="M40696" s="13"/>
    </row>
    <row r="40697">
      <c r="F40697" s="13"/>
      <c r="M40697" s="13"/>
    </row>
    <row r="40698">
      <c r="F40698" s="13"/>
      <c r="M40698" s="13"/>
    </row>
    <row r="40699">
      <c r="F40699" s="13"/>
      <c r="M40699" s="13"/>
    </row>
    <row r="40700">
      <c r="F40700" s="13"/>
      <c r="M40700" s="13"/>
    </row>
    <row r="40701">
      <c r="F40701" s="13"/>
      <c r="M40701" s="13"/>
    </row>
    <row r="40702">
      <c r="F40702" s="13"/>
      <c r="M40702" s="13"/>
    </row>
    <row r="40703">
      <c r="F40703" s="13"/>
      <c r="M40703" s="13"/>
    </row>
    <row r="40704">
      <c r="F40704" s="13"/>
      <c r="M40704" s="13"/>
    </row>
    <row r="40705">
      <c r="F40705" s="13"/>
      <c r="M40705" s="13"/>
    </row>
    <row r="40706">
      <c r="F40706" s="13"/>
      <c r="M40706" s="13"/>
    </row>
    <row r="40707">
      <c r="F40707" s="13"/>
      <c r="M40707" s="13"/>
    </row>
    <row r="40708">
      <c r="F40708" s="13"/>
      <c r="M40708" s="13"/>
    </row>
    <row r="40709">
      <c r="F40709" s="13"/>
      <c r="M40709" s="13"/>
    </row>
    <row r="40710">
      <c r="F40710" s="13"/>
      <c r="M40710" s="13"/>
    </row>
    <row r="40711">
      <c r="F40711" s="13"/>
      <c r="M40711" s="13"/>
    </row>
    <row r="40712">
      <c r="F40712" s="13"/>
      <c r="M40712" s="13"/>
    </row>
    <row r="40713">
      <c r="F40713" s="13"/>
      <c r="M40713" s="13"/>
    </row>
    <row r="40714">
      <c r="F40714" s="13"/>
      <c r="M40714" s="13"/>
    </row>
    <row r="40715">
      <c r="F40715" s="13"/>
      <c r="M40715" s="13"/>
    </row>
    <row r="40716">
      <c r="F40716" s="13"/>
      <c r="M40716" s="13"/>
    </row>
    <row r="40717">
      <c r="F40717" s="13"/>
      <c r="M40717" s="13"/>
    </row>
    <row r="40718">
      <c r="F40718" s="13"/>
      <c r="M40718" s="13"/>
    </row>
    <row r="40719">
      <c r="F40719" s="13"/>
      <c r="M40719" s="13"/>
    </row>
    <row r="40720">
      <c r="F40720" s="13"/>
      <c r="M40720" s="13"/>
    </row>
    <row r="40721">
      <c r="F40721" s="13"/>
      <c r="M40721" s="13"/>
    </row>
    <row r="40722">
      <c r="F40722" s="13"/>
      <c r="M40722" s="13"/>
    </row>
    <row r="40723">
      <c r="F40723" s="13"/>
      <c r="M40723" s="13"/>
    </row>
    <row r="40724">
      <c r="F40724" s="13"/>
      <c r="M40724" s="13"/>
    </row>
    <row r="40725">
      <c r="F40725" s="13"/>
      <c r="M40725" s="13"/>
    </row>
    <row r="40726">
      <c r="F40726" s="13"/>
      <c r="M40726" s="13"/>
    </row>
    <row r="40727">
      <c r="F40727" s="13"/>
      <c r="M40727" s="13"/>
    </row>
    <row r="40728">
      <c r="F40728" s="13"/>
      <c r="M40728" s="13"/>
    </row>
    <row r="40729">
      <c r="F40729" s="13"/>
      <c r="M40729" s="13"/>
    </row>
    <row r="40730">
      <c r="F40730" s="13"/>
      <c r="M40730" s="13"/>
    </row>
    <row r="40731">
      <c r="F40731" s="13"/>
      <c r="M40731" s="13"/>
    </row>
    <row r="40732">
      <c r="F40732" s="13"/>
      <c r="M40732" s="13"/>
    </row>
    <row r="40733">
      <c r="F40733" s="13"/>
      <c r="M40733" s="13"/>
    </row>
    <row r="40734">
      <c r="F40734" s="13"/>
      <c r="M40734" s="13"/>
    </row>
    <row r="40735">
      <c r="F40735" s="13"/>
      <c r="M40735" s="13"/>
    </row>
    <row r="40736">
      <c r="F40736" s="13"/>
      <c r="M40736" s="13"/>
    </row>
    <row r="40737">
      <c r="F40737" s="13"/>
      <c r="M40737" s="13"/>
    </row>
    <row r="40738">
      <c r="F40738" s="13"/>
      <c r="M40738" s="13"/>
    </row>
    <row r="40739">
      <c r="F40739" s="13"/>
      <c r="M40739" s="13"/>
    </row>
    <row r="40740">
      <c r="F40740" s="13"/>
      <c r="M40740" s="13"/>
    </row>
    <row r="40741">
      <c r="F40741" s="13"/>
      <c r="M40741" s="13"/>
    </row>
    <row r="40742">
      <c r="F40742" s="13"/>
      <c r="M40742" s="13"/>
    </row>
    <row r="40743">
      <c r="F40743" s="13"/>
      <c r="M40743" s="13"/>
    </row>
    <row r="40744">
      <c r="F40744" s="13"/>
      <c r="M40744" s="13"/>
    </row>
    <row r="40745">
      <c r="F40745" s="13"/>
      <c r="M40745" s="13"/>
    </row>
    <row r="40746">
      <c r="F40746" s="13"/>
      <c r="M40746" s="13"/>
    </row>
    <row r="40747">
      <c r="F40747" s="13"/>
      <c r="M40747" s="13"/>
    </row>
    <row r="40748">
      <c r="F40748" s="13"/>
      <c r="M40748" s="13"/>
    </row>
    <row r="40749">
      <c r="F40749" s="13"/>
      <c r="M40749" s="13"/>
    </row>
    <row r="40750">
      <c r="F40750" s="13"/>
      <c r="M40750" s="13"/>
    </row>
    <row r="40751">
      <c r="F40751" s="13"/>
      <c r="M40751" s="13"/>
    </row>
    <row r="40752">
      <c r="F40752" s="13"/>
      <c r="M40752" s="13"/>
    </row>
    <row r="40753">
      <c r="F40753" s="13"/>
      <c r="M40753" s="13"/>
    </row>
    <row r="40754">
      <c r="F40754" s="13"/>
      <c r="M40754" s="13"/>
    </row>
    <row r="40755">
      <c r="F40755" s="13"/>
      <c r="M40755" s="13"/>
    </row>
    <row r="40756">
      <c r="F40756" s="13"/>
      <c r="M40756" s="13"/>
    </row>
    <row r="40757">
      <c r="F40757" s="13"/>
      <c r="M40757" s="13"/>
    </row>
    <row r="40758">
      <c r="F40758" s="13"/>
      <c r="M40758" s="13"/>
    </row>
    <row r="40759">
      <c r="F40759" s="13"/>
      <c r="M40759" s="13"/>
    </row>
    <row r="40760">
      <c r="F40760" s="13"/>
      <c r="M40760" s="13"/>
    </row>
    <row r="40761">
      <c r="F40761" s="13"/>
      <c r="M40761" s="13"/>
    </row>
    <row r="40762">
      <c r="F40762" s="13"/>
      <c r="M40762" s="13"/>
    </row>
    <row r="40763">
      <c r="F40763" s="13"/>
      <c r="M40763" s="13"/>
    </row>
    <row r="40764">
      <c r="F40764" s="13"/>
      <c r="M40764" s="13"/>
    </row>
    <row r="40765">
      <c r="F40765" s="13"/>
      <c r="M40765" s="13"/>
    </row>
    <row r="40766">
      <c r="F40766" s="13"/>
      <c r="M40766" s="13"/>
    </row>
    <row r="40767">
      <c r="F40767" s="13"/>
      <c r="M40767" s="13"/>
    </row>
    <row r="40768">
      <c r="F40768" s="13"/>
      <c r="M40768" s="13"/>
    </row>
    <row r="40769">
      <c r="F40769" s="13"/>
      <c r="M40769" s="13"/>
    </row>
    <row r="40770">
      <c r="F40770" s="13"/>
      <c r="M40770" s="13"/>
    </row>
    <row r="40771">
      <c r="F40771" s="13"/>
      <c r="M40771" s="13"/>
    </row>
    <row r="40772">
      <c r="F40772" s="13"/>
      <c r="M40772" s="13"/>
    </row>
    <row r="40773">
      <c r="F40773" s="13"/>
      <c r="M40773" s="13"/>
    </row>
    <row r="40774">
      <c r="F40774" s="13"/>
      <c r="M40774" s="13"/>
    </row>
    <row r="40775">
      <c r="F40775" s="13"/>
      <c r="M40775" s="13"/>
    </row>
    <row r="40776">
      <c r="F40776" s="13"/>
      <c r="M40776" s="13"/>
    </row>
    <row r="40777">
      <c r="F40777" s="13"/>
      <c r="M40777" s="13"/>
    </row>
    <row r="40778">
      <c r="F40778" s="13"/>
      <c r="M40778" s="13"/>
    </row>
    <row r="40779">
      <c r="F40779" s="13"/>
      <c r="M40779" s="13"/>
    </row>
    <row r="40780">
      <c r="F40780" s="13"/>
      <c r="M40780" s="13"/>
    </row>
    <row r="40781">
      <c r="F40781" s="13"/>
      <c r="M40781" s="13"/>
    </row>
    <row r="40782">
      <c r="F40782" s="13"/>
      <c r="M40782" s="13"/>
    </row>
    <row r="40783">
      <c r="F40783" s="13"/>
      <c r="M40783" s="13"/>
    </row>
    <row r="40784">
      <c r="F40784" s="13"/>
      <c r="M40784" s="13"/>
    </row>
    <row r="40785">
      <c r="F40785" s="13"/>
      <c r="M40785" s="13"/>
    </row>
    <row r="40786">
      <c r="F40786" s="13"/>
      <c r="M40786" s="13"/>
    </row>
    <row r="40787">
      <c r="F40787" s="13"/>
      <c r="M40787" s="13"/>
    </row>
    <row r="40788">
      <c r="F40788" s="13"/>
      <c r="M40788" s="13"/>
    </row>
    <row r="40789">
      <c r="F40789" s="13"/>
      <c r="M40789" s="13"/>
    </row>
    <row r="40790">
      <c r="F40790" s="13"/>
      <c r="M40790" s="13"/>
    </row>
    <row r="40791">
      <c r="F40791" s="13"/>
      <c r="M40791" s="13"/>
    </row>
    <row r="40792">
      <c r="F40792" s="13"/>
      <c r="M40792" s="13"/>
    </row>
    <row r="40793">
      <c r="F40793" s="13"/>
      <c r="M40793" s="13"/>
    </row>
    <row r="40794">
      <c r="F40794" s="13"/>
      <c r="M40794" s="13"/>
    </row>
    <row r="40795">
      <c r="F40795" s="13"/>
      <c r="M40795" s="13"/>
    </row>
    <row r="40796">
      <c r="F40796" s="13"/>
      <c r="M40796" s="13"/>
    </row>
    <row r="40797">
      <c r="F40797" s="13"/>
      <c r="M40797" s="13"/>
    </row>
    <row r="40798">
      <c r="F40798" s="13"/>
      <c r="M40798" s="13"/>
    </row>
    <row r="40799">
      <c r="F40799" s="13"/>
      <c r="M40799" s="13"/>
    </row>
    <row r="40800">
      <c r="F40800" s="13"/>
      <c r="M40800" s="13"/>
    </row>
    <row r="40801">
      <c r="F40801" s="13"/>
      <c r="M40801" s="13"/>
    </row>
    <row r="40802">
      <c r="F40802" s="13"/>
      <c r="M40802" s="13"/>
    </row>
    <row r="40803">
      <c r="F40803" s="13"/>
      <c r="M40803" s="13"/>
    </row>
    <row r="40804">
      <c r="F40804" s="13"/>
      <c r="M40804" s="13"/>
    </row>
    <row r="40805">
      <c r="F40805" s="13"/>
      <c r="M40805" s="13"/>
    </row>
    <row r="40806">
      <c r="F40806" s="13"/>
      <c r="M40806" s="13"/>
    </row>
    <row r="40807">
      <c r="F40807" s="13"/>
      <c r="M40807" s="13"/>
    </row>
    <row r="40808">
      <c r="F40808" s="13"/>
      <c r="M40808" s="13"/>
    </row>
    <row r="40809">
      <c r="F40809" s="13"/>
      <c r="M40809" s="13"/>
    </row>
    <row r="40810">
      <c r="F40810" s="13"/>
      <c r="M40810" s="13"/>
    </row>
    <row r="40811">
      <c r="F40811" s="13"/>
      <c r="M40811" s="13"/>
    </row>
    <row r="40812">
      <c r="F40812" s="13"/>
      <c r="M40812" s="13"/>
    </row>
    <row r="40813">
      <c r="F40813" s="13"/>
      <c r="M40813" s="13"/>
    </row>
    <row r="40814">
      <c r="F40814" s="13"/>
      <c r="M40814" s="13"/>
    </row>
    <row r="40815">
      <c r="F40815" s="13"/>
      <c r="M40815" s="13"/>
    </row>
    <row r="40816">
      <c r="F40816" s="13"/>
      <c r="M40816" s="13"/>
    </row>
    <row r="40817">
      <c r="F40817" s="13"/>
      <c r="M40817" s="13"/>
    </row>
    <row r="40818">
      <c r="F40818" s="13"/>
      <c r="M40818" s="13"/>
    </row>
    <row r="40819">
      <c r="F40819" s="13"/>
      <c r="M40819" s="13"/>
    </row>
    <row r="40820">
      <c r="F40820" s="13"/>
      <c r="M40820" s="13"/>
    </row>
    <row r="40821">
      <c r="F40821" s="13"/>
      <c r="M40821" s="13"/>
    </row>
    <row r="40822">
      <c r="F40822" s="13"/>
      <c r="M40822" s="13"/>
    </row>
    <row r="40823">
      <c r="F40823" s="13"/>
      <c r="M40823" s="13"/>
    </row>
    <row r="40824">
      <c r="F40824" s="13"/>
      <c r="M40824" s="13"/>
    </row>
    <row r="40825">
      <c r="F40825" s="13"/>
      <c r="M40825" s="13"/>
    </row>
    <row r="40826">
      <c r="F40826" s="13"/>
      <c r="M40826" s="13"/>
    </row>
    <row r="40827">
      <c r="F40827" s="13"/>
      <c r="M40827" s="13"/>
    </row>
    <row r="40828">
      <c r="F40828" s="13"/>
      <c r="M40828" s="13"/>
    </row>
    <row r="40829">
      <c r="F40829" s="13"/>
      <c r="M40829" s="13"/>
    </row>
    <row r="40830">
      <c r="F40830" s="13"/>
      <c r="M40830" s="13"/>
    </row>
    <row r="40831">
      <c r="F40831" s="13"/>
      <c r="M40831" s="13"/>
    </row>
    <row r="40832">
      <c r="F40832" s="13"/>
      <c r="M40832" s="13"/>
    </row>
    <row r="40833">
      <c r="F40833" s="13"/>
      <c r="M40833" s="13"/>
    </row>
    <row r="40834">
      <c r="F40834" s="13"/>
      <c r="M40834" s="13"/>
    </row>
    <row r="40835">
      <c r="F40835" s="13"/>
      <c r="M40835" s="13"/>
    </row>
    <row r="40836">
      <c r="F40836" s="13"/>
      <c r="M40836" s="13"/>
    </row>
    <row r="40837">
      <c r="F40837" s="13"/>
      <c r="M40837" s="13"/>
    </row>
    <row r="40838">
      <c r="F40838" s="13"/>
      <c r="M40838" s="13"/>
    </row>
    <row r="40839">
      <c r="F40839" s="13"/>
      <c r="M40839" s="13"/>
    </row>
    <row r="40840">
      <c r="F40840" s="13"/>
      <c r="M40840" s="13"/>
    </row>
    <row r="40841">
      <c r="F40841" s="13"/>
      <c r="M40841" s="13"/>
    </row>
    <row r="40842">
      <c r="F40842" s="13"/>
      <c r="M40842" s="13"/>
    </row>
    <row r="40843">
      <c r="F40843" s="13"/>
      <c r="M40843" s="13"/>
    </row>
    <row r="40844">
      <c r="F40844" s="13"/>
      <c r="M40844" s="13"/>
    </row>
    <row r="40845">
      <c r="F40845" s="13"/>
      <c r="M40845" s="13"/>
    </row>
    <row r="40846">
      <c r="F40846" s="13"/>
      <c r="M40846" s="13"/>
    </row>
    <row r="40847">
      <c r="F40847" s="13"/>
      <c r="M40847" s="13"/>
    </row>
    <row r="40848">
      <c r="F40848" s="13"/>
      <c r="M40848" s="13"/>
    </row>
    <row r="40849">
      <c r="F40849" s="13"/>
      <c r="M40849" s="13"/>
    </row>
    <row r="40850">
      <c r="F40850" s="13"/>
      <c r="M40850" s="13"/>
    </row>
    <row r="40851">
      <c r="F40851" s="13"/>
      <c r="M40851" s="13"/>
    </row>
    <row r="40852">
      <c r="F40852" s="13"/>
      <c r="M40852" s="13"/>
    </row>
    <row r="40853">
      <c r="F40853" s="13"/>
      <c r="M40853" s="13"/>
    </row>
    <row r="40854">
      <c r="F40854" s="13"/>
      <c r="M40854" s="13"/>
    </row>
    <row r="40855">
      <c r="F40855" s="13"/>
      <c r="M40855" s="13"/>
    </row>
    <row r="40856">
      <c r="F40856" s="13"/>
      <c r="M40856" s="13"/>
    </row>
    <row r="40857">
      <c r="F40857" s="13"/>
      <c r="M40857" s="13"/>
    </row>
    <row r="40858">
      <c r="F40858" s="13"/>
      <c r="M40858" s="13"/>
    </row>
    <row r="40859">
      <c r="F40859" s="13"/>
      <c r="M40859" s="13"/>
    </row>
    <row r="40860">
      <c r="F40860" s="13"/>
      <c r="M40860" s="13"/>
    </row>
    <row r="40861">
      <c r="F40861" s="13"/>
      <c r="M40861" s="13"/>
    </row>
    <row r="40862">
      <c r="F40862" s="13"/>
      <c r="M40862" s="13"/>
    </row>
    <row r="40863">
      <c r="F40863" s="13"/>
      <c r="M40863" s="13"/>
    </row>
    <row r="40864">
      <c r="F40864" s="13"/>
      <c r="M40864" s="13"/>
    </row>
    <row r="40865">
      <c r="F40865" s="13"/>
      <c r="M40865" s="13"/>
    </row>
    <row r="40866">
      <c r="F40866" s="13"/>
      <c r="M40866" s="13"/>
    </row>
    <row r="40867">
      <c r="F40867" s="13"/>
      <c r="M40867" s="13"/>
    </row>
    <row r="40868">
      <c r="F40868" s="13"/>
      <c r="M40868" s="13"/>
    </row>
    <row r="40869">
      <c r="F40869" s="13"/>
      <c r="M40869" s="13"/>
    </row>
    <row r="40870">
      <c r="F40870" s="13"/>
      <c r="M40870" s="13"/>
    </row>
    <row r="40871">
      <c r="F40871" s="13"/>
      <c r="M40871" s="13"/>
    </row>
    <row r="40872">
      <c r="F40872" s="13"/>
      <c r="M40872" s="13"/>
    </row>
    <row r="40873">
      <c r="F40873" s="13"/>
      <c r="M40873" s="13"/>
    </row>
    <row r="40874">
      <c r="F40874" s="13"/>
      <c r="M40874" s="13"/>
    </row>
    <row r="40875">
      <c r="F40875" s="13"/>
      <c r="M40875" s="13"/>
    </row>
    <row r="40876">
      <c r="F40876" s="13"/>
      <c r="M40876" s="13"/>
    </row>
    <row r="40877">
      <c r="F40877" s="13"/>
      <c r="M40877" s="13"/>
    </row>
    <row r="40878">
      <c r="F40878" s="13"/>
      <c r="M40878" s="13"/>
    </row>
    <row r="40879">
      <c r="F40879" s="13"/>
      <c r="M40879" s="13"/>
    </row>
    <row r="40880">
      <c r="F40880" s="13"/>
      <c r="M40880" s="13"/>
    </row>
    <row r="40881">
      <c r="F40881" s="13"/>
      <c r="M40881" s="13"/>
    </row>
    <row r="40882">
      <c r="F40882" s="13"/>
      <c r="M40882" s="13"/>
    </row>
    <row r="40883">
      <c r="F40883" s="13"/>
      <c r="M40883" s="13"/>
    </row>
    <row r="40884">
      <c r="F40884" s="13"/>
      <c r="M40884" s="13"/>
    </row>
    <row r="40885">
      <c r="F40885" s="13"/>
      <c r="M40885" s="13"/>
    </row>
    <row r="40886">
      <c r="F40886" s="13"/>
      <c r="M40886" s="13"/>
    </row>
    <row r="40887">
      <c r="F40887" s="13"/>
      <c r="M40887" s="13"/>
    </row>
    <row r="40888">
      <c r="F40888" s="13"/>
      <c r="M40888" s="13"/>
    </row>
    <row r="40889">
      <c r="F40889" s="13"/>
      <c r="M40889" s="13"/>
    </row>
    <row r="40890">
      <c r="F40890" s="13"/>
      <c r="M40890" s="13"/>
    </row>
    <row r="40891">
      <c r="F40891" s="13"/>
      <c r="M40891" s="13"/>
    </row>
    <row r="40892">
      <c r="F40892" s="13"/>
      <c r="M40892" s="13"/>
    </row>
    <row r="40893">
      <c r="F40893" s="13"/>
      <c r="M40893" s="13"/>
    </row>
    <row r="40894">
      <c r="F40894" s="13"/>
      <c r="M40894" s="13"/>
    </row>
    <row r="40895">
      <c r="F40895" s="13"/>
      <c r="M40895" s="13"/>
    </row>
    <row r="40896">
      <c r="F40896" s="13"/>
      <c r="M40896" s="13"/>
    </row>
    <row r="40897">
      <c r="F40897" s="13"/>
      <c r="M40897" s="13"/>
    </row>
    <row r="40898">
      <c r="F40898" s="13"/>
      <c r="M40898" s="13"/>
    </row>
    <row r="40899">
      <c r="F40899" s="13"/>
      <c r="M40899" s="13"/>
    </row>
    <row r="40900">
      <c r="F40900" s="13"/>
      <c r="M40900" s="13"/>
    </row>
    <row r="40901">
      <c r="F40901" s="13"/>
      <c r="M40901" s="13"/>
    </row>
    <row r="40902">
      <c r="F40902" s="13"/>
      <c r="M40902" s="13"/>
    </row>
    <row r="40903">
      <c r="F40903" s="13"/>
      <c r="M40903" s="13"/>
    </row>
    <row r="40904">
      <c r="F40904" s="13"/>
      <c r="M40904" s="13"/>
    </row>
    <row r="40905">
      <c r="F40905" s="13"/>
      <c r="M40905" s="13"/>
    </row>
    <row r="40906">
      <c r="F40906" s="13"/>
      <c r="M40906" s="13"/>
    </row>
    <row r="40907">
      <c r="F40907" s="13"/>
      <c r="M40907" s="13"/>
    </row>
    <row r="40908">
      <c r="F40908" s="13"/>
      <c r="M40908" s="13"/>
    </row>
    <row r="40909">
      <c r="F40909" s="13"/>
      <c r="M40909" s="13"/>
    </row>
    <row r="40910">
      <c r="F40910" s="13"/>
      <c r="M40910" s="13"/>
    </row>
    <row r="40911">
      <c r="F40911" s="13"/>
      <c r="M40911" s="13"/>
    </row>
    <row r="40912">
      <c r="F40912" s="13"/>
      <c r="M40912" s="13"/>
    </row>
    <row r="40913">
      <c r="F40913" s="13"/>
      <c r="M40913" s="13"/>
    </row>
    <row r="40914">
      <c r="F40914" s="13"/>
      <c r="M40914" s="13"/>
    </row>
    <row r="40915">
      <c r="F40915" s="13"/>
      <c r="M40915" s="13"/>
    </row>
    <row r="40916">
      <c r="F40916" s="13"/>
      <c r="M40916" s="13"/>
    </row>
    <row r="40917">
      <c r="F40917" s="13"/>
      <c r="M40917" s="13"/>
    </row>
    <row r="40918">
      <c r="F40918" s="13"/>
      <c r="M40918" s="13"/>
    </row>
    <row r="40919">
      <c r="F40919" s="13"/>
      <c r="M40919" s="13"/>
    </row>
    <row r="40920">
      <c r="F40920" s="13"/>
      <c r="M40920" s="13"/>
    </row>
    <row r="40921">
      <c r="F40921" s="13"/>
      <c r="M40921" s="13"/>
    </row>
    <row r="40922">
      <c r="F40922" s="13"/>
      <c r="M40922" s="13"/>
    </row>
    <row r="40923">
      <c r="F40923" s="13"/>
      <c r="M40923" s="13"/>
    </row>
    <row r="40924">
      <c r="F40924" s="13"/>
      <c r="M40924" s="13"/>
    </row>
    <row r="40925">
      <c r="F40925" s="13"/>
      <c r="M40925" s="13"/>
    </row>
    <row r="40926">
      <c r="F40926" s="13"/>
      <c r="M40926" s="13"/>
    </row>
    <row r="40927">
      <c r="F40927" s="13"/>
      <c r="M40927" s="13"/>
    </row>
    <row r="40928">
      <c r="F40928" s="13"/>
      <c r="M40928" s="13"/>
    </row>
    <row r="40929">
      <c r="F40929" s="13"/>
      <c r="M40929" s="13"/>
    </row>
    <row r="40930">
      <c r="F40930" s="13"/>
      <c r="M40930" s="13"/>
    </row>
    <row r="40931">
      <c r="F40931" s="13"/>
      <c r="M40931" s="13"/>
    </row>
    <row r="40932">
      <c r="F40932" s="13"/>
      <c r="M40932" s="13"/>
    </row>
    <row r="40933">
      <c r="F40933" s="13"/>
      <c r="M40933" s="13"/>
    </row>
    <row r="40934">
      <c r="F40934" s="13"/>
      <c r="M40934" s="13"/>
    </row>
    <row r="40935">
      <c r="F40935" s="13"/>
      <c r="M40935" s="13"/>
    </row>
    <row r="40936">
      <c r="F40936" s="13"/>
      <c r="M40936" s="13"/>
    </row>
    <row r="40937">
      <c r="F40937" s="13"/>
      <c r="M40937" s="13"/>
    </row>
    <row r="40938">
      <c r="F40938" s="13"/>
      <c r="M40938" s="13"/>
    </row>
    <row r="40939">
      <c r="F40939" s="13"/>
      <c r="M40939" s="13"/>
    </row>
    <row r="40940">
      <c r="F40940" s="13"/>
      <c r="M40940" s="13"/>
    </row>
    <row r="40941">
      <c r="F40941" s="13"/>
      <c r="M40941" s="13"/>
    </row>
    <row r="40942">
      <c r="F40942" s="13"/>
      <c r="M40942" s="13"/>
    </row>
    <row r="40943">
      <c r="F40943" s="13"/>
      <c r="M40943" s="13"/>
    </row>
    <row r="40944">
      <c r="F40944" s="13"/>
      <c r="M40944" s="13"/>
    </row>
    <row r="40945">
      <c r="F40945" s="13"/>
      <c r="M40945" s="13"/>
    </row>
    <row r="40946">
      <c r="F40946" s="13"/>
      <c r="M40946" s="13"/>
    </row>
    <row r="40947">
      <c r="F40947" s="13"/>
      <c r="M40947" s="13"/>
    </row>
    <row r="40948">
      <c r="F40948" s="13"/>
      <c r="M40948" s="13"/>
    </row>
    <row r="40949">
      <c r="F40949" s="13"/>
      <c r="M40949" s="13"/>
    </row>
    <row r="40950">
      <c r="F40950" s="13"/>
      <c r="M40950" s="13"/>
    </row>
    <row r="40951">
      <c r="F40951" s="13"/>
      <c r="M40951" s="13"/>
    </row>
    <row r="40952">
      <c r="F40952" s="13"/>
      <c r="M40952" s="13"/>
    </row>
    <row r="40953">
      <c r="F40953" s="13"/>
      <c r="M40953" s="13"/>
    </row>
    <row r="40954">
      <c r="F40954" s="13"/>
      <c r="M40954" s="13"/>
    </row>
    <row r="40955">
      <c r="F40955" s="13"/>
      <c r="M40955" s="13"/>
    </row>
    <row r="40956">
      <c r="F40956" s="13"/>
      <c r="M40956" s="13"/>
    </row>
    <row r="40957">
      <c r="F40957" s="13"/>
      <c r="M40957" s="13"/>
    </row>
    <row r="40958">
      <c r="F40958" s="13"/>
      <c r="M40958" s="13"/>
    </row>
    <row r="40959">
      <c r="F40959" s="13"/>
      <c r="M40959" s="13"/>
    </row>
    <row r="40960">
      <c r="F40960" s="13"/>
      <c r="M40960" s="13"/>
    </row>
    <row r="40961">
      <c r="F40961" s="13"/>
      <c r="M40961" s="13"/>
    </row>
    <row r="40962">
      <c r="F40962" s="13"/>
      <c r="M40962" s="13"/>
    </row>
    <row r="40963">
      <c r="F40963" s="13"/>
      <c r="M40963" s="13"/>
    </row>
    <row r="40964">
      <c r="F40964" s="13"/>
      <c r="M40964" s="13"/>
    </row>
    <row r="40965">
      <c r="F40965" s="13"/>
      <c r="M40965" s="13"/>
    </row>
    <row r="40966">
      <c r="F40966" s="13"/>
      <c r="M40966" s="13"/>
    </row>
    <row r="40967">
      <c r="F40967" s="13"/>
      <c r="M40967" s="13"/>
    </row>
    <row r="40968">
      <c r="F40968" s="13"/>
      <c r="M40968" s="13"/>
    </row>
    <row r="40969">
      <c r="F40969" s="13"/>
      <c r="M40969" s="13"/>
    </row>
    <row r="40970">
      <c r="F40970" s="13"/>
      <c r="M40970" s="13"/>
    </row>
    <row r="40971">
      <c r="F40971" s="13"/>
      <c r="M40971" s="13"/>
    </row>
    <row r="40972">
      <c r="F40972" s="13"/>
      <c r="M40972" s="13"/>
    </row>
    <row r="40973">
      <c r="F40973" s="13"/>
      <c r="M40973" s="13"/>
    </row>
    <row r="40974">
      <c r="F40974" s="13"/>
      <c r="M40974" s="13"/>
    </row>
    <row r="40975">
      <c r="F40975" s="13"/>
      <c r="M40975" s="13"/>
    </row>
    <row r="40976">
      <c r="F40976" s="13"/>
      <c r="M40976" s="13"/>
    </row>
    <row r="40977">
      <c r="F40977" s="13"/>
      <c r="M40977" s="13"/>
    </row>
    <row r="40978">
      <c r="F40978" s="13"/>
      <c r="M40978" s="13"/>
    </row>
    <row r="40979">
      <c r="F40979" s="13"/>
      <c r="M40979" s="13"/>
    </row>
    <row r="40980">
      <c r="F40980" s="13"/>
      <c r="M40980" s="13"/>
    </row>
    <row r="40981">
      <c r="F40981" s="13"/>
      <c r="M40981" s="13"/>
    </row>
    <row r="40982">
      <c r="F40982" s="13"/>
      <c r="M40982" s="13"/>
    </row>
    <row r="40983">
      <c r="F40983" s="13"/>
      <c r="M40983" s="13"/>
    </row>
    <row r="40984">
      <c r="F40984" s="13"/>
      <c r="M40984" s="13"/>
    </row>
    <row r="40985">
      <c r="F40985" s="13"/>
      <c r="M40985" s="13"/>
    </row>
    <row r="40986">
      <c r="F40986" s="13"/>
      <c r="M40986" s="13"/>
    </row>
    <row r="40987">
      <c r="F40987" s="13"/>
      <c r="M40987" s="13"/>
    </row>
    <row r="40988">
      <c r="F40988" s="13"/>
      <c r="M40988" s="13"/>
    </row>
    <row r="40989">
      <c r="F40989" s="13"/>
      <c r="M40989" s="13"/>
    </row>
    <row r="40990">
      <c r="F40990" s="13"/>
      <c r="M40990" s="13"/>
    </row>
    <row r="40991">
      <c r="F40991" s="13"/>
      <c r="M40991" s="13"/>
    </row>
    <row r="40992">
      <c r="F40992" s="13"/>
      <c r="M40992" s="13"/>
    </row>
    <row r="40993">
      <c r="F40993" s="13"/>
      <c r="M40993" s="13"/>
    </row>
    <row r="40994">
      <c r="F40994" s="13"/>
      <c r="M40994" s="13"/>
    </row>
    <row r="40995">
      <c r="F40995" s="13"/>
      <c r="M40995" s="13"/>
    </row>
    <row r="40996">
      <c r="F40996" s="13"/>
      <c r="M40996" s="13"/>
    </row>
    <row r="40997">
      <c r="F40997" s="13"/>
      <c r="M40997" s="13"/>
    </row>
    <row r="40998">
      <c r="F40998" s="13"/>
      <c r="M40998" s="13"/>
    </row>
    <row r="40999">
      <c r="F40999" s="13"/>
      <c r="M40999" s="13"/>
    </row>
    <row r="41000">
      <c r="F41000" s="13"/>
      <c r="M41000" s="13"/>
    </row>
    <row r="41001">
      <c r="F41001" s="13"/>
      <c r="M41001" s="13"/>
    </row>
    <row r="41002">
      <c r="F41002" s="13"/>
      <c r="M41002" s="13"/>
    </row>
    <row r="41003">
      <c r="F41003" s="13"/>
      <c r="M41003" s="13"/>
    </row>
    <row r="41004">
      <c r="F41004" s="13"/>
      <c r="M41004" s="13"/>
    </row>
    <row r="41005">
      <c r="F41005" s="13"/>
      <c r="M41005" s="13"/>
    </row>
    <row r="41006">
      <c r="F41006" s="13"/>
      <c r="M41006" s="13"/>
    </row>
    <row r="41007">
      <c r="F41007" s="13"/>
      <c r="M41007" s="13"/>
    </row>
    <row r="41008">
      <c r="F41008" s="13"/>
      <c r="M41008" s="13"/>
    </row>
    <row r="41009">
      <c r="F41009" s="13"/>
      <c r="M41009" s="13"/>
    </row>
    <row r="41010">
      <c r="F41010" s="13"/>
      <c r="M41010" s="13"/>
    </row>
    <row r="41011">
      <c r="F41011" s="13"/>
      <c r="M41011" s="13"/>
    </row>
    <row r="41012">
      <c r="F41012" s="13"/>
      <c r="M41012" s="13"/>
    </row>
    <row r="41013">
      <c r="F41013" s="13"/>
      <c r="M41013" s="13"/>
    </row>
    <row r="41014">
      <c r="F41014" s="13"/>
      <c r="M41014" s="13"/>
    </row>
    <row r="41015">
      <c r="F41015" s="13"/>
      <c r="M41015" s="13"/>
    </row>
    <row r="41016">
      <c r="F41016" s="13"/>
      <c r="M41016" s="13"/>
    </row>
    <row r="41017">
      <c r="F41017" s="13"/>
      <c r="M41017" s="13"/>
    </row>
    <row r="41018">
      <c r="F41018" s="13"/>
      <c r="M41018" s="13"/>
    </row>
    <row r="41019">
      <c r="F41019" s="13"/>
      <c r="M41019" s="13"/>
    </row>
    <row r="41020">
      <c r="F41020" s="13"/>
      <c r="M41020" s="13"/>
    </row>
    <row r="41021">
      <c r="F41021" s="13"/>
      <c r="M41021" s="13"/>
    </row>
    <row r="41022">
      <c r="F41022" s="13"/>
      <c r="M41022" s="13"/>
    </row>
    <row r="41023">
      <c r="F41023" s="13"/>
      <c r="M41023" s="13"/>
    </row>
    <row r="41024">
      <c r="F41024" s="13"/>
      <c r="M41024" s="13"/>
    </row>
    <row r="41025">
      <c r="F41025" s="13"/>
      <c r="M41025" s="13"/>
    </row>
    <row r="41026">
      <c r="F41026" s="13"/>
      <c r="M41026" s="13"/>
    </row>
    <row r="41027">
      <c r="F41027" s="13"/>
      <c r="M41027" s="13"/>
    </row>
    <row r="41028">
      <c r="F41028" s="13"/>
      <c r="M41028" s="13"/>
    </row>
    <row r="41029">
      <c r="F41029" s="13"/>
      <c r="M41029" s="13"/>
    </row>
    <row r="41030">
      <c r="F41030" s="13"/>
      <c r="M41030" s="13"/>
    </row>
    <row r="41031">
      <c r="F41031" s="13"/>
      <c r="M41031" s="13"/>
    </row>
    <row r="41032">
      <c r="F41032" s="13"/>
      <c r="M41032" s="13"/>
    </row>
    <row r="41033">
      <c r="F41033" s="13"/>
      <c r="M41033" s="13"/>
    </row>
    <row r="41034">
      <c r="F41034" s="13"/>
      <c r="M41034" s="13"/>
    </row>
    <row r="41035">
      <c r="F41035" s="13"/>
      <c r="M41035" s="13"/>
    </row>
    <row r="41036">
      <c r="F41036" s="13"/>
      <c r="M41036" s="13"/>
    </row>
    <row r="41037">
      <c r="F41037" s="13"/>
      <c r="M41037" s="13"/>
    </row>
    <row r="41038">
      <c r="F41038" s="13"/>
      <c r="M41038" s="13"/>
    </row>
    <row r="41039">
      <c r="F41039" s="13"/>
      <c r="M41039" s="13"/>
    </row>
    <row r="41040">
      <c r="F41040" s="13"/>
      <c r="M41040" s="13"/>
    </row>
    <row r="41041">
      <c r="F41041" s="13"/>
      <c r="M41041" s="13"/>
    </row>
    <row r="41042">
      <c r="F41042" s="13"/>
      <c r="M41042" s="13"/>
    </row>
    <row r="41043">
      <c r="F41043" s="13"/>
      <c r="M41043" s="13"/>
    </row>
    <row r="41044">
      <c r="F41044" s="13"/>
      <c r="M41044" s="13"/>
    </row>
    <row r="41045">
      <c r="F41045" s="13"/>
      <c r="M41045" s="13"/>
    </row>
    <row r="41046">
      <c r="F41046" s="13"/>
      <c r="M41046" s="13"/>
    </row>
    <row r="41047">
      <c r="F41047" s="13"/>
      <c r="M41047" s="13"/>
    </row>
    <row r="41048">
      <c r="F41048" s="13"/>
      <c r="M41048" s="13"/>
    </row>
    <row r="41049">
      <c r="F41049" s="13"/>
      <c r="M41049" s="13"/>
    </row>
    <row r="41050">
      <c r="F41050" s="13"/>
      <c r="M41050" s="13"/>
    </row>
    <row r="41051">
      <c r="F41051" s="13"/>
      <c r="M41051" s="13"/>
    </row>
    <row r="41052">
      <c r="F41052" s="13"/>
      <c r="M41052" s="13"/>
    </row>
    <row r="41053">
      <c r="F41053" s="13"/>
      <c r="M41053" s="13"/>
    </row>
    <row r="41054">
      <c r="F41054" s="13"/>
      <c r="M41054" s="13"/>
    </row>
    <row r="41055">
      <c r="F41055" s="13"/>
      <c r="M41055" s="13"/>
    </row>
    <row r="41056">
      <c r="F41056" s="13"/>
      <c r="M41056" s="13"/>
    </row>
    <row r="41057">
      <c r="F41057" s="13"/>
      <c r="M41057" s="13"/>
    </row>
    <row r="41058">
      <c r="F41058" s="13"/>
      <c r="M41058" s="13"/>
    </row>
    <row r="41059">
      <c r="F41059" s="13"/>
      <c r="M41059" s="13"/>
    </row>
    <row r="41060">
      <c r="F41060" s="13"/>
      <c r="M41060" s="13"/>
    </row>
    <row r="41061">
      <c r="F41061" s="13"/>
      <c r="M41061" s="13"/>
    </row>
    <row r="41062">
      <c r="F41062" s="13"/>
      <c r="M41062" s="13"/>
    </row>
    <row r="41063">
      <c r="F41063" s="13"/>
      <c r="M41063" s="13"/>
    </row>
    <row r="41064">
      <c r="F41064" s="13"/>
      <c r="M41064" s="13"/>
    </row>
    <row r="41065">
      <c r="F41065" s="13"/>
      <c r="M41065" s="13"/>
    </row>
    <row r="41066">
      <c r="F41066" s="13"/>
      <c r="M41066" s="13"/>
    </row>
    <row r="41067">
      <c r="F41067" s="13"/>
      <c r="M41067" s="13"/>
    </row>
    <row r="41068">
      <c r="F41068" s="13"/>
      <c r="M41068" s="13"/>
    </row>
    <row r="41069">
      <c r="F41069" s="13"/>
      <c r="M41069" s="13"/>
    </row>
    <row r="41070">
      <c r="F41070" s="13"/>
      <c r="M41070" s="13"/>
    </row>
    <row r="41071">
      <c r="F41071" s="13"/>
      <c r="M41071" s="13"/>
    </row>
    <row r="41072">
      <c r="F41072" s="13"/>
      <c r="M41072" s="13"/>
    </row>
    <row r="41073">
      <c r="F41073" s="13"/>
      <c r="M41073" s="13"/>
    </row>
    <row r="41074">
      <c r="F41074" s="13"/>
      <c r="M41074" s="13"/>
    </row>
    <row r="41075">
      <c r="F41075" s="13"/>
      <c r="M41075" s="13"/>
    </row>
    <row r="41076">
      <c r="F41076" s="13"/>
      <c r="M41076" s="13"/>
    </row>
    <row r="41077">
      <c r="F41077" s="13"/>
      <c r="M41077" s="13"/>
    </row>
    <row r="41078">
      <c r="F41078" s="13"/>
      <c r="M41078" s="13"/>
    </row>
    <row r="41079">
      <c r="F41079" s="13"/>
      <c r="M41079" s="13"/>
    </row>
    <row r="41080">
      <c r="F41080" s="13"/>
      <c r="M41080" s="13"/>
    </row>
    <row r="41081">
      <c r="F41081" s="13"/>
      <c r="M41081" s="13"/>
    </row>
    <row r="41082">
      <c r="F41082" s="13"/>
      <c r="M41082" s="13"/>
    </row>
    <row r="41083">
      <c r="F41083" s="13"/>
      <c r="M41083" s="13"/>
    </row>
    <row r="41084">
      <c r="F41084" s="13"/>
      <c r="M41084" s="13"/>
    </row>
    <row r="41085">
      <c r="F41085" s="13"/>
      <c r="M41085" s="13"/>
    </row>
    <row r="41086">
      <c r="F41086" s="13"/>
      <c r="M41086" s="13"/>
    </row>
    <row r="41087">
      <c r="F41087" s="13"/>
      <c r="M41087" s="13"/>
    </row>
    <row r="41088">
      <c r="F41088" s="13"/>
      <c r="M41088" s="13"/>
    </row>
    <row r="41089">
      <c r="F41089" s="13"/>
      <c r="M41089" s="13"/>
    </row>
    <row r="41090">
      <c r="F41090" s="13"/>
      <c r="M41090" s="13"/>
    </row>
    <row r="41091">
      <c r="F41091" s="13"/>
      <c r="M41091" s="13"/>
    </row>
    <row r="41092">
      <c r="F41092" s="13"/>
      <c r="M41092" s="13"/>
    </row>
    <row r="41093">
      <c r="F41093" s="13"/>
      <c r="M41093" s="13"/>
    </row>
    <row r="41094">
      <c r="F41094" s="13"/>
      <c r="M41094" s="13"/>
    </row>
    <row r="41095">
      <c r="F41095" s="13"/>
      <c r="M41095" s="13"/>
    </row>
    <row r="41096">
      <c r="F41096" s="13"/>
      <c r="M41096" s="13"/>
    </row>
    <row r="41097">
      <c r="F41097" s="13"/>
      <c r="M41097" s="13"/>
    </row>
    <row r="41098">
      <c r="F41098" s="13"/>
      <c r="M41098" s="13"/>
    </row>
    <row r="41099">
      <c r="F41099" s="13"/>
      <c r="M41099" s="13"/>
    </row>
    <row r="41100">
      <c r="F41100" s="13"/>
      <c r="M41100" s="13"/>
    </row>
    <row r="41101">
      <c r="F41101" s="13"/>
      <c r="M41101" s="13"/>
    </row>
    <row r="41102">
      <c r="F41102" s="13"/>
      <c r="M41102" s="13"/>
    </row>
    <row r="41103">
      <c r="F41103" s="13"/>
      <c r="M41103" s="13"/>
    </row>
    <row r="41104">
      <c r="F41104" s="13"/>
      <c r="M41104" s="13"/>
    </row>
    <row r="41105">
      <c r="F41105" s="13"/>
      <c r="M41105" s="13"/>
    </row>
    <row r="41106">
      <c r="F41106" s="13"/>
      <c r="M41106" s="13"/>
    </row>
    <row r="41107">
      <c r="F41107" s="13"/>
      <c r="M41107" s="13"/>
    </row>
    <row r="41108">
      <c r="F41108" s="13"/>
      <c r="M41108" s="13"/>
    </row>
    <row r="41109">
      <c r="F41109" s="13"/>
      <c r="M41109" s="13"/>
    </row>
    <row r="41110">
      <c r="F41110" s="13"/>
      <c r="M41110" s="13"/>
    </row>
    <row r="41111">
      <c r="F41111" s="13"/>
      <c r="M41111" s="13"/>
    </row>
    <row r="41112">
      <c r="F41112" s="13"/>
      <c r="M41112" s="13"/>
    </row>
    <row r="41113">
      <c r="F41113" s="13"/>
      <c r="M41113" s="13"/>
    </row>
    <row r="41114">
      <c r="F41114" s="13"/>
      <c r="M41114" s="13"/>
    </row>
    <row r="41115">
      <c r="F41115" s="13"/>
      <c r="M41115" s="13"/>
    </row>
    <row r="41116">
      <c r="F41116" s="13"/>
      <c r="M41116" s="13"/>
    </row>
    <row r="41117">
      <c r="F41117" s="13"/>
      <c r="M41117" s="13"/>
    </row>
    <row r="41118">
      <c r="F41118" s="13"/>
      <c r="M41118" s="13"/>
    </row>
    <row r="41119">
      <c r="F41119" s="13"/>
      <c r="M41119" s="13"/>
    </row>
    <row r="41120">
      <c r="F41120" s="13"/>
      <c r="M41120" s="13"/>
    </row>
    <row r="41121">
      <c r="F41121" s="13"/>
      <c r="M41121" s="13"/>
    </row>
    <row r="41122">
      <c r="F41122" s="13"/>
      <c r="M41122" s="13"/>
    </row>
    <row r="41123">
      <c r="F41123" s="13"/>
      <c r="M41123" s="13"/>
    </row>
    <row r="41124">
      <c r="F41124" s="13"/>
      <c r="M41124" s="13"/>
    </row>
    <row r="41125">
      <c r="F41125" s="13"/>
      <c r="M41125" s="13"/>
    </row>
    <row r="41126">
      <c r="F41126" s="13"/>
      <c r="M41126" s="13"/>
    </row>
    <row r="41127">
      <c r="F41127" s="13"/>
      <c r="M41127" s="13"/>
    </row>
    <row r="41128">
      <c r="F41128" s="13"/>
      <c r="M41128" s="13"/>
    </row>
    <row r="41129">
      <c r="F41129" s="13"/>
      <c r="M41129" s="13"/>
    </row>
    <row r="41130">
      <c r="F41130" s="13"/>
      <c r="M41130" s="13"/>
    </row>
    <row r="41131">
      <c r="F41131" s="13"/>
      <c r="M41131" s="13"/>
    </row>
    <row r="41132">
      <c r="F41132" s="13"/>
      <c r="M41132" s="13"/>
    </row>
    <row r="41133">
      <c r="F41133" s="13"/>
      <c r="M41133" s="13"/>
    </row>
    <row r="41134">
      <c r="F41134" s="13"/>
      <c r="M41134" s="13"/>
    </row>
    <row r="41135">
      <c r="F41135" s="13"/>
      <c r="M41135" s="13"/>
    </row>
    <row r="41136">
      <c r="F41136" s="13"/>
      <c r="M41136" s="13"/>
    </row>
    <row r="41137">
      <c r="F41137" s="13"/>
      <c r="M41137" s="13"/>
    </row>
    <row r="41138">
      <c r="F41138" s="13"/>
      <c r="M41138" s="13"/>
    </row>
    <row r="41139">
      <c r="F41139" s="13"/>
      <c r="M41139" s="13"/>
    </row>
    <row r="41140">
      <c r="F41140" s="13"/>
      <c r="M41140" s="13"/>
    </row>
    <row r="41141">
      <c r="F41141" s="13"/>
      <c r="M41141" s="13"/>
    </row>
    <row r="41142">
      <c r="F41142" s="13"/>
      <c r="M41142" s="13"/>
    </row>
    <row r="41143">
      <c r="F41143" s="13"/>
      <c r="M41143" s="13"/>
    </row>
    <row r="41144">
      <c r="F41144" s="13"/>
      <c r="M41144" s="13"/>
    </row>
    <row r="41145">
      <c r="F41145" s="13"/>
      <c r="M41145" s="13"/>
    </row>
    <row r="41146">
      <c r="F41146" s="13"/>
      <c r="M41146" s="13"/>
    </row>
    <row r="41147">
      <c r="F41147" s="13"/>
      <c r="M41147" s="13"/>
    </row>
    <row r="41148">
      <c r="F41148" s="13"/>
      <c r="M41148" s="13"/>
    </row>
    <row r="41149">
      <c r="F41149" s="13"/>
      <c r="M41149" s="13"/>
    </row>
    <row r="41150">
      <c r="F41150" s="13"/>
      <c r="M41150" s="13"/>
    </row>
    <row r="41151">
      <c r="F41151" s="13"/>
      <c r="M41151" s="13"/>
    </row>
    <row r="41152">
      <c r="F41152" s="13"/>
      <c r="M41152" s="13"/>
    </row>
    <row r="41153">
      <c r="F41153" s="13"/>
      <c r="M41153" s="13"/>
    </row>
    <row r="41154">
      <c r="F41154" s="13"/>
      <c r="M41154" s="13"/>
    </row>
    <row r="41155">
      <c r="F41155" s="13"/>
      <c r="M41155" s="13"/>
    </row>
    <row r="41156">
      <c r="F41156" s="13"/>
      <c r="M41156" s="13"/>
    </row>
    <row r="41157">
      <c r="F41157" s="13"/>
      <c r="M41157" s="13"/>
    </row>
    <row r="41158">
      <c r="F41158" s="13"/>
      <c r="M41158" s="13"/>
    </row>
    <row r="41159">
      <c r="F41159" s="13"/>
      <c r="M41159" s="13"/>
    </row>
    <row r="41160">
      <c r="F41160" s="13"/>
      <c r="M41160" s="13"/>
    </row>
    <row r="41161">
      <c r="F41161" s="13"/>
      <c r="M41161" s="13"/>
    </row>
    <row r="41162">
      <c r="F41162" s="13"/>
      <c r="M41162" s="13"/>
    </row>
    <row r="41163">
      <c r="F41163" s="13"/>
      <c r="M41163" s="13"/>
    </row>
    <row r="41164">
      <c r="F41164" s="13"/>
      <c r="M41164" s="13"/>
    </row>
    <row r="41165">
      <c r="F41165" s="13"/>
      <c r="M41165" s="13"/>
    </row>
    <row r="41166">
      <c r="F41166" s="13"/>
      <c r="M41166" s="13"/>
    </row>
    <row r="41167">
      <c r="F41167" s="13"/>
      <c r="M41167" s="13"/>
    </row>
    <row r="41168">
      <c r="F41168" s="13"/>
      <c r="M41168" s="13"/>
    </row>
    <row r="41169">
      <c r="F41169" s="13"/>
      <c r="M41169" s="13"/>
    </row>
    <row r="41170">
      <c r="F41170" s="13"/>
      <c r="M41170" s="13"/>
    </row>
    <row r="41171">
      <c r="F41171" s="13"/>
      <c r="M41171" s="13"/>
    </row>
    <row r="41172">
      <c r="F41172" s="13"/>
      <c r="M41172" s="13"/>
    </row>
    <row r="41173">
      <c r="F41173" s="13"/>
      <c r="M41173" s="13"/>
    </row>
    <row r="41174">
      <c r="F41174" s="13"/>
      <c r="M41174" s="13"/>
    </row>
    <row r="41175">
      <c r="F41175" s="13"/>
      <c r="M41175" s="13"/>
    </row>
    <row r="41176">
      <c r="F41176" s="13"/>
      <c r="M41176" s="13"/>
    </row>
    <row r="41177">
      <c r="F41177" s="13"/>
      <c r="M41177" s="13"/>
    </row>
    <row r="41178">
      <c r="F41178" s="13"/>
      <c r="M41178" s="13"/>
    </row>
    <row r="41179">
      <c r="F41179" s="13"/>
      <c r="M41179" s="13"/>
    </row>
    <row r="41180">
      <c r="F41180" s="13"/>
      <c r="M41180" s="13"/>
    </row>
    <row r="41181">
      <c r="F41181" s="13"/>
      <c r="M41181" s="13"/>
    </row>
    <row r="41182">
      <c r="F41182" s="13"/>
      <c r="M41182" s="13"/>
    </row>
    <row r="41183">
      <c r="F41183" s="13"/>
      <c r="M41183" s="13"/>
    </row>
    <row r="41184">
      <c r="F41184" s="13"/>
      <c r="M41184" s="13"/>
    </row>
    <row r="41185">
      <c r="F41185" s="13"/>
      <c r="M41185" s="13"/>
    </row>
    <row r="41186">
      <c r="F41186" s="13"/>
      <c r="M41186" s="13"/>
    </row>
    <row r="41187">
      <c r="F41187" s="13"/>
      <c r="M41187" s="13"/>
    </row>
    <row r="41188">
      <c r="F41188" s="13"/>
      <c r="M41188" s="13"/>
    </row>
    <row r="41189">
      <c r="F41189" s="13"/>
      <c r="M41189" s="13"/>
    </row>
    <row r="41190">
      <c r="F41190" s="13"/>
      <c r="M41190" s="13"/>
    </row>
    <row r="41191">
      <c r="F41191" s="13"/>
      <c r="M41191" s="13"/>
    </row>
    <row r="41192">
      <c r="F41192" s="13"/>
      <c r="M41192" s="13"/>
    </row>
    <row r="41193">
      <c r="F41193" s="13"/>
      <c r="M41193" s="13"/>
    </row>
    <row r="41194">
      <c r="F41194" s="13"/>
      <c r="M41194" s="13"/>
    </row>
    <row r="41195">
      <c r="F41195" s="13"/>
      <c r="M41195" s="13"/>
    </row>
    <row r="41196">
      <c r="F41196" s="13"/>
      <c r="M41196" s="13"/>
    </row>
    <row r="41197">
      <c r="F41197" s="13"/>
      <c r="M41197" s="13"/>
    </row>
    <row r="41198">
      <c r="F41198" s="13"/>
      <c r="M41198" s="13"/>
    </row>
    <row r="41199">
      <c r="F41199" s="13"/>
      <c r="M41199" s="13"/>
    </row>
    <row r="41200">
      <c r="F41200" s="13"/>
      <c r="M41200" s="13"/>
    </row>
    <row r="41201">
      <c r="F41201" s="13"/>
      <c r="M41201" s="13"/>
    </row>
    <row r="41202">
      <c r="F41202" s="13"/>
      <c r="M41202" s="13"/>
    </row>
    <row r="41203">
      <c r="F41203" s="13"/>
      <c r="M41203" s="13"/>
    </row>
    <row r="41204">
      <c r="F41204" s="13"/>
      <c r="M41204" s="13"/>
    </row>
    <row r="41205">
      <c r="F41205" s="13"/>
      <c r="M41205" s="13"/>
    </row>
    <row r="41206">
      <c r="F41206" s="13"/>
      <c r="M41206" s="13"/>
    </row>
    <row r="41207">
      <c r="F41207" s="13"/>
      <c r="M41207" s="13"/>
    </row>
    <row r="41208">
      <c r="F41208" s="13"/>
      <c r="M41208" s="13"/>
    </row>
    <row r="41209">
      <c r="F41209" s="13"/>
      <c r="M41209" s="13"/>
    </row>
    <row r="41210">
      <c r="F41210" s="13"/>
      <c r="M41210" s="13"/>
    </row>
    <row r="41211">
      <c r="F41211" s="13"/>
      <c r="M41211" s="13"/>
    </row>
    <row r="41212">
      <c r="F41212" s="13"/>
      <c r="M41212" s="13"/>
    </row>
    <row r="41213">
      <c r="F41213" s="13"/>
      <c r="M41213" s="13"/>
    </row>
    <row r="41214">
      <c r="F41214" s="13"/>
      <c r="M41214" s="13"/>
    </row>
    <row r="41215">
      <c r="F41215" s="13"/>
      <c r="M41215" s="13"/>
    </row>
    <row r="41216">
      <c r="F41216" s="13"/>
      <c r="M41216" s="13"/>
    </row>
    <row r="41217">
      <c r="F41217" s="13"/>
      <c r="M41217" s="13"/>
    </row>
    <row r="41218">
      <c r="F41218" s="13"/>
      <c r="M41218" s="13"/>
    </row>
    <row r="41219">
      <c r="F41219" s="13"/>
      <c r="M41219" s="13"/>
    </row>
    <row r="41220">
      <c r="F41220" s="13"/>
      <c r="M41220" s="13"/>
    </row>
    <row r="41221">
      <c r="F41221" s="13"/>
      <c r="M41221" s="13"/>
    </row>
    <row r="41222">
      <c r="F41222" s="13"/>
      <c r="M41222" s="13"/>
    </row>
    <row r="41223">
      <c r="F41223" s="13"/>
      <c r="M41223" s="13"/>
    </row>
    <row r="41224">
      <c r="F41224" s="13"/>
      <c r="M41224" s="13"/>
    </row>
    <row r="41225">
      <c r="F41225" s="13"/>
      <c r="M41225" s="13"/>
    </row>
    <row r="41226">
      <c r="F41226" s="13"/>
      <c r="M41226" s="13"/>
    </row>
    <row r="41227">
      <c r="F41227" s="13"/>
      <c r="M41227" s="13"/>
    </row>
    <row r="41228">
      <c r="F41228" s="13"/>
      <c r="M41228" s="13"/>
    </row>
    <row r="41229">
      <c r="F41229" s="13"/>
      <c r="M41229" s="13"/>
    </row>
    <row r="41230">
      <c r="F41230" s="13"/>
      <c r="M41230" s="13"/>
    </row>
    <row r="41231">
      <c r="F41231" s="13"/>
      <c r="M41231" s="13"/>
    </row>
    <row r="41232">
      <c r="F41232" s="13"/>
      <c r="M41232" s="13"/>
    </row>
    <row r="41233">
      <c r="F41233" s="13"/>
      <c r="M41233" s="13"/>
    </row>
    <row r="41234">
      <c r="F41234" s="13"/>
      <c r="M41234" s="13"/>
    </row>
    <row r="41235">
      <c r="F41235" s="13"/>
      <c r="M41235" s="13"/>
    </row>
    <row r="41236">
      <c r="F41236" s="13"/>
      <c r="M41236" s="13"/>
    </row>
    <row r="41237">
      <c r="F41237" s="13"/>
      <c r="M41237" s="13"/>
    </row>
    <row r="41238">
      <c r="F41238" s="13"/>
      <c r="M41238" s="13"/>
    </row>
    <row r="41239">
      <c r="F41239" s="13"/>
      <c r="M41239" s="13"/>
    </row>
    <row r="41240">
      <c r="F41240" s="13"/>
      <c r="M41240" s="13"/>
    </row>
    <row r="41241">
      <c r="F41241" s="13"/>
      <c r="M41241" s="13"/>
    </row>
    <row r="41242">
      <c r="F41242" s="13"/>
      <c r="M41242" s="13"/>
    </row>
    <row r="41243">
      <c r="F41243" s="13"/>
      <c r="M41243" s="13"/>
    </row>
    <row r="41244">
      <c r="F41244" s="13"/>
      <c r="M41244" s="13"/>
    </row>
    <row r="41245">
      <c r="F41245" s="13"/>
      <c r="M41245" s="13"/>
    </row>
    <row r="41246">
      <c r="F41246" s="13"/>
      <c r="M41246" s="13"/>
    </row>
    <row r="41247">
      <c r="F41247" s="13"/>
      <c r="M41247" s="13"/>
    </row>
    <row r="41248">
      <c r="F41248" s="13"/>
      <c r="M41248" s="13"/>
    </row>
    <row r="41249">
      <c r="F41249" s="13"/>
      <c r="M41249" s="13"/>
    </row>
    <row r="41250">
      <c r="F41250" s="13"/>
      <c r="M41250" s="13"/>
    </row>
    <row r="41251">
      <c r="F41251" s="13"/>
      <c r="M41251" s="13"/>
    </row>
    <row r="41252">
      <c r="F41252" s="13"/>
      <c r="M41252" s="13"/>
    </row>
    <row r="41253">
      <c r="F41253" s="13"/>
      <c r="M41253" s="13"/>
    </row>
    <row r="41254">
      <c r="F41254" s="13"/>
      <c r="M41254" s="13"/>
    </row>
    <row r="41255">
      <c r="F41255" s="13"/>
      <c r="M41255" s="13"/>
    </row>
    <row r="41256">
      <c r="F41256" s="13"/>
      <c r="M41256" s="13"/>
    </row>
    <row r="41257">
      <c r="F41257" s="13"/>
      <c r="M41257" s="13"/>
    </row>
    <row r="41258">
      <c r="F41258" s="13"/>
      <c r="M41258" s="13"/>
    </row>
    <row r="41259">
      <c r="F41259" s="13"/>
      <c r="M41259" s="13"/>
    </row>
    <row r="41260">
      <c r="F41260" s="13"/>
      <c r="M41260" s="13"/>
    </row>
    <row r="41261">
      <c r="F41261" s="13"/>
      <c r="M41261" s="13"/>
    </row>
    <row r="41262">
      <c r="F41262" s="13"/>
      <c r="M41262" s="13"/>
    </row>
    <row r="41263">
      <c r="F41263" s="13"/>
      <c r="M41263" s="13"/>
    </row>
    <row r="41264">
      <c r="F41264" s="13"/>
      <c r="M41264" s="13"/>
    </row>
    <row r="41265">
      <c r="F41265" s="13"/>
      <c r="M41265" s="13"/>
    </row>
    <row r="41266">
      <c r="F41266" s="13"/>
      <c r="M41266" s="13"/>
    </row>
    <row r="41267">
      <c r="F41267" s="13"/>
      <c r="M41267" s="13"/>
    </row>
    <row r="41268">
      <c r="F41268" s="13"/>
      <c r="M41268" s="13"/>
    </row>
    <row r="41269">
      <c r="F41269" s="13"/>
      <c r="M41269" s="13"/>
    </row>
    <row r="41270">
      <c r="F41270" s="13"/>
      <c r="M41270" s="13"/>
    </row>
    <row r="41271">
      <c r="F41271" s="13"/>
      <c r="M41271" s="13"/>
    </row>
    <row r="41272">
      <c r="F41272" s="13"/>
      <c r="M41272" s="13"/>
    </row>
    <row r="41273">
      <c r="F41273" s="13"/>
      <c r="M41273" s="13"/>
    </row>
    <row r="41274">
      <c r="F41274" s="13"/>
      <c r="M41274" s="13"/>
    </row>
    <row r="41275">
      <c r="F41275" s="13"/>
      <c r="M41275" s="13"/>
    </row>
    <row r="41276">
      <c r="F41276" s="13"/>
      <c r="M41276" s="13"/>
    </row>
    <row r="41277">
      <c r="F41277" s="13"/>
      <c r="M41277" s="13"/>
    </row>
    <row r="41278">
      <c r="F41278" s="13"/>
      <c r="M41278" s="13"/>
    </row>
    <row r="41279">
      <c r="F41279" s="13"/>
      <c r="M41279" s="13"/>
    </row>
    <row r="41280">
      <c r="F41280" s="13"/>
      <c r="M41280" s="13"/>
    </row>
    <row r="41281">
      <c r="F41281" s="13"/>
      <c r="M41281" s="13"/>
    </row>
    <row r="41282">
      <c r="F41282" s="13"/>
      <c r="M41282" s="13"/>
    </row>
    <row r="41283">
      <c r="F41283" s="13"/>
      <c r="M41283" s="13"/>
    </row>
    <row r="41284">
      <c r="F41284" s="13"/>
      <c r="M41284" s="13"/>
    </row>
    <row r="41285">
      <c r="F41285" s="13"/>
      <c r="M41285" s="13"/>
    </row>
    <row r="41286">
      <c r="F41286" s="13"/>
      <c r="M41286" s="13"/>
    </row>
    <row r="41287">
      <c r="F41287" s="13"/>
      <c r="M41287" s="13"/>
    </row>
    <row r="41288">
      <c r="F41288" s="13"/>
      <c r="M41288" s="13"/>
    </row>
    <row r="41289">
      <c r="F41289" s="13"/>
      <c r="M41289" s="13"/>
    </row>
    <row r="41290">
      <c r="F41290" s="13"/>
      <c r="M41290" s="13"/>
    </row>
    <row r="41291">
      <c r="F41291" s="13"/>
      <c r="M41291" s="13"/>
    </row>
    <row r="41292">
      <c r="F41292" s="13"/>
      <c r="M41292" s="13"/>
    </row>
    <row r="41293">
      <c r="F41293" s="13"/>
      <c r="M41293" s="13"/>
    </row>
    <row r="41294">
      <c r="F41294" s="13"/>
      <c r="M41294" s="13"/>
    </row>
    <row r="41295">
      <c r="F41295" s="13"/>
      <c r="M41295" s="13"/>
    </row>
    <row r="41296">
      <c r="F41296" s="13"/>
      <c r="M41296" s="13"/>
    </row>
    <row r="41297">
      <c r="F41297" s="13"/>
      <c r="M41297" s="13"/>
    </row>
    <row r="41298">
      <c r="F41298" s="13"/>
      <c r="M41298" s="13"/>
    </row>
    <row r="41299">
      <c r="F41299" s="13"/>
      <c r="M41299" s="13"/>
    </row>
    <row r="41300">
      <c r="F41300" s="13"/>
      <c r="M41300" s="13"/>
    </row>
    <row r="41301">
      <c r="F41301" s="13"/>
      <c r="M41301" s="13"/>
    </row>
    <row r="41302">
      <c r="F41302" s="13"/>
      <c r="M41302" s="13"/>
    </row>
    <row r="41303">
      <c r="F41303" s="13"/>
      <c r="M41303" s="13"/>
    </row>
    <row r="41304">
      <c r="F41304" s="13"/>
      <c r="M41304" s="13"/>
    </row>
    <row r="41305">
      <c r="F41305" s="13"/>
      <c r="M41305" s="13"/>
    </row>
    <row r="41306">
      <c r="F41306" s="13"/>
      <c r="M41306" s="13"/>
    </row>
    <row r="41307">
      <c r="F41307" s="13"/>
      <c r="M41307" s="13"/>
    </row>
    <row r="41308">
      <c r="F41308" s="13"/>
      <c r="M41308" s="13"/>
    </row>
    <row r="41309">
      <c r="F41309" s="13"/>
      <c r="M41309" s="13"/>
    </row>
    <row r="41310">
      <c r="F41310" s="13"/>
      <c r="M41310" s="13"/>
    </row>
    <row r="41311">
      <c r="F41311" s="13"/>
      <c r="M41311" s="13"/>
    </row>
    <row r="41312">
      <c r="F41312" s="13"/>
      <c r="M41312" s="13"/>
    </row>
    <row r="41313">
      <c r="F41313" s="13"/>
      <c r="M41313" s="13"/>
    </row>
    <row r="41314">
      <c r="F41314" s="13"/>
      <c r="M41314" s="13"/>
    </row>
    <row r="41315">
      <c r="F41315" s="13"/>
      <c r="M41315" s="13"/>
    </row>
    <row r="41316">
      <c r="F41316" s="13"/>
      <c r="M41316" s="13"/>
    </row>
    <row r="41317">
      <c r="F41317" s="13"/>
      <c r="M41317" s="13"/>
    </row>
    <row r="41318">
      <c r="F41318" s="13"/>
      <c r="M41318" s="13"/>
    </row>
    <row r="41319">
      <c r="F41319" s="13"/>
      <c r="M41319" s="13"/>
    </row>
    <row r="41320">
      <c r="F41320" s="13"/>
      <c r="M41320" s="13"/>
    </row>
    <row r="41321">
      <c r="F41321" s="13"/>
      <c r="M41321" s="13"/>
    </row>
    <row r="41322">
      <c r="F41322" s="13"/>
      <c r="M41322" s="13"/>
    </row>
    <row r="41323">
      <c r="F41323" s="13"/>
      <c r="M41323" s="13"/>
    </row>
    <row r="41324">
      <c r="F41324" s="13"/>
      <c r="M41324" s="13"/>
    </row>
    <row r="41325">
      <c r="F41325" s="13"/>
      <c r="M41325" s="13"/>
    </row>
    <row r="41326">
      <c r="F41326" s="13"/>
      <c r="M41326" s="13"/>
    </row>
    <row r="41327">
      <c r="F41327" s="13"/>
      <c r="M41327" s="13"/>
    </row>
    <row r="41328">
      <c r="F41328" s="13"/>
      <c r="M41328" s="13"/>
    </row>
    <row r="41329">
      <c r="F41329" s="13"/>
      <c r="M41329" s="13"/>
    </row>
    <row r="41330">
      <c r="F41330" s="13"/>
      <c r="M41330" s="13"/>
    </row>
    <row r="41331">
      <c r="F41331" s="13"/>
      <c r="M41331" s="13"/>
    </row>
    <row r="41332">
      <c r="F41332" s="13"/>
      <c r="M41332" s="13"/>
    </row>
    <row r="41333">
      <c r="F41333" s="13"/>
      <c r="M41333" s="13"/>
    </row>
    <row r="41334">
      <c r="F41334" s="13"/>
      <c r="M41334" s="13"/>
    </row>
    <row r="41335">
      <c r="F41335" s="13"/>
      <c r="M41335" s="13"/>
    </row>
    <row r="41336">
      <c r="F41336" s="13"/>
      <c r="M41336" s="13"/>
    </row>
    <row r="41337">
      <c r="F41337" s="13"/>
      <c r="M41337" s="13"/>
    </row>
    <row r="41338">
      <c r="F41338" s="13"/>
      <c r="M41338" s="13"/>
    </row>
    <row r="41339">
      <c r="F41339" s="13"/>
      <c r="M41339" s="13"/>
    </row>
    <row r="41340">
      <c r="F41340" s="13"/>
      <c r="M41340" s="13"/>
    </row>
    <row r="41341">
      <c r="F41341" s="13"/>
      <c r="M41341" s="13"/>
    </row>
    <row r="41342">
      <c r="F41342" s="13"/>
      <c r="M41342" s="13"/>
    </row>
    <row r="41343">
      <c r="F41343" s="13"/>
      <c r="M41343" s="13"/>
    </row>
    <row r="41344">
      <c r="F41344" s="13"/>
      <c r="M41344" s="13"/>
    </row>
    <row r="41345">
      <c r="F41345" s="13"/>
      <c r="M41345" s="13"/>
    </row>
    <row r="41346">
      <c r="F41346" s="13"/>
      <c r="M41346" s="13"/>
    </row>
    <row r="41347">
      <c r="F41347" s="13"/>
      <c r="M41347" s="13"/>
    </row>
    <row r="41348">
      <c r="F41348" s="13"/>
      <c r="M41348" s="13"/>
    </row>
    <row r="41349">
      <c r="F41349" s="13"/>
      <c r="M41349" s="13"/>
    </row>
    <row r="41350">
      <c r="F41350" s="13"/>
      <c r="M41350" s="13"/>
    </row>
    <row r="41351">
      <c r="F41351" s="13"/>
      <c r="M41351" s="13"/>
    </row>
    <row r="41352">
      <c r="F41352" s="13"/>
      <c r="M41352" s="13"/>
    </row>
    <row r="41353">
      <c r="F41353" s="13"/>
      <c r="M41353" s="13"/>
    </row>
    <row r="41354">
      <c r="F41354" s="13"/>
      <c r="M41354" s="13"/>
    </row>
    <row r="41355">
      <c r="F41355" s="13"/>
      <c r="M41355" s="13"/>
    </row>
    <row r="41356">
      <c r="F41356" s="13"/>
      <c r="M41356" s="13"/>
    </row>
    <row r="41357">
      <c r="F41357" s="13"/>
      <c r="M41357" s="13"/>
    </row>
    <row r="41358">
      <c r="F41358" s="13"/>
      <c r="M41358" s="13"/>
    </row>
    <row r="41359">
      <c r="F41359" s="13"/>
      <c r="M41359" s="13"/>
    </row>
    <row r="41360">
      <c r="F41360" s="13"/>
      <c r="M41360" s="13"/>
    </row>
    <row r="41361">
      <c r="F41361" s="13"/>
      <c r="M41361" s="13"/>
    </row>
    <row r="41362">
      <c r="F41362" s="13"/>
      <c r="M41362" s="13"/>
    </row>
    <row r="41363">
      <c r="F41363" s="13"/>
      <c r="M41363" s="13"/>
    </row>
    <row r="41364">
      <c r="F41364" s="13"/>
      <c r="M41364" s="13"/>
    </row>
    <row r="41365">
      <c r="F41365" s="13"/>
      <c r="M41365" s="13"/>
    </row>
    <row r="41366">
      <c r="F41366" s="13"/>
      <c r="M41366" s="13"/>
    </row>
    <row r="41367">
      <c r="F41367" s="13"/>
      <c r="M41367" s="13"/>
    </row>
    <row r="41368">
      <c r="F41368" s="13"/>
      <c r="M41368" s="13"/>
    </row>
    <row r="41369">
      <c r="F41369" s="13"/>
      <c r="M41369" s="13"/>
    </row>
    <row r="41370">
      <c r="F41370" s="13"/>
      <c r="M41370" s="13"/>
    </row>
    <row r="41371">
      <c r="F41371" s="13"/>
      <c r="M41371" s="13"/>
    </row>
    <row r="41372">
      <c r="F41372" s="13"/>
      <c r="M41372" s="13"/>
    </row>
    <row r="41373">
      <c r="F41373" s="13"/>
      <c r="M41373" s="13"/>
    </row>
    <row r="41374">
      <c r="F41374" s="13"/>
      <c r="M41374" s="13"/>
    </row>
    <row r="41375">
      <c r="F41375" s="13"/>
      <c r="M41375" s="13"/>
    </row>
    <row r="41376">
      <c r="F41376" s="13"/>
      <c r="M41376" s="13"/>
    </row>
    <row r="41377">
      <c r="F41377" s="13"/>
      <c r="M41377" s="13"/>
    </row>
    <row r="41378">
      <c r="F41378" s="13"/>
      <c r="M41378" s="13"/>
    </row>
    <row r="41379">
      <c r="F41379" s="13"/>
      <c r="M41379" s="13"/>
    </row>
    <row r="41380">
      <c r="F41380" s="13"/>
      <c r="M41380" s="13"/>
    </row>
    <row r="41381">
      <c r="F41381" s="13"/>
      <c r="M41381" s="13"/>
    </row>
    <row r="41382">
      <c r="F41382" s="13"/>
      <c r="M41382" s="13"/>
    </row>
    <row r="41383">
      <c r="F41383" s="13"/>
      <c r="M41383" s="13"/>
    </row>
    <row r="41384">
      <c r="F41384" s="13"/>
      <c r="M41384" s="13"/>
    </row>
    <row r="41385">
      <c r="F41385" s="13"/>
      <c r="M41385" s="13"/>
    </row>
    <row r="41386">
      <c r="F41386" s="13"/>
      <c r="M41386" s="13"/>
    </row>
    <row r="41387">
      <c r="F41387" s="13"/>
      <c r="M41387" s="13"/>
    </row>
    <row r="41388">
      <c r="F41388" s="13"/>
      <c r="M41388" s="13"/>
    </row>
    <row r="41389">
      <c r="F41389" s="13"/>
      <c r="M41389" s="13"/>
    </row>
    <row r="41390">
      <c r="F41390" s="13"/>
      <c r="M41390" s="13"/>
    </row>
    <row r="41391">
      <c r="F41391" s="13"/>
      <c r="M41391" s="13"/>
    </row>
    <row r="41392">
      <c r="F41392" s="13"/>
      <c r="M41392" s="13"/>
    </row>
    <row r="41393">
      <c r="F41393" s="13"/>
      <c r="M41393" s="13"/>
    </row>
    <row r="41394">
      <c r="F41394" s="13"/>
      <c r="M41394" s="13"/>
    </row>
    <row r="41395">
      <c r="F41395" s="13"/>
      <c r="M41395" s="13"/>
    </row>
    <row r="41396">
      <c r="F41396" s="13"/>
      <c r="M41396" s="13"/>
    </row>
    <row r="41397">
      <c r="F41397" s="13"/>
      <c r="M41397" s="13"/>
    </row>
    <row r="41398">
      <c r="F41398" s="13"/>
      <c r="M41398" s="13"/>
    </row>
    <row r="41399">
      <c r="F41399" s="13"/>
      <c r="M41399" s="13"/>
    </row>
    <row r="41400">
      <c r="F41400" s="13"/>
      <c r="M41400" s="13"/>
    </row>
    <row r="41401">
      <c r="F41401" s="13"/>
      <c r="M41401" s="13"/>
    </row>
    <row r="41402">
      <c r="F41402" s="13"/>
      <c r="M41402" s="13"/>
    </row>
    <row r="41403">
      <c r="F41403" s="13"/>
      <c r="M41403" s="13"/>
    </row>
    <row r="41404">
      <c r="F41404" s="13"/>
      <c r="M41404" s="13"/>
    </row>
    <row r="41405">
      <c r="F41405" s="13"/>
      <c r="M41405" s="13"/>
    </row>
    <row r="41406">
      <c r="F41406" s="13"/>
      <c r="M41406" s="13"/>
    </row>
    <row r="41407">
      <c r="F41407" s="13"/>
      <c r="M41407" s="13"/>
    </row>
    <row r="41408">
      <c r="F41408" s="13"/>
      <c r="M41408" s="13"/>
    </row>
    <row r="41409">
      <c r="F41409" s="13"/>
      <c r="M41409" s="13"/>
    </row>
    <row r="41410">
      <c r="F41410" s="13"/>
      <c r="M41410" s="13"/>
    </row>
    <row r="41411">
      <c r="F41411" s="13"/>
      <c r="M41411" s="13"/>
    </row>
    <row r="41412">
      <c r="F41412" s="13"/>
      <c r="M41412" s="13"/>
    </row>
    <row r="41413">
      <c r="F41413" s="13"/>
      <c r="M41413" s="13"/>
    </row>
    <row r="41414">
      <c r="F41414" s="13"/>
      <c r="M41414" s="13"/>
    </row>
    <row r="41415">
      <c r="F41415" s="13"/>
      <c r="M41415" s="13"/>
    </row>
    <row r="41416">
      <c r="F41416" s="13"/>
      <c r="M41416" s="13"/>
    </row>
    <row r="41417">
      <c r="F41417" s="13"/>
      <c r="M41417" s="13"/>
    </row>
    <row r="41418">
      <c r="F41418" s="13"/>
      <c r="M41418" s="13"/>
    </row>
    <row r="41419">
      <c r="F41419" s="13"/>
      <c r="M41419" s="13"/>
    </row>
    <row r="41420">
      <c r="F41420" s="13"/>
      <c r="M41420" s="13"/>
    </row>
    <row r="41421">
      <c r="F41421" s="13"/>
      <c r="M41421" s="13"/>
    </row>
    <row r="41422">
      <c r="F41422" s="13"/>
      <c r="M41422" s="13"/>
    </row>
    <row r="41423">
      <c r="F41423" s="13"/>
      <c r="M41423" s="13"/>
    </row>
    <row r="41424">
      <c r="F41424" s="13"/>
      <c r="M41424" s="13"/>
    </row>
    <row r="41425">
      <c r="F41425" s="13"/>
      <c r="M41425" s="13"/>
    </row>
    <row r="41426">
      <c r="F41426" s="13"/>
      <c r="M41426" s="13"/>
    </row>
    <row r="41427">
      <c r="F41427" s="13"/>
      <c r="M41427" s="13"/>
    </row>
    <row r="41428">
      <c r="F41428" s="13"/>
      <c r="M41428" s="13"/>
    </row>
    <row r="41429">
      <c r="F41429" s="13"/>
      <c r="M41429" s="13"/>
    </row>
    <row r="41430">
      <c r="F41430" s="13"/>
      <c r="M41430" s="13"/>
    </row>
    <row r="41431">
      <c r="F41431" s="13"/>
      <c r="M41431" s="13"/>
    </row>
    <row r="41432">
      <c r="F41432" s="13"/>
      <c r="M41432" s="13"/>
    </row>
    <row r="41433">
      <c r="F41433" s="13"/>
      <c r="M41433" s="13"/>
    </row>
    <row r="41434">
      <c r="F41434" s="13"/>
      <c r="M41434" s="13"/>
    </row>
    <row r="41435">
      <c r="F41435" s="13"/>
      <c r="M41435" s="13"/>
    </row>
    <row r="41436">
      <c r="F41436" s="13"/>
      <c r="M41436" s="13"/>
    </row>
    <row r="41437">
      <c r="F41437" s="13"/>
      <c r="M41437" s="13"/>
    </row>
    <row r="41438">
      <c r="F41438" s="13"/>
      <c r="M41438" s="13"/>
    </row>
    <row r="41439">
      <c r="F41439" s="13"/>
      <c r="M41439" s="13"/>
    </row>
    <row r="41440">
      <c r="F41440" s="13"/>
      <c r="M41440" s="13"/>
    </row>
    <row r="41441">
      <c r="F41441" s="13"/>
      <c r="M41441" s="13"/>
    </row>
    <row r="41442">
      <c r="F41442" s="13"/>
      <c r="M41442" s="13"/>
    </row>
    <row r="41443">
      <c r="F41443" s="13"/>
      <c r="M41443" s="13"/>
    </row>
    <row r="41444">
      <c r="F41444" s="13"/>
      <c r="M41444" s="13"/>
    </row>
    <row r="41445">
      <c r="F41445" s="13"/>
      <c r="M41445" s="13"/>
    </row>
    <row r="41446">
      <c r="F41446" s="13"/>
      <c r="M41446" s="13"/>
    </row>
    <row r="41447">
      <c r="F41447" s="13"/>
      <c r="M41447" s="13"/>
    </row>
    <row r="41448">
      <c r="F41448" s="13"/>
      <c r="M41448" s="13"/>
    </row>
    <row r="41449">
      <c r="F41449" s="13"/>
      <c r="M41449" s="13"/>
    </row>
    <row r="41450">
      <c r="F41450" s="13"/>
      <c r="M41450" s="13"/>
    </row>
    <row r="41451">
      <c r="F41451" s="13"/>
      <c r="M41451" s="13"/>
    </row>
    <row r="41452">
      <c r="F41452" s="13"/>
      <c r="M41452" s="13"/>
    </row>
    <row r="41453">
      <c r="F41453" s="13"/>
      <c r="M41453" s="13"/>
    </row>
    <row r="41454">
      <c r="F41454" s="13"/>
      <c r="M41454" s="13"/>
    </row>
    <row r="41455">
      <c r="F41455" s="13"/>
      <c r="M41455" s="13"/>
    </row>
    <row r="41456">
      <c r="F41456" s="13"/>
      <c r="M41456" s="13"/>
    </row>
    <row r="41457">
      <c r="F41457" s="13"/>
      <c r="M41457" s="13"/>
    </row>
    <row r="41458">
      <c r="F41458" s="13"/>
      <c r="M41458" s="13"/>
    </row>
    <row r="41459">
      <c r="F41459" s="13"/>
      <c r="M41459" s="13"/>
    </row>
    <row r="41460">
      <c r="F41460" s="13"/>
      <c r="M41460" s="13"/>
    </row>
    <row r="41461">
      <c r="F41461" s="13"/>
      <c r="M41461" s="13"/>
    </row>
    <row r="41462">
      <c r="F41462" s="13"/>
      <c r="M41462" s="13"/>
    </row>
    <row r="41463">
      <c r="F41463" s="13"/>
      <c r="M41463" s="13"/>
    </row>
    <row r="41464">
      <c r="F41464" s="13"/>
      <c r="M41464" s="13"/>
    </row>
    <row r="41465">
      <c r="F41465" s="13"/>
      <c r="M41465" s="13"/>
    </row>
    <row r="41466">
      <c r="F41466" s="13"/>
      <c r="M41466" s="13"/>
    </row>
    <row r="41467">
      <c r="F41467" s="13"/>
      <c r="M41467" s="13"/>
    </row>
    <row r="41468">
      <c r="F41468" s="13"/>
      <c r="M41468" s="13"/>
    </row>
    <row r="41469">
      <c r="F41469" s="13"/>
      <c r="M41469" s="13"/>
    </row>
    <row r="41470">
      <c r="F41470" s="13"/>
      <c r="M41470" s="13"/>
    </row>
    <row r="41471">
      <c r="F41471" s="13"/>
      <c r="M41471" s="13"/>
    </row>
    <row r="41472">
      <c r="F41472" s="13"/>
      <c r="M41472" s="13"/>
    </row>
    <row r="41473">
      <c r="F41473" s="13"/>
      <c r="M41473" s="13"/>
    </row>
    <row r="41474">
      <c r="F41474" s="13"/>
      <c r="M41474" s="13"/>
    </row>
    <row r="41475">
      <c r="F41475" s="13"/>
      <c r="M41475" s="13"/>
    </row>
    <row r="41476">
      <c r="F41476" s="13"/>
      <c r="M41476" s="13"/>
    </row>
    <row r="41477">
      <c r="F41477" s="13"/>
      <c r="M41477" s="13"/>
    </row>
    <row r="41478">
      <c r="F41478" s="13"/>
      <c r="M41478" s="13"/>
    </row>
    <row r="41479">
      <c r="F41479" s="13"/>
      <c r="M41479" s="13"/>
    </row>
    <row r="41480">
      <c r="F41480" s="13"/>
      <c r="M41480" s="13"/>
    </row>
    <row r="41481">
      <c r="F41481" s="13"/>
      <c r="M41481" s="13"/>
    </row>
    <row r="41482">
      <c r="F41482" s="13"/>
      <c r="M41482" s="13"/>
    </row>
    <row r="41483">
      <c r="F41483" s="13"/>
      <c r="M41483" s="13"/>
    </row>
    <row r="41484">
      <c r="F41484" s="13"/>
      <c r="M41484" s="13"/>
    </row>
    <row r="41485">
      <c r="F41485" s="13"/>
      <c r="M41485" s="13"/>
    </row>
    <row r="41486">
      <c r="F41486" s="13"/>
      <c r="M41486" s="13"/>
    </row>
    <row r="41487">
      <c r="F41487" s="13"/>
      <c r="M41487" s="13"/>
    </row>
    <row r="41488">
      <c r="F41488" s="13"/>
      <c r="M41488" s="13"/>
    </row>
    <row r="41489">
      <c r="F41489" s="13"/>
      <c r="M41489" s="13"/>
    </row>
    <row r="41490">
      <c r="F41490" s="13"/>
      <c r="M41490" s="13"/>
    </row>
    <row r="41491">
      <c r="F41491" s="13"/>
      <c r="M41491" s="13"/>
    </row>
    <row r="41492">
      <c r="F41492" s="13"/>
      <c r="M41492" s="13"/>
    </row>
    <row r="41493">
      <c r="F41493" s="13"/>
      <c r="M41493" s="13"/>
    </row>
    <row r="41494">
      <c r="F41494" s="13"/>
      <c r="M41494" s="13"/>
    </row>
    <row r="41495">
      <c r="F41495" s="13"/>
      <c r="M41495" s="13"/>
    </row>
    <row r="41496">
      <c r="F41496" s="13"/>
      <c r="M41496" s="13"/>
    </row>
    <row r="41497">
      <c r="F41497" s="13"/>
      <c r="M41497" s="13"/>
    </row>
    <row r="41498">
      <c r="F41498" s="13"/>
      <c r="M41498" s="13"/>
    </row>
    <row r="41499">
      <c r="F41499" s="13"/>
      <c r="M41499" s="13"/>
    </row>
    <row r="41500">
      <c r="F41500" s="13"/>
      <c r="M41500" s="13"/>
    </row>
    <row r="41501">
      <c r="F41501" s="13"/>
      <c r="M41501" s="13"/>
    </row>
    <row r="41502">
      <c r="F41502" s="13"/>
      <c r="M41502" s="13"/>
    </row>
    <row r="41503">
      <c r="F41503" s="13"/>
      <c r="M41503" s="13"/>
    </row>
    <row r="41504">
      <c r="F41504" s="13"/>
      <c r="M41504" s="13"/>
    </row>
    <row r="41505">
      <c r="F41505" s="13"/>
      <c r="M41505" s="13"/>
    </row>
    <row r="41506">
      <c r="F41506" s="13"/>
      <c r="M41506" s="13"/>
    </row>
    <row r="41507">
      <c r="F41507" s="13"/>
      <c r="M41507" s="13"/>
    </row>
    <row r="41508">
      <c r="F41508" s="13"/>
      <c r="M41508" s="13"/>
    </row>
    <row r="41509">
      <c r="F41509" s="13"/>
      <c r="M41509" s="13"/>
    </row>
    <row r="41510">
      <c r="F41510" s="13"/>
      <c r="M41510" s="13"/>
    </row>
    <row r="41511">
      <c r="F41511" s="13"/>
      <c r="M41511" s="13"/>
    </row>
    <row r="41512">
      <c r="F41512" s="13"/>
      <c r="M41512" s="13"/>
    </row>
    <row r="41513">
      <c r="F41513" s="13"/>
      <c r="M41513" s="13"/>
    </row>
    <row r="41514">
      <c r="F41514" s="13"/>
      <c r="M41514" s="13"/>
    </row>
    <row r="41515">
      <c r="F41515" s="13"/>
      <c r="M41515" s="13"/>
    </row>
    <row r="41516">
      <c r="F41516" s="13"/>
      <c r="M41516" s="13"/>
    </row>
    <row r="41517">
      <c r="F41517" s="13"/>
      <c r="M41517" s="13"/>
    </row>
    <row r="41518">
      <c r="F41518" s="13"/>
      <c r="M41518" s="13"/>
    </row>
    <row r="41519">
      <c r="F41519" s="13"/>
      <c r="M41519" s="13"/>
    </row>
    <row r="41520">
      <c r="F41520" s="13"/>
      <c r="M41520" s="13"/>
    </row>
    <row r="41521">
      <c r="F41521" s="13"/>
      <c r="M41521" s="13"/>
    </row>
    <row r="41522">
      <c r="F41522" s="13"/>
      <c r="M41522" s="13"/>
    </row>
    <row r="41523">
      <c r="F41523" s="13"/>
      <c r="M41523" s="13"/>
    </row>
    <row r="41524">
      <c r="F41524" s="13"/>
      <c r="M41524" s="13"/>
    </row>
    <row r="41525">
      <c r="F41525" s="13"/>
      <c r="M41525" s="13"/>
    </row>
    <row r="41526">
      <c r="F41526" s="13"/>
      <c r="M41526" s="13"/>
    </row>
    <row r="41527">
      <c r="F41527" s="13"/>
      <c r="M41527" s="13"/>
    </row>
    <row r="41528">
      <c r="F41528" s="13"/>
      <c r="M41528" s="13"/>
    </row>
    <row r="41529">
      <c r="F41529" s="13"/>
      <c r="M41529" s="13"/>
    </row>
    <row r="41530">
      <c r="F41530" s="13"/>
      <c r="M41530" s="13"/>
    </row>
    <row r="41531">
      <c r="F41531" s="13"/>
      <c r="M41531" s="13"/>
    </row>
    <row r="41532">
      <c r="F41532" s="13"/>
      <c r="M41532" s="13"/>
    </row>
    <row r="41533">
      <c r="F41533" s="13"/>
      <c r="M41533" s="13"/>
    </row>
    <row r="41534">
      <c r="F41534" s="13"/>
      <c r="M41534" s="13"/>
    </row>
    <row r="41535">
      <c r="F41535" s="13"/>
      <c r="M41535" s="13"/>
    </row>
    <row r="41536">
      <c r="F41536" s="13"/>
      <c r="M41536" s="13"/>
    </row>
    <row r="41537">
      <c r="F41537" s="13"/>
      <c r="M41537" s="13"/>
    </row>
    <row r="41538">
      <c r="F41538" s="13"/>
      <c r="M41538" s="13"/>
    </row>
    <row r="41539">
      <c r="F41539" s="13"/>
      <c r="M41539" s="13"/>
    </row>
    <row r="41540">
      <c r="F41540" s="13"/>
      <c r="M41540" s="13"/>
    </row>
    <row r="41541">
      <c r="F41541" s="13"/>
      <c r="M41541" s="13"/>
    </row>
    <row r="41542">
      <c r="F41542" s="13"/>
      <c r="M41542" s="13"/>
    </row>
    <row r="41543">
      <c r="F41543" s="13"/>
      <c r="M41543" s="13"/>
    </row>
    <row r="41544">
      <c r="F41544" s="13"/>
      <c r="M41544" s="13"/>
    </row>
    <row r="41545">
      <c r="F41545" s="13"/>
      <c r="M41545" s="13"/>
    </row>
    <row r="41546">
      <c r="F41546" s="13"/>
      <c r="M41546" s="13"/>
    </row>
    <row r="41547">
      <c r="F41547" s="13"/>
      <c r="M41547" s="13"/>
    </row>
    <row r="41548">
      <c r="F41548" s="13"/>
      <c r="M41548" s="13"/>
    </row>
    <row r="41549">
      <c r="F41549" s="13"/>
      <c r="M41549" s="13"/>
    </row>
    <row r="41550">
      <c r="F41550" s="13"/>
      <c r="M41550" s="13"/>
    </row>
    <row r="41551">
      <c r="F41551" s="13"/>
      <c r="M41551" s="13"/>
    </row>
    <row r="41552">
      <c r="F41552" s="13"/>
      <c r="M41552" s="13"/>
    </row>
    <row r="41553">
      <c r="F41553" s="13"/>
      <c r="M41553" s="13"/>
    </row>
    <row r="41554">
      <c r="F41554" s="13"/>
      <c r="M41554" s="13"/>
    </row>
    <row r="41555">
      <c r="F41555" s="13"/>
      <c r="M41555" s="13"/>
    </row>
    <row r="41556">
      <c r="F41556" s="13"/>
      <c r="M41556" s="13"/>
    </row>
    <row r="41557">
      <c r="F41557" s="13"/>
      <c r="M41557" s="13"/>
    </row>
    <row r="41558">
      <c r="F41558" s="13"/>
      <c r="M41558" s="13"/>
    </row>
    <row r="41559">
      <c r="F41559" s="13"/>
      <c r="M41559" s="13"/>
    </row>
    <row r="41560">
      <c r="F41560" s="13"/>
      <c r="M41560" s="13"/>
    </row>
    <row r="41561">
      <c r="F41561" s="13"/>
      <c r="M41561" s="13"/>
    </row>
    <row r="41562">
      <c r="F41562" s="13"/>
      <c r="M41562" s="13"/>
    </row>
    <row r="41563">
      <c r="F41563" s="13"/>
      <c r="M41563" s="13"/>
    </row>
    <row r="41564">
      <c r="F41564" s="13"/>
      <c r="M41564" s="13"/>
    </row>
    <row r="41565">
      <c r="F41565" s="13"/>
      <c r="M41565" s="13"/>
    </row>
    <row r="41566">
      <c r="F41566" s="13"/>
      <c r="M41566" s="13"/>
    </row>
    <row r="41567">
      <c r="F41567" s="13"/>
      <c r="M41567" s="13"/>
    </row>
    <row r="41568">
      <c r="F41568" s="13"/>
      <c r="M41568" s="13"/>
    </row>
    <row r="41569">
      <c r="F41569" s="13"/>
      <c r="M41569" s="13"/>
    </row>
    <row r="41570">
      <c r="F41570" s="13"/>
      <c r="M41570" s="13"/>
    </row>
    <row r="41571">
      <c r="F41571" s="13"/>
      <c r="M41571" s="13"/>
    </row>
    <row r="41572">
      <c r="F41572" s="13"/>
      <c r="M41572" s="13"/>
    </row>
    <row r="41573">
      <c r="F41573" s="13"/>
      <c r="M41573" s="13"/>
    </row>
    <row r="41574">
      <c r="F41574" s="13"/>
      <c r="M41574" s="13"/>
    </row>
    <row r="41575">
      <c r="F41575" s="13"/>
      <c r="M41575" s="13"/>
    </row>
    <row r="41576">
      <c r="F41576" s="13"/>
      <c r="M41576" s="13"/>
    </row>
    <row r="41577">
      <c r="F41577" s="13"/>
      <c r="M41577" s="13"/>
    </row>
    <row r="41578">
      <c r="F41578" s="13"/>
      <c r="M41578" s="13"/>
    </row>
    <row r="41579">
      <c r="F41579" s="13"/>
      <c r="M41579" s="13"/>
    </row>
    <row r="41580">
      <c r="F41580" s="13"/>
      <c r="M41580" s="13"/>
    </row>
    <row r="41581">
      <c r="F41581" s="13"/>
      <c r="M41581" s="13"/>
    </row>
    <row r="41582">
      <c r="F41582" s="13"/>
      <c r="M41582" s="13"/>
    </row>
    <row r="41583">
      <c r="F41583" s="13"/>
      <c r="M41583" s="13"/>
    </row>
    <row r="41584">
      <c r="F41584" s="13"/>
      <c r="M41584" s="13"/>
    </row>
    <row r="41585">
      <c r="F41585" s="13"/>
      <c r="M41585" s="13"/>
    </row>
    <row r="41586">
      <c r="F41586" s="13"/>
      <c r="M41586" s="13"/>
    </row>
    <row r="41587">
      <c r="F41587" s="13"/>
      <c r="M41587" s="13"/>
    </row>
    <row r="41588">
      <c r="F41588" s="13"/>
      <c r="M41588" s="13"/>
    </row>
    <row r="41589">
      <c r="F41589" s="13"/>
      <c r="M41589" s="13"/>
    </row>
    <row r="41590">
      <c r="F41590" s="13"/>
      <c r="M41590" s="13"/>
    </row>
    <row r="41591">
      <c r="F41591" s="13"/>
      <c r="M41591" s="13"/>
    </row>
    <row r="41592">
      <c r="F41592" s="13"/>
      <c r="M41592" s="13"/>
    </row>
    <row r="41593">
      <c r="F41593" s="13"/>
      <c r="M41593" s="13"/>
    </row>
    <row r="41594">
      <c r="F41594" s="13"/>
      <c r="M41594" s="13"/>
    </row>
    <row r="41595">
      <c r="F41595" s="13"/>
      <c r="M41595" s="13"/>
    </row>
    <row r="41596">
      <c r="F41596" s="13"/>
      <c r="M41596" s="13"/>
    </row>
    <row r="41597">
      <c r="F41597" s="13"/>
      <c r="M41597" s="13"/>
    </row>
    <row r="41598">
      <c r="F41598" s="13"/>
      <c r="M41598" s="13"/>
    </row>
    <row r="41599">
      <c r="F41599" s="13"/>
      <c r="M41599" s="13"/>
    </row>
    <row r="41600">
      <c r="F41600" s="13"/>
      <c r="M41600" s="13"/>
    </row>
    <row r="41601">
      <c r="F41601" s="13"/>
      <c r="M41601" s="13"/>
    </row>
    <row r="41602">
      <c r="F41602" s="13"/>
      <c r="M41602" s="13"/>
    </row>
    <row r="41603">
      <c r="F41603" s="13"/>
      <c r="M41603" s="13"/>
    </row>
    <row r="41604">
      <c r="F41604" s="13"/>
      <c r="M41604" s="13"/>
    </row>
    <row r="41605">
      <c r="F41605" s="13"/>
      <c r="M41605" s="13"/>
    </row>
    <row r="41606">
      <c r="F41606" s="13"/>
      <c r="M41606" s="13"/>
    </row>
    <row r="41607">
      <c r="F41607" s="13"/>
      <c r="M41607" s="13"/>
    </row>
    <row r="41608">
      <c r="F41608" s="13"/>
      <c r="M41608" s="13"/>
    </row>
    <row r="41609">
      <c r="F41609" s="13"/>
      <c r="M41609" s="13"/>
    </row>
    <row r="41610">
      <c r="F41610" s="13"/>
      <c r="M41610" s="13"/>
    </row>
    <row r="41611">
      <c r="F41611" s="13"/>
      <c r="M41611" s="13"/>
    </row>
    <row r="41612">
      <c r="F41612" s="13"/>
      <c r="M41612" s="13"/>
    </row>
    <row r="41613">
      <c r="F41613" s="13"/>
      <c r="M41613" s="13"/>
    </row>
    <row r="41614">
      <c r="F41614" s="13"/>
      <c r="M41614" s="13"/>
    </row>
    <row r="41615">
      <c r="F41615" s="13"/>
      <c r="M41615" s="13"/>
    </row>
    <row r="41616">
      <c r="F41616" s="13"/>
      <c r="M41616" s="13"/>
    </row>
    <row r="41617">
      <c r="F41617" s="13"/>
      <c r="M41617" s="13"/>
    </row>
    <row r="41618">
      <c r="F41618" s="13"/>
      <c r="M41618" s="13"/>
    </row>
    <row r="41619">
      <c r="F41619" s="13"/>
      <c r="M41619" s="13"/>
    </row>
    <row r="41620">
      <c r="F41620" s="13"/>
      <c r="M41620" s="13"/>
    </row>
    <row r="41621">
      <c r="F41621" s="13"/>
      <c r="M41621" s="13"/>
    </row>
    <row r="41622">
      <c r="F41622" s="13"/>
      <c r="M41622" s="13"/>
    </row>
    <row r="41623">
      <c r="F41623" s="13"/>
      <c r="M41623" s="13"/>
    </row>
    <row r="41624">
      <c r="F41624" s="13"/>
      <c r="M41624" s="13"/>
    </row>
    <row r="41625">
      <c r="F41625" s="13"/>
      <c r="M41625" s="13"/>
    </row>
    <row r="41626">
      <c r="F41626" s="13"/>
      <c r="M41626" s="13"/>
    </row>
    <row r="41627">
      <c r="F41627" s="13"/>
      <c r="M41627" s="13"/>
    </row>
    <row r="41628">
      <c r="F41628" s="13"/>
      <c r="M41628" s="13"/>
    </row>
    <row r="41629">
      <c r="F41629" s="13"/>
      <c r="M41629" s="13"/>
    </row>
    <row r="41630">
      <c r="F41630" s="13"/>
      <c r="M41630" s="13"/>
    </row>
    <row r="41631">
      <c r="F41631" s="13"/>
      <c r="M41631" s="13"/>
    </row>
    <row r="41632">
      <c r="F41632" s="13"/>
      <c r="M41632" s="13"/>
    </row>
    <row r="41633">
      <c r="F41633" s="13"/>
      <c r="M41633" s="13"/>
    </row>
    <row r="41634">
      <c r="F41634" s="13"/>
      <c r="M41634" s="13"/>
    </row>
    <row r="41635">
      <c r="F41635" s="13"/>
      <c r="M41635" s="13"/>
    </row>
    <row r="41636">
      <c r="F41636" s="13"/>
      <c r="M41636" s="13"/>
    </row>
    <row r="41637">
      <c r="F41637" s="13"/>
      <c r="M41637" s="13"/>
    </row>
    <row r="41638">
      <c r="F41638" s="13"/>
      <c r="M41638" s="13"/>
    </row>
    <row r="41639">
      <c r="F41639" s="13"/>
      <c r="M41639" s="13"/>
    </row>
    <row r="41640">
      <c r="F41640" s="13"/>
      <c r="M41640" s="13"/>
    </row>
    <row r="41641">
      <c r="F41641" s="13"/>
      <c r="M41641" s="13"/>
    </row>
    <row r="41642">
      <c r="F41642" s="13"/>
      <c r="M41642" s="13"/>
    </row>
    <row r="41643">
      <c r="F41643" s="13"/>
      <c r="M41643" s="13"/>
    </row>
    <row r="41644">
      <c r="F41644" s="13"/>
      <c r="M41644" s="13"/>
    </row>
    <row r="41645">
      <c r="F41645" s="13"/>
      <c r="M41645" s="13"/>
    </row>
    <row r="41646">
      <c r="F41646" s="13"/>
      <c r="M41646" s="13"/>
    </row>
    <row r="41647">
      <c r="F41647" s="13"/>
      <c r="M41647" s="13"/>
    </row>
    <row r="41648">
      <c r="F41648" s="13"/>
      <c r="M41648" s="13"/>
    </row>
    <row r="41649">
      <c r="F41649" s="13"/>
      <c r="M41649" s="13"/>
    </row>
    <row r="41650">
      <c r="F41650" s="13"/>
      <c r="M41650" s="13"/>
    </row>
    <row r="41651">
      <c r="F41651" s="13"/>
      <c r="M41651" s="13"/>
    </row>
    <row r="41652">
      <c r="F41652" s="13"/>
      <c r="M41652" s="13"/>
    </row>
    <row r="41653">
      <c r="F41653" s="13"/>
      <c r="M41653" s="13"/>
    </row>
    <row r="41654">
      <c r="F41654" s="13"/>
      <c r="M41654" s="13"/>
    </row>
    <row r="41655">
      <c r="F41655" s="13"/>
      <c r="M41655" s="13"/>
    </row>
    <row r="41656">
      <c r="F41656" s="13"/>
      <c r="M41656" s="13"/>
    </row>
    <row r="41657">
      <c r="F41657" s="13"/>
      <c r="M41657" s="13"/>
    </row>
    <row r="41658">
      <c r="F41658" s="13"/>
      <c r="M41658" s="13"/>
    </row>
    <row r="41659">
      <c r="F41659" s="13"/>
      <c r="M41659" s="13"/>
    </row>
    <row r="41660">
      <c r="F41660" s="13"/>
      <c r="M41660" s="13"/>
    </row>
    <row r="41661">
      <c r="F41661" s="13"/>
      <c r="M41661" s="13"/>
    </row>
    <row r="41662">
      <c r="F41662" s="13"/>
      <c r="M41662" s="13"/>
    </row>
    <row r="41663">
      <c r="F41663" s="13"/>
      <c r="M41663" s="13"/>
    </row>
    <row r="41664">
      <c r="F41664" s="13"/>
      <c r="M41664" s="13"/>
    </row>
    <row r="41665">
      <c r="F41665" s="13"/>
      <c r="M41665" s="13"/>
    </row>
    <row r="41666">
      <c r="F41666" s="13"/>
      <c r="M41666" s="13"/>
    </row>
    <row r="41667">
      <c r="F41667" s="13"/>
      <c r="M41667" s="13"/>
    </row>
    <row r="41668">
      <c r="F41668" s="13"/>
      <c r="M41668" s="13"/>
    </row>
    <row r="41669">
      <c r="F41669" s="13"/>
      <c r="M41669" s="13"/>
    </row>
    <row r="41670">
      <c r="F41670" s="13"/>
      <c r="M41670" s="13"/>
    </row>
    <row r="41671">
      <c r="F41671" s="13"/>
      <c r="M41671" s="13"/>
    </row>
    <row r="41672">
      <c r="F41672" s="13"/>
      <c r="M41672" s="13"/>
    </row>
    <row r="41673">
      <c r="F41673" s="13"/>
      <c r="M41673" s="13"/>
    </row>
    <row r="41674">
      <c r="F41674" s="13"/>
      <c r="M41674" s="13"/>
    </row>
    <row r="41675">
      <c r="F41675" s="13"/>
      <c r="M41675" s="13"/>
    </row>
    <row r="41676">
      <c r="F41676" s="13"/>
      <c r="M41676" s="13"/>
    </row>
    <row r="41677">
      <c r="F41677" s="13"/>
      <c r="M41677" s="13"/>
    </row>
    <row r="41678">
      <c r="F41678" s="13"/>
      <c r="M41678" s="13"/>
    </row>
    <row r="41679">
      <c r="F41679" s="13"/>
      <c r="M41679" s="13"/>
    </row>
    <row r="41680">
      <c r="F41680" s="13"/>
      <c r="M41680" s="13"/>
    </row>
    <row r="41681">
      <c r="F41681" s="13"/>
      <c r="M41681" s="13"/>
    </row>
    <row r="41682">
      <c r="F41682" s="13"/>
      <c r="M41682" s="13"/>
    </row>
    <row r="41683">
      <c r="F41683" s="13"/>
      <c r="M41683" s="13"/>
    </row>
    <row r="41684">
      <c r="F41684" s="13"/>
      <c r="M41684" s="13"/>
    </row>
    <row r="41685">
      <c r="F41685" s="13"/>
      <c r="M41685" s="13"/>
    </row>
    <row r="41686">
      <c r="F41686" s="13"/>
      <c r="M41686" s="13"/>
    </row>
    <row r="41687">
      <c r="F41687" s="13"/>
      <c r="M41687" s="13"/>
    </row>
    <row r="41688">
      <c r="F41688" s="13"/>
      <c r="M41688" s="13"/>
    </row>
    <row r="41689">
      <c r="F41689" s="13"/>
      <c r="M41689" s="13"/>
    </row>
    <row r="41690">
      <c r="F41690" s="13"/>
      <c r="M41690" s="13"/>
    </row>
    <row r="41691">
      <c r="F41691" s="13"/>
      <c r="M41691" s="13"/>
    </row>
    <row r="41692">
      <c r="F41692" s="13"/>
      <c r="M41692" s="13"/>
    </row>
    <row r="41693">
      <c r="F41693" s="13"/>
      <c r="M41693" s="13"/>
    </row>
    <row r="41694">
      <c r="F41694" s="13"/>
      <c r="M41694" s="13"/>
    </row>
    <row r="41695">
      <c r="F41695" s="13"/>
      <c r="M41695" s="13"/>
    </row>
    <row r="41696">
      <c r="F41696" s="13"/>
      <c r="M41696" s="13"/>
    </row>
    <row r="41697">
      <c r="F41697" s="13"/>
      <c r="M41697" s="13"/>
    </row>
    <row r="41698">
      <c r="F41698" s="13"/>
      <c r="M41698" s="13"/>
    </row>
    <row r="41699">
      <c r="F41699" s="13"/>
      <c r="M41699" s="13"/>
    </row>
    <row r="41700">
      <c r="F41700" s="13"/>
      <c r="M41700" s="13"/>
    </row>
    <row r="41701">
      <c r="F41701" s="13"/>
      <c r="M41701" s="13"/>
    </row>
    <row r="41702">
      <c r="F41702" s="13"/>
      <c r="M41702" s="13"/>
    </row>
    <row r="41703">
      <c r="F41703" s="13"/>
      <c r="M41703" s="13"/>
    </row>
    <row r="41704">
      <c r="F41704" s="13"/>
      <c r="M41704" s="13"/>
    </row>
    <row r="41705">
      <c r="F41705" s="13"/>
      <c r="M41705" s="13"/>
    </row>
    <row r="41706">
      <c r="F41706" s="13"/>
      <c r="M41706" s="13"/>
    </row>
    <row r="41707">
      <c r="F41707" s="13"/>
      <c r="M41707" s="13"/>
    </row>
    <row r="41708">
      <c r="F41708" s="13"/>
      <c r="M41708" s="13"/>
    </row>
    <row r="41709">
      <c r="F41709" s="13"/>
      <c r="M41709" s="13"/>
    </row>
    <row r="41710">
      <c r="F41710" s="13"/>
      <c r="M41710" s="13"/>
    </row>
    <row r="41711">
      <c r="F41711" s="13"/>
      <c r="M41711" s="13"/>
    </row>
    <row r="41712">
      <c r="F41712" s="13"/>
      <c r="M41712" s="13"/>
    </row>
    <row r="41713">
      <c r="F41713" s="13"/>
      <c r="M41713" s="13"/>
    </row>
    <row r="41714">
      <c r="F41714" s="13"/>
      <c r="M41714" s="13"/>
    </row>
    <row r="41715">
      <c r="F41715" s="13"/>
      <c r="M41715" s="13"/>
    </row>
    <row r="41716">
      <c r="F41716" s="13"/>
      <c r="M41716" s="13"/>
    </row>
    <row r="41717">
      <c r="F41717" s="13"/>
      <c r="M41717" s="13"/>
    </row>
    <row r="41718">
      <c r="F41718" s="13"/>
      <c r="M41718" s="13"/>
    </row>
    <row r="41719">
      <c r="F41719" s="13"/>
      <c r="M41719" s="13"/>
    </row>
    <row r="41720">
      <c r="F41720" s="13"/>
      <c r="M41720" s="13"/>
    </row>
    <row r="41721">
      <c r="F41721" s="13"/>
      <c r="M41721" s="13"/>
    </row>
    <row r="41722">
      <c r="F41722" s="13"/>
      <c r="M41722" s="13"/>
    </row>
    <row r="41723">
      <c r="F41723" s="13"/>
      <c r="M41723" s="13"/>
    </row>
    <row r="41724">
      <c r="F41724" s="13"/>
      <c r="M41724" s="13"/>
    </row>
    <row r="41725">
      <c r="F41725" s="13"/>
      <c r="M41725" s="13"/>
    </row>
    <row r="41726">
      <c r="F41726" s="13"/>
      <c r="M41726" s="13"/>
    </row>
    <row r="41727">
      <c r="F41727" s="13"/>
      <c r="M41727" s="13"/>
    </row>
    <row r="41728">
      <c r="F41728" s="13"/>
      <c r="M41728" s="13"/>
    </row>
    <row r="41729">
      <c r="F41729" s="13"/>
      <c r="M41729" s="13"/>
    </row>
    <row r="41730">
      <c r="F41730" s="13"/>
      <c r="M41730" s="13"/>
    </row>
    <row r="41731">
      <c r="F41731" s="13"/>
      <c r="M41731" s="13"/>
    </row>
    <row r="41732">
      <c r="F41732" s="13"/>
      <c r="M41732" s="13"/>
    </row>
    <row r="41733">
      <c r="F41733" s="13"/>
      <c r="M41733" s="13"/>
    </row>
    <row r="41734">
      <c r="F41734" s="13"/>
      <c r="M41734" s="13"/>
    </row>
    <row r="41735">
      <c r="F41735" s="13"/>
      <c r="M41735" s="13"/>
    </row>
    <row r="41736">
      <c r="F41736" s="13"/>
      <c r="M41736" s="13"/>
    </row>
    <row r="41737">
      <c r="F41737" s="13"/>
      <c r="M41737" s="13"/>
    </row>
    <row r="41738">
      <c r="F41738" s="13"/>
      <c r="M41738" s="13"/>
    </row>
    <row r="41739">
      <c r="F41739" s="13"/>
      <c r="M41739" s="13"/>
    </row>
    <row r="41740">
      <c r="F41740" s="13"/>
      <c r="M41740" s="13"/>
    </row>
    <row r="41741">
      <c r="F41741" s="13"/>
      <c r="M41741" s="13"/>
    </row>
    <row r="41742">
      <c r="F41742" s="13"/>
      <c r="M41742" s="13"/>
    </row>
    <row r="41743">
      <c r="F41743" s="13"/>
      <c r="M41743" s="13"/>
    </row>
    <row r="41744">
      <c r="F41744" s="13"/>
      <c r="M41744" s="13"/>
    </row>
    <row r="41745">
      <c r="F41745" s="13"/>
      <c r="M41745" s="13"/>
    </row>
    <row r="41746">
      <c r="F41746" s="13"/>
      <c r="M41746" s="13"/>
    </row>
    <row r="41747">
      <c r="F41747" s="13"/>
      <c r="M41747" s="13"/>
    </row>
    <row r="41748">
      <c r="F41748" s="13"/>
      <c r="M41748" s="13"/>
    </row>
    <row r="41749">
      <c r="F41749" s="13"/>
      <c r="M41749" s="13"/>
    </row>
    <row r="41750">
      <c r="F41750" s="13"/>
      <c r="M41750" s="13"/>
    </row>
    <row r="41751">
      <c r="F41751" s="13"/>
      <c r="M41751" s="13"/>
    </row>
    <row r="41752">
      <c r="F41752" s="13"/>
      <c r="M41752" s="13"/>
    </row>
    <row r="41753">
      <c r="F41753" s="13"/>
      <c r="M41753" s="13"/>
    </row>
    <row r="41754">
      <c r="F41754" s="13"/>
      <c r="M41754" s="13"/>
    </row>
    <row r="41755">
      <c r="F41755" s="13"/>
      <c r="M41755" s="13"/>
    </row>
    <row r="41756">
      <c r="F41756" s="13"/>
      <c r="M41756" s="13"/>
    </row>
    <row r="41757">
      <c r="F41757" s="13"/>
      <c r="M41757" s="13"/>
    </row>
    <row r="41758">
      <c r="F41758" s="13"/>
      <c r="M41758" s="13"/>
    </row>
    <row r="41759">
      <c r="F41759" s="13"/>
      <c r="M41759" s="13"/>
    </row>
    <row r="41760">
      <c r="F41760" s="13"/>
      <c r="M41760" s="13"/>
    </row>
    <row r="41761">
      <c r="F41761" s="13"/>
      <c r="M41761" s="13"/>
    </row>
    <row r="41762">
      <c r="F41762" s="13"/>
      <c r="M41762" s="13"/>
    </row>
    <row r="41763">
      <c r="F41763" s="13"/>
      <c r="M41763" s="13"/>
    </row>
    <row r="41764">
      <c r="F41764" s="13"/>
      <c r="M41764" s="13"/>
    </row>
    <row r="41765">
      <c r="F41765" s="13"/>
      <c r="M41765" s="13"/>
    </row>
    <row r="41766">
      <c r="F41766" s="13"/>
      <c r="M41766" s="13"/>
    </row>
    <row r="41767">
      <c r="F41767" s="13"/>
      <c r="M41767" s="13"/>
    </row>
    <row r="41768">
      <c r="F41768" s="13"/>
      <c r="M41768" s="13"/>
    </row>
    <row r="41769">
      <c r="F41769" s="13"/>
      <c r="M41769" s="13"/>
    </row>
    <row r="41770">
      <c r="F41770" s="13"/>
      <c r="M41770" s="13"/>
    </row>
    <row r="41771">
      <c r="F41771" s="13"/>
      <c r="M41771" s="13"/>
    </row>
    <row r="41772">
      <c r="F41772" s="13"/>
      <c r="M41772" s="13"/>
    </row>
    <row r="41773">
      <c r="F41773" s="13"/>
      <c r="M41773" s="13"/>
    </row>
    <row r="41774">
      <c r="F41774" s="13"/>
      <c r="M41774" s="13"/>
    </row>
    <row r="41775">
      <c r="F41775" s="13"/>
      <c r="M41775" s="13"/>
    </row>
    <row r="41776">
      <c r="F41776" s="13"/>
      <c r="M41776" s="13"/>
    </row>
    <row r="41777">
      <c r="F41777" s="13"/>
      <c r="M41777" s="13"/>
    </row>
    <row r="41778">
      <c r="F41778" s="13"/>
      <c r="M41778" s="13"/>
    </row>
    <row r="41779">
      <c r="F41779" s="13"/>
      <c r="M41779" s="13"/>
    </row>
    <row r="41780">
      <c r="F41780" s="13"/>
      <c r="M41780" s="13"/>
    </row>
    <row r="41781">
      <c r="F41781" s="13"/>
      <c r="M41781" s="13"/>
    </row>
    <row r="41782">
      <c r="F41782" s="13"/>
      <c r="M41782" s="13"/>
    </row>
    <row r="41783">
      <c r="F41783" s="13"/>
      <c r="M41783" s="13"/>
    </row>
    <row r="41784">
      <c r="F41784" s="13"/>
      <c r="M41784" s="13"/>
    </row>
    <row r="41785">
      <c r="F41785" s="13"/>
      <c r="M41785" s="13"/>
    </row>
    <row r="41786">
      <c r="F41786" s="13"/>
      <c r="M41786" s="13"/>
    </row>
    <row r="41787">
      <c r="F41787" s="13"/>
      <c r="M41787" s="13"/>
    </row>
    <row r="41788">
      <c r="F41788" s="13"/>
      <c r="M41788" s="13"/>
    </row>
    <row r="41789">
      <c r="F41789" s="13"/>
      <c r="M41789" s="13"/>
    </row>
    <row r="41790">
      <c r="F41790" s="13"/>
      <c r="M41790" s="13"/>
    </row>
    <row r="41791">
      <c r="F41791" s="13"/>
      <c r="M41791" s="13"/>
    </row>
    <row r="41792">
      <c r="F41792" s="13"/>
      <c r="M41792" s="13"/>
    </row>
    <row r="41793">
      <c r="F41793" s="13"/>
      <c r="M41793" s="13"/>
    </row>
    <row r="41794">
      <c r="F41794" s="13"/>
      <c r="M41794" s="13"/>
    </row>
    <row r="41795">
      <c r="F41795" s="13"/>
      <c r="M41795" s="13"/>
    </row>
    <row r="41796">
      <c r="F41796" s="13"/>
      <c r="M41796" s="13"/>
    </row>
    <row r="41797">
      <c r="F41797" s="13"/>
      <c r="M41797" s="13"/>
    </row>
    <row r="41798">
      <c r="F41798" s="13"/>
      <c r="M41798" s="13"/>
    </row>
    <row r="41799">
      <c r="F41799" s="13"/>
      <c r="M41799" s="13"/>
    </row>
    <row r="41800">
      <c r="F41800" s="13"/>
      <c r="M41800" s="13"/>
    </row>
    <row r="41801">
      <c r="F41801" s="13"/>
      <c r="M41801" s="13"/>
    </row>
    <row r="41802">
      <c r="F41802" s="13"/>
      <c r="M41802" s="13"/>
    </row>
    <row r="41803">
      <c r="F41803" s="13"/>
      <c r="M41803" s="13"/>
    </row>
    <row r="41804">
      <c r="F41804" s="13"/>
      <c r="M41804" s="13"/>
    </row>
    <row r="41805">
      <c r="F41805" s="13"/>
      <c r="M41805" s="13"/>
    </row>
    <row r="41806">
      <c r="F41806" s="13"/>
      <c r="M41806" s="13"/>
    </row>
    <row r="41807">
      <c r="F41807" s="13"/>
      <c r="M41807" s="13"/>
    </row>
    <row r="41808">
      <c r="F41808" s="13"/>
      <c r="M41808" s="13"/>
    </row>
    <row r="41809">
      <c r="F41809" s="13"/>
      <c r="M41809" s="13"/>
    </row>
    <row r="41810">
      <c r="F41810" s="13"/>
      <c r="M41810" s="13"/>
    </row>
    <row r="41811">
      <c r="F41811" s="13"/>
      <c r="M41811" s="13"/>
    </row>
    <row r="41812">
      <c r="F41812" s="13"/>
      <c r="M41812" s="13"/>
    </row>
    <row r="41813">
      <c r="F41813" s="13"/>
      <c r="M41813" s="13"/>
    </row>
    <row r="41814">
      <c r="F41814" s="13"/>
      <c r="M41814" s="13"/>
    </row>
    <row r="41815">
      <c r="F41815" s="13"/>
      <c r="M41815" s="13"/>
    </row>
    <row r="41816">
      <c r="F41816" s="13"/>
      <c r="M41816" s="13"/>
    </row>
    <row r="41817">
      <c r="F41817" s="13"/>
      <c r="M41817" s="13"/>
    </row>
    <row r="41818">
      <c r="F41818" s="13"/>
      <c r="M41818" s="13"/>
    </row>
    <row r="41819">
      <c r="F41819" s="13"/>
      <c r="M41819" s="13"/>
    </row>
    <row r="41820">
      <c r="F41820" s="13"/>
      <c r="M41820" s="13"/>
    </row>
    <row r="41821">
      <c r="F41821" s="13"/>
      <c r="M41821" s="13"/>
    </row>
    <row r="41822">
      <c r="F41822" s="13"/>
      <c r="M41822" s="13"/>
    </row>
    <row r="41823">
      <c r="F41823" s="13"/>
      <c r="M41823" s="13"/>
    </row>
    <row r="41824">
      <c r="F41824" s="13"/>
      <c r="M41824" s="13"/>
    </row>
    <row r="41825">
      <c r="F41825" s="13"/>
      <c r="M41825" s="13"/>
    </row>
    <row r="41826">
      <c r="F41826" s="13"/>
      <c r="M41826" s="13"/>
    </row>
    <row r="41827">
      <c r="F41827" s="13"/>
      <c r="M41827" s="13"/>
    </row>
    <row r="41828">
      <c r="F41828" s="13"/>
      <c r="M41828" s="13"/>
    </row>
    <row r="41829">
      <c r="F41829" s="13"/>
      <c r="M41829" s="13"/>
    </row>
    <row r="41830">
      <c r="F41830" s="13"/>
      <c r="M41830" s="13"/>
    </row>
    <row r="41831">
      <c r="F41831" s="13"/>
      <c r="M41831" s="13"/>
    </row>
    <row r="41832">
      <c r="F41832" s="13"/>
      <c r="M41832" s="13"/>
    </row>
    <row r="41833">
      <c r="F41833" s="13"/>
      <c r="M41833" s="13"/>
    </row>
    <row r="41834">
      <c r="F41834" s="13"/>
      <c r="M41834" s="13"/>
    </row>
    <row r="41835">
      <c r="F41835" s="13"/>
      <c r="M41835" s="13"/>
    </row>
    <row r="41836">
      <c r="F41836" s="13"/>
      <c r="M41836" s="13"/>
    </row>
    <row r="41837">
      <c r="F41837" s="13"/>
      <c r="M41837" s="13"/>
    </row>
    <row r="41838">
      <c r="F41838" s="13"/>
      <c r="M41838" s="13"/>
    </row>
    <row r="41839">
      <c r="F41839" s="13"/>
      <c r="M41839" s="13"/>
    </row>
    <row r="41840">
      <c r="F41840" s="13"/>
      <c r="M41840" s="13"/>
    </row>
    <row r="41841">
      <c r="F41841" s="13"/>
      <c r="M41841" s="13"/>
    </row>
    <row r="41842">
      <c r="F41842" s="13"/>
      <c r="M41842" s="13"/>
    </row>
    <row r="41843">
      <c r="F41843" s="13"/>
      <c r="M41843" s="13"/>
    </row>
    <row r="41844">
      <c r="F41844" s="13"/>
      <c r="M41844" s="13"/>
    </row>
    <row r="41845">
      <c r="F41845" s="13"/>
      <c r="M41845" s="13"/>
    </row>
    <row r="41846">
      <c r="F41846" s="13"/>
      <c r="M41846" s="13"/>
    </row>
    <row r="41847">
      <c r="F41847" s="13"/>
      <c r="M41847" s="13"/>
    </row>
    <row r="41848">
      <c r="F41848" s="13"/>
      <c r="M41848" s="13"/>
    </row>
    <row r="41849">
      <c r="F41849" s="13"/>
      <c r="M41849" s="13"/>
    </row>
    <row r="41850">
      <c r="F41850" s="13"/>
      <c r="M41850" s="13"/>
    </row>
    <row r="41851">
      <c r="F41851" s="13"/>
      <c r="M41851" s="13"/>
    </row>
    <row r="41852">
      <c r="F41852" s="13"/>
      <c r="M41852" s="13"/>
    </row>
    <row r="41853">
      <c r="F41853" s="13"/>
      <c r="M41853" s="13"/>
    </row>
    <row r="41854">
      <c r="F41854" s="13"/>
      <c r="M41854" s="13"/>
    </row>
    <row r="41855">
      <c r="F41855" s="13"/>
      <c r="M41855" s="13"/>
    </row>
    <row r="41856">
      <c r="F41856" s="13"/>
      <c r="M41856" s="13"/>
    </row>
    <row r="41857">
      <c r="F41857" s="13"/>
      <c r="M41857" s="13"/>
    </row>
    <row r="41858">
      <c r="F41858" s="13"/>
      <c r="M41858" s="13"/>
    </row>
    <row r="41859">
      <c r="F41859" s="13"/>
      <c r="M41859" s="13"/>
    </row>
    <row r="41860">
      <c r="F41860" s="13"/>
      <c r="M41860" s="13"/>
    </row>
    <row r="41861">
      <c r="F41861" s="13"/>
      <c r="M41861" s="13"/>
    </row>
    <row r="41862">
      <c r="F41862" s="13"/>
      <c r="M41862" s="13"/>
    </row>
    <row r="41863">
      <c r="F41863" s="13"/>
      <c r="M41863" s="13"/>
    </row>
    <row r="41864">
      <c r="F41864" s="13"/>
      <c r="M41864" s="13"/>
    </row>
    <row r="41865">
      <c r="F41865" s="13"/>
      <c r="M41865" s="13"/>
    </row>
    <row r="41866">
      <c r="F41866" s="13"/>
      <c r="M41866" s="13"/>
    </row>
    <row r="41867">
      <c r="F41867" s="13"/>
      <c r="M41867" s="13"/>
    </row>
    <row r="41868">
      <c r="F41868" s="13"/>
      <c r="M41868" s="13"/>
    </row>
    <row r="41869">
      <c r="F41869" s="13"/>
      <c r="M41869" s="13"/>
    </row>
    <row r="41870">
      <c r="F41870" s="13"/>
      <c r="M41870" s="13"/>
    </row>
    <row r="41871">
      <c r="F41871" s="13"/>
      <c r="M41871" s="13"/>
    </row>
    <row r="41872">
      <c r="F41872" s="13"/>
      <c r="M41872" s="13"/>
    </row>
    <row r="41873">
      <c r="F41873" s="13"/>
      <c r="M41873" s="13"/>
    </row>
    <row r="41874">
      <c r="F41874" s="13"/>
      <c r="M41874" s="13"/>
    </row>
    <row r="41875">
      <c r="F41875" s="13"/>
      <c r="M41875" s="13"/>
    </row>
    <row r="41876">
      <c r="F41876" s="13"/>
      <c r="M41876" s="13"/>
    </row>
    <row r="41877">
      <c r="F41877" s="13"/>
      <c r="M41877" s="13"/>
    </row>
    <row r="41878">
      <c r="F41878" s="13"/>
      <c r="M41878" s="13"/>
    </row>
    <row r="41879">
      <c r="F41879" s="13"/>
      <c r="M41879" s="13"/>
    </row>
    <row r="41880">
      <c r="F41880" s="13"/>
      <c r="M41880" s="13"/>
    </row>
    <row r="41881">
      <c r="F41881" s="13"/>
      <c r="M41881" s="13"/>
    </row>
    <row r="41882">
      <c r="F41882" s="13"/>
      <c r="M41882" s="13"/>
    </row>
    <row r="41883">
      <c r="F41883" s="13"/>
      <c r="M41883" s="13"/>
    </row>
    <row r="41884">
      <c r="F41884" s="13"/>
      <c r="M41884" s="13"/>
    </row>
    <row r="41885">
      <c r="F41885" s="13"/>
      <c r="M41885" s="13"/>
    </row>
    <row r="41886">
      <c r="F41886" s="13"/>
      <c r="M41886" s="13"/>
    </row>
    <row r="41887">
      <c r="F41887" s="13"/>
      <c r="M41887" s="13"/>
    </row>
    <row r="41888">
      <c r="F41888" s="13"/>
      <c r="M41888" s="13"/>
    </row>
    <row r="41889">
      <c r="F41889" s="13"/>
      <c r="M41889" s="13"/>
    </row>
    <row r="41890">
      <c r="F41890" s="13"/>
      <c r="M41890" s="13"/>
    </row>
    <row r="41891">
      <c r="F41891" s="13"/>
      <c r="M41891" s="13"/>
    </row>
    <row r="41892">
      <c r="F41892" s="13"/>
      <c r="M41892" s="13"/>
    </row>
    <row r="41893">
      <c r="F41893" s="13"/>
      <c r="M41893" s="13"/>
    </row>
    <row r="41894">
      <c r="F41894" s="13"/>
      <c r="M41894" s="13"/>
    </row>
    <row r="41895">
      <c r="F41895" s="13"/>
      <c r="M41895" s="13"/>
    </row>
    <row r="41896">
      <c r="F41896" s="13"/>
      <c r="M41896" s="13"/>
    </row>
    <row r="41897">
      <c r="F41897" s="13"/>
      <c r="M41897" s="13"/>
    </row>
    <row r="41898">
      <c r="F41898" s="13"/>
      <c r="M41898" s="13"/>
    </row>
    <row r="41899">
      <c r="F41899" s="13"/>
      <c r="M41899" s="13"/>
    </row>
    <row r="41900">
      <c r="F41900" s="13"/>
      <c r="M41900" s="13"/>
    </row>
    <row r="41901">
      <c r="F41901" s="13"/>
      <c r="M41901" s="13"/>
    </row>
    <row r="41902">
      <c r="F41902" s="13"/>
      <c r="M41902" s="13"/>
    </row>
    <row r="41903">
      <c r="F41903" s="13"/>
      <c r="M41903" s="13"/>
    </row>
    <row r="41904">
      <c r="F41904" s="13"/>
      <c r="M41904" s="13"/>
    </row>
    <row r="41905">
      <c r="F41905" s="13"/>
      <c r="M41905" s="13"/>
    </row>
    <row r="41906">
      <c r="F41906" s="13"/>
      <c r="M41906" s="13"/>
    </row>
    <row r="41907">
      <c r="F41907" s="13"/>
      <c r="M41907" s="13"/>
    </row>
    <row r="41908">
      <c r="F41908" s="13"/>
      <c r="M41908" s="13"/>
    </row>
    <row r="41909">
      <c r="F41909" s="13"/>
      <c r="M41909" s="13"/>
    </row>
    <row r="41910">
      <c r="F41910" s="13"/>
      <c r="M41910" s="13"/>
    </row>
    <row r="41911">
      <c r="F41911" s="13"/>
      <c r="M41911" s="13"/>
    </row>
    <row r="41912">
      <c r="F41912" s="13"/>
      <c r="M41912" s="13"/>
    </row>
    <row r="41913">
      <c r="F41913" s="13"/>
      <c r="M41913" s="13"/>
    </row>
    <row r="41914">
      <c r="F41914" s="13"/>
      <c r="M41914" s="13"/>
    </row>
    <row r="41915">
      <c r="F41915" s="13"/>
      <c r="M41915" s="13"/>
    </row>
    <row r="41916">
      <c r="F41916" s="13"/>
      <c r="M41916" s="13"/>
    </row>
    <row r="41917">
      <c r="F41917" s="13"/>
      <c r="M41917" s="13"/>
    </row>
    <row r="41918">
      <c r="F41918" s="13"/>
      <c r="M41918" s="13"/>
    </row>
    <row r="41919">
      <c r="F41919" s="13"/>
      <c r="M41919" s="13"/>
    </row>
    <row r="41920">
      <c r="F41920" s="13"/>
      <c r="M41920" s="13"/>
    </row>
    <row r="41921">
      <c r="F41921" s="13"/>
      <c r="M41921" s="13"/>
    </row>
    <row r="41922">
      <c r="F41922" s="13"/>
      <c r="M41922" s="13"/>
    </row>
    <row r="41923">
      <c r="F41923" s="13"/>
      <c r="M41923" s="13"/>
    </row>
    <row r="41924">
      <c r="F41924" s="13"/>
      <c r="M41924" s="13"/>
    </row>
    <row r="41925">
      <c r="F41925" s="13"/>
      <c r="M41925" s="13"/>
    </row>
    <row r="41926">
      <c r="F41926" s="13"/>
      <c r="M41926" s="13"/>
    </row>
    <row r="41927">
      <c r="F41927" s="13"/>
      <c r="M41927" s="13"/>
    </row>
    <row r="41928">
      <c r="F41928" s="13"/>
      <c r="M41928" s="13"/>
    </row>
    <row r="41929">
      <c r="F41929" s="13"/>
      <c r="M41929" s="13"/>
    </row>
    <row r="41930">
      <c r="F41930" s="13"/>
      <c r="M41930" s="13"/>
    </row>
    <row r="41931">
      <c r="F41931" s="13"/>
      <c r="M41931" s="13"/>
    </row>
    <row r="41932">
      <c r="F41932" s="13"/>
      <c r="M41932" s="13"/>
    </row>
    <row r="41933">
      <c r="F41933" s="13"/>
      <c r="M41933" s="13"/>
    </row>
    <row r="41934">
      <c r="F41934" s="13"/>
      <c r="M41934" s="13"/>
    </row>
    <row r="41935">
      <c r="F41935" s="13"/>
      <c r="M41935" s="13"/>
    </row>
    <row r="41936">
      <c r="F41936" s="13"/>
      <c r="M41936" s="13"/>
    </row>
    <row r="41937">
      <c r="F41937" s="13"/>
      <c r="M41937" s="13"/>
    </row>
    <row r="41938">
      <c r="F41938" s="13"/>
      <c r="M41938" s="13"/>
    </row>
    <row r="41939">
      <c r="F41939" s="13"/>
      <c r="M41939" s="13"/>
    </row>
    <row r="41940">
      <c r="F41940" s="13"/>
      <c r="M41940" s="13"/>
    </row>
    <row r="41941">
      <c r="F41941" s="13"/>
      <c r="M41941" s="13"/>
    </row>
    <row r="41942">
      <c r="F41942" s="13"/>
      <c r="M41942" s="13"/>
    </row>
    <row r="41943">
      <c r="F41943" s="13"/>
      <c r="M41943" s="13"/>
    </row>
    <row r="41944">
      <c r="F41944" s="13"/>
      <c r="M41944" s="13"/>
    </row>
    <row r="41945">
      <c r="F41945" s="13"/>
      <c r="M41945" s="13"/>
    </row>
    <row r="41946">
      <c r="F41946" s="13"/>
      <c r="M41946" s="13"/>
    </row>
    <row r="41947">
      <c r="F41947" s="13"/>
      <c r="M41947" s="13"/>
    </row>
    <row r="41948">
      <c r="F41948" s="13"/>
      <c r="M41948" s="13"/>
    </row>
    <row r="41949">
      <c r="F41949" s="13"/>
      <c r="M41949" s="13"/>
    </row>
    <row r="41950">
      <c r="F41950" s="13"/>
      <c r="M41950" s="13"/>
    </row>
    <row r="41951">
      <c r="F41951" s="13"/>
      <c r="M41951" s="13"/>
    </row>
    <row r="41952">
      <c r="F41952" s="13"/>
      <c r="M41952" s="13"/>
    </row>
    <row r="41953">
      <c r="F41953" s="13"/>
      <c r="M41953" s="13"/>
    </row>
    <row r="41954">
      <c r="F41954" s="13"/>
      <c r="M41954" s="13"/>
    </row>
    <row r="41955">
      <c r="F41955" s="13"/>
      <c r="M41955" s="13"/>
    </row>
    <row r="41956">
      <c r="F41956" s="13"/>
      <c r="M41956" s="13"/>
    </row>
    <row r="41957">
      <c r="F41957" s="13"/>
      <c r="M41957" s="13"/>
    </row>
    <row r="41958">
      <c r="F41958" s="13"/>
      <c r="M41958" s="13"/>
    </row>
    <row r="41959">
      <c r="F41959" s="13"/>
      <c r="M41959" s="13"/>
    </row>
    <row r="41960">
      <c r="F41960" s="13"/>
      <c r="M41960" s="13"/>
    </row>
    <row r="41961">
      <c r="F41961" s="13"/>
      <c r="M41961" s="13"/>
    </row>
    <row r="41962">
      <c r="F41962" s="13"/>
      <c r="M41962" s="13"/>
    </row>
    <row r="41963">
      <c r="F41963" s="13"/>
      <c r="M41963" s="13"/>
    </row>
    <row r="41964">
      <c r="F41964" s="13"/>
      <c r="M41964" s="13"/>
    </row>
    <row r="41965">
      <c r="F41965" s="13"/>
      <c r="M41965" s="13"/>
    </row>
    <row r="41966">
      <c r="F41966" s="13"/>
      <c r="M41966" s="13"/>
    </row>
    <row r="41967">
      <c r="F41967" s="13"/>
      <c r="M41967" s="13"/>
    </row>
    <row r="41968">
      <c r="F41968" s="13"/>
      <c r="M41968" s="13"/>
    </row>
    <row r="41969">
      <c r="F41969" s="13"/>
      <c r="M41969" s="13"/>
    </row>
    <row r="41970">
      <c r="F41970" s="13"/>
      <c r="M41970" s="13"/>
    </row>
    <row r="41971">
      <c r="F41971" s="13"/>
      <c r="M41971" s="13"/>
    </row>
    <row r="41972">
      <c r="F41972" s="13"/>
      <c r="M41972" s="13"/>
    </row>
    <row r="41973">
      <c r="F41973" s="13"/>
      <c r="M41973" s="13"/>
    </row>
    <row r="41974">
      <c r="F41974" s="13"/>
      <c r="M41974" s="13"/>
    </row>
    <row r="41975">
      <c r="F41975" s="13"/>
      <c r="M41975" s="13"/>
    </row>
    <row r="41976">
      <c r="F41976" s="13"/>
      <c r="M41976" s="13"/>
    </row>
    <row r="41977">
      <c r="F41977" s="13"/>
      <c r="M41977" s="13"/>
    </row>
    <row r="41978">
      <c r="F41978" s="13"/>
      <c r="M41978" s="13"/>
    </row>
    <row r="41979">
      <c r="F41979" s="13"/>
      <c r="M41979" s="13"/>
    </row>
    <row r="41980">
      <c r="F41980" s="13"/>
      <c r="M41980" s="13"/>
    </row>
    <row r="41981">
      <c r="F41981" s="13"/>
      <c r="M41981" s="13"/>
    </row>
    <row r="41982">
      <c r="F41982" s="13"/>
      <c r="M41982" s="13"/>
    </row>
    <row r="41983">
      <c r="F41983" s="13"/>
      <c r="M41983" s="13"/>
    </row>
    <row r="41984">
      <c r="F41984" s="13"/>
      <c r="M41984" s="13"/>
    </row>
    <row r="41985">
      <c r="F41985" s="13"/>
      <c r="M41985" s="13"/>
    </row>
    <row r="41986">
      <c r="F41986" s="13"/>
      <c r="M41986" s="13"/>
    </row>
    <row r="41987">
      <c r="F41987" s="13"/>
      <c r="M41987" s="13"/>
    </row>
    <row r="41988">
      <c r="F41988" s="13"/>
      <c r="M41988" s="13"/>
    </row>
    <row r="41989">
      <c r="F41989" s="13"/>
      <c r="M41989" s="13"/>
    </row>
    <row r="41990">
      <c r="F41990" s="13"/>
      <c r="M41990" s="13"/>
    </row>
    <row r="41991">
      <c r="F41991" s="13"/>
      <c r="M41991" s="13"/>
    </row>
    <row r="41992">
      <c r="F41992" s="13"/>
      <c r="M41992" s="13"/>
    </row>
    <row r="41993">
      <c r="F41993" s="13"/>
      <c r="M41993" s="13"/>
    </row>
    <row r="41994">
      <c r="F41994" s="13"/>
      <c r="M41994" s="13"/>
    </row>
    <row r="41995">
      <c r="F41995" s="13"/>
      <c r="M41995" s="13"/>
    </row>
    <row r="41996">
      <c r="F41996" s="13"/>
      <c r="M41996" s="13"/>
    </row>
    <row r="41997">
      <c r="F41997" s="13"/>
      <c r="M41997" s="13"/>
    </row>
    <row r="41998">
      <c r="F41998" s="13"/>
      <c r="M41998" s="13"/>
    </row>
    <row r="41999">
      <c r="F41999" s="13"/>
      <c r="M41999" s="13"/>
    </row>
    <row r="42000">
      <c r="F42000" s="13"/>
      <c r="M42000" s="13"/>
    </row>
    <row r="42001">
      <c r="F42001" s="13"/>
      <c r="M42001" s="13"/>
    </row>
    <row r="42002">
      <c r="F42002" s="13"/>
      <c r="M42002" s="13"/>
    </row>
    <row r="42003">
      <c r="F42003" s="13"/>
      <c r="M42003" s="13"/>
    </row>
    <row r="42004">
      <c r="F42004" s="13"/>
      <c r="M42004" s="13"/>
    </row>
    <row r="42005">
      <c r="F42005" s="13"/>
      <c r="M42005" s="13"/>
    </row>
    <row r="42006">
      <c r="F42006" s="13"/>
      <c r="M42006" s="13"/>
    </row>
    <row r="42007">
      <c r="F42007" s="13"/>
      <c r="M42007" s="13"/>
    </row>
    <row r="42008">
      <c r="F42008" s="13"/>
      <c r="M42008" s="13"/>
    </row>
    <row r="42009">
      <c r="F42009" s="13"/>
      <c r="M42009" s="13"/>
    </row>
    <row r="42010">
      <c r="F42010" s="13"/>
      <c r="M42010" s="13"/>
    </row>
    <row r="42011">
      <c r="F42011" s="13"/>
      <c r="M42011" s="13"/>
    </row>
    <row r="42012">
      <c r="F42012" s="13"/>
      <c r="M42012" s="13"/>
    </row>
    <row r="42013">
      <c r="F42013" s="13"/>
      <c r="M42013" s="13"/>
    </row>
    <row r="42014">
      <c r="F42014" s="13"/>
      <c r="M42014" s="13"/>
    </row>
    <row r="42015">
      <c r="F42015" s="13"/>
      <c r="M42015" s="13"/>
    </row>
    <row r="42016">
      <c r="F42016" s="13"/>
      <c r="M42016" s="13"/>
    </row>
    <row r="42017">
      <c r="F42017" s="13"/>
      <c r="M42017" s="13"/>
    </row>
    <row r="42018">
      <c r="F42018" s="13"/>
      <c r="M42018" s="13"/>
    </row>
    <row r="42019">
      <c r="F42019" s="13"/>
      <c r="M42019" s="13"/>
    </row>
    <row r="42020">
      <c r="F42020" s="13"/>
      <c r="M42020" s="13"/>
    </row>
    <row r="42021">
      <c r="F42021" s="13"/>
      <c r="M42021" s="13"/>
    </row>
    <row r="42022">
      <c r="F42022" s="13"/>
      <c r="M42022" s="13"/>
    </row>
    <row r="42023">
      <c r="F42023" s="13"/>
      <c r="M42023" s="13"/>
    </row>
    <row r="42024">
      <c r="F42024" s="13"/>
      <c r="M42024" s="13"/>
    </row>
    <row r="42025">
      <c r="F42025" s="13"/>
      <c r="M42025" s="13"/>
    </row>
    <row r="42026">
      <c r="F42026" s="13"/>
      <c r="M42026" s="13"/>
    </row>
    <row r="42027">
      <c r="F42027" s="13"/>
      <c r="M42027" s="13"/>
    </row>
    <row r="42028">
      <c r="F42028" s="13"/>
      <c r="M42028" s="13"/>
    </row>
    <row r="42029">
      <c r="F42029" s="13"/>
      <c r="M42029" s="13"/>
    </row>
    <row r="42030">
      <c r="F42030" s="13"/>
      <c r="M42030" s="13"/>
    </row>
    <row r="42031">
      <c r="F42031" s="13"/>
      <c r="M42031" s="13"/>
    </row>
    <row r="42032">
      <c r="F42032" s="13"/>
      <c r="M42032" s="13"/>
    </row>
    <row r="42033">
      <c r="F42033" s="13"/>
      <c r="M42033" s="13"/>
    </row>
    <row r="42034">
      <c r="F42034" s="13"/>
      <c r="M42034" s="13"/>
    </row>
    <row r="42035">
      <c r="F42035" s="13"/>
      <c r="M42035" s="13"/>
    </row>
    <row r="42036">
      <c r="F42036" s="13"/>
      <c r="M42036" s="13"/>
    </row>
    <row r="42037">
      <c r="F42037" s="13"/>
      <c r="M42037" s="13"/>
    </row>
    <row r="42038">
      <c r="F42038" s="13"/>
      <c r="M42038" s="13"/>
    </row>
    <row r="42039">
      <c r="F42039" s="13"/>
      <c r="M42039" s="13"/>
    </row>
    <row r="42040">
      <c r="F42040" s="13"/>
      <c r="M42040" s="13"/>
    </row>
    <row r="42041">
      <c r="F42041" s="13"/>
      <c r="M42041" s="13"/>
    </row>
    <row r="42042">
      <c r="F42042" s="13"/>
      <c r="M42042" s="13"/>
    </row>
    <row r="42043">
      <c r="F42043" s="13"/>
      <c r="M42043" s="13"/>
    </row>
    <row r="42044">
      <c r="F42044" s="13"/>
      <c r="M42044" s="13"/>
    </row>
    <row r="42045">
      <c r="F42045" s="13"/>
      <c r="M42045" s="13"/>
    </row>
    <row r="42046">
      <c r="F42046" s="13"/>
      <c r="M42046" s="13"/>
    </row>
    <row r="42047">
      <c r="F42047" s="13"/>
      <c r="M42047" s="13"/>
    </row>
    <row r="42048">
      <c r="F42048" s="13"/>
      <c r="M42048" s="13"/>
    </row>
    <row r="42049">
      <c r="F42049" s="13"/>
      <c r="M42049" s="13"/>
    </row>
    <row r="42050">
      <c r="F42050" s="13"/>
      <c r="M42050" s="13"/>
    </row>
    <row r="42051">
      <c r="F42051" s="13"/>
      <c r="M42051" s="13"/>
    </row>
    <row r="42052">
      <c r="F42052" s="13"/>
      <c r="M42052" s="13"/>
    </row>
    <row r="42053">
      <c r="F42053" s="13"/>
      <c r="M42053" s="13"/>
    </row>
    <row r="42054">
      <c r="F42054" s="13"/>
      <c r="M42054" s="13"/>
    </row>
    <row r="42055">
      <c r="F42055" s="13"/>
      <c r="M42055" s="13"/>
    </row>
    <row r="42056">
      <c r="F42056" s="13"/>
      <c r="M42056" s="13"/>
    </row>
    <row r="42057">
      <c r="F42057" s="13"/>
      <c r="M42057" s="13"/>
    </row>
    <row r="42058">
      <c r="F42058" s="13"/>
      <c r="M42058" s="13"/>
    </row>
    <row r="42059">
      <c r="F42059" s="13"/>
      <c r="M42059" s="13"/>
    </row>
    <row r="42060">
      <c r="F42060" s="13"/>
      <c r="M42060" s="13"/>
    </row>
    <row r="42061">
      <c r="F42061" s="13"/>
      <c r="M42061" s="13"/>
    </row>
    <row r="42062">
      <c r="F42062" s="13"/>
      <c r="M42062" s="13"/>
    </row>
    <row r="42063">
      <c r="F42063" s="13"/>
      <c r="M42063" s="13"/>
    </row>
    <row r="42064">
      <c r="F42064" s="13"/>
      <c r="M42064" s="13"/>
    </row>
    <row r="42065">
      <c r="F42065" s="13"/>
      <c r="M42065" s="13"/>
    </row>
    <row r="42066">
      <c r="F42066" s="13"/>
      <c r="M42066" s="13"/>
    </row>
    <row r="42067">
      <c r="F42067" s="13"/>
      <c r="M42067" s="13"/>
    </row>
    <row r="42068">
      <c r="F42068" s="13"/>
      <c r="M42068" s="13"/>
    </row>
    <row r="42069">
      <c r="F42069" s="13"/>
      <c r="M42069" s="13"/>
    </row>
    <row r="42070">
      <c r="F42070" s="13"/>
      <c r="M42070" s="13"/>
    </row>
    <row r="42071">
      <c r="F42071" s="13"/>
      <c r="M42071" s="13"/>
    </row>
    <row r="42072">
      <c r="F42072" s="13"/>
      <c r="M42072" s="13"/>
    </row>
    <row r="42073">
      <c r="F42073" s="13"/>
      <c r="M42073" s="13"/>
    </row>
    <row r="42074">
      <c r="F42074" s="13"/>
      <c r="M42074" s="13"/>
    </row>
    <row r="42075">
      <c r="F42075" s="13"/>
      <c r="M42075" s="13"/>
    </row>
    <row r="42076">
      <c r="F42076" s="13"/>
      <c r="M42076" s="13"/>
    </row>
    <row r="42077">
      <c r="F42077" s="13"/>
      <c r="M42077" s="13"/>
    </row>
    <row r="42078">
      <c r="F42078" s="13"/>
      <c r="M42078" s="13"/>
    </row>
    <row r="42079">
      <c r="F42079" s="13"/>
      <c r="M42079" s="13"/>
    </row>
    <row r="42080">
      <c r="F42080" s="13"/>
      <c r="M42080" s="13"/>
    </row>
    <row r="42081">
      <c r="F42081" s="13"/>
      <c r="M42081" s="13"/>
    </row>
    <row r="42082">
      <c r="F42082" s="13"/>
      <c r="M42082" s="13"/>
    </row>
    <row r="42083">
      <c r="F42083" s="13"/>
      <c r="M42083" s="13"/>
    </row>
    <row r="42084">
      <c r="F42084" s="13"/>
      <c r="M42084" s="13"/>
    </row>
    <row r="42085">
      <c r="F42085" s="13"/>
      <c r="M42085" s="13"/>
    </row>
    <row r="42086">
      <c r="F42086" s="13"/>
      <c r="M42086" s="13"/>
    </row>
    <row r="42087">
      <c r="F42087" s="13"/>
      <c r="M42087" s="13"/>
    </row>
    <row r="42088">
      <c r="F42088" s="13"/>
      <c r="M42088" s="13"/>
    </row>
    <row r="42089">
      <c r="F42089" s="13"/>
      <c r="M42089" s="13"/>
    </row>
    <row r="42090">
      <c r="F42090" s="13"/>
      <c r="M42090" s="13"/>
    </row>
    <row r="42091">
      <c r="F42091" s="13"/>
      <c r="M42091" s="13"/>
    </row>
    <row r="42092">
      <c r="F42092" s="13"/>
      <c r="M42092" s="13"/>
    </row>
    <row r="42093">
      <c r="F42093" s="13"/>
      <c r="M42093" s="13"/>
    </row>
    <row r="42094">
      <c r="F42094" s="13"/>
      <c r="M42094" s="13"/>
    </row>
    <row r="42095">
      <c r="F42095" s="13"/>
      <c r="M42095" s="13"/>
    </row>
    <row r="42096">
      <c r="F42096" s="13"/>
      <c r="M42096" s="13"/>
    </row>
    <row r="42097">
      <c r="F42097" s="13"/>
      <c r="M42097" s="13"/>
    </row>
    <row r="42098">
      <c r="F42098" s="13"/>
      <c r="M42098" s="13"/>
    </row>
    <row r="42099">
      <c r="F42099" s="13"/>
      <c r="M42099" s="13"/>
    </row>
    <row r="42100">
      <c r="F42100" s="13"/>
      <c r="M42100" s="13"/>
    </row>
    <row r="42101">
      <c r="F42101" s="13"/>
      <c r="M42101" s="13"/>
    </row>
    <row r="42102">
      <c r="F42102" s="13"/>
      <c r="M42102" s="13"/>
    </row>
    <row r="42103">
      <c r="F42103" s="13"/>
      <c r="M42103" s="13"/>
    </row>
    <row r="42104">
      <c r="F42104" s="13"/>
      <c r="M42104" s="13"/>
    </row>
    <row r="42105">
      <c r="F42105" s="13"/>
      <c r="M42105" s="13"/>
    </row>
    <row r="42106">
      <c r="F42106" s="13"/>
      <c r="M42106" s="13"/>
    </row>
    <row r="42107">
      <c r="F42107" s="13"/>
      <c r="M42107" s="13"/>
    </row>
    <row r="42108">
      <c r="F42108" s="13"/>
      <c r="M42108" s="13"/>
    </row>
    <row r="42109">
      <c r="F42109" s="13"/>
      <c r="M42109" s="13"/>
    </row>
    <row r="42110">
      <c r="F42110" s="13"/>
      <c r="M42110" s="13"/>
    </row>
    <row r="42111">
      <c r="F42111" s="13"/>
      <c r="M42111" s="13"/>
    </row>
    <row r="42112">
      <c r="F42112" s="13"/>
      <c r="M42112" s="13"/>
    </row>
    <row r="42113">
      <c r="F42113" s="13"/>
      <c r="M42113" s="13"/>
    </row>
    <row r="42114">
      <c r="F42114" s="13"/>
      <c r="M42114" s="13"/>
    </row>
    <row r="42115">
      <c r="F42115" s="13"/>
      <c r="M42115" s="13"/>
    </row>
    <row r="42116">
      <c r="F42116" s="13"/>
      <c r="M42116" s="13"/>
    </row>
    <row r="42117">
      <c r="F42117" s="13"/>
      <c r="M42117" s="13"/>
    </row>
    <row r="42118">
      <c r="F42118" s="13"/>
      <c r="M42118" s="13"/>
    </row>
    <row r="42119">
      <c r="F42119" s="13"/>
      <c r="M42119" s="13"/>
    </row>
    <row r="42120">
      <c r="F42120" s="13"/>
      <c r="M42120" s="13"/>
    </row>
    <row r="42121">
      <c r="F42121" s="13"/>
      <c r="M42121" s="13"/>
    </row>
    <row r="42122">
      <c r="F42122" s="13"/>
      <c r="M42122" s="13"/>
    </row>
    <row r="42123">
      <c r="F42123" s="13"/>
      <c r="M42123" s="13"/>
    </row>
    <row r="42124">
      <c r="F42124" s="13"/>
      <c r="M42124" s="13"/>
    </row>
    <row r="42125">
      <c r="F42125" s="13"/>
      <c r="M42125" s="13"/>
    </row>
    <row r="42126">
      <c r="F42126" s="13"/>
      <c r="M42126" s="13"/>
    </row>
    <row r="42127">
      <c r="F42127" s="13"/>
      <c r="M42127" s="13"/>
    </row>
    <row r="42128">
      <c r="F42128" s="13"/>
      <c r="M42128" s="13"/>
    </row>
    <row r="42129">
      <c r="F42129" s="13"/>
      <c r="M42129" s="13"/>
    </row>
    <row r="42130">
      <c r="F42130" s="13"/>
      <c r="M42130" s="13"/>
    </row>
    <row r="42131">
      <c r="F42131" s="13"/>
      <c r="M42131" s="13"/>
    </row>
    <row r="42132">
      <c r="F42132" s="13"/>
      <c r="M42132" s="13"/>
    </row>
    <row r="42133">
      <c r="F42133" s="13"/>
      <c r="M42133" s="13"/>
    </row>
    <row r="42134">
      <c r="F42134" s="13"/>
      <c r="M42134" s="13"/>
    </row>
    <row r="42135">
      <c r="F42135" s="13"/>
      <c r="M42135" s="13"/>
    </row>
    <row r="42136">
      <c r="F42136" s="13"/>
      <c r="M42136" s="13"/>
    </row>
    <row r="42137">
      <c r="F42137" s="13"/>
      <c r="M42137" s="13"/>
    </row>
    <row r="42138">
      <c r="F42138" s="13"/>
      <c r="M42138" s="13"/>
    </row>
    <row r="42139">
      <c r="F42139" s="13"/>
      <c r="M42139" s="13"/>
    </row>
    <row r="42140">
      <c r="F42140" s="13"/>
      <c r="M42140" s="13"/>
    </row>
    <row r="42141">
      <c r="F42141" s="13"/>
      <c r="M42141" s="13"/>
    </row>
    <row r="42142">
      <c r="F42142" s="13"/>
      <c r="M42142" s="13"/>
    </row>
    <row r="42143">
      <c r="F42143" s="13"/>
      <c r="M42143" s="13"/>
    </row>
    <row r="42144">
      <c r="F42144" s="13"/>
      <c r="M42144" s="13"/>
    </row>
    <row r="42145">
      <c r="F42145" s="13"/>
      <c r="M42145" s="13"/>
    </row>
    <row r="42146">
      <c r="F42146" s="13"/>
      <c r="M42146" s="13"/>
    </row>
    <row r="42147">
      <c r="F42147" s="13"/>
      <c r="M42147" s="13"/>
    </row>
    <row r="42148">
      <c r="F42148" s="13"/>
      <c r="M42148" s="13"/>
    </row>
    <row r="42149">
      <c r="F42149" s="13"/>
      <c r="M42149" s="13"/>
    </row>
    <row r="42150">
      <c r="F42150" s="13"/>
      <c r="M42150" s="13"/>
    </row>
    <row r="42151">
      <c r="F42151" s="13"/>
      <c r="M42151" s="13"/>
    </row>
    <row r="42152">
      <c r="F42152" s="13"/>
      <c r="M42152" s="13"/>
    </row>
    <row r="42153">
      <c r="F42153" s="13"/>
      <c r="M42153" s="13"/>
    </row>
    <row r="42154">
      <c r="F42154" s="13"/>
      <c r="M42154" s="13"/>
    </row>
    <row r="42155">
      <c r="F42155" s="13"/>
      <c r="M42155" s="13"/>
    </row>
    <row r="42156">
      <c r="F42156" s="13"/>
      <c r="M42156" s="13"/>
    </row>
    <row r="42157">
      <c r="F42157" s="13"/>
      <c r="M42157" s="13"/>
    </row>
    <row r="42158">
      <c r="F42158" s="13"/>
      <c r="M42158" s="13"/>
    </row>
    <row r="42159">
      <c r="F42159" s="13"/>
      <c r="M42159" s="13"/>
    </row>
    <row r="42160">
      <c r="F42160" s="13"/>
      <c r="M42160" s="13"/>
    </row>
    <row r="42161">
      <c r="F42161" s="13"/>
      <c r="M42161" s="13"/>
    </row>
    <row r="42162">
      <c r="F42162" s="13"/>
      <c r="M42162" s="13"/>
    </row>
    <row r="42163">
      <c r="F42163" s="13"/>
      <c r="M42163" s="13"/>
    </row>
    <row r="42164">
      <c r="F42164" s="13"/>
      <c r="M42164" s="13"/>
    </row>
    <row r="42165">
      <c r="F42165" s="13"/>
      <c r="M42165" s="13"/>
    </row>
    <row r="42166">
      <c r="F42166" s="13"/>
      <c r="M42166" s="13"/>
    </row>
    <row r="42167">
      <c r="F42167" s="13"/>
      <c r="M42167" s="13"/>
    </row>
    <row r="42168">
      <c r="F42168" s="13"/>
      <c r="M42168" s="13"/>
    </row>
    <row r="42169">
      <c r="F42169" s="13"/>
      <c r="M42169" s="13"/>
    </row>
    <row r="42170">
      <c r="F42170" s="13"/>
      <c r="M42170" s="13"/>
    </row>
    <row r="42171">
      <c r="F42171" s="13"/>
      <c r="M42171" s="13"/>
    </row>
    <row r="42172">
      <c r="F42172" s="13"/>
      <c r="M42172" s="13"/>
    </row>
    <row r="42173">
      <c r="F42173" s="13"/>
      <c r="M42173" s="13"/>
    </row>
    <row r="42174">
      <c r="F42174" s="13"/>
      <c r="M42174" s="13"/>
    </row>
    <row r="42175">
      <c r="F42175" s="13"/>
      <c r="M42175" s="13"/>
    </row>
    <row r="42176">
      <c r="F42176" s="13"/>
      <c r="M42176" s="13"/>
    </row>
    <row r="42177">
      <c r="F42177" s="13"/>
      <c r="M42177" s="13"/>
    </row>
    <row r="42178">
      <c r="F42178" s="13"/>
      <c r="M42178" s="13"/>
    </row>
    <row r="42179">
      <c r="F42179" s="13"/>
      <c r="M42179" s="13"/>
    </row>
    <row r="42180">
      <c r="F42180" s="13"/>
      <c r="M42180" s="13"/>
    </row>
    <row r="42181">
      <c r="F42181" s="13"/>
      <c r="M42181" s="13"/>
    </row>
    <row r="42182">
      <c r="F42182" s="13"/>
      <c r="M42182" s="13"/>
    </row>
    <row r="42183">
      <c r="F42183" s="13"/>
      <c r="M42183" s="13"/>
    </row>
    <row r="42184">
      <c r="F42184" s="13"/>
      <c r="M42184" s="13"/>
    </row>
    <row r="42185">
      <c r="F42185" s="13"/>
      <c r="M42185" s="13"/>
    </row>
    <row r="42186">
      <c r="F42186" s="13"/>
      <c r="M42186" s="13"/>
    </row>
    <row r="42187">
      <c r="F42187" s="13"/>
      <c r="M42187" s="13"/>
    </row>
    <row r="42188">
      <c r="F42188" s="13"/>
      <c r="M42188" s="13"/>
    </row>
    <row r="42189">
      <c r="F42189" s="13"/>
      <c r="M42189" s="13"/>
    </row>
    <row r="42190">
      <c r="F42190" s="13"/>
      <c r="M42190" s="13"/>
    </row>
    <row r="42191">
      <c r="F42191" s="13"/>
      <c r="M42191" s="13"/>
    </row>
    <row r="42192">
      <c r="F42192" s="13"/>
      <c r="M42192" s="13"/>
    </row>
    <row r="42193">
      <c r="F42193" s="13"/>
      <c r="M42193" s="13"/>
    </row>
    <row r="42194">
      <c r="F42194" s="13"/>
      <c r="M42194" s="13"/>
    </row>
    <row r="42195">
      <c r="F42195" s="13"/>
      <c r="M42195" s="13"/>
    </row>
    <row r="42196">
      <c r="F42196" s="13"/>
      <c r="M42196" s="13"/>
    </row>
    <row r="42197">
      <c r="F42197" s="13"/>
      <c r="M42197" s="13"/>
    </row>
    <row r="42198">
      <c r="F42198" s="13"/>
      <c r="M42198" s="13"/>
    </row>
    <row r="42199">
      <c r="F42199" s="13"/>
      <c r="M42199" s="13"/>
    </row>
    <row r="42200">
      <c r="F42200" s="13"/>
      <c r="M42200" s="13"/>
    </row>
    <row r="42201">
      <c r="F42201" s="13"/>
      <c r="M42201" s="13"/>
    </row>
    <row r="42202">
      <c r="F42202" s="13"/>
      <c r="M42202" s="13"/>
    </row>
    <row r="42203">
      <c r="F42203" s="13"/>
      <c r="M42203" s="13"/>
    </row>
    <row r="42204">
      <c r="F42204" s="13"/>
      <c r="M42204" s="13"/>
    </row>
    <row r="42205">
      <c r="F42205" s="13"/>
      <c r="M42205" s="13"/>
    </row>
    <row r="42206">
      <c r="F42206" s="13"/>
      <c r="M42206" s="13"/>
    </row>
    <row r="42207">
      <c r="F42207" s="13"/>
      <c r="M42207" s="13"/>
    </row>
    <row r="42208">
      <c r="F42208" s="13"/>
      <c r="M42208" s="13"/>
    </row>
    <row r="42209">
      <c r="F42209" s="13"/>
      <c r="M42209" s="13"/>
    </row>
    <row r="42210">
      <c r="F42210" s="13"/>
      <c r="M42210" s="13"/>
    </row>
    <row r="42211">
      <c r="F42211" s="13"/>
      <c r="M42211" s="13"/>
    </row>
    <row r="42212">
      <c r="F42212" s="13"/>
      <c r="M42212" s="13"/>
    </row>
    <row r="42213">
      <c r="F42213" s="13"/>
      <c r="M42213" s="13"/>
    </row>
    <row r="42214">
      <c r="F42214" s="13"/>
      <c r="M42214" s="13"/>
    </row>
    <row r="42215">
      <c r="F42215" s="13"/>
      <c r="M42215" s="13"/>
    </row>
    <row r="42216">
      <c r="F42216" s="13"/>
      <c r="M42216" s="13"/>
    </row>
    <row r="42217">
      <c r="F42217" s="13"/>
      <c r="M42217" s="13"/>
    </row>
    <row r="42218">
      <c r="F42218" s="13"/>
      <c r="M42218" s="13"/>
    </row>
    <row r="42219">
      <c r="F42219" s="13"/>
      <c r="M42219" s="13"/>
    </row>
    <row r="42220">
      <c r="F42220" s="13"/>
      <c r="M42220" s="13"/>
    </row>
    <row r="42221">
      <c r="F42221" s="13"/>
      <c r="M42221" s="13"/>
    </row>
    <row r="42222">
      <c r="F42222" s="13"/>
      <c r="M42222" s="13"/>
    </row>
    <row r="42223">
      <c r="F42223" s="13"/>
      <c r="M42223" s="13"/>
    </row>
    <row r="42224">
      <c r="F42224" s="13"/>
      <c r="M42224" s="13"/>
    </row>
    <row r="42225">
      <c r="F42225" s="13"/>
      <c r="M42225" s="13"/>
    </row>
    <row r="42226">
      <c r="F42226" s="13"/>
      <c r="M42226" s="13"/>
    </row>
    <row r="42227">
      <c r="F42227" s="13"/>
      <c r="M42227" s="13"/>
    </row>
    <row r="42228">
      <c r="F42228" s="13"/>
      <c r="M42228" s="13"/>
    </row>
    <row r="42229">
      <c r="F42229" s="13"/>
      <c r="M42229" s="13"/>
    </row>
    <row r="42230">
      <c r="F42230" s="13"/>
      <c r="M42230" s="13"/>
    </row>
    <row r="42231">
      <c r="F42231" s="13"/>
      <c r="M42231" s="13"/>
    </row>
    <row r="42232">
      <c r="F42232" s="13"/>
      <c r="M42232" s="13"/>
    </row>
    <row r="42233">
      <c r="F42233" s="13"/>
      <c r="M42233" s="13"/>
    </row>
    <row r="42234">
      <c r="F42234" s="13"/>
      <c r="M42234" s="13"/>
    </row>
    <row r="42235">
      <c r="F42235" s="13"/>
      <c r="M42235" s="13"/>
    </row>
    <row r="42236">
      <c r="F42236" s="13"/>
      <c r="M42236" s="13"/>
    </row>
    <row r="42237">
      <c r="F42237" s="13"/>
      <c r="M42237" s="13"/>
    </row>
    <row r="42238">
      <c r="F42238" s="13"/>
      <c r="M42238" s="13"/>
    </row>
    <row r="42239">
      <c r="F42239" s="13"/>
      <c r="M42239" s="13"/>
    </row>
    <row r="42240">
      <c r="F42240" s="13"/>
      <c r="M42240" s="13"/>
    </row>
    <row r="42241">
      <c r="F42241" s="13"/>
      <c r="M42241" s="13"/>
    </row>
    <row r="42242">
      <c r="F42242" s="13"/>
      <c r="M42242" s="13"/>
    </row>
    <row r="42243">
      <c r="F42243" s="13"/>
      <c r="M42243" s="13"/>
    </row>
    <row r="42244">
      <c r="F42244" s="13"/>
      <c r="M42244" s="13"/>
    </row>
    <row r="42245">
      <c r="F42245" s="13"/>
      <c r="M42245" s="13"/>
    </row>
    <row r="42246">
      <c r="F42246" s="13"/>
      <c r="M42246" s="13"/>
    </row>
    <row r="42247">
      <c r="F42247" s="13"/>
      <c r="M42247" s="13"/>
    </row>
    <row r="42248">
      <c r="F42248" s="13"/>
      <c r="M42248" s="13"/>
    </row>
    <row r="42249">
      <c r="F42249" s="13"/>
      <c r="M42249" s="13"/>
    </row>
    <row r="42250">
      <c r="F42250" s="13"/>
      <c r="M42250" s="13"/>
    </row>
    <row r="42251">
      <c r="F42251" s="13"/>
      <c r="M42251" s="13"/>
    </row>
    <row r="42252">
      <c r="F42252" s="13"/>
      <c r="M42252" s="13"/>
    </row>
    <row r="42253">
      <c r="F42253" s="13"/>
      <c r="M42253" s="13"/>
    </row>
    <row r="42254">
      <c r="F42254" s="13"/>
      <c r="M42254" s="13"/>
    </row>
    <row r="42255">
      <c r="F42255" s="13"/>
      <c r="M42255" s="13"/>
    </row>
    <row r="42256">
      <c r="F42256" s="13"/>
      <c r="M42256" s="13"/>
    </row>
    <row r="42257">
      <c r="F42257" s="13"/>
      <c r="M42257" s="13"/>
    </row>
    <row r="42258">
      <c r="F42258" s="13"/>
      <c r="M42258" s="13"/>
    </row>
    <row r="42259">
      <c r="F42259" s="13"/>
      <c r="M42259" s="13"/>
    </row>
    <row r="42260">
      <c r="F42260" s="13"/>
      <c r="M42260" s="13"/>
    </row>
    <row r="42261">
      <c r="F42261" s="13"/>
      <c r="M42261" s="13"/>
    </row>
    <row r="42262">
      <c r="F42262" s="13"/>
      <c r="M42262" s="13"/>
    </row>
    <row r="42263">
      <c r="F42263" s="13"/>
      <c r="M42263" s="13"/>
    </row>
    <row r="42264">
      <c r="F42264" s="13"/>
      <c r="M42264" s="13"/>
    </row>
    <row r="42265">
      <c r="F42265" s="13"/>
      <c r="M42265" s="13"/>
    </row>
    <row r="42266">
      <c r="F42266" s="13"/>
      <c r="M42266" s="13"/>
    </row>
    <row r="42267">
      <c r="F42267" s="13"/>
      <c r="M42267" s="13"/>
    </row>
    <row r="42268">
      <c r="F42268" s="13"/>
      <c r="M42268" s="13"/>
    </row>
    <row r="42269">
      <c r="F42269" s="13"/>
      <c r="M42269" s="13"/>
    </row>
    <row r="42270">
      <c r="F42270" s="13"/>
      <c r="M42270" s="13"/>
    </row>
    <row r="42271">
      <c r="F42271" s="13"/>
      <c r="M42271" s="13"/>
    </row>
    <row r="42272">
      <c r="F42272" s="13"/>
      <c r="M42272" s="13"/>
    </row>
    <row r="42273">
      <c r="F42273" s="13"/>
      <c r="M42273" s="13"/>
    </row>
    <row r="42274">
      <c r="F42274" s="13"/>
      <c r="M42274" s="13"/>
    </row>
    <row r="42275">
      <c r="F42275" s="13"/>
      <c r="M42275" s="13"/>
    </row>
    <row r="42276">
      <c r="F42276" s="13"/>
      <c r="M42276" s="13"/>
    </row>
    <row r="42277">
      <c r="F42277" s="13"/>
      <c r="M42277" s="13"/>
    </row>
    <row r="42278">
      <c r="F42278" s="13"/>
      <c r="M42278" s="13"/>
    </row>
    <row r="42279">
      <c r="F42279" s="13"/>
      <c r="M42279" s="13"/>
    </row>
    <row r="42280">
      <c r="F42280" s="13"/>
      <c r="M42280" s="13"/>
    </row>
    <row r="42281">
      <c r="F42281" s="13"/>
      <c r="M42281" s="13"/>
    </row>
    <row r="42282">
      <c r="F42282" s="13"/>
      <c r="M42282" s="13"/>
    </row>
    <row r="42283">
      <c r="F42283" s="13"/>
      <c r="M42283" s="13"/>
    </row>
    <row r="42284">
      <c r="F42284" s="13"/>
      <c r="M42284" s="13"/>
    </row>
    <row r="42285">
      <c r="F42285" s="13"/>
      <c r="M42285" s="13"/>
    </row>
    <row r="42286">
      <c r="F42286" s="13"/>
      <c r="M42286" s="13"/>
    </row>
    <row r="42287">
      <c r="F42287" s="13"/>
      <c r="M42287" s="13"/>
    </row>
    <row r="42288">
      <c r="F42288" s="13"/>
      <c r="M42288" s="13"/>
    </row>
    <row r="42289">
      <c r="F42289" s="13"/>
      <c r="M42289" s="13"/>
    </row>
    <row r="42290">
      <c r="F42290" s="13"/>
      <c r="M42290" s="13"/>
    </row>
    <row r="42291">
      <c r="F42291" s="13"/>
      <c r="M42291" s="13"/>
    </row>
    <row r="42292">
      <c r="F42292" s="13"/>
      <c r="M42292" s="13"/>
    </row>
    <row r="42293">
      <c r="F42293" s="13"/>
      <c r="M42293" s="13"/>
    </row>
    <row r="42294">
      <c r="F42294" s="13"/>
      <c r="M42294" s="13"/>
    </row>
    <row r="42295">
      <c r="F42295" s="13"/>
      <c r="M42295" s="13"/>
    </row>
    <row r="42296">
      <c r="F42296" s="13"/>
      <c r="M42296" s="13"/>
    </row>
    <row r="42297">
      <c r="F42297" s="13"/>
      <c r="M42297" s="13"/>
    </row>
    <row r="42298">
      <c r="F42298" s="13"/>
      <c r="M42298" s="13"/>
    </row>
    <row r="42299">
      <c r="F42299" s="13"/>
      <c r="M42299" s="13"/>
    </row>
    <row r="42300">
      <c r="F42300" s="13"/>
      <c r="M42300" s="13"/>
    </row>
    <row r="42301">
      <c r="F42301" s="13"/>
      <c r="M42301" s="13"/>
    </row>
    <row r="42302">
      <c r="F42302" s="13"/>
      <c r="M42302" s="13"/>
    </row>
    <row r="42303">
      <c r="F42303" s="13"/>
      <c r="M42303" s="13"/>
    </row>
    <row r="42304">
      <c r="F42304" s="13"/>
      <c r="M42304" s="13"/>
    </row>
    <row r="42305">
      <c r="F42305" s="13"/>
      <c r="M42305" s="13"/>
    </row>
    <row r="42306">
      <c r="F42306" s="13"/>
      <c r="M42306" s="13"/>
    </row>
    <row r="42307">
      <c r="F42307" s="13"/>
      <c r="M42307" s="13"/>
    </row>
    <row r="42308">
      <c r="F42308" s="13"/>
      <c r="M42308" s="13"/>
    </row>
    <row r="42309">
      <c r="F42309" s="13"/>
      <c r="M42309" s="13"/>
    </row>
    <row r="42310">
      <c r="F42310" s="13"/>
      <c r="M42310" s="13"/>
    </row>
    <row r="42311">
      <c r="F42311" s="13"/>
      <c r="M42311" s="13"/>
    </row>
    <row r="42312">
      <c r="F42312" s="13"/>
      <c r="M42312" s="13"/>
    </row>
    <row r="42313">
      <c r="F42313" s="13"/>
      <c r="M42313" s="13"/>
    </row>
    <row r="42314">
      <c r="F42314" s="13"/>
      <c r="M42314" s="13"/>
    </row>
    <row r="42315">
      <c r="F42315" s="13"/>
      <c r="M42315" s="13"/>
    </row>
    <row r="42316">
      <c r="F42316" s="13"/>
      <c r="M42316" s="13"/>
    </row>
    <row r="42317">
      <c r="F42317" s="13"/>
      <c r="M42317" s="13"/>
    </row>
    <row r="42318">
      <c r="F42318" s="13"/>
      <c r="M42318" s="13"/>
    </row>
    <row r="42319">
      <c r="F42319" s="13"/>
      <c r="M42319" s="13"/>
    </row>
    <row r="42320">
      <c r="F42320" s="13"/>
      <c r="M42320" s="13"/>
    </row>
    <row r="42321">
      <c r="F42321" s="13"/>
      <c r="M42321" s="13"/>
    </row>
    <row r="42322">
      <c r="F42322" s="13"/>
      <c r="M42322" s="13"/>
    </row>
    <row r="42323">
      <c r="F42323" s="13"/>
      <c r="M42323" s="13"/>
    </row>
    <row r="42324">
      <c r="F42324" s="13"/>
      <c r="M42324" s="13"/>
    </row>
    <row r="42325">
      <c r="F42325" s="13"/>
      <c r="M42325" s="13"/>
    </row>
    <row r="42326">
      <c r="F42326" s="13"/>
      <c r="M42326" s="13"/>
    </row>
    <row r="42327">
      <c r="F42327" s="13"/>
      <c r="M42327" s="13"/>
    </row>
    <row r="42328">
      <c r="F42328" s="13"/>
      <c r="M42328" s="13"/>
    </row>
    <row r="42329">
      <c r="F42329" s="13"/>
      <c r="M42329" s="13"/>
    </row>
    <row r="42330">
      <c r="F42330" s="13"/>
      <c r="M42330" s="13"/>
    </row>
    <row r="42331">
      <c r="F42331" s="13"/>
      <c r="M42331" s="13"/>
    </row>
    <row r="42332">
      <c r="F42332" s="13"/>
      <c r="M42332" s="13"/>
    </row>
    <row r="42333">
      <c r="F42333" s="13"/>
      <c r="M42333" s="13"/>
    </row>
    <row r="42334">
      <c r="F42334" s="13"/>
      <c r="M42334" s="13"/>
    </row>
    <row r="42335">
      <c r="F42335" s="13"/>
      <c r="M42335" s="13"/>
    </row>
    <row r="42336">
      <c r="F42336" s="13"/>
      <c r="M42336" s="13"/>
    </row>
    <row r="42337">
      <c r="F42337" s="13"/>
      <c r="M42337" s="13"/>
    </row>
    <row r="42338">
      <c r="F42338" s="13"/>
      <c r="M42338" s="13"/>
    </row>
    <row r="42339">
      <c r="F42339" s="13"/>
      <c r="M42339" s="13"/>
    </row>
    <row r="42340">
      <c r="F42340" s="13"/>
      <c r="M42340" s="13"/>
    </row>
    <row r="42341">
      <c r="F42341" s="13"/>
      <c r="M42341" s="13"/>
    </row>
    <row r="42342">
      <c r="F42342" s="13"/>
      <c r="M42342" s="13"/>
    </row>
    <row r="42343">
      <c r="F42343" s="13"/>
      <c r="M42343" s="13"/>
    </row>
    <row r="42344">
      <c r="F42344" s="13"/>
      <c r="M42344" s="13"/>
    </row>
    <row r="42345">
      <c r="F42345" s="13"/>
      <c r="M42345" s="13"/>
    </row>
    <row r="42346">
      <c r="F42346" s="13"/>
      <c r="M42346" s="13"/>
    </row>
    <row r="42347">
      <c r="F42347" s="13"/>
      <c r="M42347" s="13"/>
    </row>
    <row r="42348">
      <c r="F42348" s="13"/>
      <c r="M42348" s="13"/>
    </row>
    <row r="42349">
      <c r="F42349" s="13"/>
      <c r="M42349" s="13"/>
    </row>
    <row r="42350">
      <c r="F42350" s="13"/>
      <c r="M42350" s="13"/>
    </row>
    <row r="42351">
      <c r="F42351" s="13"/>
      <c r="M42351" s="13"/>
    </row>
    <row r="42352">
      <c r="F42352" s="13"/>
      <c r="M42352" s="13"/>
    </row>
    <row r="42353">
      <c r="F42353" s="13"/>
      <c r="M42353" s="13"/>
    </row>
    <row r="42354">
      <c r="F42354" s="13"/>
      <c r="M42354" s="13"/>
    </row>
    <row r="42355">
      <c r="F42355" s="13"/>
      <c r="M42355" s="13"/>
    </row>
    <row r="42356">
      <c r="F42356" s="13"/>
      <c r="M42356" s="13"/>
    </row>
    <row r="42357">
      <c r="F42357" s="13"/>
      <c r="M42357" s="13"/>
    </row>
    <row r="42358">
      <c r="F42358" s="13"/>
      <c r="M42358" s="13"/>
    </row>
    <row r="42359">
      <c r="F42359" s="13"/>
      <c r="M42359" s="13"/>
    </row>
    <row r="42360">
      <c r="F42360" s="13"/>
      <c r="M42360" s="13"/>
    </row>
    <row r="42361">
      <c r="F42361" s="13"/>
      <c r="M42361" s="13"/>
    </row>
    <row r="42362">
      <c r="F42362" s="13"/>
      <c r="M42362" s="13"/>
    </row>
    <row r="42363">
      <c r="F42363" s="13"/>
      <c r="M42363" s="13"/>
    </row>
    <row r="42364">
      <c r="F42364" s="13"/>
      <c r="M42364" s="13"/>
    </row>
    <row r="42365">
      <c r="F42365" s="13"/>
      <c r="M42365" s="13"/>
    </row>
    <row r="42366">
      <c r="F42366" s="13"/>
      <c r="M42366" s="13"/>
    </row>
    <row r="42367">
      <c r="F42367" s="13"/>
      <c r="M42367" s="13"/>
    </row>
    <row r="42368">
      <c r="F42368" s="13"/>
      <c r="M42368" s="13"/>
    </row>
    <row r="42369">
      <c r="F42369" s="13"/>
      <c r="M42369" s="13"/>
    </row>
    <row r="42370">
      <c r="F42370" s="13"/>
      <c r="M42370" s="13"/>
    </row>
    <row r="42371">
      <c r="F42371" s="13"/>
      <c r="M42371" s="13"/>
    </row>
    <row r="42372">
      <c r="F42372" s="13"/>
      <c r="M42372" s="13"/>
    </row>
    <row r="42373">
      <c r="F42373" s="13"/>
      <c r="M42373" s="13"/>
    </row>
    <row r="42374">
      <c r="F42374" s="13"/>
      <c r="M42374" s="13"/>
    </row>
    <row r="42375">
      <c r="F42375" s="13"/>
      <c r="M42375" s="13"/>
    </row>
    <row r="42376">
      <c r="F42376" s="13"/>
      <c r="M42376" s="13"/>
    </row>
    <row r="42377">
      <c r="F42377" s="13"/>
      <c r="M42377" s="13"/>
    </row>
    <row r="42378">
      <c r="F42378" s="13"/>
      <c r="M42378" s="13"/>
    </row>
    <row r="42379">
      <c r="F42379" s="13"/>
      <c r="M42379" s="13"/>
    </row>
    <row r="42380">
      <c r="F42380" s="13"/>
      <c r="M42380" s="13"/>
    </row>
    <row r="42381">
      <c r="F42381" s="13"/>
      <c r="M42381" s="13"/>
    </row>
    <row r="42382">
      <c r="F42382" s="13"/>
      <c r="M42382" s="13"/>
    </row>
    <row r="42383">
      <c r="F42383" s="13"/>
      <c r="M42383" s="13"/>
    </row>
    <row r="42384">
      <c r="F42384" s="13"/>
      <c r="M42384" s="13"/>
    </row>
    <row r="42385">
      <c r="F42385" s="13"/>
      <c r="M42385" s="13"/>
    </row>
    <row r="42386">
      <c r="F42386" s="13"/>
      <c r="M42386" s="13"/>
    </row>
    <row r="42387">
      <c r="F42387" s="13"/>
      <c r="M42387" s="13"/>
    </row>
    <row r="42388">
      <c r="F42388" s="13"/>
      <c r="M42388" s="13"/>
    </row>
    <row r="42389">
      <c r="F42389" s="13"/>
      <c r="M42389" s="13"/>
    </row>
    <row r="42390">
      <c r="F42390" s="13"/>
      <c r="M42390" s="13"/>
    </row>
    <row r="42391">
      <c r="F42391" s="13"/>
      <c r="M42391" s="13"/>
    </row>
    <row r="42392">
      <c r="F42392" s="13"/>
      <c r="M42392" s="13"/>
    </row>
    <row r="42393">
      <c r="F42393" s="13"/>
      <c r="M42393" s="13"/>
    </row>
    <row r="42394">
      <c r="F42394" s="13"/>
      <c r="M42394" s="13"/>
    </row>
    <row r="42395">
      <c r="F42395" s="13"/>
      <c r="M42395" s="13"/>
    </row>
    <row r="42396">
      <c r="F42396" s="13"/>
      <c r="M42396" s="13"/>
    </row>
    <row r="42397">
      <c r="F42397" s="13"/>
      <c r="M42397" s="13"/>
    </row>
    <row r="42398">
      <c r="F42398" s="13"/>
      <c r="M42398" s="13"/>
    </row>
    <row r="42399">
      <c r="F42399" s="13"/>
      <c r="M42399" s="13"/>
    </row>
    <row r="42400">
      <c r="F42400" s="13"/>
      <c r="M42400" s="13"/>
    </row>
    <row r="42401">
      <c r="F42401" s="13"/>
      <c r="M42401" s="13"/>
    </row>
    <row r="42402">
      <c r="F42402" s="13"/>
      <c r="M42402" s="13"/>
    </row>
    <row r="42403">
      <c r="F42403" s="13"/>
      <c r="M42403" s="13"/>
    </row>
    <row r="42404">
      <c r="F42404" s="13"/>
      <c r="M42404" s="13"/>
    </row>
    <row r="42405">
      <c r="F42405" s="13"/>
      <c r="M42405" s="13"/>
    </row>
    <row r="42406">
      <c r="F42406" s="13"/>
      <c r="M42406" s="13"/>
    </row>
    <row r="42407">
      <c r="F42407" s="13"/>
      <c r="M42407" s="13"/>
    </row>
    <row r="42408">
      <c r="F42408" s="13"/>
      <c r="M42408" s="13"/>
    </row>
    <row r="42409">
      <c r="F42409" s="13"/>
      <c r="M42409" s="13"/>
    </row>
    <row r="42410">
      <c r="F42410" s="13"/>
      <c r="M42410" s="13"/>
    </row>
    <row r="42411">
      <c r="F42411" s="13"/>
      <c r="M42411" s="13"/>
    </row>
    <row r="42412">
      <c r="F42412" s="13"/>
      <c r="M42412" s="13"/>
    </row>
    <row r="42413">
      <c r="F42413" s="13"/>
      <c r="M42413" s="13"/>
    </row>
    <row r="42414">
      <c r="F42414" s="13"/>
      <c r="M42414" s="13"/>
    </row>
    <row r="42415">
      <c r="F42415" s="13"/>
      <c r="M42415" s="13"/>
    </row>
    <row r="42416">
      <c r="F42416" s="13"/>
      <c r="M42416" s="13"/>
    </row>
    <row r="42417">
      <c r="F42417" s="13"/>
      <c r="M42417" s="13"/>
    </row>
    <row r="42418">
      <c r="F42418" s="13"/>
      <c r="M42418" s="13"/>
    </row>
    <row r="42419">
      <c r="F42419" s="13"/>
      <c r="M42419" s="13"/>
    </row>
    <row r="42420">
      <c r="F42420" s="13"/>
      <c r="M42420" s="13"/>
    </row>
    <row r="42421">
      <c r="F42421" s="13"/>
      <c r="M42421" s="13"/>
    </row>
    <row r="42422">
      <c r="F42422" s="13"/>
      <c r="M42422" s="13"/>
    </row>
    <row r="42423">
      <c r="F42423" s="13"/>
      <c r="M42423" s="13"/>
    </row>
    <row r="42424">
      <c r="F42424" s="13"/>
      <c r="M42424" s="13"/>
    </row>
    <row r="42425">
      <c r="F42425" s="13"/>
      <c r="M42425" s="13"/>
    </row>
    <row r="42426">
      <c r="F42426" s="13"/>
      <c r="M42426" s="13"/>
    </row>
    <row r="42427">
      <c r="F42427" s="13"/>
      <c r="M42427" s="13"/>
    </row>
    <row r="42428">
      <c r="F42428" s="13"/>
      <c r="M42428" s="13"/>
    </row>
    <row r="42429">
      <c r="F42429" s="13"/>
      <c r="M42429" s="13"/>
    </row>
    <row r="42430">
      <c r="F42430" s="13"/>
      <c r="M42430" s="13"/>
    </row>
    <row r="42431">
      <c r="F42431" s="13"/>
      <c r="M42431" s="13"/>
    </row>
    <row r="42432">
      <c r="F42432" s="13"/>
      <c r="M42432" s="13"/>
    </row>
    <row r="42433">
      <c r="F42433" s="13"/>
      <c r="M42433" s="13"/>
    </row>
    <row r="42434">
      <c r="F42434" s="13"/>
      <c r="M42434" s="13"/>
    </row>
    <row r="42435">
      <c r="F42435" s="13"/>
      <c r="M42435" s="13"/>
    </row>
    <row r="42436">
      <c r="F42436" s="13"/>
      <c r="M42436" s="13"/>
    </row>
    <row r="42437">
      <c r="F42437" s="13"/>
      <c r="M42437" s="13"/>
    </row>
    <row r="42438">
      <c r="F42438" s="13"/>
      <c r="M42438" s="13"/>
    </row>
    <row r="42439">
      <c r="F42439" s="13"/>
      <c r="M42439" s="13"/>
    </row>
    <row r="42440">
      <c r="F42440" s="13"/>
      <c r="M42440" s="13"/>
    </row>
    <row r="42441">
      <c r="F42441" s="13"/>
      <c r="M42441" s="13"/>
    </row>
    <row r="42442">
      <c r="F42442" s="13"/>
      <c r="M42442" s="13"/>
    </row>
    <row r="42443">
      <c r="F42443" s="13"/>
      <c r="M42443" s="13"/>
    </row>
    <row r="42444">
      <c r="F42444" s="13"/>
      <c r="M42444" s="13"/>
    </row>
    <row r="42445">
      <c r="F42445" s="13"/>
      <c r="M42445" s="13"/>
    </row>
    <row r="42446">
      <c r="F42446" s="13"/>
      <c r="M42446" s="13"/>
    </row>
    <row r="42447">
      <c r="F42447" s="13"/>
      <c r="M42447" s="13"/>
    </row>
    <row r="42448">
      <c r="F42448" s="13"/>
      <c r="M42448" s="13"/>
    </row>
    <row r="42449">
      <c r="F42449" s="13"/>
      <c r="M42449" s="13"/>
    </row>
    <row r="42450">
      <c r="F42450" s="13"/>
      <c r="M42450" s="13"/>
    </row>
    <row r="42451">
      <c r="F42451" s="13"/>
      <c r="M42451" s="13"/>
    </row>
    <row r="42452">
      <c r="F42452" s="13"/>
      <c r="M42452" s="13"/>
    </row>
    <row r="42453">
      <c r="F42453" s="13"/>
      <c r="M42453" s="13"/>
    </row>
    <row r="42454">
      <c r="F42454" s="13"/>
      <c r="M42454" s="13"/>
    </row>
    <row r="42455">
      <c r="F42455" s="13"/>
      <c r="M42455" s="13"/>
    </row>
    <row r="42456">
      <c r="F42456" s="13"/>
      <c r="M42456" s="13"/>
    </row>
    <row r="42457">
      <c r="F42457" s="13"/>
      <c r="M42457" s="13"/>
    </row>
    <row r="42458">
      <c r="F42458" s="13"/>
      <c r="M42458" s="13"/>
    </row>
    <row r="42459">
      <c r="F42459" s="13"/>
      <c r="M42459" s="13"/>
    </row>
    <row r="42460">
      <c r="F42460" s="13"/>
      <c r="M42460" s="13"/>
    </row>
    <row r="42461">
      <c r="F42461" s="13"/>
      <c r="M42461" s="13"/>
    </row>
    <row r="42462">
      <c r="F42462" s="13"/>
      <c r="M42462" s="13"/>
    </row>
    <row r="42463">
      <c r="F42463" s="13"/>
      <c r="M42463" s="13"/>
    </row>
    <row r="42464">
      <c r="F42464" s="13"/>
      <c r="M42464" s="13"/>
    </row>
    <row r="42465">
      <c r="F42465" s="13"/>
      <c r="M42465" s="13"/>
    </row>
    <row r="42466">
      <c r="F42466" s="13"/>
      <c r="M42466" s="13"/>
    </row>
    <row r="42467">
      <c r="F42467" s="13"/>
      <c r="M42467" s="13"/>
    </row>
    <row r="42468">
      <c r="F42468" s="13"/>
      <c r="M42468" s="13"/>
    </row>
    <row r="42469">
      <c r="F42469" s="13"/>
      <c r="M42469" s="13"/>
    </row>
    <row r="42470">
      <c r="F42470" s="13"/>
      <c r="M42470" s="13"/>
    </row>
    <row r="42471">
      <c r="F42471" s="13"/>
      <c r="M42471" s="13"/>
    </row>
    <row r="42472">
      <c r="F42472" s="13"/>
      <c r="M42472" s="13"/>
    </row>
    <row r="42473">
      <c r="F42473" s="13"/>
      <c r="M42473" s="13"/>
    </row>
    <row r="42474">
      <c r="F42474" s="13"/>
      <c r="M42474" s="13"/>
    </row>
    <row r="42475">
      <c r="F42475" s="13"/>
      <c r="M42475" s="13"/>
    </row>
    <row r="42476">
      <c r="F42476" s="13"/>
      <c r="M42476" s="13"/>
    </row>
    <row r="42477">
      <c r="F42477" s="13"/>
      <c r="M42477" s="13"/>
    </row>
    <row r="42478">
      <c r="F42478" s="13"/>
      <c r="M42478" s="13"/>
    </row>
    <row r="42479">
      <c r="F42479" s="13"/>
      <c r="M42479" s="13"/>
    </row>
    <row r="42480">
      <c r="F42480" s="13"/>
      <c r="M42480" s="13"/>
    </row>
    <row r="42481">
      <c r="F42481" s="13"/>
      <c r="M42481" s="13"/>
    </row>
    <row r="42482">
      <c r="F42482" s="13"/>
      <c r="M42482" s="13"/>
    </row>
    <row r="42483">
      <c r="F42483" s="13"/>
      <c r="M42483" s="13"/>
    </row>
    <row r="42484">
      <c r="F42484" s="13"/>
      <c r="M42484" s="13"/>
    </row>
    <row r="42485">
      <c r="F42485" s="13"/>
      <c r="M42485" s="13"/>
    </row>
    <row r="42486">
      <c r="F42486" s="13"/>
      <c r="M42486" s="13"/>
    </row>
    <row r="42487">
      <c r="F42487" s="13"/>
      <c r="M42487" s="13"/>
    </row>
    <row r="42488">
      <c r="F42488" s="13"/>
      <c r="M42488" s="13"/>
    </row>
    <row r="42489">
      <c r="F42489" s="13"/>
      <c r="M42489" s="13"/>
    </row>
    <row r="42490">
      <c r="F42490" s="13"/>
      <c r="M42490" s="13"/>
    </row>
    <row r="42491">
      <c r="F42491" s="13"/>
      <c r="M42491" s="13"/>
    </row>
    <row r="42492">
      <c r="F42492" s="13"/>
      <c r="M42492" s="13"/>
    </row>
    <row r="42493">
      <c r="F42493" s="13"/>
      <c r="M42493" s="13"/>
    </row>
    <row r="42494">
      <c r="F42494" s="13"/>
      <c r="M42494" s="13"/>
    </row>
    <row r="42495">
      <c r="F42495" s="13"/>
      <c r="M42495" s="13"/>
    </row>
    <row r="42496">
      <c r="F42496" s="13"/>
      <c r="M42496" s="13"/>
    </row>
    <row r="42497">
      <c r="F42497" s="13"/>
      <c r="M42497" s="13"/>
    </row>
    <row r="42498">
      <c r="F42498" s="13"/>
      <c r="M42498" s="13"/>
    </row>
    <row r="42499">
      <c r="F42499" s="13"/>
      <c r="M42499" s="13"/>
    </row>
    <row r="42500">
      <c r="F42500" s="13"/>
      <c r="M42500" s="13"/>
    </row>
    <row r="42501">
      <c r="F42501" s="13"/>
      <c r="M42501" s="13"/>
    </row>
    <row r="42502">
      <c r="F42502" s="13"/>
      <c r="M42502" s="13"/>
    </row>
    <row r="42503">
      <c r="F42503" s="13"/>
      <c r="M42503" s="13"/>
    </row>
    <row r="42504">
      <c r="F42504" s="13"/>
      <c r="M42504" s="13"/>
    </row>
    <row r="42505">
      <c r="F42505" s="13"/>
      <c r="M42505" s="13"/>
    </row>
    <row r="42506">
      <c r="F42506" s="13"/>
      <c r="M42506" s="13"/>
    </row>
    <row r="42507">
      <c r="F42507" s="13"/>
      <c r="M42507" s="13"/>
    </row>
    <row r="42508">
      <c r="F42508" s="13"/>
      <c r="M42508" s="13"/>
    </row>
    <row r="42509">
      <c r="F42509" s="13"/>
      <c r="M42509" s="13"/>
    </row>
    <row r="42510">
      <c r="F42510" s="13"/>
      <c r="M42510" s="13"/>
    </row>
    <row r="42511">
      <c r="F42511" s="13"/>
      <c r="M42511" s="13"/>
    </row>
    <row r="42512">
      <c r="F42512" s="13"/>
      <c r="M42512" s="13"/>
    </row>
    <row r="42513">
      <c r="F42513" s="13"/>
      <c r="M42513" s="13"/>
    </row>
    <row r="42514">
      <c r="F42514" s="13"/>
      <c r="M42514" s="13"/>
    </row>
    <row r="42515">
      <c r="F42515" s="13"/>
      <c r="M42515" s="13"/>
    </row>
    <row r="42516">
      <c r="F42516" s="13"/>
      <c r="M42516" s="13"/>
    </row>
    <row r="42517">
      <c r="F42517" s="13"/>
      <c r="M42517" s="13"/>
    </row>
    <row r="42518">
      <c r="F42518" s="13"/>
      <c r="M42518" s="13"/>
    </row>
    <row r="42519">
      <c r="F42519" s="13"/>
      <c r="M42519" s="13"/>
    </row>
    <row r="42520">
      <c r="F42520" s="13"/>
      <c r="M42520" s="13"/>
    </row>
    <row r="42521">
      <c r="F42521" s="13"/>
      <c r="M42521" s="13"/>
    </row>
    <row r="42522">
      <c r="F42522" s="13"/>
      <c r="M42522" s="13"/>
    </row>
    <row r="42523">
      <c r="F42523" s="13"/>
      <c r="M42523" s="13"/>
    </row>
    <row r="42524">
      <c r="F42524" s="13"/>
      <c r="M42524" s="13"/>
    </row>
    <row r="42525">
      <c r="F42525" s="13"/>
      <c r="M42525" s="13"/>
    </row>
    <row r="42526">
      <c r="F42526" s="13"/>
      <c r="M42526" s="13"/>
    </row>
    <row r="42527">
      <c r="F42527" s="13"/>
      <c r="M42527" s="13"/>
    </row>
    <row r="42528">
      <c r="F42528" s="13"/>
      <c r="M42528" s="13"/>
    </row>
    <row r="42529">
      <c r="F42529" s="13"/>
      <c r="M42529" s="13"/>
    </row>
    <row r="42530">
      <c r="F42530" s="13"/>
      <c r="M42530" s="13"/>
    </row>
    <row r="42531">
      <c r="F42531" s="13"/>
      <c r="M42531" s="13"/>
    </row>
    <row r="42532">
      <c r="F42532" s="13"/>
      <c r="M42532" s="13"/>
    </row>
    <row r="42533">
      <c r="F42533" s="13"/>
      <c r="M42533" s="13"/>
    </row>
    <row r="42534">
      <c r="F42534" s="13"/>
      <c r="M42534" s="13"/>
    </row>
    <row r="42535">
      <c r="F42535" s="13"/>
      <c r="M42535" s="13"/>
    </row>
    <row r="42536">
      <c r="F42536" s="13"/>
      <c r="M42536" s="13"/>
    </row>
    <row r="42537">
      <c r="F42537" s="13"/>
      <c r="M42537" s="13"/>
    </row>
    <row r="42538">
      <c r="F42538" s="13"/>
      <c r="M42538" s="13"/>
    </row>
    <row r="42539">
      <c r="F42539" s="13"/>
      <c r="M42539" s="13"/>
    </row>
    <row r="42540">
      <c r="F42540" s="13"/>
      <c r="M42540" s="13"/>
    </row>
    <row r="42541">
      <c r="F42541" s="13"/>
      <c r="M42541" s="13"/>
    </row>
    <row r="42542">
      <c r="F42542" s="13"/>
      <c r="M42542" s="13"/>
    </row>
    <row r="42543">
      <c r="F42543" s="13"/>
      <c r="M42543" s="13"/>
    </row>
    <row r="42544">
      <c r="F42544" s="13"/>
      <c r="M42544" s="13"/>
    </row>
    <row r="42545">
      <c r="F42545" s="13"/>
      <c r="M42545" s="13"/>
    </row>
    <row r="42546">
      <c r="F42546" s="13"/>
      <c r="M42546" s="13"/>
    </row>
    <row r="42547">
      <c r="F42547" s="13"/>
      <c r="M42547" s="13"/>
    </row>
    <row r="42548">
      <c r="F42548" s="13"/>
      <c r="M42548" s="13"/>
    </row>
    <row r="42549">
      <c r="F42549" s="13"/>
      <c r="M42549" s="13"/>
    </row>
    <row r="42550">
      <c r="F42550" s="13"/>
      <c r="M42550" s="13"/>
    </row>
    <row r="42551">
      <c r="F42551" s="13"/>
      <c r="M42551" s="13"/>
    </row>
    <row r="42552">
      <c r="F42552" s="13"/>
      <c r="M42552" s="13"/>
    </row>
    <row r="42553">
      <c r="F42553" s="13"/>
      <c r="M42553" s="13"/>
    </row>
    <row r="42554">
      <c r="F42554" s="13"/>
      <c r="M42554" s="13"/>
    </row>
    <row r="42555">
      <c r="F42555" s="13"/>
      <c r="M42555" s="13"/>
    </row>
    <row r="42556">
      <c r="F42556" s="13"/>
      <c r="M42556" s="13"/>
    </row>
    <row r="42557">
      <c r="F42557" s="13"/>
      <c r="M42557" s="13"/>
    </row>
    <row r="42558">
      <c r="F42558" s="13"/>
      <c r="M42558" s="13"/>
    </row>
    <row r="42559">
      <c r="F42559" s="13"/>
      <c r="M42559" s="13"/>
    </row>
    <row r="42560">
      <c r="F42560" s="13"/>
      <c r="M42560" s="13"/>
    </row>
    <row r="42561">
      <c r="F42561" s="13"/>
      <c r="M42561" s="13"/>
    </row>
    <row r="42562">
      <c r="F42562" s="13"/>
      <c r="M42562" s="13"/>
    </row>
    <row r="42563">
      <c r="F42563" s="13"/>
      <c r="M42563" s="13"/>
    </row>
    <row r="42564">
      <c r="F42564" s="13"/>
      <c r="M42564" s="13"/>
    </row>
    <row r="42565">
      <c r="F42565" s="13"/>
      <c r="M42565" s="13"/>
    </row>
    <row r="42566">
      <c r="F42566" s="13"/>
      <c r="M42566" s="13"/>
    </row>
    <row r="42567">
      <c r="F42567" s="13"/>
      <c r="M42567" s="13"/>
    </row>
    <row r="42568">
      <c r="F42568" s="13"/>
      <c r="M42568" s="13"/>
    </row>
    <row r="42569">
      <c r="F42569" s="13"/>
      <c r="M42569" s="13"/>
    </row>
    <row r="42570">
      <c r="F42570" s="13"/>
      <c r="M42570" s="13"/>
    </row>
    <row r="42571">
      <c r="F42571" s="13"/>
      <c r="M42571" s="13"/>
    </row>
    <row r="42572">
      <c r="F42572" s="13"/>
      <c r="M42572" s="13"/>
    </row>
    <row r="42573">
      <c r="F42573" s="13"/>
      <c r="M42573" s="13"/>
    </row>
    <row r="42574">
      <c r="F42574" s="13"/>
      <c r="M42574" s="13"/>
    </row>
    <row r="42575">
      <c r="F42575" s="13"/>
      <c r="M42575" s="13"/>
    </row>
    <row r="42576">
      <c r="F42576" s="13"/>
      <c r="M42576" s="13"/>
    </row>
    <row r="42577">
      <c r="F42577" s="13"/>
      <c r="M42577" s="13"/>
    </row>
    <row r="42578">
      <c r="F42578" s="13"/>
      <c r="M42578" s="13"/>
    </row>
    <row r="42579">
      <c r="F42579" s="13"/>
      <c r="M42579" s="13"/>
    </row>
    <row r="42580">
      <c r="F42580" s="13"/>
      <c r="M42580" s="13"/>
    </row>
    <row r="42581">
      <c r="F42581" s="13"/>
      <c r="M42581" s="13"/>
    </row>
    <row r="42582">
      <c r="F42582" s="13"/>
      <c r="M42582" s="13"/>
    </row>
    <row r="42583">
      <c r="F42583" s="13"/>
      <c r="M42583" s="13"/>
    </row>
    <row r="42584">
      <c r="F42584" s="13"/>
      <c r="M42584" s="13"/>
    </row>
    <row r="42585">
      <c r="F42585" s="13"/>
      <c r="M42585" s="13"/>
    </row>
    <row r="42586">
      <c r="F42586" s="13"/>
      <c r="M42586" s="13"/>
    </row>
    <row r="42587">
      <c r="F42587" s="13"/>
      <c r="M42587" s="13"/>
    </row>
    <row r="42588">
      <c r="F42588" s="13"/>
      <c r="M42588" s="13"/>
    </row>
    <row r="42589">
      <c r="F42589" s="13"/>
      <c r="M42589" s="13"/>
    </row>
    <row r="42590">
      <c r="F42590" s="13"/>
      <c r="M42590" s="13"/>
    </row>
    <row r="42591">
      <c r="F42591" s="13"/>
      <c r="M42591" s="13"/>
    </row>
    <row r="42592">
      <c r="F42592" s="13"/>
      <c r="M42592" s="13"/>
    </row>
    <row r="42593">
      <c r="F42593" s="13"/>
      <c r="M42593" s="13"/>
    </row>
    <row r="42594">
      <c r="F42594" s="13"/>
      <c r="M42594" s="13"/>
    </row>
    <row r="42595">
      <c r="F42595" s="13"/>
      <c r="M42595" s="13"/>
    </row>
    <row r="42596">
      <c r="F42596" s="13"/>
      <c r="M42596" s="13"/>
    </row>
    <row r="42597">
      <c r="F42597" s="13"/>
      <c r="M42597" s="13"/>
    </row>
    <row r="42598">
      <c r="F42598" s="13"/>
      <c r="M42598" s="13"/>
    </row>
    <row r="42599">
      <c r="F42599" s="13"/>
      <c r="M42599" s="13"/>
    </row>
    <row r="42600">
      <c r="F42600" s="13"/>
      <c r="M42600" s="13"/>
    </row>
    <row r="42601">
      <c r="F42601" s="13"/>
      <c r="M42601" s="13"/>
    </row>
    <row r="42602">
      <c r="F42602" s="13"/>
      <c r="M42602" s="13"/>
    </row>
    <row r="42603">
      <c r="F42603" s="13"/>
      <c r="M42603" s="13"/>
    </row>
    <row r="42604">
      <c r="F42604" s="13"/>
      <c r="M42604" s="13"/>
    </row>
    <row r="42605">
      <c r="F42605" s="13"/>
      <c r="M42605" s="13"/>
    </row>
    <row r="42606">
      <c r="F42606" s="13"/>
      <c r="M42606" s="13"/>
    </row>
    <row r="42607">
      <c r="F42607" s="13"/>
      <c r="M42607" s="13"/>
    </row>
    <row r="42608">
      <c r="F42608" s="13"/>
      <c r="M42608" s="13"/>
    </row>
    <row r="42609">
      <c r="F42609" s="13"/>
      <c r="M42609" s="13"/>
    </row>
    <row r="42610">
      <c r="F42610" s="13"/>
      <c r="M42610" s="13"/>
    </row>
    <row r="42611">
      <c r="F42611" s="13"/>
      <c r="M42611" s="13"/>
    </row>
    <row r="42612">
      <c r="F42612" s="13"/>
      <c r="M42612" s="13"/>
    </row>
    <row r="42613">
      <c r="F42613" s="13"/>
      <c r="M42613" s="13"/>
    </row>
    <row r="42614">
      <c r="F42614" s="13"/>
      <c r="M42614" s="13"/>
    </row>
    <row r="42615">
      <c r="F42615" s="13"/>
      <c r="M42615" s="13"/>
    </row>
    <row r="42616">
      <c r="F42616" s="13"/>
      <c r="M42616" s="13"/>
    </row>
    <row r="42617">
      <c r="F42617" s="13"/>
      <c r="M42617" s="13"/>
    </row>
    <row r="42618">
      <c r="F42618" s="13"/>
      <c r="M42618" s="13"/>
    </row>
    <row r="42619">
      <c r="F42619" s="13"/>
      <c r="M42619" s="13"/>
    </row>
    <row r="42620">
      <c r="F42620" s="13"/>
      <c r="M42620" s="13"/>
    </row>
    <row r="42621">
      <c r="F42621" s="13"/>
      <c r="M42621" s="13"/>
    </row>
    <row r="42622">
      <c r="F42622" s="13"/>
      <c r="M42622" s="13"/>
    </row>
    <row r="42623">
      <c r="F42623" s="13"/>
      <c r="M42623" s="13"/>
    </row>
    <row r="42624">
      <c r="F42624" s="13"/>
      <c r="M42624" s="13"/>
    </row>
    <row r="42625">
      <c r="F42625" s="13"/>
      <c r="M42625" s="13"/>
    </row>
    <row r="42626">
      <c r="F42626" s="13"/>
      <c r="M42626" s="13"/>
    </row>
    <row r="42627">
      <c r="F42627" s="13"/>
      <c r="M42627" s="13"/>
    </row>
    <row r="42628">
      <c r="F42628" s="13"/>
      <c r="M42628" s="13"/>
    </row>
    <row r="42629">
      <c r="F42629" s="13"/>
      <c r="M42629" s="13"/>
    </row>
    <row r="42630">
      <c r="F42630" s="13"/>
      <c r="M42630" s="13"/>
    </row>
    <row r="42631">
      <c r="F42631" s="13"/>
      <c r="M42631" s="13"/>
    </row>
    <row r="42632">
      <c r="F42632" s="13"/>
      <c r="M42632" s="13"/>
    </row>
    <row r="42633">
      <c r="F42633" s="13"/>
      <c r="M42633" s="13"/>
    </row>
    <row r="42634">
      <c r="F42634" s="13"/>
      <c r="M42634" s="13"/>
    </row>
    <row r="42635">
      <c r="F42635" s="13"/>
      <c r="M42635" s="13"/>
    </row>
    <row r="42636">
      <c r="F42636" s="13"/>
      <c r="M42636" s="13"/>
    </row>
    <row r="42637">
      <c r="F42637" s="13"/>
      <c r="M42637" s="13"/>
    </row>
    <row r="42638">
      <c r="F42638" s="13"/>
      <c r="M42638" s="13"/>
    </row>
    <row r="42639">
      <c r="F42639" s="13"/>
      <c r="M42639" s="13"/>
    </row>
    <row r="42640">
      <c r="F42640" s="13"/>
      <c r="M42640" s="13"/>
    </row>
    <row r="42641">
      <c r="F42641" s="13"/>
      <c r="M42641" s="13"/>
    </row>
    <row r="42642">
      <c r="F42642" s="13"/>
      <c r="M42642" s="13"/>
    </row>
    <row r="42643">
      <c r="F42643" s="13"/>
      <c r="M42643" s="13"/>
    </row>
    <row r="42644">
      <c r="F42644" s="13"/>
      <c r="M42644" s="13"/>
    </row>
    <row r="42645">
      <c r="F42645" s="13"/>
      <c r="M42645" s="13"/>
    </row>
    <row r="42646">
      <c r="F42646" s="13"/>
      <c r="M42646" s="13"/>
    </row>
    <row r="42647">
      <c r="F42647" s="13"/>
      <c r="M42647" s="13"/>
    </row>
    <row r="42648">
      <c r="F42648" s="13"/>
      <c r="M42648" s="13"/>
    </row>
    <row r="42649">
      <c r="F42649" s="13"/>
      <c r="M42649" s="13"/>
    </row>
    <row r="42650">
      <c r="F42650" s="13"/>
      <c r="M42650" s="13"/>
    </row>
    <row r="42651">
      <c r="F42651" s="13"/>
      <c r="M42651" s="13"/>
    </row>
    <row r="42652">
      <c r="F42652" s="13"/>
      <c r="M42652" s="13"/>
    </row>
    <row r="42653">
      <c r="F42653" s="13"/>
      <c r="M42653" s="13"/>
    </row>
    <row r="42654">
      <c r="F42654" s="13"/>
      <c r="M42654" s="13"/>
    </row>
    <row r="42655">
      <c r="F42655" s="13"/>
      <c r="M42655" s="13"/>
    </row>
    <row r="42656">
      <c r="F42656" s="13"/>
      <c r="M42656" s="13"/>
    </row>
    <row r="42657">
      <c r="F42657" s="13"/>
      <c r="M42657" s="13"/>
    </row>
    <row r="42658">
      <c r="F42658" s="13"/>
      <c r="M42658" s="13"/>
    </row>
    <row r="42659">
      <c r="F42659" s="13"/>
      <c r="M42659" s="13"/>
    </row>
    <row r="42660">
      <c r="F42660" s="13"/>
      <c r="M42660" s="13"/>
    </row>
    <row r="42661">
      <c r="F42661" s="13"/>
      <c r="M42661" s="13"/>
    </row>
    <row r="42662">
      <c r="F42662" s="13"/>
      <c r="M42662" s="13"/>
    </row>
    <row r="42663">
      <c r="F42663" s="13"/>
      <c r="M42663" s="13"/>
    </row>
    <row r="42664">
      <c r="F42664" s="13"/>
      <c r="M42664" s="13"/>
    </row>
    <row r="42665">
      <c r="F42665" s="13"/>
      <c r="M42665" s="13"/>
    </row>
    <row r="42666">
      <c r="F42666" s="13"/>
      <c r="M42666" s="13"/>
    </row>
    <row r="42667">
      <c r="F42667" s="13"/>
      <c r="M42667" s="13"/>
    </row>
    <row r="42668">
      <c r="F42668" s="13"/>
      <c r="M42668" s="13"/>
    </row>
    <row r="42669">
      <c r="F42669" s="13"/>
      <c r="M42669" s="13"/>
    </row>
    <row r="42670">
      <c r="F42670" s="13"/>
      <c r="M42670" s="13"/>
    </row>
    <row r="42671">
      <c r="F42671" s="13"/>
      <c r="M42671" s="13"/>
    </row>
    <row r="42672">
      <c r="F42672" s="13"/>
      <c r="M42672" s="13"/>
    </row>
    <row r="42673">
      <c r="F42673" s="13"/>
      <c r="M42673" s="13"/>
    </row>
    <row r="42674">
      <c r="F42674" s="13"/>
      <c r="M42674" s="13"/>
    </row>
    <row r="42675">
      <c r="F42675" s="13"/>
      <c r="M42675" s="13"/>
    </row>
    <row r="42676">
      <c r="F42676" s="13"/>
      <c r="M42676" s="13"/>
    </row>
    <row r="42677">
      <c r="F42677" s="13"/>
      <c r="M42677" s="13"/>
    </row>
    <row r="42678">
      <c r="F42678" s="13"/>
      <c r="M42678" s="13"/>
    </row>
    <row r="42679">
      <c r="F42679" s="13"/>
      <c r="M42679" s="13"/>
    </row>
    <row r="42680">
      <c r="F42680" s="13"/>
      <c r="M42680" s="13"/>
    </row>
    <row r="42681">
      <c r="F42681" s="13"/>
      <c r="M42681" s="13"/>
    </row>
    <row r="42682">
      <c r="F42682" s="13"/>
      <c r="M42682" s="13"/>
    </row>
    <row r="42683">
      <c r="F42683" s="13"/>
      <c r="M42683" s="13"/>
    </row>
    <row r="42684">
      <c r="F42684" s="13"/>
      <c r="M42684" s="13"/>
    </row>
    <row r="42685">
      <c r="F42685" s="13"/>
      <c r="M42685" s="13"/>
    </row>
    <row r="42686">
      <c r="F42686" s="13"/>
      <c r="M42686" s="13"/>
    </row>
    <row r="42687">
      <c r="F42687" s="13"/>
      <c r="M42687" s="13"/>
    </row>
    <row r="42688">
      <c r="F42688" s="13"/>
      <c r="M42688" s="13"/>
    </row>
    <row r="42689">
      <c r="F42689" s="13"/>
      <c r="M42689" s="13"/>
    </row>
    <row r="42690">
      <c r="F42690" s="13"/>
      <c r="M42690" s="13"/>
    </row>
    <row r="42691">
      <c r="F42691" s="13"/>
      <c r="M42691" s="13"/>
    </row>
    <row r="42692">
      <c r="F42692" s="13"/>
      <c r="M42692" s="13"/>
    </row>
    <row r="42693">
      <c r="F42693" s="13"/>
      <c r="M42693" s="13"/>
    </row>
    <row r="42694">
      <c r="F42694" s="13"/>
      <c r="M42694" s="13"/>
    </row>
    <row r="42695">
      <c r="F42695" s="13"/>
      <c r="M42695" s="13"/>
    </row>
    <row r="42696">
      <c r="F42696" s="13"/>
      <c r="M42696" s="13"/>
    </row>
    <row r="42697">
      <c r="F42697" s="13"/>
      <c r="M42697" s="13"/>
    </row>
    <row r="42698">
      <c r="F42698" s="13"/>
      <c r="M42698" s="13"/>
    </row>
    <row r="42699">
      <c r="F42699" s="13"/>
      <c r="M42699" s="13"/>
    </row>
    <row r="42700">
      <c r="F42700" s="13"/>
      <c r="M42700" s="13"/>
    </row>
    <row r="42701">
      <c r="F42701" s="13"/>
      <c r="M42701" s="13"/>
    </row>
    <row r="42702">
      <c r="F42702" s="13"/>
      <c r="M42702" s="13"/>
    </row>
    <row r="42703">
      <c r="F42703" s="13"/>
      <c r="M42703" s="13"/>
    </row>
    <row r="42704">
      <c r="F42704" s="13"/>
      <c r="M42704" s="13"/>
    </row>
    <row r="42705">
      <c r="F42705" s="13"/>
      <c r="M42705" s="13"/>
    </row>
    <row r="42706">
      <c r="F42706" s="13"/>
      <c r="M42706" s="13"/>
    </row>
    <row r="42707">
      <c r="F42707" s="13"/>
      <c r="M42707" s="13"/>
    </row>
    <row r="42708">
      <c r="F42708" s="13"/>
      <c r="M42708" s="13"/>
    </row>
    <row r="42709">
      <c r="F42709" s="13"/>
      <c r="M42709" s="13"/>
    </row>
    <row r="42710">
      <c r="F42710" s="13"/>
      <c r="M42710" s="13"/>
    </row>
    <row r="42711">
      <c r="F42711" s="13"/>
      <c r="M42711" s="13"/>
    </row>
    <row r="42712">
      <c r="F42712" s="13"/>
      <c r="M42712" s="13"/>
    </row>
    <row r="42713">
      <c r="F42713" s="13"/>
      <c r="M42713" s="13"/>
    </row>
    <row r="42714">
      <c r="F42714" s="13"/>
      <c r="M42714" s="13"/>
    </row>
    <row r="42715">
      <c r="F42715" s="13"/>
      <c r="M42715" s="13"/>
    </row>
    <row r="42716">
      <c r="F42716" s="13"/>
      <c r="M42716" s="13"/>
    </row>
    <row r="42717">
      <c r="F42717" s="13"/>
      <c r="M42717" s="13"/>
    </row>
    <row r="42718">
      <c r="F42718" s="13"/>
      <c r="M42718" s="13"/>
    </row>
    <row r="42719">
      <c r="F42719" s="13"/>
      <c r="M42719" s="13"/>
    </row>
    <row r="42720">
      <c r="F42720" s="13"/>
      <c r="M42720" s="13"/>
    </row>
    <row r="42721">
      <c r="F42721" s="13"/>
      <c r="M42721" s="13"/>
    </row>
    <row r="42722">
      <c r="F42722" s="13"/>
      <c r="M42722" s="13"/>
    </row>
    <row r="42723">
      <c r="F42723" s="13"/>
      <c r="M42723" s="13"/>
    </row>
    <row r="42724">
      <c r="F42724" s="13"/>
      <c r="M42724" s="13"/>
    </row>
    <row r="42725">
      <c r="F42725" s="13"/>
      <c r="M42725" s="13"/>
    </row>
    <row r="42726">
      <c r="F42726" s="13"/>
      <c r="M42726" s="13"/>
    </row>
    <row r="42727">
      <c r="F42727" s="13"/>
      <c r="M42727" s="13"/>
    </row>
    <row r="42728">
      <c r="F42728" s="13"/>
      <c r="M42728" s="13"/>
    </row>
    <row r="42729">
      <c r="F42729" s="13"/>
      <c r="M42729" s="13"/>
    </row>
    <row r="42730">
      <c r="F42730" s="13"/>
      <c r="M42730" s="13"/>
    </row>
    <row r="42731">
      <c r="F42731" s="13"/>
      <c r="M42731" s="13"/>
    </row>
    <row r="42732">
      <c r="F42732" s="13"/>
      <c r="M42732" s="13"/>
    </row>
    <row r="42733">
      <c r="F42733" s="13"/>
      <c r="M42733" s="13"/>
    </row>
    <row r="42734">
      <c r="F42734" s="13"/>
      <c r="M42734" s="13"/>
    </row>
    <row r="42735">
      <c r="F42735" s="13"/>
      <c r="M42735" s="13"/>
    </row>
    <row r="42736">
      <c r="F42736" s="13"/>
      <c r="M42736" s="13"/>
    </row>
    <row r="42737">
      <c r="F42737" s="13"/>
      <c r="M42737" s="13"/>
    </row>
    <row r="42738">
      <c r="F42738" s="13"/>
      <c r="M42738" s="13"/>
    </row>
    <row r="42739">
      <c r="F42739" s="13"/>
      <c r="M42739" s="13"/>
    </row>
    <row r="42740">
      <c r="F42740" s="13"/>
      <c r="M42740" s="13"/>
    </row>
    <row r="42741">
      <c r="F42741" s="13"/>
      <c r="M42741" s="13"/>
    </row>
    <row r="42742">
      <c r="F42742" s="13"/>
      <c r="M42742" s="13"/>
    </row>
    <row r="42743">
      <c r="F42743" s="13"/>
      <c r="M42743" s="13"/>
    </row>
    <row r="42744">
      <c r="F42744" s="13"/>
      <c r="M42744" s="13"/>
    </row>
    <row r="42745">
      <c r="F42745" s="13"/>
      <c r="M42745" s="13"/>
    </row>
    <row r="42746">
      <c r="F42746" s="13"/>
      <c r="M42746" s="13"/>
    </row>
    <row r="42747">
      <c r="F42747" s="13"/>
      <c r="M42747" s="13"/>
    </row>
    <row r="42748">
      <c r="F42748" s="13"/>
      <c r="M42748" s="13"/>
    </row>
    <row r="42749">
      <c r="F42749" s="13"/>
      <c r="M42749" s="13"/>
    </row>
    <row r="42750">
      <c r="F42750" s="13"/>
      <c r="M42750" s="13"/>
    </row>
    <row r="42751">
      <c r="F42751" s="13"/>
      <c r="M42751" s="13"/>
    </row>
    <row r="42752">
      <c r="F42752" s="13"/>
      <c r="M42752" s="13"/>
    </row>
    <row r="42753">
      <c r="F42753" s="13"/>
      <c r="M42753" s="13"/>
    </row>
    <row r="42754">
      <c r="F42754" s="13"/>
      <c r="M42754" s="13"/>
    </row>
    <row r="42755">
      <c r="F42755" s="13"/>
      <c r="M42755" s="13"/>
    </row>
    <row r="42756">
      <c r="F42756" s="13"/>
      <c r="M42756" s="13"/>
    </row>
    <row r="42757">
      <c r="F42757" s="13"/>
      <c r="M42757" s="13"/>
    </row>
    <row r="42758">
      <c r="F42758" s="13"/>
      <c r="M42758" s="13"/>
    </row>
    <row r="42759">
      <c r="F42759" s="13"/>
      <c r="M42759" s="13"/>
    </row>
    <row r="42760">
      <c r="F42760" s="13"/>
      <c r="M42760" s="13"/>
    </row>
    <row r="42761">
      <c r="F42761" s="13"/>
      <c r="M42761" s="13"/>
    </row>
    <row r="42762">
      <c r="F42762" s="13"/>
      <c r="M42762" s="13"/>
    </row>
    <row r="42763">
      <c r="F42763" s="13"/>
      <c r="M42763" s="13"/>
    </row>
    <row r="42764">
      <c r="F42764" s="13"/>
      <c r="M42764" s="13"/>
    </row>
    <row r="42765">
      <c r="F42765" s="13"/>
      <c r="M42765" s="13"/>
    </row>
    <row r="42766">
      <c r="F42766" s="13"/>
      <c r="M42766" s="13"/>
    </row>
    <row r="42767">
      <c r="F42767" s="13"/>
      <c r="M42767" s="13"/>
    </row>
    <row r="42768">
      <c r="F42768" s="13"/>
      <c r="M42768" s="13"/>
    </row>
    <row r="42769">
      <c r="F42769" s="13"/>
      <c r="M42769" s="13"/>
    </row>
    <row r="42770">
      <c r="F42770" s="13"/>
      <c r="M42770" s="13"/>
    </row>
    <row r="42771">
      <c r="F42771" s="13"/>
      <c r="M42771" s="13"/>
    </row>
    <row r="42772">
      <c r="F42772" s="13"/>
      <c r="M42772" s="13"/>
    </row>
    <row r="42773">
      <c r="F42773" s="13"/>
      <c r="M42773" s="13"/>
    </row>
    <row r="42774">
      <c r="F42774" s="13"/>
      <c r="M42774" s="13"/>
    </row>
    <row r="42775">
      <c r="F42775" s="13"/>
      <c r="M42775" s="13"/>
    </row>
    <row r="42776">
      <c r="F42776" s="13"/>
      <c r="M42776" s="13"/>
    </row>
    <row r="42777">
      <c r="F42777" s="13"/>
      <c r="M42777" s="13"/>
    </row>
    <row r="42778">
      <c r="F42778" s="13"/>
      <c r="M42778" s="13"/>
    </row>
    <row r="42779">
      <c r="F42779" s="13"/>
      <c r="M42779" s="13"/>
    </row>
    <row r="42780">
      <c r="F42780" s="13"/>
      <c r="M42780" s="13"/>
    </row>
    <row r="42781">
      <c r="F42781" s="13"/>
      <c r="M42781" s="13"/>
    </row>
    <row r="42782">
      <c r="F42782" s="13"/>
      <c r="M42782" s="13"/>
    </row>
    <row r="42783">
      <c r="F42783" s="13"/>
      <c r="M42783" s="13"/>
    </row>
    <row r="42784">
      <c r="F42784" s="13"/>
      <c r="M42784" s="13"/>
    </row>
    <row r="42785">
      <c r="F42785" s="13"/>
      <c r="M42785" s="13"/>
    </row>
    <row r="42786">
      <c r="F42786" s="13"/>
      <c r="M42786" s="13"/>
    </row>
    <row r="42787">
      <c r="F42787" s="13"/>
      <c r="M42787" s="13"/>
    </row>
    <row r="42788">
      <c r="F42788" s="13"/>
      <c r="M42788" s="13"/>
    </row>
    <row r="42789">
      <c r="F42789" s="13"/>
      <c r="M42789" s="13"/>
    </row>
    <row r="42790">
      <c r="F42790" s="13"/>
      <c r="M42790" s="13"/>
    </row>
    <row r="42791">
      <c r="F42791" s="13"/>
      <c r="M42791" s="13"/>
    </row>
    <row r="42792">
      <c r="F42792" s="13"/>
      <c r="M42792" s="13"/>
    </row>
    <row r="42793">
      <c r="F42793" s="13"/>
      <c r="M42793" s="13"/>
    </row>
    <row r="42794">
      <c r="F42794" s="13"/>
      <c r="M42794" s="13"/>
    </row>
    <row r="42795">
      <c r="F42795" s="13"/>
      <c r="M42795" s="13"/>
    </row>
    <row r="42796">
      <c r="F42796" s="13"/>
      <c r="M42796" s="13"/>
    </row>
    <row r="42797">
      <c r="F42797" s="13"/>
      <c r="M42797" s="13"/>
    </row>
    <row r="42798">
      <c r="F42798" s="13"/>
      <c r="M42798" s="13"/>
    </row>
    <row r="42799">
      <c r="F42799" s="13"/>
      <c r="M42799" s="13"/>
    </row>
    <row r="42800">
      <c r="F42800" s="13"/>
      <c r="M42800" s="13"/>
    </row>
    <row r="42801">
      <c r="F42801" s="13"/>
      <c r="M42801" s="13"/>
    </row>
    <row r="42802">
      <c r="F42802" s="13"/>
      <c r="M42802" s="13"/>
    </row>
    <row r="42803">
      <c r="F42803" s="13"/>
      <c r="M42803" s="13"/>
    </row>
    <row r="42804">
      <c r="F42804" s="13"/>
      <c r="M42804" s="13"/>
    </row>
    <row r="42805">
      <c r="F42805" s="13"/>
      <c r="M42805" s="13"/>
    </row>
    <row r="42806">
      <c r="F42806" s="13"/>
      <c r="M42806" s="13"/>
    </row>
    <row r="42807">
      <c r="F42807" s="13"/>
      <c r="M42807" s="13"/>
    </row>
    <row r="42808">
      <c r="F42808" s="13"/>
      <c r="M42808" s="13"/>
    </row>
    <row r="42809">
      <c r="F42809" s="13"/>
      <c r="M42809" s="13"/>
    </row>
    <row r="42810">
      <c r="F42810" s="13"/>
      <c r="M42810" s="13"/>
    </row>
    <row r="42811">
      <c r="F42811" s="13"/>
      <c r="M42811" s="13"/>
    </row>
    <row r="42812">
      <c r="F42812" s="13"/>
      <c r="M42812" s="13"/>
    </row>
    <row r="42813">
      <c r="F42813" s="13"/>
      <c r="M42813" s="13"/>
    </row>
    <row r="42814">
      <c r="F42814" s="13"/>
      <c r="M42814" s="13"/>
    </row>
    <row r="42815">
      <c r="F42815" s="13"/>
      <c r="M42815" s="13"/>
    </row>
    <row r="42816">
      <c r="F42816" s="13"/>
      <c r="M42816" s="13"/>
    </row>
    <row r="42817">
      <c r="F42817" s="13"/>
      <c r="M42817" s="13"/>
    </row>
    <row r="42818">
      <c r="F42818" s="13"/>
      <c r="M42818" s="13"/>
    </row>
    <row r="42819">
      <c r="F42819" s="13"/>
      <c r="M42819" s="13"/>
    </row>
    <row r="42820">
      <c r="F42820" s="13"/>
      <c r="M42820" s="13"/>
    </row>
    <row r="42821">
      <c r="F42821" s="13"/>
      <c r="M42821" s="13"/>
    </row>
    <row r="42822">
      <c r="F42822" s="13"/>
      <c r="M42822" s="13"/>
    </row>
    <row r="42823">
      <c r="F42823" s="13"/>
      <c r="M42823" s="13"/>
    </row>
    <row r="42824">
      <c r="F42824" s="13"/>
      <c r="M42824" s="13"/>
    </row>
    <row r="42825">
      <c r="F42825" s="13"/>
      <c r="M42825" s="13"/>
    </row>
    <row r="42826">
      <c r="F42826" s="13"/>
      <c r="M42826" s="13"/>
    </row>
    <row r="42827">
      <c r="F42827" s="13"/>
      <c r="M42827" s="13"/>
    </row>
    <row r="42828">
      <c r="F42828" s="13"/>
      <c r="M42828" s="13"/>
    </row>
    <row r="42829">
      <c r="F42829" s="13"/>
      <c r="M42829" s="13"/>
    </row>
    <row r="42830">
      <c r="F42830" s="13"/>
      <c r="M42830" s="13"/>
    </row>
    <row r="42831">
      <c r="F42831" s="13"/>
      <c r="M42831" s="13"/>
    </row>
    <row r="42832">
      <c r="F42832" s="13"/>
      <c r="M42832" s="13"/>
    </row>
    <row r="42833">
      <c r="F42833" s="13"/>
      <c r="M42833" s="13"/>
    </row>
    <row r="42834">
      <c r="F42834" s="13"/>
      <c r="M42834" s="13"/>
    </row>
    <row r="42835">
      <c r="F42835" s="13"/>
      <c r="M42835" s="13"/>
    </row>
    <row r="42836">
      <c r="F42836" s="13"/>
      <c r="M42836" s="13"/>
    </row>
    <row r="42837">
      <c r="F42837" s="13"/>
      <c r="M42837" s="13"/>
    </row>
    <row r="42838">
      <c r="F42838" s="13"/>
      <c r="M42838" s="13"/>
    </row>
    <row r="42839">
      <c r="F42839" s="13"/>
      <c r="M42839" s="13"/>
    </row>
    <row r="42840">
      <c r="F42840" s="13"/>
      <c r="M42840" s="13"/>
    </row>
    <row r="42841">
      <c r="F42841" s="13"/>
      <c r="M42841" s="13"/>
    </row>
    <row r="42842">
      <c r="F42842" s="13"/>
      <c r="M42842" s="13"/>
    </row>
    <row r="42843">
      <c r="F42843" s="13"/>
      <c r="M42843" s="13"/>
    </row>
    <row r="42844">
      <c r="F42844" s="13"/>
      <c r="M42844" s="13"/>
    </row>
    <row r="42845">
      <c r="F42845" s="13"/>
      <c r="M42845" s="13"/>
    </row>
    <row r="42846">
      <c r="F42846" s="13"/>
      <c r="M42846" s="13"/>
    </row>
    <row r="42847">
      <c r="F42847" s="13"/>
      <c r="M42847" s="13"/>
    </row>
    <row r="42848">
      <c r="F42848" s="13"/>
      <c r="M42848" s="13"/>
    </row>
    <row r="42849">
      <c r="F42849" s="13"/>
      <c r="M42849" s="13"/>
    </row>
    <row r="42850">
      <c r="F42850" s="13"/>
      <c r="M42850" s="13"/>
    </row>
    <row r="42851">
      <c r="F42851" s="13"/>
      <c r="M42851" s="13"/>
    </row>
    <row r="42852">
      <c r="F42852" s="13"/>
      <c r="M42852" s="13"/>
    </row>
    <row r="42853">
      <c r="F42853" s="13"/>
      <c r="M42853" s="13"/>
    </row>
    <row r="42854">
      <c r="F42854" s="13"/>
      <c r="M42854" s="13"/>
    </row>
    <row r="42855">
      <c r="F42855" s="13"/>
      <c r="M42855" s="13"/>
    </row>
    <row r="42856">
      <c r="F42856" s="13"/>
      <c r="M42856" s="13"/>
    </row>
    <row r="42857">
      <c r="F42857" s="13"/>
      <c r="M42857" s="13"/>
    </row>
    <row r="42858">
      <c r="F42858" s="13"/>
      <c r="M42858" s="13"/>
    </row>
    <row r="42859">
      <c r="F42859" s="13"/>
      <c r="M42859" s="13"/>
    </row>
    <row r="42860">
      <c r="F42860" s="13"/>
      <c r="M42860" s="13"/>
    </row>
    <row r="42861">
      <c r="F42861" s="13"/>
      <c r="M42861" s="13"/>
    </row>
    <row r="42862">
      <c r="F42862" s="13"/>
      <c r="M42862" s="13"/>
    </row>
    <row r="42863">
      <c r="F42863" s="13"/>
      <c r="M42863" s="13"/>
    </row>
    <row r="42864">
      <c r="F42864" s="13"/>
      <c r="M42864" s="13"/>
    </row>
    <row r="42865">
      <c r="F42865" s="13"/>
      <c r="M42865" s="13"/>
    </row>
    <row r="42866">
      <c r="F42866" s="13"/>
      <c r="M42866" s="13"/>
    </row>
    <row r="42867">
      <c r="F42867" s="13"/>
      <c r="M42867" s="13"/>
    </row>
    <row r="42868">
      <c r="F42868" s="13"/>
      <c r="M42868" s="13"/>
    </row>
    <row r="42869">
      <c r="F42869" s="13"/>
      <c r="M42869" s="13"/>
    </row>
    <row r="42870">
      <c r="F42870" s="13"/>
      <c r="M42870" s="13"/>
    </row>
    <row r="42871">
      <c r="F42871" s="13"/>
      <c r="M42871" s="13"/>
    </row>
    <row r="42872">
      <c r="F42872" s="13"/>
      <c r="M42872" s="13"/>
    </row>
    <row r="42873">
      <c r="F42873" s="13"/>
      <c r="M42873" s="13"/>
    </row>
    <row r="42874">
      <c r="F42874" s="13"/>
      <c r="M42874" s="13"/>
    </row>
    <row r="42875">
      <c r="F42875" s="13"/>
      <c r="M42875" s="13"/>
    </row>
    <row r="42876">
      <c r="F42876" s="13"/>
      <c r="M42876" s="13"/>
    </row>
    <row r="42877">
      <c r="F42877" s="13"/>
      <c r="M42877" s="13"/>
    </row>
    <row r="42878">
      <c r="F42878" s="13"/>
      <c r="M42878" s="13"/>
    </row>
    <row r="42879">
      <c r="F42879" s="13"/>
      <c r="M42879" s="13"/>
    </row>
    <row r="42880">
      <c r="F42880" s="13"/>
      <c r="M42880" s="13"/>
    </row>
    <row r="42881">
      <c r="F42881" s="13"/>
      <c r="M42881" s="13"/>
    </row>
    <row r="42882">
      <c r="F42882" s="13"/>
      <c r="M42882" s="13"/>
    </row>
    <row r="42883">
      <c r="F42883" s="13"/>
      <c r="M42883" s="13"/>
    </row>
    <row r="42884">
      <c r="F42884" s="13"/>
      <c r="M42884" s="13"/>
    </row>
    <row r="42885">
      <c r="F42885" s="13"/>
      <c r="M42885" s="13"/>
    </row>
    <row r="42886">
      <c r="F42886" s="13"/>
      <c r="M42886" s="13"/>
    </row>
    <row r="42887">
      <c r="F42887" s="13"/>
      <c r="M42887" s="13"/>
    </row>
    <row r="42888">
      <c r="F42888" s="13"/>
      <c r="M42888" s="13"/>
    </row>
    <row r="42889">
      <c r="F42889" s="13"/>
      <c r="M42889" s="13"/>
    </row>
    <row r="42890">
      <c r="F42890" s="13"/>
      <c r="M42890" s="13"/>
    </row>
    <row r="42891">
      <c r="F42891" s="13"/>
      <c r="M42891" s="13"/>
    </row>
    <row r="42892">
      <c r="F42892" s="13"/>
      <c r="M42892" s="13"/>
    </row>
    <row r="42893">
      <c r="F42893" s="13"/>
      <c r="M42893" s="13"/>
    </row>
    <row r="42894">
      <c r="F42894" s="13"/>
      <c r="M42894" s="13"/>
    </row>
    <row r="42895">
      <c r="F42895" s="13"/>
      <c r="M42895" s="13"/>
    </row>
    <row r="42896">
      <c r="F42896" s="13"/>
      <c r="M42896" s="13"/>
    </row>
    <row r="42897">
      <c r="F42897" s="13"/>
      <c r="M42897" s="13"/>
    </row>
    <row r="42898">
      <c r="F42898" s="13"/>
      <c r="M42898" s="13"/>
    </row>
    <row r="42899">
      <c r="F42899" s="13"/>
      <c r="M42899" s="13"/>
    </row>
    <row r="42900">
      <c r="F42900" s="13"/>
      <c r="M42900" s="13"/>
    </row>
    <row r="42901">
      <c r="F42901" s="13"/>
      <c r="M42901" s="13"/>
    </row>
    <row r="42902">
      <c r="F42902" s="13"/>
      <c r="M42902" s="13"/>
    </row>
    <row r="42903">
      <c r="F42903" s="13"/>
      <c r="M42903" s="13"/>
    </row>
    <row r="42904">
      <c r="F42904" s="13"/>
      <c r="M42904" s="13"/>
    </row>
    <row r="42905">
      <c r="F42905" s="13"/>
      <c r="M42905" s="13"/>
    </row>
    <row r="42906">
      <c r="F42906" s="13"/>
      <c r="M42906" s="13"/>
    </row>
    <row r="42907">
      <c r="F42907" s="13"/>
      <c r="M42907" s="13"/>
    </row>
    <row r="42908">
      <c r="F42908" s="13"/>
      <c r="M42908" s="13"/>
    </row>
    <row r="42909">
      <c r="F42909" s="13"/>
      <c r="M42909" s="13"/>
    </row>
    <row r="42910">
      <c r="F42910" s="13"/>
      <c r="M42910" s="13"/>
    </row>
    <row r="42911">
      <c r="F42911" s="13"/>
      <c r="M42911" s="13"/>
    </row>
    <row r="42912">
      <c r="F42912" s="13"/>
      <c r="M42912" s="13"/>
    </row>
    <row r="42913">
      <c r="F42913" s="13"/>
      <c r="M42913" s="13"/>
    </row>
    <row r="42914">
      <c r="F42914" s="13"/>
      <c r="M42914" s="13"/>
    </row>
    <row r="42915">
      <c r="F42915" s="13"/>
      <c r="M42915" s="13"/>
    </row>
    <row r="42916">
      <c r="F42916" s="13"/>
      <c r="M42916" s="13"/>
    </row>
    <row r="42917">
      <c r="F42917" s="13"/>
      <c r="M42917" s="13"/>
    </row>
    <row r="42918">
      <c r="F42918" s="13"/>
      <c r="M42918" s="13"/>
    </row>
    <row r="42919">
      <c r="F42919" s="13"/>
      <c r="M42919" s="13"/>
    </row>
    <row r="42920">
      <c r="F42920" s="13"/>
      <c r="M42920" s="13"/>
    </row>
    <row r="42921">
      <c r="F42921" s="13"/>
      <c r="M42921" s="13"/>
    </row>
    <row r="42922">
      <c r="F42922" s="13"/>
      <c r="M42922" s="13"/>
    </row>
    <row r="42923">
      <c r="F42923" s="13"/>
      <c r="M42923" s="13"/>
    </row>
    <row r="42924">
      <c r="F42924" s="13"/>
      <c r="M42924" s="13"/>
    </row>
    <row r="42925">
      <c r="F42925" s="13"/>
      <c r="M42925" s="13"/>
    </row>
    <row r="42926">
      <c r="F42926" s="13"/>
      <c r="M42926" s="13"/>
    </row>
    <row r="42927">
      <c r="F42927" s="13"/>
      <c r="M42927" s="13"/>
    </row>
    <row r="42928">
      <c r="F42928" s="13"/>
      <c r="M42928" s="13"/>
    </row>
    <row r="42929">
      <c r="F42929" s="13"/>
      <c r="M42929" s="13"/>
    </row>
    <row r="42930">
      <c r="F42930" s="13"/>
      <c r="M42930" s="13"/>
    </row>
    <row r="42931">
      <c r="F42931" s="13"/>
      <c r="M42931" s="13"/>
    </row>
    <row r="42932">
      <c r="F42932" s="13"/>
      <c r="M42932" s="13"/>
    </row>
    <row r="42933">
      <c r="F42933" s="13"/>
      <c r="M42933" s="13"/>
    </row>
    <row r="42934">
      <c r="F42934" s="13"/>
      <c r="M42934" s="13"/>
    </row>
    <row r="42935">
      <c r="F42935" s="13"/>
      <c r="M42935" s="13"/>
    </row>
    <row r="42936">
      <c r="F42936" s="13"/>
      <c r="M42936" s="13"/>
    </row>
    <row r="42937">
      <c r="F42937" s="13"/>
      <c r="M42937" s="13"/>
    </row>
    <row r="42938">
      <c r="F42938" s="13"/>
      <c r="M42938" s="13"/>
    </row>
    <row r="42939">
      <c r="F42939" s="13"/>
      <c r="M42939" s="13"/>
    </row>
    <row r="42940">
      <c r="F42940" s="13"/>
      <c r="M42940" s="13"/>
    </row>
    <row r="42941">
      <c r="F42941" s="13"/>
      <c r="M42941" s="13"/>
    </row>
    <row r="42942">
      <c r="F42942" s="13"/>
      <c r="M42942" s="13"/>
    </row>
    <row r="42943">
      <c r="F42943" s="13"/>
      <c r="M42943" s="13"/>
    </row>
    <row r="42944">
      <c r="F42944" s="13"/>
      <c r="M42944" s="13"/>
    </row>
    <row r="42945">
      <c r="F42945" s="13"/>
      <c r="M42945" s="13"/>
    </row>
    <row r="42946">
      <c r="F42946" s="13"/>
      <c r="M42946" s="13"/>
    </row>
    <row r="42947">
      <c r="F42947" s="13"/>
      <c r="M42947" s="13"/>
    </row>
    <row r="42948">
      <c r="F42948" s="13"/>
      <c r="M42948" s="13"/>
    </row>
    <row r="42949">
      <c r="F42949" s="13"/>
      <c r="M42949" s="13"/>
    </row>
    <row r="42950">
      <c r="F42950" s="13"/>
      <c r="M42950" s="13"/>
    </row>
    <row r="42951">
      <c r="F42951" s="13"/>
      <c r="M42951" s="13"/>
    </row>
    <row r="42952">
      <c r="F42952" s="13"/>
      <c r="M42952" s="13"/>
    </row>
    <row r="42953">
      <c r="F42953" s="13"/>
      <c r="M42953" s="13"/>
    </row>
    <row r="42954">
      <c r="F42954" s="13"/>
      <c r="M42954" s="13"/>
    </row>
    <row r="42955">
      <c r="F42955" s="13"/>
      <c r="M42955" s="13"/>
    </row>
    <row r="42956">
      <c r="F42956" s="13"/>
      <c r="M42956" s="13"/>
    </row>
    <row r="42957">
      <c r="F42957" s="13"/>
      <c r="M42957" s="13"/>
    </row>
    <row r="42958">
      <c r="F42958" s="13"/>
      <c r="M42958" s="13"/>
    </row>
    <row r="42959">
      <c r="F42959" s="13"/>
      <c r="M42959" s="13"/>
    </row>
    <row r="42960">
      <c r="F42960" s="13"/>
      <c r="M42960" s="13"/>
    </row>
    <row r="42961">
      <c r="F42961" s="13"/>
      <c r="M42961" s="13"/>
    </row>
    <row r="42962">
      <c r="F42962" s="13"/>
      <c r="M42962" s="13"/>
    </row>
    <row r="42963">
      <c r="F42963" s="13"/>
      <c r="M42963" s="13"/>
    </row>
    <row r="42964">
      <c r="F42964" s="13"/>
      <c r="M42964" s="13"/>
    </row>
    <row r="42965">
      <c r="F42965" s="13"/>
      <c r="M42965" s="13"/>
    </row>
    <row r="42966">
      <c r="F42966" s="13"/>
      <c r="M42966" s="13"/>
    </row>
    <row r="42967">
      <c r="F42967" s="13"/>
      <c r="M42967" s="13"/>
    </row>
    <row r="42968">
      <c r="F42968" s="13"/>
      <c r="M42968" s="13"/>
    </row>
    <row r="42969">
      <c r="F42969" s="13"/>
      <c r="M42969" s="13"/>
    </row>
    <row r="42970">
      <c r="F42970" s="13"/>
      <c r="M42970" s="13"/>
    </row>
    <row r="42971">
      <c r="F42971" s="13"/>
      <c r="M42971" s="13"/>
    </row>
    <row r="42972">
      <c r="F42972" s="13"/>
      <c r="M42972" s="13"/>
    </row>
    <row r="42973">
      <c r="F42973" s="13"/>
      <c r="M42973" s="13"/>
    </row>
    <row r="42974">
      <c r="F42974" s="13"/>
      <c r="M42974" s="13"/>
    </row>
    <row r="42975">
      <c r="F42975" s="13"/>
      <c r="M42975" s="13"/>
    </row>
    <row r="42976">
      <c r="F42976" s="13"/>
      <c r="M42976" s="13"/>
    </row>
    <row r="42977">
      <c r="F42977" s="13"/>
      <c r="M42977" s="13"/>
    </row>
    <row r="42978">
      <c r="F42978" s="13"/>
      <c r="M42978" s="13"/>
    </row>
    <row r="42979">
      <c r="F42979" s="13"/>
      <c r="M42979" s="13"/>
    </row>
    <row r="42980">
      <c r="F42980" s="13"/>
      <c r="M42980" s="13"/>
    </row>
    <row r="42981">
      <c r="F42981" s="13"/>
      <c r="M42981" s="13"/>
    </row>
    <row r="42982">
      <c r="F42982" s="13"/>
      <c r="M42982" s="13"/>
    </row>
    <row r="42983">
      <c r="F42983" s="13"/>
      <c r="M42983" s="13"/>
    </row>
    <row r="42984">
      <c r="F42984" s="13"/>
      <c r="M42984" s="13"/>
    </row>
    <row r="42985">
      <c r="F42985" s="13"/>
      <c r="M42985" s="13"/>
    </row>
    <row r="42986">
      <c r="F42986" s="13"/>
      <c r="M42986" s="13"/>
    </row>
    <row r="42987">
      <c r="F42987" s="13"/>
      <c r="M42987" s="13"/>
    </row>
    <row r="42988">
      <c r="F42988" s="13"/>
      <c r="M42988" s="13"/>
    </row>
    <row r="42989">
      <c r="F42989" s="13"/>
      <c r="M42989" s="13"/>
    </row>
    <row r="42990">
      <c r="F42990" s="13"/>
      <c r="M42990" s="13"/>
    </row>
    <row r="42991">
      <c r="F42991" s="13"/>
      <c r="M42991" s="13"/>
    </row>
    <row r="42992">
      <c r="F42992" s="13"/>
      <c r="M42992" s="13"/>
    </row>
    <row r="42993">
      <c r="F42993" s="13"/>
      <c r="M42993" s="13"/>
    </row>
    <row r="42994">
      <c r="F42994" s="13"/>
      <c r="M42994" s="13"/>
    </row>
    <row r="42995">
      <c r="F42995" s="13"/>
      <c r="M42995" s="13"/>
    </row>
    <row r="42996">
      <c r="F42996" s="13"/>
      <c r="M42996" s="13"/>
    </row>
    <row r="42997">
      <c r="F42997" s="13"/>
      <c r="M42997" s="13"/>
    </row>
    <row r="42998">
      <c r="F42998" s="13"/>
      <c r="M42998" s="13"/>
    </row>
    <row r="42999">
      <c r="F42999" s="13"/>
      <c r="M42999" s="13"/>
    </row>
    <row r="43000">
      <c r="F43000" s="13"/>
      <c r="M43000" s="13"/>
    </row>
    <row r="43001">
      <c r="F43001" s="13"/>
      <c r="M43001" s="13"/>
    </row>
    <row r="43002">
      <c r="F43002" s="13"/>
      <c r="M43002" s="13"/>
    </row>
    <row r="43003">
      <c r="F43003" s="13"/>
      <c r="M43003" s="13"/>
    </row>
    <row r="43004">
      <c r="F43004" s="13"/>
      <c r="M43004" s="13"/>
    </row>
    <row r="43005">
      <c r="F43005" s="13"/>
      <c r="M43005" s="13"/>
    </row>
    <row r="43006">
      <c r="F43006" s="13"/>
      <c r="M43006" s="13"/>
    </row>
    <row r="43007">
      <c r="F43007" s="13"/>
      <c r="M43007" s="13"/>
    </row>
    <row r="43008">
      <c r="F43008" s="13"/>
      <c r="M43008" s="13"/>
    </row>
    <row r="43009">
      <c r="F43009" s="13"/>
      <c r="M43009" s="13"/>
    </row>
    <row r="43010">
      <c r="F43010" s="13"/>
      <c r="M43010" s="13"/>
    </row>
    <row r="43011">
      <c r="F43011" s="13"/>
      <c r="M43011" s="13"/>
    </row>
    <row r="43012">
      <c r="F43012" s="13"/>
      <c r="M43012" s="13"/>
    </row>
    <row r="43013">
      <c r="F43013" s="13"/>
      <c r="M43013" s="13"/>
    </row>
    <row r="43014">
      <c r="F43014" s="13"/>
      <c r="M43014" s="13"/>
    </row>
    <row r="43015">
      <c r="F43015" s="13"/>
      <c r="M43015" s="13"/>
    </row>
    <row r="43016">
      <c r="F43016" s="13"/>
      <c r="M43016" s="13"/>
    </row>
    <row r="43017">
      <c r="F43017" s="13"/>
      <c r="M43017" s="13"/>
    </row>
    <row r="43018">
      <c r="F43018" s="13"/>
      <c r="M43018" s="13"/>
    </row>
    <row r="43019">
      <c r="F43019" s="13"/>
      <c r="M43019" s="13"/>
    </row>
    <row r="43020">
      <c r="F43020" s="13"/>
      <c r="M43020" s="13"/>
    </row>
    <row r="43021">
      <c r="F43021" s="13"/>
      <c r="M43021" s="13"/>
    </row>
    <row r="43022">
      <c r="F43022" s="13"/>
      <c r="M43022" s="13"/>
    </row>
    <row r="43023">
      <c r="F43023" s="13"/>
      <c r="M43023" s="13"/>
    </row>
    <row r="43024">
      <c r="F43024" s="13"/>
      <c r="M43024" s="13"/>
    </row>
    <row r="43025">
      <c r="F43025" s="13"/>
      <c r="M43025" s="13"/>
    </row>
    <row r="43026">
      <c r="F43026" s="13"/>
      <c r="M43026" s="13"/>
    </row>
    <row r="43027">
      <c r="F43027" s="13"/>
      <c r="M43027" s="13"/>
    </row>
    <row r="43028">
      <c r="F43028" s="13"/>
      <c r="M43028" s="13"/>
    </row>
    <row r="43029">
      <c r="F43029" s="13"/>
      <c r="M43029" s="13"/>
    </row>
    <row r="43030">
      <c r="F43030" s="13"/>
      <c r="M43030" s="13"/>
    </row>
    <row r="43031">
      <c r="F43031" s="13"/>
      <c r="M43031" s="13"/>
    </row>
    <row r="43032">
      <c r="F43032" s="13"/>
      <c r="M43032" s="13"/>
    </row>
    <row r="43033">
      <c r="F43033" s="13"/>
      <c r="M43033" s="13"/>
    </row>
    <row r="43034">
      <c r="F43034" s="13"/>
      <c r="M43034" s="13"/>
    </row>
    <row r="43035">
      <c r="F43035" s="13"/>
      <c r="M43035" s="13"/>
    </row>
    <row r="43036">
      <c r="F43036" s="13"/>
      <c r="M43036" s="13"/>
    </row>
    <row r="43037">
      <c r="F43037" s="13"/>
      <c r="M43037" s="13"/>
    </row>
    <row r="43038">
      <c r="F43038" s="13"/>
      <c r="M43038" s="13"/>
    </row>
    <row r="43039">
      <c r="F43039" s="13"/>
      <c r="M43039" s="13"/>
    </row>
    <row r="43040">
      <c r="F43040" s="13"/>
      <c r="M43040" s="13"/>
    </row>
    <row r="43041">
      <c r="F43041" s="13"/>
      <c r="M43041" s="13"/>
    </row>
    <row r="43042">
      <c r="F43042" s="13"/>
      <c r="M43042" s="13"/>
    </row>
    <row r="43043">
      <c r="F43043" s="13"/>
      <c r="M43043" s="13"/>
    </row>
    <row r="43044">
      <c r="F43044" s="13"/>
      <c r="M43044" s="13"/>
    </row>
    <row r="43045">
      <c r="F43045" s="13"/>
      <c r="M43045" s="13"/>
    </row>
    <row r="43046">
      <c r="F43046" s="13"/>
      <c r="M43046" s="13"/>
    </row>
    <row r="43047">
      <c r="F43047" s="13"/>
      <c r="M43047" s="13"/>
    </row>
    <row r="43048">
      <c r="F43048" s="13"/>
      <c r="M43048" s="13"/>
    </row>
    <row r="43049">
      <c r="F43049" s="13"/>
      <c r="M43049" s="13"/>
    </row>
    <row r="43050">
      <c r="F43050" s="13"/>
      <c r="M43050" s="13"/>
    </row>
    <row r="43051">
      <c r="F43051" s="13"/>
      <c r="M43051" s="13"/>
    </row>
    <row r="43052">
      <c r="F43052" s="13"/>
      <c r="M43052" s="13"/>
    </row>
    <row r="43053">
      <c r="F43053" s="13"/>
      <c r="M43053" s="13"/>
    </row>
    <row r="43054">
      <c r="F43054" s="13"/>
      <c r="M43054" s="13"/>
    </row>
    <row r="43055">
      <c r="F43055" s="13"/>
      <c r="M43055" s="13"/>
    </row>
    <row r="43056">
      <c r="F43056" s="13"/>
      <c r="M43056" s="13"/>
    </row>
    <row r="43057">
      <c r="F43057" s="13"/>
      <c r="M43057" s="13"/>
    </row>
    <row r="43058">
      <c r="F43058" s="13"/>
      <c r="M43058" s="13"/>
    </row>
    <row r="43059">
      <c r="F43059" s="13"/>
      <c r="M43059" s="13"/>
    </row>
    <row r="43060">
      <c r="F43060" s="13"/>
      <c r="M43060" s="13"/>
    </row>
    <row r="43061">
      <c r="F43061" s="13"/>
      <c r="M43061" s="13"/>
    </row>
    <row r="43062">
      <c r="F43062" s="13"/>
      <c r="M43062" s="13"/>
    </row>
    <row r="43063">
      <c r="F43063" s="13"/>
      <c r="M43063" s="13"/>
    </row>
    <row r="43064">
      <c r="F43064" s="13"/>
      <c r="M43064" s="13"/>
    </row>
    <row r="43065">
      <c r="F43065" s="13"/>
      <c r="M43065" s="13"/>
    </row>
    <row r="43066">
      <c r="F43066" s="13"/>
      <c r="M43066" s="13"/>
    </row>
    <row r="43067">
      <c r="F43067" s="13"/>
      <c r="M43067" s="13"/>
    </row>
    <row r="43068">
      <c r="F43068" s="13"/>
      <c r="M43068" s="13"/>
    </row>
    <row r="43069">
      <c r="F43069" s="13"/>
      <c r="M43069" s="13"/>
    </row>
    <row r="43070">
      <c r="F43070" s="13"/>
      <c r="M43070" s="13"/>
    </row>
    <row r="43071">
      <c r="F43071" s="13"/>
      <c r="M43071" s="13"/>
    </row>
    <row r="43072">
      <c r="F43072" s="13"/>
      <c r="M43072" s="13"/>
    </row>
    <row r="43073">
      <c r="F43073" s="13"/>
      <c r="M43073" s="13"/>
    </row>
    <row r="43074">
      <c r="F43074" s="13"/>
      <c r="M43074" s="13"/>
    </row>
    <row r="43075">
      <c r="F43075" s="13"/>
      <c r="M43075" s="13"/>
    </row>
    <row r="43076">
      <c r="F43076" s="13"/>
      <c r="M43076" s="13"/>
    </row>
    <row r="43077">
      <c r="F43077" s="13"/>
      <c r="M43077" s="13"/>
    </row>
    <row r="43078">
      <c r="F43078" s="13"/>
      <c r="M43078" s="13"/>
    </row>
    <row r="43079">
      <c r="F43079" s="13"/>
      <c r="M43079" s="13"/>
    </row>
    <row r="43080">
      <c r="F43080" s="13"/>
      <c r="M43080" s="13"/>
    </row>
    <row r="43081">
      <c r="F43081" s="13"/>
      <c r="M43081" s="13"/>
    </row>
    <row r="43082">
      <c r="F43082" s="13"/>
      <c r="M43082" s="13"/>
    </row>
    <row r="43083">
      <c r="F43083" s="13"/>
      <c r="M43083" s="13"/>
    </row>
    <row r="43084">
      <c r="F43084" s="13"/>
      <c r="M43084" s="13"/>
    </row>
    <row r="43085">
      <c r="F43085" s="13"/>
      <c r="M43085" s="13"/>
    </row>
    <row r="43086">
      <c r="F43086" s="13"/>
      <c r="M43086" s="13"/>
    </row>
    <row r="43087">
      <c r="F43087" s="13"/>
      <c r="M43087" s="13"/>
    </row>
    <row r="43088">
      <c r="F43088" s="13"/>
      <c r="M43088" s="13"/>
    </row>
    <row r="43089">
      <c r="F43089" s="13"/>
      <c r="M43089" s="13"/>
    </row>
    <row r="43090">
      <c r="F43090" s="13"/>
      <c r="M43090" s="13"/>
    </row>
    <row r="43091">
      <c r="F43091" s="13"/>
      <c r="M43091" s="13"/>
    </row>
    <row r="43092">
      <c r="F43092" s="13"/>
      <c r="M43092" s="13"/>
    </row>
    <row r="43093">
      <c r="F43093" s="13"/>
      <c r="M43093" s="13"/>
    </row>
    <row r="43094">
      <c r="F43094" s="13"/>
      <c r="M43094" s="13"/>
    </row>
    <row r="43095">
      <c r="F43095" s="13"/>
      <c r="M43095" s="13"/>
    </row>
    <row r="43096">
      <c r="F43096" s="13"/>
      <c r="M43096" s="13"/>
    </row>
    <row r="43097">
      <c r="F43097" s="13"/>
      <c r="M43097" s="13"/>
    </row>
    <row r="43098">
      <c r="F43098" s="13"/>
      <c r="M43098" s="13"/>
    </row>
    <row r="43099">
      <c r="F43099" s="13"/>
      <c r="M43099" s="13"/>
    </row>
    <row r="43100">
      <c r="F43100" s="13"/>
      <c r="M43100" s="13"/>
    </row>
    <row r="43101">
      <c r="F43101" s="13"/>
      <c r="M43101" s="13"/>
    </row>
    <row r="43102">
      <c r="F43102" s="13"/>
      <c r="M43102" s="13"/>
    </row>
    <row r="43103">
      <c r="F43103" s="13"/>
      <c r="M43103" s="13"/>
    </row>
    <row r="43104">
      <c r="F43104" s="13"/>
      <c r="M43104" s="13"/>
    </row>
    <row r="43105">
      <c r="F43105" s="13"/>
      <c r="M43105" s="13"/>
    </row>
    <row r="43106">
      <c r="F43106" s="13"/>
      <c r="M43106" s="13"/>
    </row>
    <row r="43107">
      <c r="F43107" s="13"/>
      <c r="M43107" s="13"/>
    </row>
    <row r="43108">
      <c r="F43108" s="13"/>
      <c r="M43108" s="13"/>
    </row>
    <row r="43109">
      <c r="F43109" s="13"/>
      <c r="M43109" s="13"/>
    </row>
    <row r="43110">
      <c r="F43110" s="13"/>
      <c r="M43110" s="13"/>
    </row>
    <row r="43111">
      <c r="F43111" s="13"/>
      <c r="M43111" s="13"/>
    </row>
    <row r="43112">
      <c r="F43112" s="13"/>
      <c r="M43112" s="13"/>
    </row>
    <row r="43113">
      <c r="F43113" s="13"/>
      <c r="M43113" s="13"/>
    </row>
    <row r="43114">
      <c r="F43114" s="13"/>
      <c r="M43114" s="13"/>
    </row>
    <row r="43115">
      <c r="F43115" s="13"/>
      <c r="M43115" s="13"/>
    </row>
    <row r="43116">
      <c r="F43116" s="13"/>
      <c r="M43116" s="13"/>
    </row>
    <row r="43117">
      <c r="F43117" s="13"/>
      <c r="M43117" s="13"/>
    </row>
    <row r="43118">
      <c r="F43118" s="13"/>
      <c r="M43118" s="13"/>
    </row>
    <row r="43119">
      <c r="F43119" s="13"/>
      <c r="M43119" s="13"/>
    </row>
    <row r="43120">
      <c r="F43120" s="13"/>
      <c r="M43120" s="13"/>
    </row>
    <row r="43121">
      <c r="F43121" s="13"/>
      <c r="M43121" s="13"/>
    </row>
    <row r="43122">
      <c r="F43122" s="13"/>
      <c r="M43122" s="13"/>
    </row>
    <row r="43123">
      <c r="F43123" s="13"/>
      <c r="M43123" s="13"/>
    </row>
    <row r="43124">
      <c r="F43124" s="13"/>
      <c r="M43124" s="13"/>
    </row>
    <row r="43125">
      <c r="F43125" s="13"/>
      <c r="M43125" s="13"/>
    </row>
    <row r="43126">
      <c r="F43126" s="13"/>
      <c r="M43126" s="13"/>
    </row>
    <row r="43127">
      <c r="F43127" s="13"/>
      <c r="M43127" s="13"/>
    </row>
    <row r="43128">
      <c r="F43128" s="13"/>
      <c r="M43128" s="13"/>
    </row>
    <row r="43129">
      <c r="F43129" s="13"/>
      <c r="M43129" s="13"/>
    </row>
    <row r="43130">
      <c r="F43130" s="13"/>
      <c r="M43130" s="13"/>
    </row>
    <row r="43131">
      <c r="F43131" s="13"/>
      <c r="M43131" s="13"/>
    </row>
    <row r="43132">
      <c r="F43132" s="13"/>
      <c r="M43132" s="13"/>
    </row>
    <row r="43133">
      <c r="F43133" s="13"/>
      <c r="M43133" s="13"/>
    </row>
    <row r="43134">
      <c r="F43134" s="13"/>
      <c r="M43134" s="13"/>
    </row>
    <row r="43135">
      <c r="F43135" s="13"/>
      <c r="M43135" s="13"/>
    </row>
    <row r="43136">
      <c r="F43136" s="13"/>
      <c r="M43136" s="13"/>
    </row>
    <row r="43137">
      <c r="F43137" s="13"/>
      <c r="M43137" s="13"/>
    </row>
    <row r="43138">
      <c r="F43138" s="13"/>
      <c r="M43138" s="13"/>
    </row>
    <row r="43139">
      <c r="F43139" s="13"/>
      <c r="M43139" s="13"/>
    </row>
    <row r="43140">
      <c r="F43140" s="13"/>
      <c r="M43140" s="13"/>
    </row>
    <row r="43141">
      <c r="F43141" s="13"/>
      <c r="M43141" s="13"/>
    </row>
    <row r="43142">
      <c r="F43142" s="13"/>
      <c r="M43142" s="13"/>
    </row>
    <row r="43143">
      <c r="F43143" s="13"/>
      <c r="M43143" s="13"/>
    </row>
    <row r="43144">
      <c r="F43144" s="13"/>
      <c r="M43144" s="13"/>
    </row>
    <row r="43145">
      <c r="F43145" s="13"/>
      <c r="M43145" s="13"/>
    </row>
    <row r="43146">
      <c r="F43146" s="13"/>
      <c r="M43146" s="13"/>
    </row>
    <row r="43147">
      <c r="F43147" s="13"/>
      <c r="M43147" s="13"/>
    </row>
    <row r="43148">
      <c r="F43148" s="13"/>
      <c r="M43148" s="13"/>
    </row>
    <row r="43149">
      <c r="F43149" s="13"/>
      <c r="M43149" s="13"/>
    </row>
    <row r="43150">
      <c r="F43150" s="13"/>
      <c r="M43150" s="13"/>
    </row>
    <row r="43151">
      <c r="F43151" s="13"/>
      <c r="M43151" s="13"/>
    </row>
    <row r="43152">
      <c r="F43152" s="13"/>
      <c r="M43152" s="13"/>
    </row>
    <row r="43153">
      <c r="F43153" s="13"/>
      <c r="M43153" s="13"/>
    </row>
    <row r="43154">
      <c r="F43154" s="13"/>
      <c r="M43154" s="13"/>
    </row>
    <row r="43155">
      <c r="F43155" s="13"/>
      <c r="M43155" s="13"/>
    </row>
    <row r="43156">
      <c r="F43156" s="13"/>
      <c r="M43156" s="13"/>
    </row>
    <row r="43157">
      <c r="F43157" s="13"/>
      <c r="M43157" s="13"/>
    </row>
    <row r="43158">
      <c r="F43158" s="13"/>
      <c r="M43158" s="13"/>
    </row>
    <row r="43159">
      <c r="F43159" s="13"/>
      <c r="M43159" s="13"/>
    </row>
    <row r="43160">
      <c r="F43160" s="13"/>
      <c r="M43160" s="13"/>
    </row>
    <row r="43161">
      <c r="F43161" s="13"/>
      <c r="M43161" s="13"/>
    </row>
    <row r="43162">
      <c r="F43162" s="13"/>
      <c r="M43162" s="13"/>
    </row>
    <row r="43163">
      <c r="F43163" s="13"/>
      <c r="M43163" s="13"/>
    </row>
    <row r="43164">
      <c r="F43164" s="13"/>
      <c r="M43164" s="13"/>
    </row>
    <row r="43165">
      <c r="F43165" s="13"/>
      <c r="M43165" s="13"/>
    </row>
    <row r="43166">
      <c r="F43166" s="13"/>
      <c r="M43166" s="13"/>
    </row>
    <row r="43167">
      <c r="F43167" s="13"/>
      <c r="M43167" s="13"/>
    </row>
    <row r="43168">
      <c r="F43168" s="13"/>
      <c r="M43168" s="13"/>
    </row>
    <row r="43169">
      <c r="F43169" s="13"/>
      <c r="M43169" s="13"/>
    </row>
    <row r="43170">
      <c r="F43170" s="13"/>
      <c r="M43170" s="13"/>
    </row>
    <row r="43171">
      <c r="F43171" s="13"/>
      <c r="M43171" s="13"/>
    </row>
    <row r="43172">
      <c r="F43172" s="13"/>
      <c r="M43172" s="13"/>
    </row>
    <row r="43173">
      <c r="F43173" s="13"/>
      <c r="M43173" s="13"/>
    </row>
    <row r="43174">
      <c r="F43174" s="13"/>
      <c r="M43174" s="13"/>
    </row>
    <row r="43175">
      <c r="F43175" s="13"/>
      <c r="M43175" s="13"/>
    </row>
    <row r="43176">
      <c r="F43176" s="13"/>
      <c r="M43176" s="13"/>
    </row>
    <row r="43177">
      <c r="F43177" s="13"/>
      <c r="M43177" s="13"/>
    </row>
    <row r="43178">
      <c r="F43178" s="13"/>
      <c r="M43178" s="13"/>
    </row>
    <row r="43179">
      <c r="F43179" s="13"/>
      <c r="M43179" s="13"/>
    </row>
    <row r="43180">
      <c r="F43180" s="13"/>
      <c r="M43180" s="13"/>
    </row>
    <row r="43181">
      <c r="F43181" s="13"/>
      <c r="M43181" s="13"/>
    </row>
    <row r="43182">
      <c r="F43182" s="13"/>
      <c r="M43182" s="13"/>
    </row>
    <row r="43183">
      <c r="F43183" s="13"/>
      <c r="M43183" s="13"/>
    </row>
    <row r="43184">
      <c r="F43184" s="13"/>
      <c r="M43184" s="13"/>
    </row>
    <row r="43185">
      <c r="F43185" s="13"/>
      <c r="M43185" s="13"/>
    </row>
    <row r="43186">
      <c r="F43186" s="13"/>
      <c r="M43186" s="13"/>
    </row>
    <row r="43187">
      <c r="F43187" s="13"/>
      <c r="M43187" s="13"/>
    </row>
    <row r="43188">
      <c r="F43188" s="13"/>
      <c r="M43188" s="13"/>
    </row>
    <row r="43189">
      <c r="F43189" s="13"/>
      <c r="M43189" s="13"/>
    </row>
    <row r="43190">
      <c r="F43190" s="13"/>
      <c r="M43190" s="13"/>
    </row>
    <row r="43191">
      <c r="F43191" s="13"/>
      <c r="M43191" s="13"/>
    </row>
    <row r="43192">
      <c r="F43192" s="13"/>
      <c r="M43192" s="13"/>
    </row>
    <row r="43193">
      <c r="F43193" s="13"/>
      <c r="M43193" s="13"/>
    </row>
    <row r="43194">
      <c r="F43194" s="13"/>
      <c r="M43194" s="13"/>
    </row>
    <row r="43195">
      <c r="F43195" s="13"/>
      <c r="M43195" s="13"/>
    </row>
    <row r="43196">
      <c r="F43196" s="13"/>
      <c r="M43196" s="13"/>
    </row>
    <row r="43197">
      <c r="F43197" s="13"/>
      <c r="M43197" s="13"/>
    </row>
    <row r="43198">
      <c r="F43198" s="13"/>
      <c r="M43198" s="13"/>
    </row>
    <row r="43199">
      <c r="F43199" s="13"/>
      <c r="M43199" s="13"/>
    </row>
    <row r="43200">
      <c r="F43200" s="13"/>
      <c r="M43200" s="13"/>
    </row>
    <row r="43201">
      <c r="F43201" s="13"/>
      <c r="M43201" s="13"/>
    </row>
    <row r="43202">
      <c r="F43202" s="13"/>
      <c r="M43202" s="13"/>
    </row>
    <row r="43203">
      <c r="F43203" s="13"/>
      <c r="M43203" s="13"/>
    </row>
    <row r="43204">
      <c r="F43204" s="13"/>
      <c r="M43204" s="13"/>
    </row>
    <row r="43205">
      <c r="F43205" s="13"/>
      <c r="M43205" s="13"/>
    </row>
    <row r="43206">
      <c r="F43206" s="13"/>
      <c r="M43206" s="13"/>
    </row>
    <row r="43207">
      <c r="F43207" s="13"/>
      <c r="M43207" s="13"/>
    </row>
    <row r="43208">
      <c r="F43208" s="13"/>
      <c r="M43208" s="13"/>
    </row>
    <row r="43209">
      <c r="F43209" s="13"/>
      <c r="M43209" s="13"/>
    </row>
    <row r="43210">
      <c r="F43210" s="13"/>
      <c r="M43210" s="13"/>
    </row>
    <row r="43211">
      <c r="F43211" s="13"/>
      <c r="M43211" s="13"/>
    </row>
    <row r="43212">
      <c r="F43212" s="13"/>
      <c r="M43212" s="13"/>
    </row>
    <row r="43213">
      <c r="F43213" s="13"/>
      <c r="M43213" s="13"/>
    </row>
    <row r="43214">
      <c r="F43214" s="13"/>
      <c r="M43214" s="13"/>
    </row>
    <row r="43215">
      <c r="F43215" s="13"/>
      <c r="M43215" s="13"/>
    </row>
    <row r="43216">
      <c r="F43216" s="13"/>
      <c r="M43216" s="13"/>
    </row>
    <row r="43217">
      <c r="F43217" s="13"/>
      <c r="M43217" s="13"/>
    </row>
    <row r="43218">
      <c r="F43218" s="13"/>
      <c r="M43218" s="13"/>
    </row>
    <row r="43219">
      <c r="F43219" s="13"/>
      <c r="M43219" s="13"/>
    </row>
    <row r="43220">
      <c r="F43220" s="13"/>
      <c r="M43220" s="13"/>
    </row>
    <row r="43221">
      <c r="F43221" s="13"/>
      <c r="M43221" s="13"/>
    </row>
    <row r="43222">
      <c r="F43222" s="13"/>
      <c r="M43222" s="13"/>
    </row>
    <row r="43223">
      <c r="F43223" s="13"/>
      <c r="M43223" s="13"/>
    </row>
    <row r="43224">
      <c r="F43224" s="13"/>
      <c r="M43224" s="13"/>
    </row>
    <row r="43225">
      <c r="F43225" s="13"/>
      <c r="M43225" s="13"/>
    </row>
    <row r="43226">
      <c r="F43226" s="13"/>
      <c r="M43226" s="13"/>
    </row>
    <row r="43227">
      <c r="F43227" s="13"/>
      <c r="M43227" s="13"/>
    </row>
    <row r="43228">
      <c r="F43228" s="13"/>
      <c r="M43228" s="13"/>
    </row>
    <row r="43229">
      <c r="F43229" s="13"/>
      <c r="M43229" s="13"/>
    </row>
    <row r="43230">
      <c r="F43230" s="13"/>
      <c r="M43230" s="13"/>
    </row>
    <row r="43231">
      <c r="F43231" s="13"/>
      <c r="M43231" s="13"/>
    </row>
    <row r="43232">
      <c r="F43232" s="13"/>
      <c r="M43232" s="13"/>
    </row>
    <row r="43233">
      <c r="F43233" s="13"/>
      <c r="M43233" s="13"/>
    </row>
    <row r="43234">
      <c r="F43234" s="13"/>
      <c r="M43234" s="13"/>
    </row>
    <row r="43235">
      <c r="F43235" s="13"/>
      <c r="M43235" s="13"/>
    </row>
    <row r="43236">
      <c r="F43236" s="13"/>
      <c r="M43236" s="13"/>
    </row>
    <row r="43237">
      <c r="F43237" s="13"/>
      <c r="M43237" s="13"/>
    </row>
    <row r="43238">
      <c r="F43238" s="13"/>
      <c r="M43238" s="13"/>
    </row>
    <row r="43239">
      <c r="F43239" s="13"/>
      <c r="M43239" s="13"/>
    </row>
    <row r="43240">
      <c r="F43240" s="13"/>
      <c r="M43240" s="13"/>
    </row>
    <row r="43241">
      <c r="F43241" s="13"/>
      <c r="M43241" s="13"/>
    </row>
    <row r="43242">
      <c r="F43242" s="13"/>
      <c r="M43242" s="13"/>
    </row>
    <row r="43243">
      <c r="F43243" s="13"/>
      <c r="M43243" s="13"/>
    </row>
    <row r="43244">
      <c r="F43244" s="13"/>
      <c r="M43244" s="13"/>
    </row>
    <row r="43245">
      <c r="F43245" s="13"/>
      <c r="M43245" s="13"/>
    </row>
    <row r="43246">
      <c r="F43246" s="13"/>
      <c r="M43246" s="13"/>
    </row>
    <row r="43247">
      <c r="F43247" s="13"/>
      <c r="M43247" s="13"/>
    </row>
    <row r="43248">
      <c r="F43248" s="13"/>
      <c r="M43248" s="13"/>
    </row>
    <row r="43249">
      <c r="F43249" s="13"/>
      <c r="M43249" s="13"/>
    </row>
    <row r="43250">
      <c r="F43250" s="13"/>
      <c r="M43250" s="13"/>
    </row>
    <row r="43251">
      <c r="F43251" s="13"/>
      <c r="M43251" s="13"/>
    </row>
    <row r="43252">
      <c r="F43252" s="13"/>
      <c r="M43252" s="13"/>
    </row>
    <row r="43253">
      <c r="F43253" s="13"/>
      <c r="M43253" s="13"/>
    </row>
    <row r="43254">
      <c r="F43254" s="13"/>
      <c r="M43254" s="13"/>
    </row>
    <row r="43255">
      <c r="F43255" s="13"/>
      <c r="M43255" s="13"/>
    </row>
    <row r="43256">
      <c r="F43256" s="13"/>
      <c r="M43256" s="13"/>
    </row>
    <row r="43257">
      <c r="F43257" s="13"/>
      <c r="M43257" s="13"/>
    </row>
    <row r="43258">
      <c r="F43258" s="13"/>
      <c r="M43258" s="13"/>
    </row>
    <row r="43259">
      <c r="F43259" s="13"/>
      <c r="M43259" s="13"/>
    </row>
    <row r="43260">
      <c r="F43260" s="13"/>
      <c r="M43260" s="13"/>
    </row>
    <row r="43261">
      <c r="F43261" s="13"/>
      <c r="M43261" s="13"/>
    </row>
    <row r="43262">
      <c r="F43262" s="13"/>
      <c r="M43262" s="13"/>
    </row>
    <row r="43263">
      <c r="F43263" s="13"/>
      <c r="M43263" s="13"/>
    </row>
    <row r="43264">
      <c r="F43264" s="13"/>
      <c r="M43264" s="13"/>
    </row>
    <row r="43265">
      <c r="F43265" s="13"/>
      <c r="M43265" s="13"/>
    </row>
    <row r="43266">
      <c r="F43266" s="13"/>
      <c r="M43266" s="13"/>
    </row>
    <row r="43267">
      <c r="F43267" s="13"/>
      <c r="M43267" s="13"/>
    </row>
    <row r="43268">
      <c r="F43268" s="13"/>
      <c r="M43268" s="13"/>
    </row>
    <row r="43269">
      <c r="F43269" s="13"/>
      <c r="M43269" s="13"/>
    </row>
    <row r="43270">
      <c r="F43270" s="13"/>
      <c r="M43270" s="13"/>
    </row>
    <row r="43271">
      <c r="F43271" s="13"/>
      <c r="M43271" s="13"/>
    </row>
    <row r="43272">
      <c r="F43272" s="13"/>
      <c r="M43272" s="13"/>
    </row>
    <row r="43273">
      <c r="F43273" s="13"/>
      <c r="M43273" s="13"/>
    </row>
    <row r="43274">
      <c r="F43274" s="13"/>
      <c r="M43274" s="13"/>
    </row>
    <row r="43275">
      <c r="F43275" s="13"/>
      <c r="M43275" s="13"/>
    </row>
    <row r="43276">
      <c r="F43276" s="13"/>
      <c r="M43276" s="13"/>
    </row>
    <row r="43277">
      <c r="F43277" s="13"/>
      <c r="M43277" s="13"/>
    </row>
    <row r="43278">
      <c r="F43278" s="13"/>
      <c r="M43278" s="13"/>
    </row>
    <row r="43279">
      <c r="F43279" s="13"/>
      <c r="M43279" s="13"/>
    </row>
    <row r="43280">
      <c r="F43280" s="13"/>
      <c r="M43280" s="13"/>
    </row>
    <row r="43281">
      <c r="F43281" s="13"/>
      <c r="M43281" s="13"/>
    </row>
    <row r="43282">
      <c r="F43282" s="13"/>
      <c r="M43282" s="13"/>
    </row>
    <row r="43283">
      <c r="F43283" s="13"/>
      <c r="M43283" s="13"/>
    </row>
    <row r="43284">
      <c r="F43284" s="13"/>
      <c r="M43284" s="13"/>
    </row>
    <row r="43285">
      <c r="F43285" s="13"/>
      <c r="M43285" s="13"/>
    </row>
    <row r="43286">
      <c r="F43286" s="13"/>
      <c r="M43286" s="13"/>
    </row>
    <row r="43287">
      <c r="F43287" s="13"/>
      <c r="M43287" s="13"/>
    </row>
    <row r="43288">
      <c r="F43288" s="13"/>
      <c r="M43288" s="13"/>
    </row>
    <row r="43289">
      <c r="F43289" s="13"/>
      <c r="M43289" s="13"/>
    </row>
    <row r="43290">
      <c r="F43290" s="13"/>
      <c r="M43290" s="13"/>
    </row>
    <row r="43291">
      <c r="F43291" s="13"/>
      <c r="M43291" s="13"/>
    </row>
    <row r="43292">
      <c r="F43292" s="13"/>
      <c r="M43292" s="13"/>
    </row>
    <row r="43293">
      <c r="F43293" s="13"/>
      <c r="M43293" s="13"/>
    </row>
    <row r="43294">
      <c r="F43294" s="13"/>
      <c r="M43294" s="13"/>
    </row>
    <row r="43295">
      <c r="F43295" s="13"/>
      <c r="M43295" s="13"/>
    </row>
    <row r="43296">
      <c r="F43296" s="13"/>
      <c r="M43296" s="13"/>
    </row>
    <row r="43297">
      <c r="F43297" s="13"/>
      <c r="M43297" s="13"/>
    </row>
    <row r="43298">
      <c r="F43298" s="13"/>
      <c r="M43298" s="13"/>
    </row>
    <row r="43299">
      <c r="F43299" s="13"/>
      <c r="M43299" s="13"/>
    </row>
    <row r="43300">
      <c r="F43300" s="13"/>
      <c r="M43300" s="13"/>
    </row>
    <row r="43301">
      <c r="F43301" s="13"/>
      <c r="M43301" s="13"/>
    </row>
    <row r="43302">
      <c r="F43302" s="13"/>
      <c r="M43302" s="13"/>
    </row>
    <row r="43303">
      <c r="F43303" s="13"/>
      <c r="M43303" s="13"/>
    </row>
    <row r="43304">
      <c r="F43304" s="13"/>
      <c r="M43304" s="13"/>
    </row>
    <row r="43305">
      <c r="F43305" s="13"/>
      <c r="M43305" s="13"/>
    </row>
    <row r="43306">
      <c r="F43306" s="13"/>
      <c r="M43306" s="13"/>
    </row>
    <row r="43307">
      <c r="F43307" s="13"/>
      <c r="M43307" s="13"/>
    </row>
    <row r="43308">
      <c r="F43308" s="13"/>
      <c r="M43308" s="13"/>
    </row>
    <row r="43309">
      <c r="F43309" s="13"/>
      <c r="M43309" s="13"/>
    </row>
    <row r="43310">
      <c r="F43310" s="13"/>
      <c r="M43310" s="13"/>
    </row>
    <row r="43311">
      <c r="F43311" s="13"/>
      <c r="M43311" s="13"/>
    </row>
    <row r="43312">
      <c r="F43312" s="13"/>
      <c r="M43312" s="13"/>
    </row>
    <row r="43313">
      <c r="F43313" s="13"/>
      <c r="M43313" s="13"/>
    </row>
    <row r="43314">
      <c r="F43314" s="13"/>
      <c r="M43314" s="13"/>
    </row>
    <row r="43315">
      <c r="F43315" s="13"/>
      <c r="M43315" s="13"/>
    </row>
    <row r="43316">
      <c r="F43316" s="13"/>
      <c r="M43316" s="13"/>
    </row>
    <row r="43317">
      <c r="F43317" s="13"/>
      <c r="M43317" s="13"/>
    </row>
    <row r="43318">
      <c r="F43318" s="13"/>
      <c r="M43318" s="13"/>
    </row>
    <row r="43319">
      <c r="F43319" s="13"/>
      <c r="M43319" s="13"/>
    </row>
    <row r="43320">
      <c r="F43320" s="13"/>
      <c r="M43320" s="13"/>
    </row>
    <row r="43321">
      <c r="F43321" s="13"/>
      <c r="M43321" s="13"/>
    </row>
    <row r="43322">
      <c r="F43322" s="13"/>
      <c r="M43322" s="13"/>
    </row>
    <row r="43323">
      <c r="F43323" s="13"/>
      <c r="M43323" s="13"/>
    </row>
    <row r="43324">
      <c r="F43324" s="13"/>
      <c r="M43324" s="13"/>
    </row>
    <row r="43325">
      <c r="F43325" s="13"/>
      <c r="M43325" s="13"/>
    </row>
    <row r="43326">
      <c r="F43326" s="13"/>
      <c r="M43326" s="13"/>
    </row>
    <row r="43327">
      <c r="F43327" s="13"/>
      <c r="M43327" s="13"/>
    </row>
    <row r="43328">
      <c r="F43328" s="13"/>
      <c r="M43328" s="13"/>
    </row>
    <row r="43329">
      <c r="F43329" s="13"/>
      <c r="M43329" s="13"/>
    </row>
    <row r="43330">
      <c r="F43330" s="13"/>
      <c r="M43330" s="13"/>
    </row>
    <row r="43331">
      <c r="F43331" s="13"/>
      <c r="M43331" s="13"/>
    </row>
    <row r="43332">
      <c r="F43332" s="13"/>
      <c r="M43332" s="13"/>
    </row>
    <row r="43333">
      <c r="F43333" s="13"/>
      <c r="M43333" s="13"/>
    </row>
    <row r="43334">
      <c r="F43334" s="13"/>
      <c r="M43334" s="13"/>
    </row>
    <row r="43335">
      <c r="F43335" s="13"/>
      <c r="M43335" s="13"/>
    </row>
    <row r="43336">
      <c r="F43336" s="13"/>
      <c r="M43336" s="13"/>
    </row>
    <row r="43337">
      <c r="F43337" s="13"/>
      <c r="M43337" s="13"/>
    </row>
    <row r="43338">
      <c r="F43338" s="13"/>
      <c r="M43338" s="13"/>
    </row>
    <row r="43339">
      <c r="F43339" s="13"/>
      <c r="M43339" s="13"/>
    </row>
    <row r="43340">
      <c r="F43340" s="13"/>
      <c r="M43340" s="13"/>
    </row>
    <row r="43341">
      <c r="F43341" s="13"/>
      <c r="M43341" s="13"/>
    </row>
    <row r="43342">
      <c r="F43342" s="13"/>
      <c r="M43342" s="13"/>
    </row>
    <row r="43343">
      <c r="F43343" s="13"/>
      <c r="M43343" s="13"/>
    </row>
    <row r="43344">
      <c r="F43344" s="13"/>
      <c r="M43344" s="13"/>
    </row>
    <row r="43345">
      <c r="F43345" s="13"/>
      <c r="M43345" s="13"/>
    </row>
    <row r="43346">
      <c r="F43346" s="13"/>
      <c r="M43346" s="13"/>
    </row>
    <row r="43347">
      <c r="F43347" s="13"/>
      <c r="M43347" s="13"/>
    </row>
    <row r="43348">
      <c r="F43348" s="13"/>
      <c r="M43348" s="13"/>
    </row>
    <row r="43349">
      <c r="F43349" s="13"/>
      <c r="M43349" s="13"/>
    </row>
    <row r="43350">
      <c r="F43350" s="13"/>
      <c r="M43350" s="13"/>
    </row>
    <row r="43351">
      <c r="F43351" s="13"/>
      <c r="M43351" s="13"/>
    </row>
    <row r="43352">
      <c r="F43352" s="13"/>
      <c r="M43352" s="13"/>
    </row>
    <row r="43353">
      <c r="F43353" s="13"/>
      <c r="M43353" s="13"/>
    </row>
    <row r="43354">
      <c r="F43354" s="13"/>
      <c r="M43354" s="13"/>
    </row>
    <row r="43355">
      <c r="F43355" s="13"/>
      <c r="M43355" s="13"/>
    </row>
    <row r="43356">
      <c r="F43356" s="13"/>
      <c r="M43356" s="13"/>
    </row>
    <row r="43357">
      <c r="F43357" s="13"/>
      <c r="M43357" s="13"/>
    </row>
    <row r="43358">
      <c r="F43358" s="13"/>
      <c r="M43358" s="13"/>
    </row>
    <row r="43359">
      <c r="F43359" s="13"/>
      <c r="M43359" s="13"/>
    </row>
    <row r="43360">
      <c r="F43360" s="13"/>
      <c r="M43360" s="13"/>
    </row>
    <row r="43361">
      <c r="F43361" s="13"/>
      <c r="M43361" s="13"/>
    </row>
    <row r="43362">
      <c r="F43362" s="13"/>
      <c r="M43362" s="13"/>
    </row>
    <row r="43363">
      <c r="F43363" s="13"/>
      <c r="M43363" s="13"/>
    </row>
    <row r="43364">
      <c r="F43364" s="13"/>
      <c r="M43364" s="13"/>
    </row>
    <row r="43365">
      <c r="F43365" s="13"/>
      <c r="M43365" s="13"/>
    </row>
    <row r="43366">
      <c r="F43366" s="13"/>
      <c r="M43366" s="13"/>
    </row>
    <row r="43367">
      <c r="F43367" s="13"/>
      <c r="M43367" s="13"/>
    </row>
    <row r="43368">
      <c r="F43368" s="13"/>
      <c r="M43368" s="13"/>
    </row>
    <row r="43369">
      <c r="F43369" s="13"/>
      <c r="M43369" s="13"/>
    </row>
    <row r="43370">
      <c r="F43370" s="13"/>
      <c r="M43370" s="13"/>
    </row>
    <row r="43371">
      <c r="F43371" s="13"/>
      <c r="M43371" s="13"/>
    </row>
    <row r="43372">
      <c r="F43372" s="13"/>
      <c r="M43372" s="13"/>
    </row>
    <row r="43373">
      <c r="F43373" s="13"/>
      <c r="M43373" s="13"/>
    </row>
    <row r="43374">
      <c r="F43374" s="13"/>
      <c r="M43374" s="13"/>
    </row>
    <row r="43375">
      <c r="F43375" s="13"/>
      <c r="M43375" s="13"/>
    </row>
    <row r="43376">
      <c r="F43376" s="13"/>
      <c r="M43376" s="13"/>
    </row>
    <row r="43377">
      <c r="F43377" s="13"/>
      <c r="M43377" s="13"/>
    </row>
    <row r="43378">
      <c r="F43378" s="13"/>
      <c r="M43378" s="13"/>
    </row>
    <row r="43379">
      <c r="F43379" s="13"/>
      <c r="M43379" s="13"/>
    </row>
    <row r="43380">
      <c r="F43380" s="13"/>
      <c r="M43380" s="13"/>
    </row>
    <row r="43381">
      <c r="F43381" s="13"/>
      <c r="M43381" s="13"/>
    </row>
    <row r="43382">
      <c r="F43382" s="13"/>
      <c r="M43382" s="13"/>
    </row>
    <row r="43383">
      <c r="F43383" s="13"/>
      <c r="M43383" s="13"/>
    </row>
    <row r="43384">
      <c r="F43384" s="13"/>
      <c r="M43384" s="13"/>
    </row>
    <row r="43385">
      <c r="F43385" s="13"/>
      <c r="M43385" s="13"/>
    </row>
    <row r="43386">
      <c r="F43386" s="13"/>
      <c r="M43386" s="13"/>
    </row>
    <row r="43387">
      <c r="F43387" s="13"/>
      <c r="M43387" s="13"/>
    </row>
    <row r="43388">
      <c r="F43388" s="13"/>
      <c r="M43388" s="13"/>
    </row>
    <row r="43389">
      <c r="F43389" s="13"/>
      <c r="M43389" s="13"/>
    </row>
    <row r="43390">
      <c r="F43390" s="13"/>
      <c r="M43390" s="13"/>
    </row>
    <row r="43391">
      <c r="F43391" s="13"/>
      <c r="M43391" s="13"/>
    </row>
    <row r="43392">
      <c r="F43392" s="13"/>
      <c r="M43392" s="13"/>
    </row>
    <row r="43393">
      <c r="F43393" s="13"/>
      <c r="M43393" s="13"/>
    </row>
    <row r="43394">
      <c r="F43394" s="13"/>
      <c r="M43394" s="13"/>
    </row>
    <row r="43395">
      <c r="F43395" s="13"/>
      <c r="M43395" s="13"/>
    </row>
    <row r="43396">
      <c r="F43396" s="13"/>
      <c r="M43396" s="13"/>
    </row>
    <row r="43397">
      <c r="F43397" s="13"/>
      <c r="M43397" s="13"/>
    </row>
    <row r="43398">
      <c r="F43398" s="13"/>
      <c r="M43398" s="13"/>
    </row>
    <row r="43399">
      <c r="F43399" s="13"/>
      <c r="M43399" s="13"/>
    </row>
    <row r="43400">
      <c r="F43400" s="13"/>
      <c r="M43400" s="13"/>
    </row>
    <row r="43401">
      <c r="F43401" s="13"/>
      <c r="M43401" s="13"/>
    </row>
    <row r="43402">
      <c r="F43402" s="13"/>
      <c r="M43402" s="13"/>
    </row>
    <row r="43403">
      <c r="F43403" s="13"/>
      <c r="M43403" s="13"/>
    </row>
    <row r="43404">
      <c r="F43404" s="13"/>
      <c r="M43404" s="13"/>
    </row>
    <row r="43405">
      <c r="F43405" s="13"/>
      <c r="M43405" s="13"/>
    </row>
    <row r="43406">
      <c r="F43406" s="13"/>
      <c r="M43406" s="13"/>
    </row>
    <row r="43407">
      <c r="F43407" s="13"/>
      <c r="M43407" s="13"/>
    </row>
    <row r="43408">
      <c r="F43408" s="13"/>
      <c r="M43408" s="13"/>
    </row>
    <row r="43409">
      <c r="F43409" s="13"/>
      <c r="M43409" s="13"/>
    </row>
    <row r="43410">
      <c r="F43410" s="13"/>
      <c r="M43410" s="13"/>
    </row>
    <row r="43411">
      <c r="F43411" s="13"/>
      <c r="M43411" s="13"/>
    </row>
    <row r="43412">
      <c r="F43412" s="13"/>
      <c r="M43412" s="13"/>
    </row>
    <row r="43413">
      <c r="F43413" s="13"/>
      <c r="M43413" s="13"/>
    </row>
    <row r="43414">
      <c r="F43414" s="13"/>
      <c r="M43414" s="13"/>
    </row>
    <row r="43415">
      <c r="F43415" s="13"/>
      <c r="M43415" s="13"/>
    </row>
    <row r="43416">
      <c r="F43416" s="13"/>
      <c r="M43416" s="13"/>
    </row>
    <row r="43417">
      <c r="F43417" s="13"/>
      <c r="M43417" s="13"/>
    </row>
    <row r="43418">
      <c r="F43418" s="13"/>
      <c r="M43418" s="13"/>
    </row>
    <row r="43419">
      <c r="F43419" s="13"/>
      <c r="M43419" s="13"/>
    </row>
    <row r="43420">
      <c r="F43420" s="13"/>
      <c r="M43420" s="13"/>
    </row>
    <row r="43421">
      <c r="F43421" s="13"/>
      <c r="M43421" s="13"/>
    </row>
    <row r="43422">
      <c r="F43422" s="13"/>
      <c r="M43422" s="13"/>
    </row>
    <row r="43423">
      <c r="F43423" s="13"/>
      <c r="M43423" s="13"/>
    </row>
    <row r="43424">
      <c r="F43424" s="13"/>
      <c r="M43424" s="13"/>
    </row>
    <row r="43425">
      <c r="F43425" s="13"/>
      <c r="M43425" s="13"/>
    </row>
    <row r="43426">
      <c r="F43426" s="13"/>
      <c r="M43426" s="13"/>
    </row>
    <row r="43427">
      <c r="F43427" s="13"/>
      <c r="M43427" s="13"/>
    </row>
    <row r="43428">
      <c r="F43428" s="13"/>
      <c r="M43428" s="13"/>
    </row>
    <row r="43429">
      <c r="F43429" s="13"/>
      <c r="M43429" s="13"/>
    </row>
    <row r="43430">
      <c r="F43430" s="13"/>
      <c r="M43430" s="13"/>
    </row>
    <row r="43431">
      <c r="F43431" s="13"/>
      <c r="M43431" s="13"/>
    </row>
    <row r="43432">
      <c r="F43432" s="13"/>
      <c r="M43432" s="13"/>
    </row>
    <row r="43433">
      <c r="F43433" s="13"/>
      <c r="M43433" s="13"/>
    </row>
    <row r="43434">
      <c r="F43434" s="13"/>
      <c r="M43434" s="13"/>
    </row>
    <row r="43435">
      <c r="F43435" s="13"/>
      <c r="M43435" s="13"/>
    </row>
    <row r="43436">
      <c r="F43436" s="13"/>
      <c r="M43436" s="13"/>
    </row>
    <row r="43437">
      <c r="F43437" s="13"/>
      <c r="M43437" s="13"/>
    </row>
    <row r="43438">
      <c r="F43438" s="13"/>
      <c r="M43438" s="13"/>
    </row>
    <row r="43439">
      <c r="F43439" s="13"/>
      <c r="M43439" s="13"/>
    </row>
    <row r="43440">
      <c r="F43440" s="13"/>
      <c r="M43440" s="13"/>
    </row>
    <row r="43441">
      <c r="F43441" s="13"/>
      <c r="M43441" s="13"/>
    </row>
    <row r="43442">
      <c r="F43442" s="13"/>
      <c r="M43442" s="13"/>
    </row>
    <row r="43443">
      <c r="F43443" s="13"/>
      <c r="M43443" s="13"/>
    </row>
    <row r="43444">
      <c r="F43444" s="13"/>
      <c r="M43444" s="13"/>
    </row>
    <row r="43445">
      <c r="F43445" s="13"/>
      <c r="M43445" s="13"/>
    </row>
    <row r="43446">
      <c r="F43446" s="13"/>
      <c r="M43446" s="13"/>
    </row>
    <row r="43447">
      <c r="F43447" s="13"/>
      <c r="M43447" s="13"/>
    </row>
    <row r="43448">
      <c r="F43448" s="13"/>
      <c r="M43448" s="13"/>
    </row>
    <row r="43449">
      <c r="F43449" s="13"/>
      <c r="M43449" s="13"/>
    </row>
    <row r="43450">
      <c r="F43450" s="13"/>
      <c r="M43450" s="13"/>
    </row>
    <row r="43451">
      <c r="F43451" s="13"/>
      <c r="M43451" s="13"/>
    </row>
    <row r="43452">
      <c r="F43452" s="13"/>
      <c r="M43452" s="13"/>
    </row>
    <row r="43453">
      <c r="F43453" s="13"/>
      <c r="M43453" s="13"/>
    </row>
    <row r="43454">
      <c r="F43454" s="13"/>
      <c r="M43454" s="13"/>
    </row>
    <row r="43455">
      <c r="F43455" s="13"/>
      <c r="M43455" s="13"/>
    </row>
    <row r="43456">
      <c r="F43456" s="13"/>
      <c r="M43456" s="13"/>
    </row>
    <row r="43457">
      <c r="F43457" s="13"/>
      <c r="M43457" s="13"/>
    </row>
    <row r="43458">
      <c r="F43458" s="13"/>
      <c r="M43458" s="13"/>
    </row>
    <row r="43459">
      <c r="F43459" s="13"/>
      <c r="M43459" s="13"/>
    </row>
    <row r="43460">
      <c r="F43460" s="13"/>
      <c r="M43460" s="13"/>
    </row>
    <row r="43461">
      <c r="F43461" s="13"/>
      <c r="M43461" s="13"/>
    </row>
    <row r="43462">
      <c r="F43462" s="13"/>
      <c r="M43462" s="13"/>
    </row>
    <row r="43463">
      <c r="F43463" s="13"/>
      <c r="M43463" s="13"/>
    </row>
    <row r="43464">
      <c r="F43464" s="13"/>
      <c r="M43464" s="13"/>
    </row>
    <row r="43465">
      <c r="F43465" s="13"/>
      <c r="M43465" s="13"/>
    </row>
    <row r="43466">
      <c r="F43466" s="13"/>
      <c r="M43466" s="13"/>
    </row>
    <row r="43467">
      <c r="F43467" s="13"/>
      <c r="M43467" s="13"/>
    </row>
    <row r="43468">
      <c r="F43468" s="13"/>
      <c r="M43468" s="13"/>
    </row>
    <row r="43469">
      <c r="F43469" s="13"/>
      <c r="M43469" s="13"/>
    </row>
    <row r="43470">
      <c r="F43470" s="13"/>
      <c r="M43470" s="13"/>
    </row>
    <row r="43471">
      <c r="F43471" s="13"/>
      <c r="M43471" s="13"/>
    </row>
    <row r="43472">
      <c r="F43472" s="13"/>
      <c r="M43472" s="13"/>
    </row>
    <row r="43473">
      <c r="F43473" s="13"/>
      <c r="M43473" s="13"/>
    </row>
    <row r="43474">
      <c r="F43474" s="13"/>
      <c r="M43474" s="13"/>
    </row>
    <row r="43475">
      <c r="F43475" s="13"/>
      <c r="M43475" s="13"/>
    </row>
    <row r="43476">
      <c r="F43476" s="13"/>
      <c r="M43476" s="13"/>
    </row>
    <row r="43477">
      <c r="F43477" s="13"/>
      <c r="M43477" s="13"/>
    </row>
    <row r="43478">
      <c r="F43478" s="13"/>
      <c r="M43478" s="13"/>
    </row>
    <row r="43479">
      <c r="F43479" s="13"/>
      <c r="M43479" s="13"/>
    </row>
    <row r="43480">
      <c r="F43480" s="13"/>
      <c r="M43480" s="13"/>
    </row>
    <row r="43481">
      <c r="F43481" s="13"/>
      <c r="M43481" s="13"/>
    </row>
    <row r="43482">
      <c r="F43482" s="13"/>
      <c r="M43482" s="13"/>
    </row>
    <row r="43483">
      <c r="F43483" s="13"/>
      <c r="M43483" s="13"/>
    </row>
    <row r="43484">
      <c r="F43484" s="13"/>
      <c r="M43484" s="13"/>
    </row>
    <row r="43485">
      <c r="F43485" s="13"/>
      <c r="M43485" s="13"/>
    </row>
    <row r="43486">
      <c r="F43486" s="13"/>
      <c r="M43486" s="13"/>
    </row>
    <row r="43487">
      <c r="F43487" s="13"/>
      <c r="M43487" s="13"/>
    </row>
    <row r="43488">
      <c r="F43488" s="13"/>
      <c r="M43488" s="13"/>
    </row>
    <row r="43489">
      <c r="F43489" s="13"/>
      <c r="M43489" s="13"/>
    </row>
    <row r="43490">
      <c r="F43490" s="13"/>
      <c r="M43490" s="13"/>
    </row>
    <row r="43491">
      <c r="F43491" s="13"/>
      <c r="M43491" s="13"/>
    </row>
    <row r="43492">
      <c r="F43492" s="13"/>
      <c r="M43492" s="13"/>
    </row>
    <row r="43493">
      <c r="F43493" s="13"/>
      <c r="M43493" s="13"/>
    </row>
    <row r="43494">
      <c r="F43494" s="13"/>
      <c r="M43494" s="13"/>
    </row>
    <row r="43495">
      <c r="F43495" s="13"/>
      <c r="M43495" s="13"/>
    </row>
    <row r="43496">
      <c r="F43496" s="13"/>
      <c r="M43496" s="13"/>
    </row>
    <row r="43497">
      <c r="F43497" s="13"/>
      <c r="M43497" s="13"/>
    </row>
    <row r="43498">
      <c r="F43498" s="13"/>
      <c r="M43498" s="13"/>
    </row>
    <row r="43499">
      <c r="F43499" s="13"/>
      <c r="M43499" s="13"/>
    </row>
    <row r="43500">
      <c r="F43500" s="13"/>
      <c r="M43500" s="13"/>
    </row>
    <row r="43501">
      <c r="F43501" s="13"/>
      <c r="M43501" s="13"/>
    </row>
    <row r="43502">
      <c r="F43502" s="13"/>
      <c r="M43502" s="13"/>
    </row>
    <row r="43503">
      <c r="F43503" s="13"/>
      <c r="M43503" s="13"/>
    </row>
    <row r="43504">
      <c r="F43504" s="13"/>
      <c r="M43504" s="13"/>
    </row>
    <row r="43505">
      <c r="F43505" s="13"/>
      <c r="M43505" s="13"/>
    </row>
    <row r="43506">
      <c r="F43506" s="13"/>
      <c r="M43506" s="13"/>
    </row>
    <row r="43507">
      <c r="F43507" s="13"/>
      <c r="M43507" s="13"/>
    </row>
    <row r="43508">
      <c r="F43508" s="13"/>
      <c r="M43508" s="13"/>
    </row>
    <row r="43509">
      <c r="F43509" s="13"/>
      <c r="M43509" s="13"/>
    </row>
    <row r="43510">
      <c r="F43510" s="13"/>
      <c r="M43510" s="13"/>
    </row>
    <row r="43511">
      <c r="F43511" s="13"/>
      <c r="M43511" s="13"/>
    </row>
    <row r="43512">
      <c r="F43512" s="13"/>
      <c r="M43512" s="13"/>
    </row>
    <row r="43513">
      <c r="F43513" s="13"/>
      <c r="M43513" s="13"/>
    </row>
    <row r="43514">
      <c r="F43514" s="13"/>
      <c r="M43514" s="13"/>
    </row>
    <row r="43515">
      <c r="F43515" s="13"/>
      <c r="M43515" s="13"/>
    </row>
    <row r="43516">
      <c r="F43516" s="13"/>
      <c r="M43516" s="13"/>
    </row>
    <row r="43517">
      <c r="F43517" s="13"/>
      <c r="M43517" s="13"/>
    </row>
    <row r="43518">
      <c r="F43518" s="13"/>
      <c r="M43518" s="13"/>
    </row>
    <row r="43519">
      <c r="F43519" s="13"/>
      <c r="M43519" s="13"/>
    </row>
    <row r="43520">
      <c r="F43520" s="13"/>
      <c r="M43520" s="13"/>
    </row>
    <row r="43521">
      <c r="F43521" s="13"/>
      <c r="M43521" s="13"/>
    </row>
    <row r="43522">
      <c r="F43522" s="13"/>
      <c r="M43522" s="13"/>
    </row>
    <row r="43523">
      <c r="F43523" s="13"/>
      <c r="M43523" s="13"/>
    </row>
    <row r="43524">
      <c r="F43524" s="13"/>
      <c r="M43524" s="13"/>
    </row>
    <row r="43525">
      <c r="F43525" s="13"/>
      <c r="M43525" s="13"/>
    </row>
    <row r="43526">
      <c r="F43526" s="13"/>
      <c r="M43526" s="13"/>
    </row>
    <row r="43527">
      <c r="F43527" s="13"/>
      <c r="M43527" s="13"/>
    </row>
    <row r="43528">
      <c r="F43528" s="13"/>
      <c r="M43528" s="13"/>
    </row>
    <row r="43529">
      <c r="F43529" s="13"/>
      <c r="M43529" s="13"/>
    </row>
    <row r="43530">
      <c r="F43530" s="13"/>
      <c r="M43530" s="13"/>
    </row>
    <row r="43531">
      <c r="F43531" s="13"/>
      <c r="M43531" s="13"/>
    </row>
    <row r="43532">
      <c r="F43532" s="13"/>
      <c r="M43532" s="13"/>
    </row>
    <row r="43533">
      <c r="F43533" s="13"/>
      <c r="M43533" s="13"/>
    </row>
    <row r="43534">
      <c r="F43534" s="13"/>
      <c r="M43534" s="13"/>
    </row>
    <row r="43535">
      <c r="F43535" s="13"/>
      <c r="M43535" s="13"/>
    </row>
    <row r="43536">
      <c r="F43536" s="13"/>
      <c r="M43536" s="13"/>
    </row>
    <row r="43537">
      <c r="F43537" s="13"/>
      <c r="M43537" s="13"/>
    </row>
    <row r="43538">
      <c r="F43538" s="13"/>
      <c r="M43538" s="13"/>
    </row>
    <row r="43539">
      <c r="F43539" s="13"/>
      <c r="M43539" s="13"/>
    </row>
    <row r="43540">
      <c r="F43540" s="13"/>
      <c r="M43540" s="13"/>
    </row>
    <row r="43541">
      <c r="F43541" s="13"/>
      <c r="M43541" s="13"/>
    </row>
    <row r="43542">
      <c r="F43542" s="13"/>
      <c r="M43542" s="13"/>
    </row>
    <row r="43543">
      <c r="F43543" s="13"/>
      <c r="M43543" s="13"/>
    </row>
    <row r="43544">
      <c r="F43544" s="13"/>
      <c r="M43544" s="13"/>
    </row>
    <row r="43545">
      <c r="F43545" s="13"/>
      <c r="M43545" s="13"/>
    </row>
    <row r="43546">
      <c r="F43546" s="13"/>
      <c r="M43546" s="13"/>
    </row>
    <row r="43547">
      <c r="F43547" s="13"/>
      <c r="M43547" s="13"/>
    </row>
    <row r="43548">
      <c r="F43548" s="13"/>
      <c r="M43548" s="13"/>
    </row>
    <row r="43549">
      <c r="F43549" s="13"/>
      <c r="M43549" s="13"/>
    </row>
    <row r="43550">
      <c r="F43550" s="13"/>
      <c r="M43550" s="13"/>
    </row>
    <row r="43551">
      <c r="F43551" s="13"/>
      <c r="M43551" s="13"/>
    </row>
    <row r="43552">
      <c r="F43552" s="13"/>
      <c r="M43552" s="13"/>
    </row>
    <row r="43553">
      <c r="F43553" s="13"/>
      <c r="M43553" s="13"/>
    </row>
    <row r="43554">
      <c r="F43554" s="13"/>
      <c r="M43554" s="13"/>
    </row>
    <row r="43555">
      <c r="F43555" s="13"/>
      <c r="M43555" s="13"/>
    </row>
    <row r="43556">
      <c r="F43556" s="13"/>
      <c r="M43556" s="13"/>
    </row>
    <row r="43557">
      <c r="F43557" s="13"/>
      <c r="M43557" s="13"/>
    </row>
    <row r="43558">
      <c r="F43558" s="13"/>
      <c r="M43558" s="13"/>
    </row>
    <row r="43559">
      <c r="F43559" s="13"/>
      <c r="M43559" s="13"/>
    </row>
    <row r="43560">
      <c r="F43560" s="13"/>
      <c r="M43560" s="13"/>
    </row>
    <row r="43561">
      <c r="F43561" s="13"/>
      <c r="M43561" s="13"/>
    </row>
    <row r="43562">
      <c r="F43562" s="13"/>
      <c r="M43562" s="13"/>
    </row>
    <row r="43563">
      <c r="F43563" s="13"/>
      <c r="M43563" s="13"/>
    </row>
    <row r="43564">
      <c r="F43564" s="13"/>
      <c r="M43564" s="13"/>
    </row>
    <row r="43565">
      <c r="F43565" s="13"/>
      <c r="M43565" s="13"/>
    </row>
    <row r="43566">
      <c r="F43566" s="13"/>
      <c r="M43566" s="13"/>
    </row>
    <row r="43567">
      <c r="F43567" s="13"/>
      <c r="M43567" s="13"/>
    </row>
    <row r="43568">
      <c r="F43568" s="13"/>
      <c r="M43568" s="13"/>
    </row>
    <row r="43569">
      <c r="F43569" s="13"/>
      <c r="M43569" s="13"/>
    </row>
    <row r="43570">
      <c r="F43570" s="13"/>
      <c r="M43570" s="13"/>
    </row>
    <row r="43571">
      <c r="F43571" s="13"/>
      <c r="M43571" s="13"/>
    </row>
    <row r="43572">
      <c r="F43572" s="13"/>
      <c r="M43572" s="13"/>
    </row>
    <row r="43573">
      <c r="F43573" s="13"/>
      <c r="M43573" s="13"/>
    </row>
    <row r="43574">
      <c r="F43574" s="13"/>
      <c r="M43574" s="13"/>
    </row>
    <row r="43575">
      <c r="F43575" s="13"/>
      <c r="M43575" s="13"/>
    </row>
    <row r="43576">
      <c r="F43576" s="13"/>
      <c r="M43576" s="13"/>
    </row>
    <row r="43577">
      <c r="F43577" s="13"/>
      <c r="M43577" s="13"/>
    </row>
    <row r="43578">
      <c r="F43578" s="13"/>
      <c r="M43578" s="13"/>
    </row>
    <row r="43579">
      <c r="F43579" s="13"/>
      <c r="M43579" s="13"/>
    </row>
    <row r="43580">
      <c r="F43580" s="13"/>
      <c r="M43580" s="13"/>
    </row>
    <row r="43581">
      <c r="F43581" s="13"/>
      <c r="M43581" s="13"/>
    </row>
    <row r="43582">
      <c r="F43582" s="13"/>
      <c r="M43582" s="13"/>
    </row>
    <row r="43583">
      <c r="F43583" s="13"/>
      <c r="M43583" s="13"/>
    </row>
    <row r="43584">
      <c r="F43584" s="13"/>
      <c r="M43584" s="13"/>
    </row>
    <row r="43585">
      <c r="F43585" s="13"/>
      <c r="M43585" s="13"/>
    </row>
    <row r="43586">
      <c r="F43586" s="13"/>
      <c r="M43586" s="13"/>
    </row>
    <row r="43587">
      <c r="F43587" s="13"/>
      <c r="M43587" s="13"/>
    </row>
    <row r="43588">
      <c r="F43588" s="13"/>
      <c r="M43588" s="13"/>
    </row>
    <row r="43589">
      <c r="F43589" s="13"/>
      <c r="M43589" s="13"/>
    </row>
    <row r="43590">
      <c r="F43590" s="13"/>
      <c r="M43590" s="13"/>
    </row>
    <row r="43591">
      <c r="F43591" s="13"/>
      <c r="M43591" s="13"/>
    </row>
    <row r="43592">
      <c r="F43592" s="13"/>
      <c r="M43592" s="13"/>
    </row>
    <row r="43593">
      <c r="F43593" s="13"/>
      <c r="M43593" s="13"/>
    </row>
    <row r="43594">
      <c r="F43594" s="13"/>
      <c r="M43594" s="13"/>
    </row>
    <row r="43595">
      <c r="F43595" s="13"/>
      <c r="M43595" s="13"/>
    </row>
    <row r="43596">
      <c r="F43596" s="13"/>
      <c r="M43596" s="13"/>
    </row>
    <row r="43597">
      <c r="F43597" s="13"/>
      <c r="M43597" s="13"/>
    </row>
    <row r="43598">
      <c r="F43598" s="13"/>
      <c r="M43598" s="13"/>
    </row>
    <row r="43599">
      <c r="F43599" s="13"/>
      <c r="M43599" s="13"/>
    </row>
    <row r="43600">
      <c r="F43600" s="13"/>
      <c r="M43600" s="13"/>
    </row>
    <row r="43601">
      <c r="F43601" s="13"/>
      <c r="M43601" s="13"/>
    </row>
    <row r="43602">
      <c r="F43602" s="13"/>
      <c r="M43602" s="13"/>
    </row>
    <row r="43603">
      <c r="F43603" s="13"/>
      <c r="M43603" s="13"/>
    </row>
    <row r="43604">
      <c r="F43604" s="13"/>
      <c r="M43604" s="13"/>
    </row>
    <row r="43605">
      <c r="F43605" s="13"/>
      <c r="M43605" s="13"/>
    </row>
    <row r="43606">
      <c r="F43606" s="13"/>
      <c r="M43606" s="13"/>
    </row>
    <row r="43607">
      <c r="F43607" s="13"/>
      <c r="M43607" s="13"/>
    </row>
    <row r="43608">
      <c r="F43608" s="13"/>
      <c r="M43608" s="13"/>
    </row>
    <row r="43609">
      <c r="F43609" s="13"/>
      <c r="M43609" s="13"/>
    </row>
    <row r="43610">
      <c r="F43610" s="13"/>
      <c r="M43610" s="13"/>
    </row>
    <row r="43611">
      <c r="F43611" s="13"/>
      <c r="M43611" s="13"/>
    </row>
    <row r="43612">
      <c r="F43612" s="13"/>
      <c r="M43612" s="13"/>
    </row>
    <row r="43613">
      <c r="F43613" s="13"/>
      <c r="M43613" s="13"/>
    </row>
    <row r="43614">
      <c r="F43614" s="13"/>
      <c r="M43614" s="13"/>
    </row>
    <row r="43615">
      <c r="F43615" s="13"/>
      <c r="M43615" s="13"/>
    </row>
    <row r="43616">
      <c r="F43616" s="13"/>
      <c r="M43616" s="13"/>
    </row>
    <row r="43617">
      <c r="F43617" s="13"/>
      <c r="M43617" s="13"/>
    </row>
    <row r="43618">
      <c r="F43618" s="13"/>
      <c r="M43618" s="13"/>
    </row>
    <row r="43619">
      <c r="F43619" s="13"/>
      <c r="M43619" s="13"/>
    </row>
    <row r="43620">
      <c r="F43620" s="13"/>
      <c r="M43620" s="13"/>
    </row>
    <row r="43621">
      <c r="F43621" s="13"/>
      <c r="M43621" s="13"/>
    </row>
    <row r="43622">
      <c r="F43622" s="13"/>
      <c r="M43622" s="13"/>
    </row>
    <row r="43623">
      <c r="F43623" s="13"/>
      <c r="M43623" s="13"/>
    </row>
    <row r="43624">
      <c r="F43624" s="13"/>
      <c r="M43624" s="13"/>
    </row>
    <row r="43625">
      <c r="F43625" s="13"/>
      <c r="M43625" s="13"/>
    </row>
    <row r="43626">
      <c r="F43626" s="13"/>
      <c r="M43626" s="13"/>
    </row>
    <row r="43627">
      <c r="F43627" s="13"/>
      <c r="M43627" s="13"/>
    </row>
    <row r="43628">
      <c r="F43628" s="13"/>
      <c r="M43628" s="13"/>
    </row>
    <row r="43629">
      <c r="F43629" s="13"/>
      <c r="M43629" s="13"/>
    </row>
    <row r="43630">
      <c r="F43630" s="13"/>
      <c r="M43630" s="13"/>
    </row>
    <row r="43631">
      <c r="F43631" s="13"/>
      <c r="M43631" s="13"/>
    </row>
    <row r="43632">
      <c r="F43632" s="13"/>
      <c r="M43632" s="13"/>
    </row>
    <row r="43633">
      <c r="F43633" s="13"/>
      <c r="M43633" s="13"/>
    </row>
    <row r="43634">
      <c r="F43634" s="13"/>
      <c r="M43634" s="13"/>
    </row>
    <row r="43635">
      <c r="F43635" s="13"/>
      <c r="M43635" s="13"/>
    </row>
    <row r="43636">
      <c r="F43636" s="13"/>
      <c r="M43636" s="13"/>
    </row>
    <row r="43637">
      <c r="F43637" s="13"/>
      <c r="M43637" s="13"/>
    </row>
    <row r="43638">
      <c r="F43638" s="13"/>
      <c r="M43638" s="13"/>
    </row>
    <row r="43639">
      <c r="F43639" s="13"/>
      <c r="M43639" s="13"/>
    </row>
    <row r="43640">
      <c r="F43640" s="13"/>
      <c r="M43640" s="13"/>
    </row>
    <row r="43641">
      <c r="F43641" s="13"/>
      <c r="M43641" s="13"/>
    </row>
    <row r="43642">
      <c r="F43642" s="13"/>
      <c r="M43642" s="13"/>
    </row>
    <row r="43643">
      <c r="F43643" s="13"/>
      <c r="M43643" s="13"/>
    </row>
    <row r="43644">
      <c r="F43644" s="13"/>
      <c r="M43644" s="13"/>
    </row>
    <row r="43645">
      <c r="F43645" s="13"/>
      <c r="M43645" s="13"/>
    </row>
    <row r="43646">
      <c r="F43646" s="13"/>
      <c r="M43646" s="13"/>
    </row>
    <row r="43647">
      <c r="F43647" s="13"/>
      <c r="M43647" s="13"/>
    </row>
    <row r="43648">
      <c r="F43648" s="13"/>
      <c r="M43648" s="13"/>
    </row>
    <row r="43649">
      <c r="F43649" s="13"/>
      <c r="M43649" s="13"/>
    </row>
    <row r="43650">
      <c r="F43650" s="13"/>
      <c r="M43650" s="13"/>
    </row>
    <row r="43651">
      <c r="F43651" s="13"/>
      <c r="M43651" s="13"/>
    </row>
    <row r="43652">
      <c r="F43652" s="13"/>
      <c r="M43652" s="13"/>
    </row>
    <row r="43653">
      <c r="F43653" s="13"/>
      <c r="M43653" s="13"/>
    </row>
    <row r="43654">
      <c r="F43654" s="13"/>
      <c r="M43654" s="13"/>
    </row>
    <row r="43655">
      <c r="F43655" s="13"/>
      <c r="M43655" s="13"/>
    </row>
    <row r="43656">
      <c r="F43656" s="13"/>
      <c r="M43656" s="13"/>
    </row>
    <row r="43657">
      <c r="F43657" s="13"/>
      <c r="M43657" s="13"/>
    </row>
    <row r="43658">
      <c r="F43658" s="13"/>
      <c r="M43658" s="13"/>
    </row>
    <row r="43659">
      <c r="F43659" s="13"/>
      <c r="M43659" s="13"/>
    </row>
    <row r="43660">
      <c r="F43660" s="13"/>
      <c r="M43660" s="13"/>
    </row>
    <row r="43661">
      <c r="F43661" s="13"/>
      <c r="M43661" s="13"/>
    </row>
    <row r="43662">
      <c r="F43662" s="13"/>
      <c r="M43662" s="13"/>
    </row>
    <row r="43663">
      <c r="F43663" s="13"/>
      <c r="M43663" s="13"/>
    </row>
    <row r="43664">
      <c r="F43664" s="13"/>
      <c r="M43664" s="13"/>
    </row>
    <row r="43665">
      <c r="F43665" s="13"/>
      <c r="M43665" s="13"/>
    </row>
    <row r="43666">
      <c r="F43666" s="13"/>
      <c r="M43666" s="13"/>
    </row>
    <row r="43667">
      <c r="F43667" s="13"/>
      <c r="M43667" s="13"/>
    </row>
    <row r="43668">
      <c r="F43668" s="13"/>
      <c r="M43668" s="13"/>
    </row>
    <row r="43669">
      <c r="F43669" s="13"/>
      <c r="M43669" s="13"/>
    </row>
    <row r="43670">
      <c r="F43670" s="13"/>
      <c r="M43670" s="13"/>
    </row>
    <row r="43671">
      <c r="F43671" s="13"/>
      <c r="M43671" s="13"/>
    </row>
    <row r="43672">
      <c r="F43672" s="13"/>
      <c r="M43672" s="13"/>
    </row>
    <row r="43673">
      <c r="F43673" s="13"/>
      <c r="M43673" s="13"/>
    </row>
    <row r="43674">
      <c r="F43674" s="13"/>
      <c r="M43674" s="13"/>
    </row>
    <row r="43675">
      <c r="F43675" s="13"/>
      <c r="M43675" s="13"/>
    </row>
    <row r="43676">
      <c r="F43676" s="13"/>
      <c r="M43676" s="13"/>
    </row>
    <row r="43677">
      <c r="F43677" s="13"/>
      <c r="M43677" s="13"/>
    </row>
    <row r="43678">
      <c r="F43678" s="13"/>
      <c r="M43678" s="13"/>
    </row>
    <row r="43679">
      <c r="F43679" s="13"/>
      <c r="M43679" s="13"/>
    </row>
    <row r="43680">
      <c r="F43680" s="13"/>
      <c r="M43680" s="13"/>
    </row>
    <row r="43681">
      <c r="F43681" s="13"/>
      <c r="M43681" s="13"/>
    </row>
    <row r="43682">
      <c r="F43682" s="13"/>
      <c r="M43682" s="13"/>
    </row>
    <row r="43683">
      <c r="F43683" s="13"/>
      <c r="M43683" s="13"/>
    </row>
    <row r="43684">
      <c r="F43684" s="13"/>
      <c r="M43684" s="13"/>
    </row>
    <row r="43685">
      <c r="F43685" s="13"/>
      <c r="M43685" s="13"/>
    </row>
    <row r="43686">
      <c r="F43686" s="13"/>
      <c r="M43686" s="13"/>
    </row>
    <row r="43687">
      <c r="F43687" s="13"/>
      <c r="M43687" s="13"/>
    </row>
    <row r="43688">
      <c r="F43688" s="13"/>
      <c r="M43688" s="13"/>
    </row>
    <row r="43689">
      <c r="F43689" s="13"/>
      <c r="M43689" s="13"/>
    </row>
    <row r="43690">
      <c r="F43690" s="13"/>
      <c r="M43690" s="13"/>
    </row>
    <row r="43691">
      <c r="F43691" s="13"/>
      <c r="M43691" s="13"/>
    </row>
    <row r="43692">
      <c r="F43692" s="13"/>
      <c r="M43692" s="13"/>
    </row>
    <row r="43693">
      <c r="F43693" s="13"/>
      <c r="M43693" s="13"/>
    </row>
    <row r="43694">
      <c r="F43694" s="13"/>
      <c r="M43694" s="13"/>
    </row>
    <row r="43695">
      <c r="F43695" s="13"/>
      <c r="M43695" s="13"/>
    </row>
    <row r="43696">
      <c r="F43696" s="13"/>
      <c r="M43696" s="13"/>
    </row>
    <row r="43697">
      <c r="F43697" s="13"/>
      <c r="M43697" s="13"/>
    </row>
    <row r="43698">
      <c r="F43698" s="13"/>
      <c r="M43698" s="13"/>
    </row>
    <row r="43699">
      <c r="F43699" s="13"/>
      <c r="M43699" s="13"/>
    </row>
    <row r="43700">
      <c r="F43700" s="13"/>
      <c r="M43700" s="13"/>
    </row>
    <row r="43701">
      <c r="F43701" s="13"/>
      <c r="M43701" s="13"/>
    </row>
    <row r="43702">
      <c r="F43702" s="13"/>
      <c r="M43702" s="13"/>
    </row>
    <row r="43703">
      <c r="F43703" s="13"/>
      <c r="M43703" s="13"/>
    </row>
    <row r="43704">
      <c r="F43704" s="13"/>
      <c r="M43704" s="13"/>
    </row>
    <row r="43705">
      <c r="F43705" s="13"/>
      <c r="M43705" s="13"/>
    </row>
    <row r="43706">
      <c r="F43706" s="13"/>
      <c r="M43706" s="13"/>
    </row>
    <row r="43707">
      <c r="F43707" s="13"/>
      <c r="M43707" s="13"/>
    </row>
    <row r="43708">
      <c r="F43708" s="13"/>
      <c r="M43708" s="13"/>
    </row>
    <row r="43709">
      <c r="F43709" s="13"/>
      <c r="M43709" s="13"/>
    </row>
    <row r="43710">
      <c r="F43710" s="13"/>
      <c r="M43710" s="13"/>
    </row>
    <row r="43711">
      <c r="F43711" s="13"/>
      <c r="M43711" s="13"/>
    </row>
    <row r="43712">
      <c r="F43712" s="13"/>
      <c r="M43712" s="13"/>
    </row>
    <row r="43713">
      <c r="F43713" s="13"/>
      <c r="M43713" s="13"/>
    </row>
    <row r="43714">
      <c r="F43714" s="13"/>
      <c r="M43714" s="13"/>
    </row>
    <row r="43715">
      <c r="F43715" s="13"/>
      <c r="M43715" s="13"/>
    </row>
    <row r="43716">
      <c r="F43716" s="13"/>
      <c r="M43716" s="13"/>
    </row>
    <row r="43717">
      <c r="F43717" s="13"/>
      <c r="M43717" s="13"/>
    </row>
    <row r="43718">
      <c r="F43718" s="13"/>
      <c r="M43718" s="13"/>
    </row>
    <row r="43719">
      <c r="F43719" s="13"/>
      <c r="M43719" s="13"/>
    </row>
    <row r="43720">
      <c r="F43720" s="13"/>
      <c r="M43720" s="13"/>
    </row>
    <row r="43721">
      <c r="F43721" s="13"/>
      <c r="M43721" s="13"/>
    </row>
    <row r="43722">
      <c r="F43722" s="13"/>
      <c r="M43722" s="13"/>
    </row>
    <row r="43723">
      <c r="F43723" s="13"/>
      <c r="M43723" s="13"/>
    </row>
    <row r="43724">
      <c r="F43724" s="13"/>
      <c r="M43724" s="13"/>
    </row>
    <row r="43725">
      <c r="F43725" s="13"/>
      <c r="M43725" s="13"/>
    </row>
    <row r="43726">
      <c r="F43726" s="13"/>
      <c r="M43726" s="13"/>
    </row>
    <row r="43727">
      <c r="F43727" s="13"/>
      <c r="M43727" s="13"/>
    </row>
    <row r="43728">
      <c r="F43728" s="13"/>
      <c r="M43728" s="13"/>
    </row>
    <row r="43729">
      <c r="F43729" s="13"/>
      <c r="M43729" s="13"/>
    </row>
    <row r="43730">
      <c r="F43730" s="13"/>
      <c r="M43730" s="13"/>
    </row>
    <row r="43731">
      <c r="F43731" s="13"/>
      <c r="M43731" s="13"/>
    </row>
    <row r="43732">
      <c r="F43732" s="13"/>
      <c r="M43732" s="13"/>
    </row>
    <row r="43733">
      <c r="F43733" s="13"/>
      <c r="M43733" s="13"/>
    </row>
    <row r="43734">
      <c r="F43734" s="13"/>
      <c r="M43734" s="13"/>
    </row>
    <row r="43735">
      <c r="F43735" s="13"/>
      <c r="M43735" s="13"/>
    </row>
    <row r="43736">
      <c r="F43736" s="13"/>
      <c r="M43736" s="13"/>
    </row>
    <row r="43737">
      <c r="F43737" s="13"/>
      <c r="M43737" s="13"/>
    </row>
    <row r="43738">
      <c r="F43738" s="13"/>
      <c r="M43738" s="13"/>
    </row>
    <row r="43739">
      <c r="F43739" s="13"/>
      <c r="M43739" s="13"/>
    </row>
    <row r="43740">
      <c r="F43740" s="13"/>
      <c r="M43740" s="13"/>
    </row>
    <row r="43741">
      <c r="F43741" s="13"/>
      <c r="M43741" s="13"/>
    </row>
    <row r="43742">
      <c r="F43742" s="13"/>
      <c r="M43742" s="13"/>
    </row>
    <row r="43743">
      <c r="F43743" s="13"/>
      <c r="M43743" s="13"/>
    </row>
    <row r="43744">
      <c r="F43744" s="13"/>
      <c r="M43744" s="13"/>
    </row>
    <row r="43745">
      <c r="F43745" s="13"/>
      <c r="M43745" s="13"/>
    </row>
    <row r="43746">
      <c r="F43746" s="13"/>
      <c r="M43746" s="13"/>
    </row>
    <row r="43747">
      <c r="F43747" s="13"/>
      <c r="M43747" s="13"/>
    </row>
    <row r="43748">
      <c r="F43748" s="13"/>
      <c r="M43748" s="13"/>
    </row>
    <row r="43749">
      <c r="F43749" s="13"/>
      <c r="M43749" s="13"/>
    </row>
    <row r="43750">
      <c r="F43750" s="13"/>
      <c r="M43750" s="13"/>
    </row>
    <row r="43751">
      <c r="F43751" s="13"/>
      <c r="M43751" s="13"/>
    </row>
    <row r="43752">
      <c r="F43752" s="13"/>
      <c r="M43752" s="13"/>
    </row>
    <row r="43753">
      <c r="F43753" s="13"/>
      <c r="M43753" s="13"/>
    </row>
    <row r="43754">
      <c r="F43754" s="13"/>
      <c r="M43754" s="13"/>
    </row>
    <row r="43755">
      <c r="F43755" s="13"/>
      <c r="M43755" s="13"/>
    </row>
    <row r="43756">
      <c r="F43756" s="13"/>
      <c r="M43756" s="13"/>
    </row>
    <row r="43757">
      <c r="F43757" s="13"/>
      <c r="M43757" s="13"/>
    </row>
    <row r="43758">
      <c r="F43758" s="13"/>
      <c r="M43758" s="13"/>
    </row>
    <row r="43759">
      <c r="F43759" s="13"/>
      <c r="M43759" s="13"/>
    </row>
    <row r="43760">
      <c r="F43760" s="13"/>
      <c r="M43760" s="13"/>
    </row>
    <row r="43761">
      <c r="F43761" s="13"/>
      <c r="M43761" s="13"/>
    </row>
    <row r="43762">
      <c r="F43762" s="13"/>
      <c r="M43762" s="13"/>
    </row>
    <row r="43763">
      <c r="F43763" s="13"/>
      <c r="M43763" s="13"/>
    </row>
    <row r="43764">
      <c r="F43764" s="13"/>
      <c r="M43764" s="13"/>
    </row>
    <row r="43765">
      <c r="F43765" s="13"/>
      <c r="M43765" s="13"/>
    </row>
    <row r="43766">
      <c r="F43766" s="13"/>
      <c r="M43766" s="13"/>
    </row>
    <row r="43767">
      <c r="F43767" s="13"/>
      <c r="M43767" s="13"/>
    </row>
    <row r="43768">
      <c r="F43768" s="13"/>
      <c r="M43768" s="13"/>
    </row>
    <row r="43769">
      <c r="F43769" s="13"/>
      <c r="M43769" s="13"/>
    </row>
    <row r="43770">
      <c r="F43770" s="13"/>
      <c r="M43770" s="13"/>
    </row>
    <row r="43771">
      <c r="F43771" s="13"/>
      <c r="M43771" s="13"/>
    </row>
    <row r="43772">
      <c r="F43772" s="13"/>
      <c r="M43772" s="13"/>
    </row>
    <row r="43773">
      <c r="F43773" s="13"/>
      <c r="M43773" s="13"/>
    </row>
    <row r="43774">
      <c r="F43774" s="13"/>
      <c r="M43774" s="13"/>
    </row>
    <row r="43775">
      <c r="F43775" s="13"/>
      <c r="M43775" s="13"/>
    </row>
    <row r="43776">
      <c r="F43776" s="13"/>
      <c r="M43776" s="13"/>
    </row>
    <row r="43777">
      <c r="F43777" s="13"/>
      <c r="M43777" s="13"/>
    </row>
    <row r="43778">
      <c r="F43778" s="13"/>
      <c r="M43778" s="13"/>
    </row>
    <row r="43779">
      <c r="F43779" s="13"/>
      <c r="M43779" s="13"/>
    </row>
    <row r="43780">
      <c r="F43780" s="13"/>
      <c r="M43780" s="13"/>
    </row>
    <row r="43781">
      <c r="F43781" s="13"/>
      <c r="M43781" s="13"/>
    </row>
    <row r="43782">
      <c r="F43782" s="13"/>
      <c r="M43782" s="13"/>
    </row>
    <row r="43783">
      <c r="F43783" s="13"/>
      <c r="M43783" s="13"/>
    </row>
    <row r="43784">
      <c r="F43784" s="13"/>
      <c r="M43784" s="13"/>
    </row>
    <row r="43785">
      <c r="F43785" s="13"/>
      <c r="M43785" s="13"/>
    </row>
    <row r="43786">
      <c r="F43786" s="13"/>
      <c r="M43786" s="13"/>
    </row>
    <row r="43787">
      <c r="F43787" s="13"/>
      <c r="M43787" s="13"/>
    </row>
    <row r="43788">
      <c r="F43788" s="13"/>
      <c r="M43788" s="13"/>
    </row>
    <row r="43789">
      <c r="F43789" s="13"/>
      <c r="M43789" s="13"/>
    </row>
    <row r="43790">
      <c r="F43790" s="13"/>
      <c r="M43790" s="13"/>
    </row>
    <row r="43791">
      <c r="F43791" s="13"/>
      <c r="M43791" s="13"/>
    </row>
    <row r="43792">
      <c r="F43792" s="13"/>
      <c r="M43792" s="13"/>
    </row>
    <row r="43793">
      <c r="F43793" s="13"/>
      <c r="M43793" s="13"/>
    </row>
    <row r="43794">
      <c r="F43794" s="13"/>
      <c r="M43794" s="13"/>
    </row>
    <row r="43795">
      <c r="F43795" s="13"/>
      <c r="M43795" s="13"/>
    </row>
    <row r="43796">
      <c r="F43796" s="13"/>
      <c r="M43796" s="13"/>
    </row>
    <row r="43797">
      <c r="F43797" s="13"/>
      <c r="M43797" s="13"/>
    </row>
    <row r="43798">
      <c r="F43798" s="13"/>
      <c r="M43798" s="13"/>
    </row>
    <row r="43799">
      <c r="F43799" s="13"/>
      <c r="M43799" s="13"/>
    </row>
    <row r="43800">
      <c r="F43800" s="13"/>
      <c r="M43800" s="13"/>
    </row>
    <row r="43801">
      <c r="F43801" s="13"/>
      <c r="M43801" s="13"/>
    </row>
    <row r="43802">
      <c r="F43802" s="13"/>
      <c r="M43802" s="13"/>
    </row>
    <row r="43803">
      <c r="F43803" s="13"/>
      <c r="M43803" s="13"/>
    </row>
    <row r="43804">
      <c r="F43804" s="13"/>
      <c r="M43804" s="13"/>
    </row>
    <row r="43805">
      <c r="F43805" s="13"/>
      <c r="M43805" s="13"/>
    </row>
    <row r="43806">
      <c r="F43806" s="13"/>
      <c r="M43806" s="13"/>
    </row>
    <row r="43807">
      <c r="F43807" s="13"/>
      <c r="M43807" s="13"/>
    </row>
    <row r="43808">
      <c r="F43808" s="13"/>
      <c r="M43808" s="13"/>
    </row>
    <row r="43809">
      <c r="F43809" s="13"/>
      <c r="M43809" s="13"/>
    </row>
    <row r="43810">
      <c r="F43810" s="13"/>
      <c r="M43810" s="13"/>
    </row>
    <row r="43811">
      <c r="F43811" s="13"/>
      <c r="M43811" s="13"/>
    </row>
    <row r="43812">
      <c r="F43812" s="13"/>
      <c r="M43812" s="13"/>
    </row>
    <row r="43813">
      <c r="F43813" s="13"/>
      <c r="M43813" s="13"/>
    </row>
    <row r="43814">
      <c r="F43814" s="13"/>
      <c r="M43814" s="13"/>
    </row>
    <row r="43815">
      <c r="F43815" s="13"/>
      <c r="M43815" s="13"/>
    </row>
    <row r="43816">
      <c r="F43816" s="13"/>
      <c r="M43816" s="13"/>
    </row>
    <row r="43817">
      <c r="F43817" s="13"/>
      <c r="M43817" s="13"/>
    </row>
    <row r="43818">
      <c r="F43818" s="13"/>
      <c r="M43818" s="13"/>
    </row>
    <row r="43819">
      <c r="F43819" s="13"/>
      <c r="M43819" s="13"/>
    </row>
    <row r="43820">
      <c r="F43820" s="13"/>
      <c r="M43820" s="13"/>
    </row>
    <row r="43821">
      <c r="F43821" s="13"/>
      <c r="M43821" s="13"/>
    </row>
    <row r="43822">
      <c r="F43822" s="13"/>
      <c r="M43822" s="13"/>
    </row>
    <row r="43823">
      <c r="F43823" s="13"/>
      <c r="M43823" s="13"/>
    </row>
    <row r="43824">
      <c r="F43824" s="13"/>
      <c r="M43824" s="13"/>
    </row>
    <row r="43825">
      <c r="F43825" s="13"/>
      <c r="M43825" s="13"/>
    </row>
    <row r="43826">
      <c r="F43826" s="13"/>
      <c r="M43826" s="13"/>
    </row>
    <row r="43827">
      <c r="F43827" s="13"/>
      <c r="M43827" s="13"/>
    </row>
    <row r="43828">
      <c r="F43828" s="13"/>
      <c r="M43828" s="13"/>
    </row>
    <row r="43829">
      <c r="F43829" s="13"/>
      <c r="M43829" s="13"/>
    </row>
    <row r="43830">
      <c r="F43830" s="13"/>
      <c r="M43830" s="13"/>
    </row>
    <row r="43831">
      <c r="F43831" s="13"/>
      <c r="M43831" s="13"/>
    </row>
    <row r="43832">
      <c r="F43832" s="13"/>
      <c r="M43832" s="13"/>
    </row>
    <row r="43833">
      <c r="F43833" s="13"/>
      <c r="M43833" s="13"/>
    </row>
    <row r="43834">
      <c r="F43834" s="13"/>
      <c r="M43834" s="13"/>
    </row>
    <row r="43835">
      <c r="F43835" s="13"/>
      <c r="M43835" s="13"/>
    </row>
    <row r="43836">
      <c r="F43836" s="13"/>
      <c r="M43836" s="13"/>
    </row>
    <row r="43837">
      <c r="F43837" s="13"/>
      <c r="M43837" s="13"/>
    </row>
    <row r="43838">
      <c r="F43838" s="13"/>
      <c r="M43838" s="13"/>
    </row>
    <row r="43839">
      <c r="F43839" s="13"/>
      <c r="M43839" s="13"/>
    </row>
    <row r="43840">
      <c r="F43840" s="13"/>
      <c r="M43840" s="13"/>
    </row>
    <row r="43841">
      <c r="F43841" s="13"/>
      <c r="M43841" s="13"/>
    </row>
    <row r="43842">
      <c r="F43842" s="13"/>
      <c r="M43842" s="13"/>
    </row>
    <row r="43843">
      <c r="F43843" s="13"/>
      <c r="M43843" s="13"/>
    </row>
    <row r="43844">
      <c r="F43844" s="13"/>
      <c r="M43844" s="13"/>
    </row>
    <row r="43845">
      <c r="F43845" s="13"/>
      <c r="M43845" s="13"/>
    </row>
    <row r="43846">
      <c r="F43846" s="13"/>
      <c r="M43846" s="13"/>
    </row>
    <row r="43847">
      <c r="F43847" s="13"/>
      <c r="M43847" s="13"/>
    </row>
    <row r="43848">
      <c r="F43848" s="13"/>
      <c r="M43848" s="13"/>
    </row>
    <row r="43849">
      <c r="F43849" s="13"/>
      <c r="M43849" s="13"/>
    </row>
    <row r="43850">
      <c r="F43850" s="13"/>
      <c r="M43850" s="13"/>
    </row>
    <row r="43851">
      <c r="F43851" s="13"/>
      <c r="M43851" s="13"/>
    </row>
    <row r="43852">
      <c r="F43852" s="13"/>
      <c r="M43852" s="13"/>
    </row>
    <row r="43853">
      <c r="F43853" s="13"/>
      <c r="M43853" s="13"/>
    </row>
    <row r="43854">
      <c r="F43854" s="13"/>
      <c r="M43854" s="13"/>
    </row>
    <row r="43855">
      <c r="F43855" s="13"/>
      <c r="M43855" s="13"/>
    </row>
    <row r="43856">
      <c r="F43856" s="13"/>
      <c r="M43856" s="13"/>
    </row>
    <row r="43857">
      <c r="F43857" s="13"/>
      <c r="M43857" s="13"/>
    </row>
    <row r="43858">
      <c r="F43858" s="13"/>
      <c r="M43858" s="13"/>
    </row>
    <row r="43859">
      <c r="F43859" s="13"/>
      <c r="M43859" s="13"/>
    </row>
    <row r="43860">
      <c r="F43860" s="13"/>
      <c r="M43860" s="13"/>
    </row>
    <row r="43861">
      <c r="F43861" s="13"/>
      <c r="M43861" s="13"/>
    </row>
    <row r="43862">
      <c r="F43862" s="13"/>
      <c r="M43862" s="13"/>
    </row>
    <row r="43863">
      <c r="F43863" s="13"/>
      <c r="M43863" s="13"/>
    </row>
    <row r="43864">
      <c r="F43864" s="13"/>
      <c r="M43864" s="13"/>
    </row>
    <row r="43865">
      <c r="F43865" s="13"/>
      <c r="M43865" s="13"/>
    </row>
    <row r="43866">
      <c r="F43866" s="13"/>
      <c r="M43866" s="13"/>
    </row>
    <row r="43867">
      <c r="F43867" s="13"/>
      <c r="M43867" s="13"/>
    </row>
    <row r="43868">
      <c r="F43868" s="13"/>
      <c r="M43868" s="13"/>
    </row>
    <row r="43869">
      <c r="F43869" s="13"/>
      <c r="M43869" s="13"/>
    </row>
    <row r="43870">
      <c r="F43870" s="13"/>
      <c r="M43870" s="13"/>
    </row>
    <row r="43871">
      <c r="F43871" s="13"/>
      <c r="M43871" s="13"/>
    </row>
    <row r="43872">
      <c r="F43872" s="13"/>
      <c r="M43872" s="13"/>
    </row>
    <row r="43873">
      <c r="F43873" s="13"/>
      <c r="M43873" s="13"/>
    </row>
    <row r="43874">
      <c r="F43874" s="13"/>
      <c r="M43874" s="13"/>
    </row>
    <row r="43875">
      <c r="F43875" s="13"/>
      <c r="M43875" s="13"/>
    </row>
    <row r="43876">
      <c r="F43876" s="13"/>
      <c r="M43876" s="13"/>
    </row>
    <row r="43877">
      <c r="F43877" s="13"/>
      <c r="M43877" s="13"/>
    </row>
    <row r="43878">
      <c r="F43878" s="13"/>
      <c r="M43878" s="13"/>
    </row>
    <row r="43879">
      <c r="F43879" s="13"/>
      <c r="M43879" s="13"/>
    </row>
    <row r="43880">
      <c r="F43880" s="13"/>
      <c r="M43880" s="13"/>
    </row>
    <row r="43881">
      <c r="F43881" s="13"/>
      <c r="M43881" s="13"/>
    </row>
    <row r="43882">
      <c r="F43882" s="13"/>
      <c r="M43882" s="13"/>
    </row>
    <row r="43883">
      <c r="F43883" s="13"/>
      <c r="M43883" s="13"/>
    </row>
    <row r="43884">
      <c r="F43884" s="13"/>
      <c r="M43884" s="13"/>
    </row>
    <row r="43885">
      <c r="F43885" s="13"/>
      <c r="M43885" s="13"/>
    </row>
    <row r="43886">
      <c r="F43886" s="13"/>
      <c r="M43886" s="13"/>
    </row>
    <row r="43887">
      <c r="F43887" s="13"/>
      <c r="M43887" s="13"/>
    </row>
    <row r="43888">
      <c r="F43888" s="13"/>
      <c r="M43888" s="13"/>
    </row>
    <row r="43889">
      <c r="F43889" s="13"/>
      <c r="M43889" s="13"/>
    </row>
    <row r="43890">
      <c r="F43890" s="13"/>
      <c r="M43890" s="13"/>
    </row>
    <row r="43891">
      <c r="F43891" s="13"/>
      <c r="M43891" s="13"/>
    </row>
    <row r="43892">
      <c r="F43892" s="13"/>
      <c r="M43892" s="13"/>
    </row>
    <row r="43893">
      <c r="F43893" s="13"/>
      <c r="M43893" s="13"/>
    </row>
    <row r="43894">
      <c r="F43894" s="13"/>
      <c r="M43894" s="13"/>
    </row>
    <row r="43895">
      <c r="F43895" s="13"/>
      <c r="M43895" s="13"/>
    </row>
    <row r="43896">
      <c r="F43896" s="13"/>
      <c r="M43896" s="13"/>
    </row>
    <row r="43897">
      <c r="F43897" s="13"/>
      <c r="M43897" s="13"/>
    </row>
    <row r="43898">
      <c r="F43898" s="13"/>
      <c r="M43898" s="13"/>
    </row>
    <row r="43899">
      <c r="F43899" s="13"/>
      <c r="M43899" s="13"/>
    </row>
    <row r="43900">
      <c r="F43900" s="13"/>
      <c r="M43900" s="13"/>
    </row>
    <row r="43901">
      <c r="F43901" s="13"/>
      <c r="M43901" s="13"/>
    </row>
    <row r="43902">
      <c r="F43902" s="13"/>
      <c r="M43902" s="13"/>
    </row>
    <row r="43903">
      <c r="F43903" s="13"/>
      <c r="M43903" s="13"/>
    </row>
    <row r="43904">
      <c r="F43904" s="13"/>
      <c r="M43904" s="13"/>
    </row>
    <row r="43905">
      <c r="F43905" s="13"/>
      <c r="M43905" s="13"/>
    </row>
    <row r="43906">
      <c r="F43906" s="13"/>
      <c r="M43906" s="13"/>
    </row>
    <row r="43907">
      <c r="F43907" s="13"/>
      <c r="M43907" s="13"/>
    </row>
    <row r="43908">
      <c r="F43908" s="13"/>
      <c r="M43908" s="13"/>
    </row>
    <row r="43909">
      <c r="F43909" s="13"/>
      <c r="M43909" s="13"/>
    </row>
    <row r="43910">
      <c r="F43910" s="13"/>
      <c r="M43910" s="13"/>
    </row>
    <row r="43911">
      <c r="F43911" s="13"/>
      <c r="M43911" s="13"/>
    </row>
    <row r="43912">
      <c r="F43912" s="13"/>
      <c r="M43912" s="13"/>
    </row>
    <row r="43913">
      <c r="F43913" s="13"/>
      <c r="M43913" s="13"/>
    </row>
    <row r="43914">
      <c r="F43914" s="13"/>
      <c r="M43914" s="13"/>
    </row>
    <row r="43915">
      <c r="F43915" s="13"/>
      <c r="M43915" s="13"/>
    </row>
    <row r="43916">
      <c r="F43916" s="13"/>
      <c r="M43916" s="13"/>
    </row>
    <row r="43917">
      <c r="F43917" s="13"/>
      <c r="M43917" s="13"/>
    </row>
    <row r="43918">
      <c r="F43918" s="13"/>
      <c r="M43918" s="13"/>
    </row>
    <row r="43919">
      <c r="F43919" s="13"/>
      <c r="M43919" s="13"/>
    </row>
    <row r="43920">
      <c r="F43920" s="13"/>
      <c r="M43920" s="13"/>
    </row>
    <row r="43921">
      <c r="F43921" s="13"/>
      <c r="M43921" s="13"/>
    </row>
    <row r="43922">
      <c r="F43922" s="13"/>
      <c r="M43922" s="13"/>
    </row>
    <row r="43923">
      <c r="F43923" s="13"/>
      <c r="M43923" s="13"/>
    </row>
    <row r="43924">
      <c r="F43924" s="13"/>
      <c r="M43924" s="13"/>
    </row>
    <row r="43925">
      <c r="F43925" s="13"/>
      <c r="M43925" s="13"/>
    </row>
    <row r="43926">
      <c r="F43926" s="13"/>
      <c r="M43926" s="13"/>
    </row>
    <row r="43927">
      <c r="F43927" s="13"/>
      <c r="M43927" s="13"/>
    </row>
    <row r="43928">
      <c r="F43928" s="13"/>
      <c r="M43928" s="13"/>
    </row>
    <row r="43929">
      <c r="F43929" s="13"/>
      <c r="M43929" s="13"/>
    </row>
    <row r="43930">
      <c r="F43930" s="13"/>
      <c r="M43930" s="13"/>
    </row>
    <row r="43931">
      <c r="F43931" s="13"/>
      <c r="M43931" s="13"/>
    </row>
    <row r="43932">
      <c r="F43932" s="13"/>
      <c r="M43932" s="13"/>
    </row>
    <row r="43933">
      <c r="F43933" s="13"/>
      <c r="M43933" s="13"/>
    </row>
    <row r="43934">
      <c r="F43934" s="13"/>
      <c r="M43934" s="13"/>
    </row>
    <row r="43935">
      <c r="F43935" s="13"/>
      <c r="M43935" s="13"/>
    </row>
    <row r="43936">
      <c r="F43936" s="13"/>
      <c r="M43936" s="13"/>
    </row>
    <row r="43937">
      <c r="F43937" s="13"/>
      <c r="M43937" s="13"/>
    </row>
    <row r="43938">
      <c r="F43938" s="13"/>
      <c r="M43938" s="13"/>
    </row>
    <row r="43939">
      <c r="F43939" s="13"/>
      <c r="M43939" s="13"/>
    </row>
    <row r="43940">
      <c r="F43940" s="13"/>
      <c r="M43940" s="13"/>
    </row>
    <row r="43941">
      <c r="F43941" s="13"/>
      <c r="M43941" s="13"/>
    </row>
    <row r="43942">
      <c r="F43942" s="13"/>
      <c r="M43942" s="13"/>
    </row>
    <row r="43943">
      <c r="F43943" s="13"/>
      <c r="M43943" s="13"/>
    </row>
    <row r="43944">
      <c r="F43944" s="13"/>
      <c r="M43944" s="13"/>
    </row>
    <row r="43945">
      <c r="F43945" s="13"/>
      <c r="M43945" s="13"/>
    </row>
    <row r="43946">
      <c r="F43946" s="13"/>
      <c r="M43946" s="13"/>
    </row>
    <row r="43947">
      <c r="F43947" s="13"/>
      <c r="M43947" s="13"/>
    </row>
    <row r="43948">
      <c r="F43948" s="13"/>
      <c r="M43948" s="13"/>
    </row>
    <row r="43949">
      <c r="F43949" s="13"/>
      <c r="M43949" s="13"/>
    </row>
    <row r="43950">
      <c r="F43950" s="13"/>
      <c r="M43950" s="13"/>
    </row>
    <row r="43951">
      <c r="F43951" s="13"/>
      <c r="M43951" s="13"/>
    </row>
    <row r="43952">
      <c r="F43952" s="13"/>
      <c r="M43952" s="13"/>
    </row>
    <row r="43953">
      <c r="F43953" s="13"/>
      <c r="M43953" s="13"/>
    </row>
    <row r="43954">
      <c r="F43954" s="13"/>
      <c r="M43954" s="13"/>
    </row>
    <row r="43955">
      <c r="F43955" s="13"/>
      <c r="M43955" s="13"/>
    </row>
    <row r="43956">
      <c r="F43956" s="13"/>
      <c r="M43956" s="13"/>
    </row>
    <row r="43957">
      <c r="F43957" s="13"/>
      <c r="M43957" s="13"/>
    </row>
    <row r="43958">
      <c r="F43958" s="13"/>
      <c r="M43958" s="13"/>
    </row>
    <row r="43959">
      <c r="F43959" s="13"/>
      <c r="M43959" s="13"/>
    </row>
    <row r="43960">
      <c r="F43960" s="13"/>
      <c r="M43960" s="13"/>
    </row>
    <row r="43961">
      <c r="F43961" s="13"/>
      <c r="M43961" s="13"/>
    </row>
    <row r="43962">
      <c r="F43962" s="13"/>
      <c r="M43962" s="13"/>
    </row>
    <row r="43963">
      <c r="F43963" s="13"/>
      <c r="M43963" s="13"/>
    </row>
    <row r="43964">
      <c r="F43964" s="13"/>
      <c r="M43964" s="13"/>
    </row>
    <row r="43965">
      <c r="F43965" s="13"/>
      <c r="M43965" s="13"/>
    </row>
    <row r="43966">
      <c r="F43966" s="13"/>
      <c r="M43966" s="13"/>
    </row>
    <row r="43967">
      <c r="F43967" s="13"/>
      <c r="M43967" s="13"/>
    </row>
    <row r="43968">
      <c r="F43968" s="13"/>
      <c r="M43968" s="13"/>
    </row>
    <row r="43969">
      <c r="F43969" s="13"/>
      <c r="M43969" s="13"/>
    </row>
    <row r="43970">
      <c r="F43970" s="13"/>
      <c r="M43970" s="13"/>
    </row>
    <row r="43971">
      <c r="F43971" s="13"/>
      <c r="M43971" s="13"/>
    </row>
    <row r="43972">
      <c r="F43972" s="13"/>
      <c r="M43972" s="13"/>
    </row>
    <row r="43973">
      <c r="F43973" s="13"/>
      <c r="M43973" s="13"/>
    </row>
    <row r="43974">
      <c r="F43974" s="13"/>
      <c r="M43974" s="13"/>
    </row>
    <row r="43975">
      <c r="F43975" s="13"/>
      <c r="M43975" s="13"/>
    </row>
    <row r="43976">
      <c r="F43976" s="13"/>
      <c r="M43976" s="13"/>
    </row>
    <row r="43977">
      <c r="F43977" s="13"/>
      <c r="M43977" s="13"/>
    </row>
    <row r="43978">
      <c r="F43978" s="13"/>
      <c r="M43978" s="13"/>
    </row>
    <row r="43979">
      <c r="F43979" s="13"/>
      <c r="M43979" s="13"/>
    </row>
    <row r="43980">
      <c r="F43980" s="13"/>
      <c r="M43980" s="13"/>
    </row>
    <row r="43981">
      <c r="F43981" s="13"/>
      <c r="M43981" s="13"/>
    </row>
    <row r="43982">
      <c r="F43982" s="13"/>
      <c r="M43982" s="13"/>
    </row>
    <row r="43983">
      <c r="F43983" s="13"/>
      <c r="M43983" s="13"/>
    </row>
    <row r="43984">
      <c r="F43984" s="13"/>
      <c r="M43984" s="13"/>
    </row>
    <row r="43985">
      <c r="F43985" s="13"/>
      <c r="M43985" s="13"/>
    </row>
    <row r="43986">
      <c r="F43986" s="13"/>
      <c r="M43986" s="13"/>
    </row>
    <row r="43987">
      <c r="F43987" s="13"/>
      <c r="M43987" s="13"/>
    </row>
    <row r="43988">
      <c r="F43988" s="13"/>
      <c r="M43988" s="13"/>
    </row>
    <row r="43989">
      <c r="F43989" s="13"/>
      <c r="M43989" s="13"/>
    </row>
    <row r="43990">
      <c r="F43990" s="13"/>
      <c r="M43990" s="13"/>
    </row>
    <row r="43991">
      <c r="F43991" s="13"/>
      <c r="M43991" s="13"/>
    </row>
    <row r="43992">
      <c r="F43992" s="13"/>
      <c r="M43992" s="13"/>
    </row>
    <row r="43993">
      <c r="F43993" s="13"/>
      <c r="M43993" s="13"/>
    </row>
    <row r="43994">
      <c r="F43994" s="13"/>
      <c r="M43994" s="13"/>
    </row>
    <row r="43995">
      <c r="F43995" s="13"/>
      <c r="M43995" s="13"/>
    </row>
    <row r="43996">
      <c r="F43996" s="13"/>
      <c r="M43996" s="13"/>
    </row>
    <row r="43997">
      <c r="F43997" s="13"/>
      <c r="M43997" s="13"/>
    </row>
    <row r="43998">
      <c r="F43998" s="13"/>
      <c r="M43998" s="13"/>
    </row>
    <row r="43999">
      <c r="F43999" s="13"/>
      <c r="M43999" s="13"/>
    </row>
    <row r="44000">
      <c r="F44000" s="13"/>
      <c r="M44000" s="13"/>
    </row>
    <row r="44001">
      <c r="F44001" s="13"/>
      <c r="M44001" s="13"/>
    </row>
    <row r="44002">
      <c r="F44002" s="13"/>
      <c r="M44002" s="13"/>
    </row>
    <row r="44003">
      <c r="F44003" s="13"/>
      <c r="M44003" s="13"/>
    </row>
    <row r="44004">
      <c r="F44004" s="13"/>
      <c r="M44004" s="13"/>
    </row>
    <row r="44005">
      <c r="F44005" s="13"/>
      <c r="M44005" s="13"/>
    </row>
    <row r="44006">
      <c r="F44006" s="13"/>
      <c r="M44006" s="13"/>
    </row>
    <row r="44007">
      <c r="F44007" s="13"/>
      <c r="M44007" s="13"/>
    </row>
    <row r="44008">
      <c r="F44008" s="13"/>
      <c r="M44008" s="13"/>
    </row>
    <row r="44009">
      <c r="F44009" s="13"/>
      <c r="M44009" s="13"/>
    </row>
    <row r="44010">
      <c r="F44010" s="13"/>
      <c r="M44010" s="13"/>
    </row>
    <row r="44011">
      <c r="F44011" s="13"/>
      <c r="M44011" s="13"/>
    </row>
    <row r="44012">
      <c r="F44012" s="13"/>
      <c r="M44012" s="13"/>
    </row>
    <row r="44013">
      <c r="F44013" s="13"/>
      <c r="M44013" s="13"/>
    </row>
    <row r="44014">
      <c r="F44014" s="13"/>
      <c r="M44014" s="13"/>
    </row>
    <row r="44015">
      <c r="F44015" s="13"/>
      <c r="M44015" s="13"/>
    </row>
    <row r="44016">
      <c r="F44016" s="13"/>
      <c r="M44016" s="13"/>
    </row>
    <row r="44017">
      <c r="F44017" s="13"/>
      <c r="M44017" s="13"/>
    </row>
    <row r="44018">
      <c r="F44018" s="13"/>
      <c r="M44018" s="13"/>
    </row>
    <row r="44019">
      <c r="F44019" s="13"/>
      <c r="M44019" s="13"/>
    </row>
    <row r="44020">
      <c r="F44020" s="13"/>
      <c r="M44020" s="13"/>
    </row>
    <row r="44021">
      <c r="F44021" s="13"/>
      <c r="M44021" s="13"/>
    </row>
    <row r="44022">
      <c r="F44022" s="13"/>
      <c r="M44022" s="13"/>
    </row>
    <row r="44023">
      <c r="F44023" s="13"/>
      <c r="M44023" s="13"/>
    </row>
    <row r="44024">
      <c r="F44024" s="13"/>
      <c r="M44024" s="13"/>
    </row>
    <row r="44025">
      <c r="F44025" s="13"/>
      <c r="M44025" s="13"/>
    </row>
    <row r="44026">
      <c r="F44026" s="13"/>
      <c r="M44026" s="13"/>
    </row>
    <row r="44027">
      <c r="F44027" s="13"/>
      <c r="M44027" s="13"/>
    </row>
    <row r="44028">
      <c r="F44028" s="13"/>
      <c r="M44028" s="13"/>
    </row>
    <row r="44029">
      <c r="F44029" s="13"/>
      <c r="M44029" s="13"/>
    </row>
    <row r="44030">
      <c r="F44030" s="13"/>
      <c r="M44030" s="13"/>
    </row>
    <row r="44031">
      <c r="F44031" s="13"/>
      <c r="M44031" s="13"/>
    </row>
    <row r="44032">
      <c r="F44032" s="13"/>
      <c r="M44032" s="13"/>
    </row>
    <row r="44033">
      <c r="F44033" s="13"/>
      <c r="M44033" s="13"/>
    </row>
    <row r="44034">
      <c r="F44034" s="13"/>
      <c r="M44034" s="13"/>
    </row>
    <row r="44035">
      <c r="F44035" s="13"/>
      <c r="M44035" s="13"/>
    </row>
    <row r="44036">
      <c r="F44036" s="13"/>
      <c r="M44036" s="13"/>
    </row>
    <row r="44037">
      <c r="F44037" s="13"/>
      <c r="M44037" s="13"/>
    </row>
    <row r="44038">
      <c r="F44038" s="13"/>
      <c r="M44038" s="13"/>
    </row>
    <row r="44039">
      <c r="F44039" s="13"/>
      <c r="M44039" s="13"/>
    </row>
    <row r="44040">
      <c r="F44040" s="13"/>
      <c r="M44040" s="13"/>
    </row>
    <row r="44041">
      <c r="F44041" s="13"/>
      <c r="M44041" s="13"/>
    </row>
    <row r="44042">
      <c r="F44042" s="13"/>
      <c r="M44042" s="13"/>
    </row>
    <row r="44043">
      <c r="F44043" s="13"/>
      <c r="M44043" s="13"/>
    </row>
    <row r="44044">
      <c r="F44044" s="13"/>
      <c r="M44044" s="13"/>
    </row>
    <row r="44045">
      <c r="F44045" s="13"/>
      <c r="M44045" s="13"/>
    </row>
    <row r="44046">
      <c r="F44046" s="13"/>
      <c r="M44046" s="13"/>
    </row>
    <row r="44047">
      <c r="F44047" s="13"/>
      <c r="M44047" s="13"/>
    </row>
    <row r="44048">
      <c r="F44048" s="13"/>
      <c r="M44048" s="13"/>
    </row>
    <row r="44049">
      <c r="F44049" s="13"/>
      <c r="M44049" s="13"/>
    </row>
    <row r="44050">
      <c r="F44050" s="13"/>
      <c r="M44050" s="13"/>
    </row>
    <row r="44051">
      <c r="F44051" s="13"/>
      <c r="M44051" s="13"/>
    </row>
    <row r="44052">
      <c r="F44052" s="13"/>
      <c r="M44052" s="13"/>
    </row>
    <row r="44053">
      <c r="F44053" s="13"/>
      <c r="M44053" s="13"/>
    </row>
    <row r="44054">
      <c r="F44054" s="13"/>
      <c r="M44054" s="13"/>
    </row>
    <row r="44055">
      <c r="F44055" s="13"/>
      <c r="M44055" s="13"/>
    </row>
    <row r="44056">
      <c r="F44056" s="13"/>
      <c r="M44056" s="13"/>
    </row>
    <row r="44057">
      <c r="F44057" s="13"/>
      <c r="M44057" s="13"/>
    </row>
    <row r="44058">
      <c r="F44058" s="13"/>
      <c r="M44058" s="13"/>
    </row>
    <row r="44059">
      <c r="F44059" s="13"/>
      <c r="M44059" s="13"/>
    </row>
    <row r="44060">
      <c r="F44060" s="13"/>
      <c r="M44060" s="13"/>
    </row>
    <row r="44061">
      <c r="F44061" s="13"/>
      <c r="M44061" s="13"/>
    </row>
    <row r="44062">
      <c r="F44062" s="13"/>
      <c r="M44062" s="13"/>
    </row>
    <row r="44063">
      <c r="F44063" s="13"/>
      <c r="M44063" s="13"/>
    </row>
    <row r="44064">
      <c r="F44064" s="13"/>
      <c r="M44064" s="13"/>
    </row>
    <row r="44065">
      <c r="F44065" s="13"/>
      <c r="M44065" s="13"/>
    </row>
    <row r="44066">
      <c r="F44066" s="13"/>
      <c r="M44066" s="13"/>
    </row>
    <row r="44067">
      <c r="F44067" s="13"/>
      <c r="M44067" s="13"/>
    </row>
    <row r="44068">
      <c r="F44068" s="13"/>
      <c r="M44068" s="13"/>
    </row>
    <row r="44069">
      <c r="F44069" s="13"/>
      <c r="M44069" s="13"/>
    </row>
    <row r="44070">
      <c r="F44070" s="13"/>
      <c r="M44070" s="13"/>
    </row>
    <row r="44071">
      <c r="F44071" s="13"/>
      <c r="M44071" s="13"/>
    </row>
    <row r="44072">
      <c r="F44072" s="13"/>
      <c r="M44072" s="13"/>
    </row>
    <row r="44073">
      <c r="F44073" s="13"/>
      <c r="M44073" s="13"/>
    </row>
    <row r="44074">
      <c r="F44074" s="13"/>
      <c r="M44074" s="13"/>
    </row>
    <row r="44075">
      <c r="F44075" s="13"/>
      <c r="M44075" s="13"/>
    </row>
    <row r="44076">
      <c r="F44076" s="13"/>
      <c r="M44076" s="13"/>
    </row>
    <row r="44077">
      <c r="F44077" s="13"/>
      <c r="M44077" s="13"/>
    </row>
    <row r="44078">
      <c r="F44078" s="13"/>
      <c r="M44078" s="13"/>
    </row>
    <row r="44079">
      <c r="F44079" s="13"/>
      <c r="M44079" s="13"/>
    </row>
    <row r="44080">
      <c r="F44080" s="13"/>
      <c r="M44080" s="13"/>
    </row>
    <row r="44081">
      <c r="F44081" s="13"/>
      <c r="M44081" s="13"/>
    </row>
    <row r="44082">
      <c r="F44082" s="13"/>
      <c r="M44082" s="13"/>
    </row>
    <row r="44083">
      <c r="F44083" s="13"/>
      <c r="M44083" s="13"/>
    </row>
    <row r="44084">
      <c r="F44084" s="13"/>
      <c r="M44084" s="13"/>
    </row>
    <row r="44085">
      <c r="F44085" s="13"/>
      <c r="M44085" s="13"/>
    </row>
    <row r="44086">
      <c r="F44086" s="13"/>
      <c r="M44086" s="13"/>
    </row>
    <row r="44087">
      <c r="F44087" s="13"/>
      <c r="M44087" s="13"/>
    </row>
    <row r="44088">
      <c r="F44088" s="13"/>
      <c r="M44088" s="13"/>
    </row>
    <row r="44089">
      <c r="F44089" s="13"/>
      <c r="M44089" s="13"/>
    </row>
    <row r="44090">
      <c r="F44090" s="13"/>
      <c r="M44090" s="13"/>
    </row>
    <row r="44091">
      <c r="F44091" s="13"/>
      <c r="M44091" s="13"/>
    </row>
    <row r="44092">
      <c r="F44092" s="13"/>
      <c r="M44092" s="13"/>
    </row>
    <row r="44093">
      <c r="F44093" s="13"/>
      <c r="M44093" s="13"/>
    </row>
    <row r="44094">
      <c r="F44094" s="13"/>
      <c r="M44094" s="13"/>
    </row>
    <row r="44095">
      <c r="F44095" s="13"/>
      <c r="M44095" s="13"/>
    </row>
    <row r="44096">
      <c r="F44096" s="13"/>
      <c r="M44096" s="13"/>
    </row>
    <row r="44097">
      <c r="F44097" s="13"/>
      <c r="M44097" s="13"/>
    </row>
    <row r="44098">
      <c r="F44098" s="13"/>
      <c r="M44098" s="13"/>
    </row>
    <row r="44099">
      <c r="F44099" s="13"/>
      <c r="M44099" s="13"/>
    </row>
    <row r="44100">
      <c r="F44100" s="13"/>
      <c r="M44100" s="13"/>
    </row>
    <row r="44101">
      <c r="F44101" s="13"/>
      <c r="M44101" s="13"/>
    </row>
    <row r="44102">
      <c r="F44102" s="13"/>
      <c r="M44102" s="13"/>
    </row>
    <row r="44103">
      <c r="F44103" s="13"/>
      <c r="M44103" s="13"/>
    </row>
    <row r="44104">
      <c r="F44104" s="13"/>
      <c r="M44104" s="13"/>
    </row>
    <row r="44105">
      <c r="F44105" s="13"/>
      <c r="M44105" s="13"/>
    </row>
    <row r="44106">
      <c r="F44106" s="13"/>
      <c r="M44106" s="13"/>
    </row>
    <row r="44107">
      <c r="F44107" s="13"/>
      <c r="M44107" s="13"/>
    </row>
    <row r="44108">
      <c r="F44108" s="13"/>
      <c r="M44108" s="13"/>
    </row>
    <row r="44109">
      <c r="F44109" s="13"/>
      <c r="M44109" s="13"/>
    </row>
    <row r="44110">
      <c r="F44110" s="13"/>
      <c r="M44110" s="13"/>
    </row>
    <row r="44111">
      <c r="F44111" s="13"/>
      <c r="M44111" s="13"/>
    </row>
    <row r="44112">
      <c r="F44112" s="13"/>
      <c r="M44112" s="13"/>
    </row>
    <row r="44113">
      <c r="F44113" s="13"/>
      <c r="M44113" s="13"/>
    </row>
    <row r="44114">
      <c r="F44114" s="13"/>
      <c r="M44114" s="13"/>
    </row>
    <row r="44115">
      <c r="F44115" s="13"/>
      <c r="M44115" s="13"/>
    </row>
    <row r="44116">
      <c r="F44116" s="13"/>
      <c r="M44116" s="13"/>
    </row>
    <row r="44117">
      <c r="F44117" s="13"/>
      <c r="M44117" s="13"/>
    </row>
    <row r="44118">
      <c r="F44118" s="13"/>
      <c r="M44118" s="13"/>
    </row>
    <row r="44119">
      <c r="F44119" s="13"/>
      <c r="M44119" s="13"/>
    </row>
    <row r="44120">
      <c r="F44120" s="13"/>
      <c r="M44120" s="13"/>
    </row>
    <row r="44121">
      <c r="F44121" s="13"/>
      <c r="M44121" s="13"/>
    </row>
    <row r="44122">
      <c r="F44122" s="13"/>
      <c r="M44122" s="13"/>
    </row>
    <row r="44123">
      <c r="F44123" s="13"/>
      <c r="M44123" s="13"/>
    </row>
    <row r="44124">
      <c r="F44124" s="13"/>
      <c r="M44124" s="13"/>
    </row>
    <row r="44125">
      <c r="F44125" s="13"/>
      <c r="M44125" s="13"/>
    </row>
    <row r="44126">
      <c r="F44126" s="13"/>
      <c r="M44126" s="13"/>
    </row>
    <row r="44127">
      <c r="F44127" s="13"/>
      <c r="M44127" s="13"/>
    </row>
    <row r="44128">
      <c r="F44128" s="13"/>
      <c r="M44128" s="13"/>
    </row>
    <row r="44129">
      <c r="F44129" s="13"/>
      <c r="M44129" s="13"/>
    </row>
    <row r="44130">
      <c r="F44130" s="13"/>
      <c r="M44130" s="13"/>
    </row>
    <row r="44131">
      <c r="F44131" s="13"/>
      <c r="M44131" s="13"/>
    </row>
    <row r="44132">
      <c r="F44132" s="13"/>
      <c r="M44132" s="13"/>
    </row>
    <row r="44133">
      <c r="F44133" s="13"/>
      <c r="M44133" s="13"/>
    </row>
    <row r="44134">
      <c r="F44134" s="13"/>
      <c r="M44134" s="13"/>
    </row>
    <row r="44135">
      <c r="F44135" s="13"/>
      <c r="M44135" s="13"/>
    </row>
    <row r="44136">
      <c r="F44136" s="13"/>
      <c r="M44136" s="13"/>
    </row>
    <row r="44137">
      <c r="F44137" s="13"/>
      <c r="M44137" s="13"/>
    </row>
    <row r="44138">
      <c r="F44138" s="13"/>
      <c r="M44138" s="13"/>
    </row>
    <row r="44139">
      <c r="F44139" s="13"/>
      <c r="M44139" s="13"/>
    </row>
    <row r="44140">
      <c r="F44140" s="13"/>
      <c r="M44140" s="13"/>
    </row>
    <row r="44141">
      <c r="F44141" s="13"/>
      <c r="M44141" s="13"/>
    </row>
    <row r="44142">
      <c r="F44142" s="13"/>
      <c r="M44142" s="13"/>
    </row>
    <row r="44143">
      <c r="F44143" s="13"/>
      <c r="M44143" s="13"/>
    </row>
    <row r="44144">
      <c r="F44144" s="13"/>
      <c r="M44144" s="13"/>
    </row>
    <row r="44145">
      <c r="F44145" s="13"/>
      <c r="M44145" s="13"/>
    </row>
    <row r="44146">
      <c r="F44146" s="13"/>
      <c r="M44146" s="13"/>
    </row>
    <row r="44147">
      <c r="F44147" s="13"/>
      <c r="M44147" s="13"/>
    </row>
    <row r="44148">
      <c r="F44148" s="13"/>
      <c r="M44148" s="13"/>
    </row>
    <row r="44149">
      <c r="F44149" s="13"/>
      <c r="M44149" s="13"/>
    </row>
    <row r="44150">
      <c r="F44150" s="13"/>
      <c r="M44150" s="13"/>
    </row>
    <row r="44151">
      <c r="F44151" s="13"/>
      <c r="M44151" s="13"/>
    </row>
    <row r="44152">
      <c r="F44152" s="13"/>
      <c r="M44152" s="13"/>
    </row>
    <row r="44153">
      <c r="F44153" s="13"/>
      <c r="M44153" s="13"/>
    </row>
    <row r="44154">
      <c r="F44154" s="13"/>
      <c r="M44154" s="13"/>
    </row>
    <row r="44155">
      <c r="F44155" s="13"/>
      <c r="M44155" s="13"/>
    </row>
    <row r="44156">
      <c r="F44156" s="13"/>
      <c r="M44156" s="13"/>
    </row>
    <row r="44157">
      <c r="F44157" s="13"/>
      <c r="M44157" s="13"/>
    </row>
    <row r="44158">
      <c r="F44158" s="13"/>
      <c r="M44158" s="13"/>
    </row>
    <row r="44159">
      <c r="F44159" s="13"/>
      <c r="M44159" s="13"/>
    </row>
    <row r="44160">
      <c r="F44160" s="13"/>
      <c r="M44160" s="13"/>
    </row>
    <row r="44161">
      <c r="F44161" s="13"/>
      <c r="M44161" s="13"/>
    </row>
    <row r="44162">
      <c r="F44162" s="13"/>
      <c r="M44162" s="13"/>
    </row>
    <row r="44163">
      <c r="F44163" s="13"/>
      <c r="M44163" s="13"/>
    </row>
    <row r="44164">
      <c r="F44164" s="13"/>
      <c r="M44164" s="13"/>
    </row>
    <row r="44165">
      <c r="F44165" s="13"/>
      <c r="M44165" s="13"/>
    </row>
    <row r="44166">
      <c r="F44166" s="13"/>
      <c r="M44166" s="13"/>
    </row>
    <row r="44167">
      <c r="F44167" s="13"/>
      <c r="M44167" s="13"/>
    </row>
    <row r="44168">
      <c r="F44168" s="13"/>
      <c r="M44168" s="13"/>
    </row>
    <row r="44169">
      <c r="F44169" s="13"/>
      <c r="M44169" s="13"/>
    </row>
    <row r="44170">
      <c r="F44170" s="13"/>
      <c r="M44170" s="13"/>
    </row>
    <row r="44171">
      <c r="F44171" s="13"/>
      <c r="M44171" s="13"/>
    </row>
    <row r="44172">
      <c r="F44172" s="13"/>
      <c r="M44172" s="13"/>
    </row>
    <row r="44173">
      <c r="F44173" s="13"/>
      <c r="M44173" s="13"/>
    </row>
    <row r="44174">
      <c r="F44174" s="13"/>
      <c r="M44174" s="13"/>
    </row>
    <row r="44175">
      <c r="F44175" s="13"/>
      <c r="M44175" s="13"/>
    </row>
    <row r="44176">
      <c r="F44176" s="13"/>
      <c r="M44176" s="13"/>
    </row>
    <row r="44177">
      <c r="F44177" s="13"/>
      <c r="M44177" s="13"/>
    </row>
    <row r="44178">
      <c r="F44178" s="13"/>
      <c r="M44178" s="13"/>
    </row>
    <row r="44179">
      <c r="F44179" s="13"/>
      <c r="M44179" s="13"/>
    </row>
    <row r="44180">
      <c r="F44180" s="13"/>
      <c r="M44180" s="13"/>
    </row>
    <row r="44181">
      <c r="F44181" s="13"/>
      <c r="M44181" s="13"/>
    </row>
    <row r="44182">
      <c r="F44182" s="13"/>
      <c r="M44182" s="13"/>
    </row>
    <row r="44183">
      <c r="F44183" s="13"/>
      <c r="M44183" s="13"/>
    </row>
    <row r="44184">
      <c r="F44184" s="13"/>
      <c r="M44184" s="13"/>
    </row>
    <row r="44185">
      <c r="F44185" s="13"/>
      <c r="M44185" s="13"/>
    </row>
    <row r="44186">
      <c r="F44186" s="13"/>
      <c r="M44186" s="13"/>
    </row>
    <row r="44187">
      <c r="F44187" s="13"/>
      <c r="M44187" s="13"/>
    </row>
    <row r="44188">
      <c r="F44188" s="13"/>
      <c r="M44188" s="13"/>
    </row>
    <row r="44189">
      <c r="F44189" s="13"/>
      <c r="M44189" s="13"/>
    </row>
    <row r="44190">
      <c r="F44190" s="13"/>
      <c r="M44190" s="13"/>
    </row>
    <row r="44191">
      <c r="F44191" s="13"/>
      <c r="M44191" s="13"/>
    </row>
    <row r="44192">
      <c r="F44192" s="13"/>
      <c r="M44192" s="13"/>
    </row>
    <row r="44193">
      <c r="F44193" s="13"/>
      <c r="M44193" s="13"/>
    </row>
    <row r="44194">
      <c r="F44194" s="13"/>
      <c r="M44194" s="13"/>
    </row>
    <row r="44195">
      <c r="F44195" s="13"/>
      <c r="M44195" s="13"/>
    </row>
    <row r="44196">
      <c r="F44196" s="13"/>
      <c r="M44196" s="13"/>
    </row>
    <row r="44197">
      <c r="F44197" s="13"/>
      <c r="M44197" s="13"/>
    </row>
    <row r="44198">
      <c r="F44198" s="13"/>
      <c r="M44198" s="13"/>
    </row>
    <row r="44199">
      <c r="F44199" s="13"/>
      <c r="M44199" s="13"/>
    </row>
    <row r="44200">
      <c r="F44200" s="13"/>
      <c r="M44200" s="13"/>
    </row>
    <row r="44201">
      <c r="F44201" s="13"/>
      <c r="M44201" s="13"/>
    </row>
    <row r="44202">
      <c r="F44202" s="13"/>
      <c r="M44202" s="13"/>
    </row>
    <row r="44203">
      <c r="F44203" s="13"/>
      <c r="M44203" s="13"/>
    </row>
    <row r="44204">
      <c r="F44204" s="13"/>
      <c r="M44204" s="13"/>
    </row>
    <row r="44205">
      <c r="F44205" s="13"/>
      <c r="M44205" s="13"/>
    </row>
    <row r="44206">
      <c r="F44206" s="13"/>
      <c r="M44206" s="13"/>
    </row>
    <row r="44207">
      <c r="F44207" s="13"/>
      <c r="M44207" s="13"/>
    </row>
    <row r="44208">
      <c r="F44208" s="13"/>
      <c r="M44208" s="13"/>
    </row>
    <row r="44209">
      <c r="F44209" s="13"/>
      <c r="M44209" s="13"/>
    </row>
    <row r="44210">
      <c r="F44210" s="13"/>
      <c r="M44210" s="13"/>
    </row>
    <row r="44211">
      <c r="F44211" s="13"/>
      <c r="M44211" s="13"/>
    </row>
    <row r="44212">
      <c r="F44212" s="13"/>
      <c r="M44212" s="13"/>
    </row>
    <row r="44213">
      <c r="F44213" s="13"/>
      <c r="M44213" s="13"/>
    </row>
    <row r="44214">
      <c r="F44214" s="13"/>
      <c r="M44214" s="13"/>
    </row>
    <row r="44215">
      <c r="F44215" s="13"/>
      <c r="M44215" s="13"/>
    </row>
    <row r="44216">
      <c r="F44216" s="13"/>
      <c r="M44216" s="13"/>
    </row>
    <row r="44217">
      <c r="F44217" s="13"/>
      <c r="M44217" s="13"/>
    </row>
    <row r="44218">
      <c r="F44218" s="13"/>
      <c r="M44218" s="13"/>
    </row>
    <row r="44219">
      <c r="F44219" s="13"/>
      <c r="M44219" s="13"/>
    </row>
    <row r="44220">
      <c r="F44220" s="13"/>
      <c r="M44220" s="13"/>
    </row>
    <row r="44221">
      <c r="F44221" s="13"/>
      <c r="M44221" s="13"/>
    </row>
    <row r="44222">
      <c r="F44222" s="13"/>
      <c r="M44222" s="13"/>
    </row>
    <row r="44223">
      <c r="F44223" s="13"/>
      <c r="M44223" s="13"/>
    </row>
    <row r="44224">
      <c r="F44224" s="13"/>
      <c r="M44224" s="13"/>
    </row>
    <row r="44225">
      <c r="F44225" s="13"/>
      <c r="M44225" s="13"/>
    </row>
    <row r="44226">
      <c r="F44226" s="13"/>
      <c r="M44226" s="13"/>
    </row>
    <row r="44227">
      <c r="F44227" s="13"/>
      <c r="M44227" s="13"/>
    </row>
    <row r="44228">
      <c r="F44228" s="13"/>
      <c r="M44228" s="13"/>
    </row>
    <row r="44229">
      <c r="F44229" s="13"/>
      <c r="M44229" s="13"/>
    </row>
    <row r="44230">
      <c r="F44230" s="13"/>
      <c r="M44230" s="13"/>
    </row>
    <row r="44231">
      <c r="F44231" s="13"/>
      <c r="M44231" s="13"/>
    </row>
    <row r="44232">
      <c r="F44232" s="13"/>
      <c r="M44232" s="13"/>
    </row>
    <row r="44233">
      <c r="F44233" s="13"/>
      <c r="M44233" s="13"/>
    </row>
    <row r="44234">
      <c r="F44234" s="13"/>
      <c r="M44234" s="13"/>
    </row>
    <row r="44235">
      <c r="F44235" s="13"/>
      <c r="M44235" s="13"/>
    </row>
    <row r="44236">
      <c r="F44236" s="13"/>
      <c r="M44236" s="13"/>
    </row>
    <row r="44237">
      <c r="F44237" s="13"/>
      <c r="M44237" s="13"/>
    </row>
    <row r="44238">
      <c r="F44238" s="13"/>
      <c r="M44238" s="13"/>
    </row>
    <row r="44239">
      <c r="F44239" s="13"/>
      <c r="M44239" s="13"/>
    </row>
    <row r="44240">
      <c r="F44240" s="13"/>
      <c r="M44240" s="13"/>
    </row>
    <row r="44241">
      <c r="F44241" s="13"/>
      <c r="M44241" s="13"/>
    </row>
    <row r="44242">
      <c r="F44242" s="13"/>
      <c r="M44242" s="13"/>
    </row>
    <row r="44243">
      <c r="F44243" s="13"/>
      <c r="M44243" s="13"/>
    </row>
    <row r="44244">
      <c r="F44244" s="13"/>
      <c r="M44244" s="13"/>
    </row>
    <row r="44245">
      <c r="F44245" s="13"/>
      <c r="M44245" s="13"/>
    </row>
    <row r="44246">
      <c r="F44246" s="13"/>
      <c r="M44246" s="13"/>
    </row>
    <row r="44247">
      <c r="F44247" s="13"/>
      <c r="M44247" s="13"/>
    </row>
    <row r="44248">
      <c r="F44248" s="13"/>
      <c r="M44248" s="13"/>
    </row>
    <row r="44249">
      <c r="F44249" s="13"/>
      <c r="M44249" s="13"/>
    </row>
    <row r="44250">
      <c r="F44250" s="13"/>
      <c r="M44250" s="13"/>
    </row>
    <row r="44251">
      <c r="F44251" s="13"/>
      <c r="M44251" s="13"/>
    </row>
    <row r="44252">
      <c r="F44252" s="13"/>
      <c r="M44252" s="13"/>
    </row>
    <row r="44253">
      <c r="F44253" s="13"/>
      <c r="M44253" s="13"/>
    </row>
    <row r="44254">
      <c r="F44254" s="13"/>
      <c r="M44254" s="13"/>
    </row>
    <row r="44255">
      <c r="F44255" s="13"/>
      <c r="M44255" s="13"/>
    </row>
    <row r="44256">
      <c r="F44256" s="13"/>
      <c r="M44256" s="13"/>
    </row>
    <row r="44257">
      <c r="F44257" s="13"/>
      <c r="M44257" s="13"/>
    </row>
    <row r="44258">
      <c r="F44258" s="13"/>
      <c r="M44258" s="13"/>
    </row>
    <row r="44259">
      <c r="F44259" s="13"/>
      <c r="M44259" s="13"/>
    </row>
    <row r="44260">
      <c r="F44260" s="13"/>
      <c r="M44260" s="13"/>
    </row>
    <row r="44261">
      <c r="F44261" s="13"/>
      <c r="M44261" s="13"/>
    </row>
    <row r="44262">
      <c r="F44262" s="13"/>
      <c r="M44262" s="13"/>
    </row>
    <row r="44263">
      <c r="F44263" s="13"/>
      <c r="M44263" s="13"/>
    </row>
    <row r="44264">
      <c r="F44264" s="13"/>
      <c r="M44264" s="13"/>
    </row>
    <row r="44265">
      <c r="F44265" s="13"/>
      <c r="M44265" s="13"/>
    </row>
    <row r="44266">
      <c r="F44266" s="13"/>
      <c r="M44266" s="13"/>
    </row>
    <row r="44267">
      <c r="F44267" s="13"/>
      <c r="M44267" s="13"/>
    </row>
    <row r="44268">
      <c r="F44268" s="13"/>
      <c r="M44268" s="13"/>
    </row>
    <row r="44269">
      <c r="F44269" s="13"/>
      <c r="M44269" s="13"/>
    </row>
    <row r="44270">
      <c r="F44270" s="13"/>
      <c r="M44270" s="13"/>
    </row>
    <row r="44271">
      <c r="F44271" s="13"/>
      <c r="M44271" s="13"/>
    </row>
    <row r="44272">
      <c r="F44272" s="13"/>
      <c r="M44272" s="13"/>
    </row>
    <row r="44273">
      <c r="F44273" s="13"/>
      <c r="M44273" s="13"/>
    </row>
    <row r="44274">
      <c r="F44274" s="13"/>
      <c r="M44274" s="13"/>
    </row>
    <row r="44275">
      <c r="F44275" s="13"/>
      <c r="M44275" s="13"/>
    </row>
    <row r="44276">
      <c r="F44276" s="13"/>
      <c r="M44276" s="13"/>
    </row>
    <row r="44277">
      <c r="F44277" s="13"/>
      <c r="M44277" s="13"/>
    </row>
    <row r="44278">
      <c r="F44278" s="13"/>
      <c r="M44278" s="13"/>
    </row>
    <row r="44279">
      <c r="F44279" s="13"/>
      <c r="M44279" s="13"/>
    </row>
    <row r="44280">
      <c r="F44280" s="13"/>
      <c r="M44280" s="13"/>
    </row>
    <row r="44281">
      <c r="F44281" s="13"/>
      <c r="M44281" s="13"/>
    </row>
    <row r="44282">
      <c r="F44282" s="13"/>
      <c r="M44282" s="13"/>
    </row>
    <row r="44283">
      <c r="F44283" s="13"/>
      <c r="M44283" s="13"/>
    </row>
    <row r="44284">
      <c r="F44284" s="13"/>
      <c r="M44284" s="13"/>
    </row>
    <row r="44285">
      <c r="F44285" s="13"/>
      <c r="M44285" s="13"/>
    </row>
    <row r="44286">
      <c r="F44286" s="13"/>
      <c r="M44286" s="13"/>
    </row>
    <row r="44287">
      <c r="F44287" s="13"/>
      <c r="M44287" s="13"/>
    </row>
    <row r="44288">
      <c r="F44288" s="13"/>
      <c r="M44288" s="13"/>
    </row>
    <row r="44289">
      <c r="F44289" s="13"/>
      <c r="M44289" s="13"/>
    </row>
    <row r="44290">
      <c r="F44290" s="13"/>
      <c r="M44290" s="13"/>
    </row>
    <row r="44291">
      <c r="F44291" s="13"/>
      <c r="M44291" s="13"/>
    </row>
    <row r="44292">
      <c r="F44292" s="13"/>
      <c r="M44292" s="13"/>
    </row>
    <row r="44293">
      <c r="F44293" s="13"/>
      <c r="M44293" s="13"/>
    </row>
    <row r="44294">
      <c r="F44294" s="13"/>
      <c r="M44294" s="13"/>
    </row>
    <row r="44295">
      <c r="F44295" s="13"/>
      <c r="M44295" s="13"/>
    </row>
    <row r="44296">
      <c r="F44296" s="13"/>
      <c r="M44296" s="13"/>
    </row>
    <row r="44297">
      <c r="F44297" s="13"/>
      <c r="M44297" s="13"/>
    </row>
    <row r="44298">
      <c r="F44298" s="13"/>
      <c r="M44298" s="13"/>
    </row>
    <row r="44299">
      <c r="F44299" s="13"/>
      <c r="M44299" s="13"/>
    </row>
    <row r="44300">
      <c r="F44300" s="13"/>
      <c r="M44300" s="13"/>
    </row>
    <row r="44301">
      <c r="F44301" s="13"/>
      <c r="M44301" s="13"/>
    </row>
    <row r="44302">
      <c r="F44302" s="13"/>
      <c r="M44302" s="13"/>
    </row>
    <row r="44303">
      <c r="F44303" s="13"/>
      <c r="M44303" s="13"/>
    </row>
    <row r="44304">
      <c r="F44304" s="13"/>
      <c r="M44304" s="13"/>
    </row>
    <row r="44305">
      <c r="F44305" s="13"/>
      <c r="M44305" s="13"/>
    </row>
    <row r="44306">
      <c r="F44306" s="13"/>
      <c r="M44306" s="13"/>
    </row>
    <row r="44307">
      <c r="F44307" s="13"/>
      <c r="M44307" s="13"/>
    </row>
    <row r="44308">
      <c r="F44308" s="13"/>
      <c r="M44308" s="13"/>
    </row>
    <row r="44309">
      <c r="F44309" s="13"/>
      <c r="M44309" s="13"/>
    </row>
    <row r="44310">
      <c r="F44310" s="13"/>
      <c r="M44310" s="13"/>
    </row>
    <row r="44311">
      <c r="F44311" s="13"/>
      <c r="M44311" s="13"/>
    </row>
    <row r="44312">
      <c r="F44312" s="13"/>
      <c r="M44312" s="13"/>
    </row>
    <row r="44313">
      <c r="F44313" s="13"/>
      <c r="M44313" s="13"/>
    </row>
    <row r="44314">
      <c r="F44314" s="13"/>
      <c r="M44314" s="13"/>
    </row>
    <row r="44315">
      <c r="F44315" s="13"/>
      <c r="M44315" s="13"/>
    </row>
    <row r="44316">
      <c r="F44316" s="13"/>
      <c r="M44316" s="13"/>
    </row>
    <row r="44317">
      <c r="F44317" s="13"/>
      <c r="M44317" s="13"/>
    </row>
    <row r="44318">
      <c r="F44318" s="13"/>
      <c r="M44318" s="13"/>
    </row>
    <row r="44319">
      <c r="F44319" s="13"/>
      <c r="M44319" s="13"/>
    </row>
    <row r="44320">
      <c r="F44320" s="13"/>
      <c r="M44320" s="13"/>
    </row>
    <row r="44321">
      <c r="F44321" s="13"/>
      <c r="M44321" s="13"/>
    </row>
    <row r="44322">
      <c r="F44322" s="13"/>
      <c r="M44322" s="13"/>
    </row>
    <row r="44323">
      <c r="F44323" s="13"/>
      <c r="M44323" s="13"/>
    </row>
    <row r="44324">
      <c r="F44324" s="13"/>
      <c r="M44324" s="13"/>
    </row>
    <row r="44325">
      <c r="F44325" s="13"/>
      <c r="M44325" s="13"/>
    </row>
    <row r="44326">
      <c r="F44326" s="13"/>
      <c r="M44326" s="13"/>
    </row>
    <row r="44327">
      <c r="F44327" s="13"/>
      <c r="M44327" s="13"/>
    </row>
    <row r="44328">
      <c r="F44328" s="13"/>
      <c r="M44328" s="13"/>
    </row>
    <row r="44329">
      <c r="F44329" s="13"/>
      <c r="M44329" s="13"/>
    </row>
    <row r="44330">
      <c r="F44330" s="13"/>
      <c r="M44330" s="13"/>
    </row>
    <row r="44331">
      <c r="F44331" s="13"/>
      <c r="M44331" s="13"/>
    </row>
    <row r="44332">
      <c r="F44332" s="13"/>
      <c r="M44332" s="13"/>
    </row>
    <row r="44333">
      <c r="F44333" s="13"/>
      <c r="M44333" s="13"/>
    </row>
    <row r="44334">
      <c r="F44334" s="13"/>
      <c r="M44334" s="13"/>
    </row>
    <row r="44335">
      <c r="F44335" s="13"/>
      <c r="M44335" s="13"/>
    </row>
    <row r="44336">
      <c r="F44336" s="13"/>
      <c r="M44336" s="13"/>
    </row>
    <row r="44337">
      <c r="F44337" s="13"/>
      <c r="M44337" s="13"/>
    </row>
    <row r="44338">
      <c r="F44338" s="13"/>
      <c r="M44338" s="13"/>
    </row>
    <row r="44339">
      <c r="F44339" s="13"/>
      <c r="M44339" s="13"/>
    </row>
    <row r="44340">
      <c r="F44340" s="13"/>
      <c r="M44340" s="13"/>
    </row>
    <row r="44341">
      <c r="F44341" s="13"/>
      <c r="M44341" s="13"/>
    </row>
    <row r="44342">
      <c r="F44342" s="13"/>
      <c r="M44342" s="13"/>
    </row>
    <row r="44343">
      <c r="F44343" s="13"/>
      <c r="M44343" s="13"/>
    </row>
    <row r="44344">
      <c r="F44344" s="13"/>
      <c r="M44344" s="13"/>
    </row>
    <row r="44345">
      <c r="F44345" s="13"/>
      <c r="M44345" s="13"/>
    </row>
    <row r="44346">
      <c r="F44346" s="13"/>
      <c r="M44346" s="13"/>
    </row>
    <row r="44347">
      <c r="F44347" s="13"/>
      <c r="M44347" s="13"/>
    </row>
    <row r="44348">
      <c r="F44348" s="13"/>
      <c r="M44348" s="13"/>
    </row>
    <row r="44349">
      <c r="F44349" s="13"/>
      <c r="M44349" s="13"/>
    </row>
    <row r="44350">
      <c r="F44350" s="13"/>
      <c r="M44350" s="13"/>
    </row>
    <row r="44351">
      <c r="F44351" s="13"/>
      <c r="M44351" s="13"/>
    </row>
    <row r="44352">
      <c r="F44352" s="13"/>
      <c r="M44352" s="13"/>
    </row>
    <row r="44353">
      <c r="F44353" s="13"/>
      <c r="M44353" s="13"/>
    </row>
    <row r="44354">
      <c r="F44354" s="13"/>
      <c r="M44354" s="13"/>
    </row>
    <row r="44355">
      <c r="F44355" s="13"/>
      <c r="M44355" s="13"/>
    </row>
    <row r="44356">
      <c r="F44356" s="13"/>
      <c r="M44356" s="13"/>
    </row>
    <row r="44357">
      <c r="F44357" s="13"/>
      <c r="M44357" s="13"/>
    </row>
    <row r="44358">
      <c r="F44358" s="13"/>
      <c r="M44358" s="13"/>
    </row>
    <row r="44359">
      <c r="F44359" s="13"/>
      <c r="M44359" s="13"/>
    </row>
    <row r="44360">
      <c r="F44360" s="13"/>
      <c r="M44360" s="13"/>
    </row>
    <row r="44361">
      <c r="F44361" s="13"/>
      <c r="M44361" s="13"/>
    </row>
    <row r="44362">
      <c r="F44362" s="13"/>
      <c r="M44362" s="13"/>
    </row>
    <row r="44363">
      <c r="F44363" s="13"/>
      <c r="M44363" s="13"/>
    </row>
    <row r="44364">
      <c r="F44364" s="13"/>
      <c r="M44364" s="13"/>
    </row>
    <row r="44365">
      <c r="F44365" s="13"/>
      <c r="M44365" s="13"/>
    </row>
    <row r="44366">
      <c r="F44366" s="13"/>
      <c r="M44366" s="13"/>
    </row>
    <row r="44367">
      <c r="F44367" s="13"/>
      <c r="M44367" s="13"/>
    </row>
    <row r="44368">
      <c r="F44368" s="13"/>
      <c r="M44368" s="13"/>
    </row>
    <row r="44369">
      <c r="F44369" s="13"/>
      <c r="M44369" s="13"/>
    </row>
    <row r="44370">
      <c r="F44370" s="13"/>
      <c r="M44370" s="13"/>
    </row>
    <row r="44371">
      <c r="F44371" s="13"/>
      <c r="M44371" s="13"/>
    </row>
    <row r="44372">
      <c r="F44372" s="13"/>
      <c r="M44372" s="13"/>
    </row>
    <row r="44373">
      <c r="F44373" s="13"/>
      <c r="M44373" s="13"/>
    </row>
    <row r="44374">
      <c r="F44374" s="13"/>
      <c r="M44374" s="13"/>
    </row>
    <row r="44375">
      <c r="F44375" s="13"/>
      <c r="M44375" s="13"/>
    </row>
    <row r="44376">
      <c r="F44376" s="13"/>
      <c r="M44376" s="13"/>
    </row>
    <row r="44377">
      <c r="F44377" s="13"/>
      <c r="M44377" s="13"/>
    </row>
    <row r="44378">
      <c r="F44378" s="13"/>
      <c r="M44378" s="13"/>
    </row>
    <row r="44379">
      <c r="F44379" s="13"/>
      <c r="M44379" s="13"/>
    </row>
    <row r="44380">
      <c r="F44380" s="13"/>
      <c r="M44380" s="13"/>
    </row>
    <row r="44381">
      <c r="F44381" s="13"/>
      <c r="M44381" s="13"/>
    </row>
    <row r="44382">
      <c r="F44382" s="13"/>
      <c r="M44382" s="13"/>
    </row>
    <row r="44383">
      <c r="F44383" s="13"/>
      <c r="M44383" s="13"/>
    </row>
    <row r="44384">
      <c r="F44384" s="13"/>
      <c r="M44384" s="13"/>
    </row>
    <row r="44385">
      <c r="F44385" s="13"/>
      <c r="M44385" s="13"/>
    </row>
    <row r="44386">
      <c r="F44386" s="13"/>
      <c r="M44386" s="13"/>
    </row>
    <row r="44387">
      <c r="F44387" s="13"/>
      <c r="M44387" s="13"/>
    </row>
    <row r="44388">
      <c r="F44388" s="13"/>
      <c r="M44388" s="13"/>
    </row>
    <row r="44389">
      <c r="F44389" s="13"/>
      <c r="M44389" s="13"/>
    </row>
    <row r="44390">
      <c r="F44390" s="13"/>
      <c r="M44390" s="13"/>
    </row>
    <row r="44391">
      <c r="F44391" s="13"/>
      <c r="M44391" s="13"/>
    </row>
    <row r="44392">
      <c r="F44392" s="13"/>
      <c r="M44392" s="13"/>
    </row>
    <row r="44393">
      <c r="F44393" s="13"/>
      <c r="M44393" s="13"/>
    </row>
    <row r="44394">
      <c r="F44394" s="13"/>
      <c r="M44394" s="13"/>
    </row>
    <row r="44395">
      <c r="F44395" s="13"/>
      <c r="M44395" s="13"/>
    </row>
    <row r="44396">
      <c r="F44396" s="13"/>
      <c r="M44396" s="13"/>
    </row>
    <row r="44397">
      <c r="F44397" s="13"/>
      <c r="M44397" s="13"/>
    </row>
    <row r="44398">
      <c r="F44398" s="13"/>
      <c r="M44398" s="13"/>
    </row>
    <row r="44399">
      <c r="F44399" s="13"/>
      <c r="M44399" s="13"/>
    </row>
    <row r="44400">
      <c r="F44400" s="13"/>
      <c r="M44400" s="13"/>
    </row>
    <row r="44401">
      <c r="F44401" s="13"/>
      <c r="M44401" s="13"/>
    </row>
    <row r="44402">
      <c r="F44402" s="13"/>
      <c r="M44402" s="13"/>
    </row>
    <row r="44403">
      <c r="F44403" s="13"/>
      <c r="M44403" s="13"/>
    </row>
    <row r="44404">
      <c r="F44404" s="13"/>
      <c r="M44404" s="13"/>
    </row>
    <row r="44405">
      <c r="F44405" s="13"/>
      <c r="M44405" s="13"/>
    </row>
    <row r="44406">
      <c r="F44406" s="13"/>
      <c r="M44406" s="13"/>
    </row>
    <row r="44407">
      <c r="F44407" s="13"/>
      <c r="M44407" s="13"/>
    </row>
    <row r="44408">
      <c r="F44408" s="13"/>
      <c r="M44408" s="13"/>
    </row>
    <row r="44409">
      <c r="F44409" s="13"/>
      <c r="M44409" s="13"/>
    </row>
    <row r="44410">
      <c r="F44410" s="13"/>
      <c r="M44410" s="13"/>
    </row>
    <row r="44411">
      <c r="F44411" s="13"/>
      <c r="M44411" s="13"/>
    </row>
    <row r="44412">
      <c r="F44412" s="13"/>
      <c r="M44412" s="13"/>
    </row>
    <row r="44413">
      <c r="F44413" s="13"/>
      <c r="M44413" s="13"/>
    </row>
    <row r="44414">
      <c r="F44414" s="13"/>
      <c r="M44414" s="13"/>
    </row>
    <row r="44415">
      <c r="F44415" s="13"/>
      <c r="M44415" s="13"/>
    </row>
    <row r="44416">
      <c r="F44416" s="13"/>
      <c r="M44416" s="13"/>
    </row>
    <row r="44417">
      <c r="F44417" s="13"/>
      <c r="M44417" s="13"/>
    </row>
    <row r="44418">
      <c r="F44418" s="13"/>
      <c r="M44418" s="13"/>
    </row>
    <row r="44419">
      <c r="F44419" s="13"/>
      <c r="M44419" s="13"/>
    </row>
    <row r="44420">
      <c r="F44420" s="13"/>
      <c r="M44420" s="13"/>
    </row>
    <row r="44421">
      <c r="F44421" s="13"/>
      <c r="M44421" s="13"/>
    </row>
    <row r="44422">
      <c r="F44422" s="13"/>
      <c r="M44422" s="13"/>
    </row>
    <row r="44423">
      <c r="F44423" s="13"/>
      <c r="M44423" s="13"/>
    </row>
    <row r="44424">
      <c r="F44424" s="13"/>
      <c r="M44424" s="13"/>
    </row>
    <row r="44425">
      <c r="F44425" s="13"/>
      <c r="M44425" s="13"/>
    </row>
    <row r="44426">
      <c r="F44426" s="13"/>
      <c r="M44426" s="13"/>
    </row>
    <row r="44427">
      <c r="F44427" s="13"/>
      <c r="M44427" s="13"/>
    </row>
    <row r="44428">
      <c r="F44428" s="13"/>
      <c r="M44428" s="13"/>
    </row>
    <row r="44429">
      <c r="F44429" s="13"/>
      <c r="M44429" s="13"/>
    </row>
    <row r="44430">
      <c r="F44430" s="13"/>
      <c r="M44430" s="13"/>
    </row>
    <row r="44431">
      <c r="F44431" s="13"/>
      <c r="M44431" s="13"/>
    </row>
    <row r="44432">
      <c r="F44432" s="13"/>
      <c r="M44432" s="13"/>
    </row>
    <row r="44433">
      <c r="F44433" s="13"/>
      <c r="M44433" s="13"/>
    </row>
    <row r="44434">
      <c r="F44434" s="13"/>
      <c r="M44434" s="13"/>
    </row>
    <row r="44435">
      <c r="F44435" s="13"/>
      <c r="M44435" s="13"/>
    </row>
    <row r="44436">
      <c r="F44436" s="13"/>
      <c r="M44436" s="13"/>
    </row>
    <row r="44437">
      <c r="F44437" s="13"/>
      <c r="M44437" s="13"/>
    </row>
    <row r="44438">
      <c r="F44438" s="13"/>
      <c r="M44438" s="13"/>
    </row>
    <row r="44439">
      <c r="F44439" s="13"/>
      <c r="M44439" s="13"/>
    </row>
    <row r="44440">
      <c r="F44440" s="13"/>
      <c r="M44440" s="13"/>
    </row>
    <row r="44441">
      <c r="F44441" s="13"/>
      <c r="M44441" s="13"/>
    </row>
    <row r="44442">
      <c r="F44442" s="13"/>
      <c r="M44442" s="13"/>
    </row>
    <row r="44443">
      <c r="F44443" s="13"/>
      <c r="M44443" s="13"/>
    </row>
    <row r="44444">
      <c r="F44444" s="13"/>
      <c r="M44444" s="13"/>
    </row>
    <row r="44445">
      <c r="F44445" s="13"/>
      <c r="M44445" s="13"/>
    </row>
    <row r="44446">
      <c r="F44446" s="13"/>
      <c r="M44446" s="13"/>
    </row>
    <row r="44447">
      <c r="F44447" s="13"/>
      <c r="M44447" s="13"/>
    </row>
    <row r="44448">
      <c r="F44448" s="13"/>
      <c r="M44448" s="13"/>
    </row>
    <row r="44449">
      <c r="F44449" s="13"/>
      <c r="M44449" s="13"/>
    </row>
    <row r="44450">
      <c r="F44450" s="13"/>
      <c r="M44450" s="13"/>
    </row>
    <row r="44451">
      <c r="F44451" s="13"/>
      <c r="M44451" s="13"/>
    </row>
    <row r="44452">
      <c r="F44452" s="13"/>
      <c r="M44452" s="13"/>
    </row>
    <row r="44453">
      <c r="F44453" s="13"/>
      <c r="M44453" s="13"/>
    </row>
    <row r="44454">
      <c r="F44454" s="13"/>
      <c r="M44454" s="13"/>
    </row>
    <row r="44455">
      <c r="F44455" s="13"/>
      <c r="M44455" s="13"/>
    </row>
    <row r="44456">
      <c r="F44456" s="13"/>
      <c r="M44456" s="13"/>
    </row>
    <row r="44457">
      <c r="F44457" s="13"/>
      <c r="M44457" s="13"/>
    </row>
    <row r="44458">
      <c r="F44458" s="13"/>
      <c r="M44458" s="13"/>
    </row>
    <row r="44459">
      <c r="F44459" s="13"/>
      <c r="M44459" s="13"/>
    </row>
    <row r="44460">
      <c r="F44460" s="13"/>
      <c r="M44460" s="13"/>
    </row>
    <row r="44461">
      <c r="F44461" s="13"/>
      <c r="M44461" s="13"/>
    </row>
    <row r="44462">
      <c r="F44462" s="13"/>
      <c r="M44462" s="13"/>
    </row>
    <row r="44463">
      <c r="F44463" s="13"/>
      <c r="M44463" s="13"/>
    </row>
    <row r="44464">
      <c r="F44464" s="13"/>
      <c r="M44464" s="13"/>
    </row>
    <row r="44465">
      <c r="F44465" s="13"/>
      <c r="M44465" s="13"/>
    </row>
    <row r="44466">
      <c r="F44466" s="13"/>
      <c r="M44466" s="13"/>
    </row>
    <row r="44467">
      <c r="F44467" s="13"/>
      <c r="M44467" s="13"/>
    </row>
    <row r="44468">
      <c r="F44468" s="13"/>
      <c r="M44468" s="13"/>
    </row>
    <row r="44469">
      <c r="F44469" s="13"/>
      <c r="M44469" s="13"/>
    </row>
    <row r="44470">
      <c r="F44470" s="13"/>
      <c r="M44470" s="13"/>
    </row>
    <row r="44471">
      <c r="F44471" s="13"/>
      <c r="M44471" s="13"/>
    </row>
    <row r="44472">
      <c r="F44472" s="13"/>
      <c r="M44472" s="13"/>
    </row>
    <row r="44473">
      <c r="F44473" s="13"/>
      <c r="M44473" s="13"/>
    </row>
    <row r="44474">
      <c r="F44474" s="13"/>
      <c r="M44474" s="13"/>
    </row>
    <row r="44475">
      <c r="F44475" s="13"/>
      <c r="M44475" s="13"/>
    </row>
    <row r="44476">
      <c r="F44476" s="13"/>
      <c r="M44476" s="13"/>
    </row>
    <row r="44477">
      <c r="F44477" s="13"/>
      <c r="M44477" s="13"/>
    </row>
    <row r="44478">
      <c r="F44478" s="13"/>
      <c r="M44478" s="13"/>
    </row>
    <row r="44479">
      <c r="F44479" s="13"/>
      <c r="M44479" s="13"/>
    </row>
    <row r="44480">
      <c r="F44480" s="13"/>
      <c r="M44480" s="13"/>
    </row>
    <row r="44481">
      <c r="F44481" s="13"/>
      <c r="M44481" s="13"/>
    </row>
    <row r="44482">
      <c r="F44482" s="13"/>
      <c r="M44482" s="13"/>
    </row>
    <row r="44483">
      <c r="F44483" s="13"/>
      <c r="M44483" s="13"/>
    </row>
    <row r="44484">
      <c r="F44484" s="13"/>
      <c r="M44484" s="13"/>
    </row>
    <row r="44485">
      <c r="F44485" s="13"/>
      <c r="M44485" s="13"/>
    </row>
    <row r="44486">
      <c r="F44486" s="13"/>
      <c r="M44486" s="13"/>
    </row>
    <row r="44487">
      <c r="F44487" s="13"/>
      <c r="M44487" s="13"/>
    </row>
    <row r="44488">
      <c r="F44488" s="13"/>
      <c r="M44488" s="13"/>
    </row>
    <row r="44489">
      <c r="F44489" s="13"/>
      <c r="M44489" s="13"/>
    </row>
    <row r="44490">
      <c r="F44490" s="13"/>
      <c r="M44490" s="13"/>
    </row>
    <row r="44491">
      <c r="F44491" s="13"/>
      <c r="M44491" s="13"/>
    </row>
    <row r="44492">
      <c r="F44492" s="13"/>
      <c r="M44492" s="13"/>
    </row>
    <row r="44493">
      <c r="F44493" s="13"/>
      <c r="M44493" s="13"/>
    </row>
    <row r="44494">
      <c r="F44494" s="13"/>
      <c r="M44494" s="13"/>
    </row>
    <row r="44495">
      <c r="F44495" s="13"/>
      <c r="M44495" s="13"/>
    </row>
    <row r="44496">
      <c r="F44496" s="13"/>
      <c r="M44496" s="13"/>
    </row>
    <row r="44497">
      <c r="F44497" s="13"/>
      <c r="M44497" s="13"/>
    </row>
    <row r="44498">
      <c r="F44498" s="13"/>
      <c r="M44498" s="13"/>
    </row>
    <row r="44499">
      <c r="F44499" s="13"/>
      <c r="M44499" s="13"/>
    </row>
    <row r="44500">
      <c r="F44500" s="13"/>
      <c r="M44500" s="13"/>
    </row>
    <row r="44501">
      <c r="F44501" s="13"/>
      <c r="M44501" s="13"/>
    </row>
    <row r="44502">
      <c r="F44502" s="13"/>
      <c r="M44502" s="13"/>
    </row>
    <row r="44503">
      <c r="F44503" s="13"/>
      <c r="M44503" s="13"/>
    </row>
    <row r="44504">
      <c r="F44504" s="13"/>
      <c r="M44504" s="13"/>
    </row>
    <row r="44505">
      <c r="F44505" s="13"/>
      <c r="M44505" s="13"/>
    </row>
    <row r="44506">
      <c r="F44506" s="13"/>
      <c r="M44506" s="13"/>
    </row>
    <row r="44507">
      <c r="F44507" s="13"/>
      <c r="M44507" s="13"/>
    </row>
    <row r="44508">
      <c r="F44508" s="13"/>
      <c r="M44508" s="13"/>
    </row>
    <row r="44509">
      <c r="F44509" s="13"/>
      <c r="M44509" s="13"/>
    </row>
    <row r="44510">
      <c r="F44510" s="13"/>
      <c r="M44510" s="13"/>
    </row>
    <row r="44511">
      <c r="F44511" s="13"/>
      <c r="M44511" s="13"/>
    </row>
    <row r="44512">
      <c r="F44512" s="13"/>
      <c r="M44512" s="13"/>
    </row>
    <row r="44513">
      <c r="F44513" s="13"/>
      <c r="M44513" s="13"/>
    </row>
    <row r="44514">
      <c r="F44514" s="13"/>
      <c r="M44514" s="13"/>
    </row>
    <row r="44515">
      <c r="F44515" s="13"/>
      <c r="M44515" s="13"/>
    </row>
    <row r="44516">
      <c r="F44516" s="13"/>
      <c r="M44516" s="13"/>
    </row>
    <row r="44517">
      <c r="F44517" s="13"/>
      <c r="M44517" s="13"/>
    </row>
    <row r="44518">
      <c r="F44518" s="13"/>
      <c r="M44518" s="13"/>
    </row>
    <row r="44519">
      <c r="F44519" s="13"/>
      <c r="M44519" s="13"/>
    </row>
    <row r="44520">
      <c r="F44520" s="13"/>
      <c r="M44520" s="13"/>
    </row>
    <row r="44521">
      <c r="F44521" s="13"/>
      <c r="M44521" s="13"/>
    </row>
    <row r="44522">
      <c r="F44522" s="13"/>
      <c r="M44522" s="13"/>
    </row>
    <row r="44523">
      <c r="F44523" s="13"/>
      <c r="M44523" s="13"/>
    </row>
    <row r="44524">
      <c r="F44524" s="13"/>
      <c r="M44524" s="13"/>
    </row>
    <row r="44525">
      <c r="F44525" s="13"/>
      <c r="M44525" s="13"/>
    </row>
    <row r="44526">
      <c r="F44526" s="13"/>
      <c r="M44526" s="13"/>
    </row>
    <row r="44527">
      <c r="F44527" s="13"/>
      <c r="M44527" s="13"/>
    </row>
    <row r="44528">
      <c r="F44528" s="13"/>
      <c r="M44528" s="13"/>
    </row>
    <row r="44529">
      <c r="F44529" s="13"/>
      <c r="M44529" s="13"/>
    </row>
    <row r="44530">
      <c r="F44530" s="13"/>
      <c r="M44530" s="13"/>
    </row>
    <row r="44531">
      <c r="F44531" s="13"/>
      <c r="M44531" s="13"/>
    </row>
    <row r="44532">
      <c r="F44532" s="13"/>
      <c r="M44532" s="13"/>
    </row>
    <row r="44533">
      <c r="F44533" s="13"/>
      <c r="M44533" s="13"/>
    </row>
    <row r="44534">
      <c r="F44534" s="13"/>
      <c r="M44534" s="13"/>
    </row>
    <row r="44535">
      <c r="F44535" s="13"/>
      <c r="M44535" s="13"/>
    </row>
    <row r="44536">
      <c r="F44536" s="13"/>
      <c r="M44536" s="13"/>
    </row>
    <row r="44537">
      <c r="F44537" s="13"/>
      <c r="M44537" s="13"/>
    </row>
    <row r="44538">
      <c r="F44538" s="13"/>
      <c r="M44538" s="13"/>
    </row>
    <row r="44539">
      <c r="F44539" s="13"/>
      <c r="M44539" s="13"/>
    </row>
    <row r="44540">
      <c r="F44540" s="13"/>
      <c r="M44540" s="13"/>
    </row>
    <row r="44541">
      <c r="F44541" s="13"/>
      <c r="M44541" s="13"/>
    </row>
    <row r="44542">
      <c r="F44542" s="13"/>
      <c r="M44542" s="13"/>
    </row>
    <row r="44543">
      <c r="F44543" s="13"/>
      <c r="M44543" s="13"/>
    </row>
    <row r="44544">
      <c r="F44544" s="13"/>
      <c r="M44544" s="13"/>
    </row>
    <row r="44545">
      <c r="F44545" s="13"/>
      <c r="M44545" s="13"/>
    </row>
    <row r="44546">
      <c r="F44546" s="13"/>
      <c r="M44546" s="13"/>
    </row>
    <row r="44547">
      <c r="F44547" s="13"/>
      <c r="M44547" s="13"/>
    </row>
    <row r="44548">
      <c r="F44548" s="13"/>
      <c r="M44548" s="13"/>
    </row>
    <row r="44549">
      <c r="F44549" s="13"/>
      <c r="M44549" s="13"/>
    </row>
    <row r="44550">
      <c r="F44550" s="13"/>
      <c r="M44550" s="13"/>
    </row>
    <row r="44551">
      <c r="F44551" s="13"/>
      <c r="M44551" s="13"/>
    </row>
    <row r="44552">
      <c r="F44552" s="13"/>
      <c r="M44552" s="13"/>
    </row>
    <row r="44553">
      <c r="F44553" s="13"/>
      <c r="M44553" s="13"/>
    </row>
    <row r="44554">
      <c r="F44554" s="13"/>
      <c r="M44554" s="13"/>
    </row>
    <row r="44555">
      <c r="F44555" s="13"/>
      <c r="M44555" s="13"/>
    </row>
    <row r="44556">
      <c r="F44556" s="13"/>
      <c r="M44556" s="13"/>
    </row>
    <row r="44557">
      <c r="F44557" s="13"/>
      <c r="M44557" s="13"/>
    </row>
    <row r="44558">
      <c r="F44558" s="13"/>
      <c r="M44558" s="13"/>
    </row>
    <row r="44559">
      <c r="F44559" s="13"/>
      <c r="M44559" s="13"/>
    </row>
    <row r="44560">
      <c r="F44560" s="13"/>
      <c r="M44560" s="13"/>
    </row>
    <row r="44561">
      <c r="F44561" s="13"/>
      <c r="M44561" s="13"/>
    </row>
    <row r="44562">
      <c r="F44562" s="13"/>
      <c r="M44562" s="13"/>
    </row>
    <row r="44563">
      <c r="F44563" s="13"/>
      <c r="M44563" s="13"/>
    </row>
    <row r="44564">
      <c r="F44564" s="13"/>
      <c r="M44564" s="13"/>
    </row>
    <row r="44565">
      <c r="F44565" s="13"/>
      <c r="M44565" s="13"/>
    </row>
    <row r="44566">
      <c r="F44566" s="13"/>
      <c r="M44566" s="13"/>
    </row>
    <row r="44567">
      <c r="F44567" s="13"/>
      <c r="M44567" s="13"/>
    </row>
    <row r="44568">
      <c r="F44568" s="13"/>
      <c r="M44568" s="13"/>
    </row>
    <row r="44569">
      <c r="F44569" s="13"/>
      <c r="M44569" s="13"/>
    </row>
    <row r="44570">
      <c r="F44570" s="13"/>
      <c r="M44570" s="13"/>
    </row>
    <row r="44571">
      <c r="F44571" s="13"/>
      <c r="M44571" s="13"/>
    </row>
    <row r="44572">
      <c r="F44572" s="13"/>
      <c r="M44572" s="13"/>
    </row>
    <row r="44573">
      <c r="F44573" s="13"/>
      <c r="M44573" s="13"/>
    </row>
    <row r="44574">
      <c r="F44574" s="13"/>
      <c r="M44574" s="13"/>
    </row>
    <row r="44575">
      <c r="F44575" s="13"/>
      <c r="M44575" s="13"/>
    </row>
    <row r="44576">
      <c r="F44576" s="13"/>
      <c r="M44576" s="13"/>
    </row>
    <row r="44577">
      <c r="F44577" s="13"/>
      <c r="M44577" s="13"/>
    </row>
    <row r="44578">
      <c r="F44578" s="13"/>
      <c r="M44578" s="13"/>
    </row>
    <row r="44579">
      <c r="F44579" s="13"/>
      <c r="M44579" s="13"/>
    </row>
    <row r="44580">
      <c r="F44580" s="13"/>
      <c r="M44580" s="13"/>
    </row>
    <row r="44581">
      <c r="F44581" s="13"/>
      <c r="M44581" s="13"/>
    </row>
    <row r="44582">
      <c r="F44582" s="13"/>
      <c r="M44582" s="13"/>
    </row>
    <row r="44583">
      <c r="F44583" s="13"/>
      <c r="M44583" s="13"/>
    </row>
    <row r="44584">
      <c r="F44584" s="13"/>
      <c r="M44584" s="13"/>
    </row>
    <row r="44585">
      <c r="F44585" s="13"/>
      <c r="M44585" s="13"/>
    </row>
    <row r="44586">
      <c r="F44586" s="13"/>
      <c r="M44586" s="13"/>
    </row>
    <row r="44587">
      <c r="F44587" s="13"/>
      <c r="M44587" s="13"/>
    </row>
    <row r="44588">
      <c r="F44588" s="13"/>
      <c r="M44588" s="13"/>
    </row>
    <row r="44589">
      <c r="F44589" s="13"/>
      <c r="M44589" s="13"/>
    </row>
    <row r="44590">
      <c r="F44590" s="13"/>
      <c r="M44590" s="13"/>
    </row>
    <row r="44591">
      <c r="F44591" s="13"/>
      <c r="M44591" s="13"/>
    </row>
    <row r="44592">
      <c r="F44592" s="13"/>
      <c r="M44592" s="13"/>
    </row>
    <row r="44593">
      <c r="F44593" s="13"/>
      <c r="M44593" s="13"/>
    </row>
    <row r="44594">
      <c r="F44594" s="13"/>
      <c r="M44594" s="13"/>
    </row>
    <row r="44595">
      <c r="F44595" s="13"/>
      <c r="M44595" s="13"/>
    </row>
    <row r="44596">
      <c r="F44596" s="13"/>
      <c r="M44596" s="13"/>
    </row>
    <row r="44597">
      <c r="F44597" s="13"/>
      <c r="M44597" s="13"/>
    </row>
    <row r="44598">
      <c r="F44598" s="13"/>
      <c r="M44598" s="13"/>
    </row>
    <row r="44599">
      <c r="F44599" s="13"/>
      <c r="M44599" s="13"/>
    </row>
    <row r="44600">
      <c r="F44600" s="13"/>
      <c r="M44600" s="13"/>
    </row>
    <row r="44601">
      <c r="F44601" s="13"/>
      <c r="M44601" s="13"/>
    </row>
    <row r="44602">
      <c r="F44602" s="13"/>
      <c r="M44602" s="13"/>
    </row>
    <row r="44603">
      <c r="F44603" s="13"/>
      <c r="M44603" s="13"/>
    </row>
    <row r="44604">
      <c r="F44604" s="13"/>
      <c r="M44604" s="13"/>
    </row>
    <row r="44605">
      <c r="F44605" s="13"/>
      <c r="M44605" s="13"/>
    </row>
    <row r="44606">
      <c r="F44606" s="13"/>
      <c r="M44606" s="13"/>
    </row>
    <row r="44607">
      <c r="F44607" s="13"/>
      <c r="M44607" s="13"/>
    </row>
    <row r="44608">
      <c r="F44608" s="13"/>
      <c r="M44608" s="13"/>
    </row>
    <row r="44609">
      <c r="F44609" s="13"/>
      <c r="M44609" s="13"/>
    </row>
    <row r="44610">
      <c r="F44610" s="13"/>
      <c r="M44610" s="13"/>
    </row>
    <row r="44611">
      <c r="F44611" s="13"/>
      <c r="M44611" s="13"/>
    </row>
    <row r="44612">
      <c r="F44612" s="13"/>
      <c r="M44612" s="13"/>
    </row>
    <row r="44613">
      <c r="F44613" s="13"/>
      <c r="M44613" s="13"/>
    </row>
    <row r="44614">
      <c r="F44614" s="13"/>
      <c r="M44614" s="13"/>
    </row>
    <row r="44615">
      <c r="F44615" s="13"/>
      <c r="M44615" s="13"/>
    </row>
    <row r="44616">
      <c r="F44616" s="13"/>
      <c r="M44616" s="13"/>
    </row>
    <row r="44617">
      <c r="F44617" s="13"/>
      <c r="M44617" s="13"/>
    </row>
    <row r="44618">
      <c r="F44618" s="13"/>
      <c r="M44618" s="13"/>
    </row>
    <row r="44619">
      <c r="F44619" s="13"/>
      <c r="M44619" s="13"/>
    </row>
    <row r="44620">
      <c r="F44620" s="13"/>
      <c r="M44620" s="13"/>
    </row>
    <row r="44621">
      <c r="F44621" s="13"/>
      <c r="M44621" s="13"/>
    </row>
    <row r="44622">
      <c r="F44622" s="13"/>
      <c r="M44622" s="13"/>
    </row>
    <row r="44623">
      <c r="F44623" s="13"/>
      <c r="M44623" s="13"/>
    </row>
    <row r="44624">
      <c r="F44624" s="13"/>
      <c r="M44624" s="13"/>
    </row>
    <row r="44625">
      <c r="F44625" s="13"/>
      <c r="M44625" s="13"/>
    </row>
    <row r="44626">
      <c r="F44626" s="13"/>
      <c r="M44626" s="13"/>
    </row>
    <row r="44627">
      <c r="F44627" s="13"/>
      <c r="M44627" s="13"/>
    </row>
    <row r="44628">
      <c r="F44628" s="13"/>
      <c r="M44628" s="13"/>
    </row>
    <row r="44629">
      <c r="F44629" s="13"/>
      <c r="M44629" s="13"/>
    </row>
    <row r="44630">
      <c r="F44630" s="13"/>
      <c r="M44630" s="13"/>
    </row>
    <row r="44631">
      <c r="F44631" s="13"/>
      <c r="M44631" s="13"/>
    </row>
    <row r="44632">
      <c r="F44632" s="13"/>
      <c r="M44632" s="13"/>
    </row>
    <row r="44633">
      <c r="F44633" s="13"/>
      <c r="M44633" s="13"/>
    </row>
    <row r="44634">
      <c r="F44634" s="13"/>
      <c r="M44634" s="13"/>
    </row>
    <row r="44635">
      <c r="F44635" s="13"/>
      <c r="M44635" s="13"/>
    </row>
    <row r="44636">
      <c r="F44636" s="13"/>
      <c r="M44636" s="13"/>
    </row>
    <row r="44637">
      <c r="F44637" s="13"/>
      <c r="M44637" s="13"/>
    </row>
    <row r="44638">
      <c r="F44638" s="13"/>
      <c r="M44638" s="13"/>
    </row>
    <row r="44639">
      <c r="F44639" s="13"/>
      <c r="M44639" s="13"/>
    </row>
    <row r="44640">
      <c r="F44640" s="13"/>
      <c r="M44640" s="13"/>
    </row>
    <row r="44641">
      <c r="F44641" s="13"/>
      <c r="M44641" s="13"/>
    </row>
    <row r="44642">
      <c r="F44642" s="13"/>
      <c r="M44642" s="13"/>
    </row>
    <row r="44643">
      <c r="F44643" s="13"/>
      <c r="M44643" s="13"/>
    </row>
    <row r="44644">
      <c r="F44644" s="13"/>
      <c r="M44644" s="13"/>
    </row>
    <row r="44645">
      <c r="F44645" s="13"/>
      <c r="M44645" s="13"/>
    </row>
    <row r="44646">
      <c r="F44646" s="13"/>
      <c r="M44646" s="13"/>
    </row>
    <row r="44647">
      <c r="F44647" s="13"/>
      <c r="M44647" s="13"/>
    </row>
    <row r="44648">
      <c r="F44648" s="13"/>
      <c r="M44648" s="13"/>
    </row>
    <row r="44649">
      <c r="F44649" s="13"/>
      <c r="M44649" s="13"/>
    </row>
    <row r="44650">
      <c r="F44650" s="13"/>
      <c r="M44650" s="13"/>
    </row>
    <row r="44651">
      <c r="F44651" s="13"/>
      <c r="M44651" s="13"/>
    </row>
    <row r="44652">
      <c r="F44652" s="13"/>
      <c r="M44652" s="13"/>
    </row>
    <row r="44653">
      <c r="F44653" s="13"/>
      <c r="M44653" s="13"/>
    </row>
    <row r="44654">
      <c r="F44654" s="13"/>
      <c r="M44654" s="13"/>
    </row>
    <row r="44655">
      <c r="F44655" s="13"/>
      <c r="M44655" s="13"/>
    </row>
    <row r="44656">
      <c r="F44656" s="13"/>
      <c r="M44656" s="13"/>
    </row>
    <row r="44657">
      <c r="F44657" s="13"/>
      <c r="M44657" s="13"/>
    </row>
    <row r="44658">
      <c r="F44658" s="13"/>
      <c r="M44658" s="13"/>
    </row>
    <row r="44659">
      <c r="F44659" s="13"/>
      <c r="M44659" s="13"/>
    </row>
    <row r="44660">
      <c r="F44660" s="13"/>
      <c r="M44660" s="13"/>
    </row>
    <row r="44661">
      <c r="F44661" s="13"/>
      <c r="M44661" s="13"/>
    </row>
    <row r="44662">
      <c r="F44662" s="13"/>
      <c r="M44662" s="13"/>
    </row>
    <row r="44663">
      <c r="F44663" s="13"/>
      <c r="M44663" s="13"/>
    </row>
    <row r="44664">
      <c r="F44664" s="13"/>
      <c r="M44664" s="13"/>
    </row>
    <row r="44665">
      <c r="F44665" s="13"/>
      <c r="M44665" s="13"/>
    </row>
    <row r="44666">
      <c r="F44666" s="13"/>
      <c r="M44666" s="13"/>
    </row>
    <row r="44667">
      <c r="F44667" s="13"/>
      <c r="M44667" s="13"/>
    </row>
    <row r="44668">
      <c r="F44668" s="13"/>
      <c r="M44668" s="13"/>
    </row>
    <row r="44669">
      <c r="F44669" s="13"/>
      <c r="M44669" s="13"/>
    </row>
    <row r="44670">
      <c r="F44670" s="13"/>
      <c r="M44670" s="13"/>
    </row>
    <row r="44671">
      <c r="F44671" s="13"/>
      <c r="M44671" s="13"/>
    </row>
    <row r="44672">
      <c r="F44672" s="13"/>
      <c r="M44672" s="13"/>
    </row>
    <row r="44673">
      <c r="F44673" s="13"/>
      <c r="M44673" s="13"/>
    </row>
    <row r="44674">
      <c r="F44674" s="13"/>
      <c r="M44674" s="13"/>
    </row>
    <row r="44675">
      <c r="F44675" s="13"/>
      <c r="M44675" s="13"/>
    </row>
    <row r="44676">
      <c r="F44676" s="13"/>
      <c r="M44676" s="13"/>
    </row>
    <row r="44677">
      <c r="F44677" s="13"/>
      <c r="M44677" s="13"/>
    </row>
    <row r="44678">
      <c r="F44678" s="13"/>
      <c r="M44678" s="13"/>
    </row>
    <row r="44679">
      <c r="F44679" s="13"/>
      <c r="M44679" s="13"/>
    </row>
    <row r="44680">
      <c r="F44680" s="13"/>
      <c r="M44680" s="13"/>
    </row>
    <row r="44681">
      <c r="F44681" s="13"/>
      <c r="M44681" s="13"/>
    </row>
    <row r="44682">
      <c r="F44682" s="13"/>
      <c r="M44682" s="13"/>
    </row>
    <row r="44683">
      <c r="F44683" s="13"/>
      <c r="M44683" s="13"/>
    </row>
    <row r="44684">
      <c r="F44684" s="13"/>
      <c r="M44684" s="13"/>
    </row>
    <row r="44685">
      <c r="F44685" s="13"/>
      <c r="M44685" s="13"/>
    </row>
    <row r="44686">
      <c r="F44686" s="13"/>
      <c r="M44686" s="13"/>
    </row>
    <row r="44687">
      <c r="F44687" s="13"/>
      <c r="M44687" s="13"/>
    </row>
    <row r="44688">
      <c r="F44688" s="13"/>
      <c r="M44688" s="13"/>
    </row>
    <row r="44689">
      <c r="F44689" s="13"/>
      <c r="M44689" s="13"/>
    </row>
    <row r="44690">
      <c r="F44690" s="13"/>
      <c r="M44690" s="13"/>
    </row>
    <row r="44691">
      <c r="F44691" s="13"/>
      <c r="M44691" s="13"/>
    </row>
    <row r="44692">
      <c r="F44692" s="13"/>
      <c r="M44692" s="13"/>
    </row>
    <row r="44693">
      <c r="F44693" s="13"/>
      <c r="M44693" s="13"/>
    </row>
    <row r="44694">
      <c r="F44694" s="13"/>
      <c r="M44694" s="13"/>
    </row>
    <row r="44695">
      <c r="F44695" s="13"/>
      <c r="M44695" s="13"/>
    </row>
    <row r="44696">
      <c r="F44696" s="13"/>
      <c r="M44696" s="13"/>
    </row>
    <row r="44697">
      <c r="F44697" s="13"/>
      <c r="M44697" s="13"/>
    </row>
    <row r="44698">
      <c r="F44698" s="13"/>
      <c r="M44698" s="13"/>
    </row>
    <row r="44699">
      <c r="F44699" s="13"/>
      <c r="M44699" s="13"/>
    </row>
    <row r="44700">
      <c r="F44700" s="13"/>
      <c r="M44700" s="13"/>
    </row>
    <row r="44701">
      <c r="F44701" s="13"/>
      <c r="M44701" s="13"/>
    </row>
    <row r="44702">
      <c r="F44702" s="13"/>
      <c r="M44702" s="13"/>
    </row>
    <row r="44703">
      <c r="F44703" s="13"/>
      <c r="M44703" s="13"/>
    </row>
    <row r="44704">
      <c r="F44704" s="13"/>
      <c r="M44704" s="13"/>
    </row>
    <row r="44705">
      <c r="F44705" s="13"/>
      <c r="M44705" s="13"/>
    </row>
    <row r="44706">
      <c r="F44706" s="13"/>
      <c r="M44706" s="13"/>
    </row>
    <row r="44707">
      <c r="F44707" s="13"/>
      <c r="M44707" s="13"/>
    </row>
    <row r="44708">
      <c r="F44708" s="13"/>
      <c r="M44708" s="13"/>
    </row>
    <row r="44709">
      <c r="F44709" s="13"/>
      <c r="M44709" s="13"/>
    </row>
    <row r="44710">
      <c r="F44710" s="13"/>
      <c r="M44710" s="13"/>
    </row>
    <row r="44711">
      <c r="F44711" s="13"/>
      <c r="M44711" s="13"/>
    </row>
    <row r="44712">
      <c r="F44712" s="13"/>
      <c r="M44712" s="13"/>
    </row>
    <row r="44713">
      <c r="F44713" s="13"/>
      <c r="M44713" s="13"/>
    </row>
    <row r="44714">
      <c r="F44714" s="13"/>
      <c r="M44714" s="13"/>
    </row>
    <row r="44715">
      <c r="F44715" s="13"/>
      <c r="M44715" s="13"/>
    </row>
    <row r="44716">
      <c r="F44716" s="13"/>
      <c r="M44716" s="13"/>
    </row>
    <row r="44717">
      <c r="F44717" s="13"/>
      <c r="M44717" s="13"/>
    </row>
    <row r="44718">
      <c r="F44718" s="13"/>
      <c r="M44718" s="13"/>
    </row>
    <row r="44719">
      <c r="F44719" s="13"/>
      <c r="M44719" s="13"/>
    </row>
    <row r="44720">
      <c r="F44720" s="13"/>
      <c r="M44720" s="13"/>
    </row>
    <row r="44721">
      <c r="F44721" s="13"/>
      <c r="M44721" s="13"/>
    </row>
    <row r="44722">
      <c r="F44722" s="13"/>
      <c r="M44722" s="13"/>
    </row>
    <row r="44723">
      <c r="F44723" s="13"/>
      <c r="M44723" s="13"/>
    </row>
    <row r="44724">
      <c r="F44724" s="13"/>
      <c r="M44724" s="13"/>
    </row>
    <row r="44725">
      <c r="F44725" s="13"/>
      <c r="M44725" s="13"/>
    </row>
    <row r="44726">
      <c r="F44726" s="13"/>
      <c r="M44726" s="13"/>
    </row>
    <row r="44727">
      <c r="F44727" s="13"/>
      <c r="M44727" s="13"/>
    </row>
    <row r="44728">
      <c r="F44728" s="13"/>
      <c r="M44728" s="13"/>
    </row>
    <row r="44729">
      <c r="F44729" s="13"/>
      <c r="M44729" s="13"/>
    </row>
    <row r="44730">
      <c r="F44730" s="13"/>
      <c r="M44730" s="13"/>
    </row>
    <row r="44731">
      <c r="F44731" s="13"/>
      <c r="M44731" s="13"/>
    </row>
    <row r="44732">
      <c r="F44732" s="13"/>
      <c r="M44732" s="13"/>
    </row>
    <row r="44733">
      <c r="F44733" s="13"/>
      <c r="M44733" s="13"/>
    </row>
    <row r="44734">
      <c r="F44734" s="13"/>
      <c r="M44734" s="13"/>
    </row>
    <row r="44735">
      <c r="F44735" s="13"/>
      <c r="M44735" s="13"/>
    </row>
    <row r="44736">
      <c r="F44736" s="13"/>
      <c r="M44736" s="13"/>
    </row>
    <row r="44737">
      <c r="F44737" s="13"/>
      <c r="M44737" s="13"/>
    </row>
    <row r="44738">
      <c r="F44738" s="13"/>
      <c r="M44738" s="13"/>
    </row>
    <row r="44739">
      <c r="F44739" s="13"/>
      <c r="M44739" s="13"/>
    </row>
    <row r="44740">
      <c r="F44740" s="13"/>
      <c r="M44740" s="13"/>
    </row>
    <row r="44741">
      <c r="F44741" s="13"/>
      <c r="M44741" s="13"/>
    </row>
    <row r="44742">
      <c r="F44742" s="13"/>
      <c r="M44742" s="13"/>
    </row>
    <row r="44743">
      <c r="F44743" s="13"/>
      <c r="M44743" s="13"/>
    </row>
    <row r="44744">
      <c r="F44744" s="13"/>
      <c r="M44744" s="13"/>
    </row>
    <row r="44745">
      <c r="F44745" s="13"/>
      <c r="M44745" s="13"/>
    </row>
    <row r="44746">
      <c r="F44746" s="13"/>
      <c r="M44746" s="13"/>
    </row>
    <row r="44747">
      <c r="F44747" s="13"/>
      <c r="M44747" s="13"/>
    </row>
    <row r="44748">
      <c r="F44748" s="13"/>
      <c r="M44748" s="13"/>
    </row>
    <row r="44749">
      <c r="F44749" s="13"/>
      <c r="M44749" s="13"/>
    </row>
    <row r="44750">
      <c r="F44750" s="13"/>
      <c r="M44750" s="13"/>
    </row>
    <row r="44751">
      <c r="F44751" s="13"/>
      <c r="M44751" s="13"/>
    </row>
    <row r="44752">
      <c r="F44752" s="13"/>
      <c r="M44752" s="13"/>
    </row>
    <row r="44753">
      <c r="F44753" s="13"/>
      <c r="M44753" s="13"/>
    </row>
    <row r="44754">
      <c r="F44754" s="13"/>
      <c r="M44754" s="13"/>
    </row>
    <row r="44755">
      <c r="F44755" s="13"/>
      <c r="M44755" s="13"/>
    </row>
    <row r="44756">
      <c r="F44756" s="13"/>
      <c r="M44756" s="13"/>
    </row>
    <row r="44757">
      <c r="F44757" s="13"/>
      <c r="M44757" s="13"/>
    </row>
    <row r="44758">
      <c r="F44758" s="13"/>
      <c r="M44758" s="13"/>
    </row>
    <row r="44759">
      <c r="F44759" s="13"/>
      <c r="M44759" s="13"/>
    </row>
    <row r="44760">
      <c r="F44760" s="13"/>
      <c r="M44760" s="13"/>
    </row>
    <row r="44761">
      <c r="F44761" s="13"/>
      <c r="M44761" s="13"/>
    </row>
    <row r="44762">
      <c r="F44762" s="13"/>
      <c r="M44762" s="13"/>
    </row>
    <row r="44763">
      <c r="F44763" s="13"/>
      <c r="M44763" s="13"/>
    </row>
    <row r="44764">
      <c r="F44764" s="13"/>
      <c r="M44764" s="13"/>
    </row>
    <row r="44765">
      <c r="F44765" s="13"/>
      <c r="M44765" s="13"/>
    </row>
    <row r="44766">
      <c r="F44766" s="13"/>
      <c r="M44766" s="13"/>
    </row>
    <row r="44767">
      <c r="F44767" s="13"/>
      <c r="M44767" s="13"/>
    </row>
    <row r="44768">
      <c r="F44768" s="13"/>
      <c r="M44768" s="13"/>
    </row>
    <row r="44769">
      <c r="F44769" s="13"/>
      <c r="M44769" s="13"/>
    </row>
    <row r="44770">
      <c r="F44770" s="13"/>
      <c r="M44770" s="13"/>
    </row>
    <row r="44771">
      <c r="F44771" s="13"/>
      <c r="M44771" s="13"/>
    </row>
    <row r="44772">
      <c r="F44772" s="13"/>
      <c r="M44772" s="13"/>
    </row>
    <row r="44773">
      <c r="F44773" s="13"/>
      <c r="M44773" s="13"/>
    </row>
    <row r="44774">
      <c r="F44774" s="13"/>
      <c r="M44774" s="13"/>
    </row>
    <row r="44775">
      <c r="F44775" s="13"/>
      <c r="M44775" s="13"/>
    </row>
    <row r="44776">
      <c r="F44776" s="13"/>
      <c r="M44776" s="13"/>
    </row>
    <row r="44777">
      <c r="F44777" s="13"/>
      <c r="M44777" s="13"/>
    </row>
    <row r="44778">
      <c r="F44778" s="13"/>
      <c r="M44778" s="13"/>
    </row>
    <row r="44779">
      <c r="F44779" s="13"/>
      <c r="M44779" s="13"/>
    </row>
    <row r="44780">
      <c r="F44780" s="13"/>
      <c r="M44780" s="13"/>
    </row>
    <row r="44781">
      <c r="F44781" s="13"/>
      <c r="M44781" s="13"/>
    </row>
    <row r="44782">
      <c r="F44782" s="13"/>
      <c r="M44782" s="13"/>
    </row>
    <row r="44783">
      <c r="F44783" s="13"/>
      <c r="M44783" s="13"/>
    </row>
    <row r="44784">
      <c r="F44784" s="13"/>
      <c r="M44784" s="13"/>
    </row>
    <row r="44785">
      <c r="F44785" s="13"/>
      <c r="M44785" s="13"/>
    </row>
    <row r="44786">
      <c r="F44786" s="13"/>
      <c r="M44786" s="13"/>
    </row>
    <row r="44787">
      <c r="F44787" s="13"/>
      <c r="M44787" s="13"/>
    </row>
    <row r="44788">
      <c r="F44788" s="13"/>
      <c r="M44788" s="13"/>
    </row>
    <row r="44789">
      <c r="F44789" s="13"/>
      <c r="M44789" s="13"/>
    </row>
    <row r="44790">
      <c r="F44790" s="13"/>
      <c r="M44790" s="13"/>
    </row>
    <row r="44791">
      <c r="F44791" s="13"/>
      <c r="M44791" s="13"/>
    </row>
    <row r="44792">
      <c r="F44792" s="13"/>
      <c r="M44792" s="13"/>
    </row>
    <row r="44793">
      <c r="F44793" s="13"/>
      <c r="M44793" s="13"/>
    </row>
    <row r="44794">
      <c r="F44794" s="13"/>
      <c r="M44794" s="13"/>
    </row>
    <row r="44795">
      <c r="F44795" s="13"/>
      <c r="M44795" s="13"/>
    </row>
    <row r="44796">
      <c r="F44796" s="13"/>
      <c r="M44796" s="13"/>
    </row>
    <row r="44797">
      <c r="F44797" s="13"/>
      <c r="M44797" s="13"/>
    </row>
    <row r="44798">
      <c r="F44798" s="13"/>
      <c r="M44798" s="13"/>
    </row>
    <row r="44799">
      <c r="F44799" s="13"/>
      <c r="M44799" s="13"/>
    </row>
    <row r="44800">
      <c r="F44800" s="13"/>
      <c r="M44800" s="13"/>
    </row>
    <row r="44801">
      <c r="F44801" s="13"/>
      <c r="M44801" s="13"/>
    </row>
    <row r="44802">
      <c r="F44802" s="13"/>
      <c r="M44802" s="13"/>
    </row>
    <row r="44803">
      <c r="F44803" s="13"/>
      <c r="M44803" s="13"/>
    </row>
    <row r="44804">
      <c r="F44804" s="13"/>
      <c r="M44804" s="13"/>
    </row>
    <row r="44805">
      <c r="F44805" s="13"/>
      <c r="M44805" s="13"/>
    </row>
    <row r="44806">
      <c r="F44806" s="13"/>
      <c r="M44806" s="13"/>
    </row>
    <row r="44807">
      <c r="F44807" s="13"/>
      <c r="M44807" s="13"/>
    </row>
    <row r="44808">
      <c r="F44808" s="13"/>
      <c r="M44808" s="13"/>
    </row>
    <row r="44809">
      <c r="F44809" s="13"/>
      <c r="M44809" s="13"/>
    </row>
    <row r="44810">
      <c r="F44810" s="13"/>
      <c r="M44810" s="13"/>
    </row>
    <row r="44811">
      <c r="F44811" s="13"/>
      <c r="M44811" s="13"/>
    </row>
    <row r="44812">
      <c r="F44812" s="13"/>
      <c r="M44812" s="13"/>
    </row>
    <row r="44813">
      <c r="F44813" s="13"/>
      <c r="M44813" s="13"/>
    </row>
    <row r="44814">
      <c r="F44814" s="13"/>
      <c r="M44814" s="13"/>
    </row>
    <row r="44815">
      <c r="F44815" s="13"/>
      <c r="M44815" s="13"/>
    </row>
    <row r="44816">
      <c r="F44816" s="13"/>
      <c r="M44816" s="13"/>
    </row>
    <row r="44817">
      <c r="F44817" s="13"/>
      <c r="M44817" s="13"/>
    </row>
    <row r="44818">
      <c r="F44818" s="13"/>
      <c r="M44818" s="13"/>
    </row>
    <row r="44819">
      <c r="F44819" s="13"/>
      <c r="M44819" s="13"/>
    </row>
    <row r="44820">
      <c r="F44820" s="13"/>
      <c r="M44820" s="13"/>
    </row>
    <row r="44821">
      <c r="F44821" s="13"/>
      <c r="M44821" s="13"/>
    </row>
    <row r="44822">
      <c r="F44822" s="13"/>
      <c r="M44822" s="13"/>
    </row>
    <row r="44823">
      <c r="F44823" s="13"/>
      <c r="M44823" s="13"/>
    </row>
    <row r="44824">
      <c r="F44824" s="13"/>
      <c r="M44824" s="13"/>
    </row>
    <row r="44825">
      <c r="F44825" s="13"/>
      <c r="M44825" s="13"/>
    </row>
    <row r="44826">
      <c r="F44826" s="13"/>
      <c r="M44826" s="13"/>
    </row>
    <row r="44827">
      <c r="F44827" s="13"/>
      <c r="M44827" s="13"/>
    </row>
    <row r="44828">
      <c r="F44828" s="13"/>
      <c r="M44828" s="13"/>
    </row>
    <row r="44829">
      <c r="F44829" s="13"/>
      <c r="M44829" s="13"/>
    </row>
    <row r="44830">
      <c r="F44830" s="13"/>
      <c r="M44830" s="13"/>
    </row>
    <row r="44831">
      <c r="F44831" s="13"/>
      <c r="M44831" s="13"/>
    </row>
    <row r="44832">
      <c r="F44832" s="13"/>
      <c r="M44832" s="13"/>
    </row>
    <row r="44833">
      <c r="F44833" s="13"/>
      <c r="M44833" s="13"/>
    </row>
    <row r="44834">
      <c r="F44834" s="13"/>
      <c r="M44834" s="13"/>
    </row>
    <row r="44835">
      <c r="F44835" s="13"/>
      <c r="M44835" s="13"/>
    </row>
    <row r="44836">
      <c r="F44836" s="13"/>
      <c r="M44836" s="13"/>
    </row>
    <row r="44837">
      <c r="F44837" s="13"/>
      <c r="M44837" s="13"/>
    </row>
    <row r="44838">
      <c r="F44838" s="13"/>
      <c r="M44838" s="13"/>
    </row>
    <row r="44839">
      <c r="F44839" s="13"/>
      <c r="M44839" s="13"/>
    </row>
    <row r="44840">
      <c r="F44840" s="13"/>
      <c r="M44840" s="13"/>
    </row>
    <row r="44841">
      <c r="F44841" s="13"/>
      <c r="M44841" s="13"/>
    </row>
    <row r="44842">
      <c r="F44842" s="13"/>
      <c r="M44842" s="13"/>
    </row>
    <row r="44843">
      <c r="F44843" s="13"/>
      <c r="M44843" s="13"/>
    </row>
    <row r="44844">
      <c r="F44844" s="13"/>
      <c r="M44844" s="13"/>
    </row>
    <row r="44845">
      <c r="F44845" s="13"/>
      <c r="M44845" s="13"/>
    </row>
    <row r="44846">
      <c r="F44846" s="13"/>
      <c r="M44846" s="13"/>
    </row>
    <row r="44847">
      <c r="F44847" s="13"/>
      <c r="M44847" s="13"/>
    </row>
    <row r="44848">
      <c r="F44848" s="13"/>
      <c r="M44848" s="13"/>
    </row>
    <row r="44849">
      <c r="F44849" s="13"/>
      <c r="M44849" s="13"/>
    </row>
    <row r="44850">
      <c r="F44850" s="13"/>
      <c r="M44850" s="13"/>
    </row>
    <row r="44851">
      <c r="F44851" s="13"/>
      <c r="M44851" s="13"/>
    </row>
    <row r="44852">
      <c r="F44852" s="13"/>
      <c r="M44852" s="13"/>
    </row>
    <row r="44853">
      <c r="F44853" s="13"/>
      <c r="M44853" s="13"/>
    </row>
    <row r="44854">
      <c r="F44854" s="13"/>
      <c r="M44854" s="13"/>
    </row>
    <row r="44855">
      <c r="F44855" s="13"/>
      <c r="M44855" s="13"/>
    </row>
    <row r="44856">
      <c r="F44856" s="13"/>
      <c r="M44856" s="13"/>
    </row>
    <row r="44857">
      <c r="F44857" s="13"/>
      <c r="M44857" s="13"/>
    </row>
    <row r="44858">
      <c r="F44858" s="13"/>
      <c r="M44858" s="13"/>
    </row>
    <row r="44859">
      <c r="F44859" s="13"/>
      <c r="M44859" s="13"/>
    </row>
    <row r="44860">
      <c r="F44860" s="13"/>
      <c r="M44860" s="13"/>
    </row>
    <row r="44861">
      <c r="F44861" s="13"/>
      <c r="M44861" s="13"/>
    </row>
    <row r="44862">
      <c r="F44862" s="13"/>
      <c r="M44862" s="13"/>
    </row>
    <row r="44863">
      <c r="F44863" s="13"/>
      <c r="M44863" s="13"/>
    </row>
    <row r="44864">
      <c r="F44864" s="13"/>
      <c r="M44864" s="13"/>
    </row>
    <row r="44865">
      <c r="F44865" s="13"/>
      <c r="M44865" s="13"/>
    </row>
    <row r="44866">
      <c r="F44866" s="13"/>
      <c r="M44866" s="13"/>
    </row>
    <row r="44867">
      <c r="F44867" s="13"/>
      <c r="M44867" s="13"/>
    </row>
    <row r="44868">
      <c r="F44868" s="13"/>
      <c r="M44868" s="13"/>
    </row>
    <row r="44869">
      <c r="F44869" s="13"/>
      <c r="M44869" s="13"/>
    </row>
    <row r="44870">
      <c r="F44870" s="13"/>
      <c r="M44870" s="13"/>
    </row>
    <row r="44871">
      <c r="F44871" s="13"/>
      <c r="M44871" s="13"/>
    </row>
    <row r="44872">
      <c r="F44872" s="13"/>
      <c r="M44872" s="13"/>
    </row>
    <row r="44873">
      <c r="F44873" s="13"/>
      <c r="M44873" s="13"/>
    </row>
    <row r="44874">
      <c r="F44874" s="13"/>
      <c r="M44874" s="13"/>
    </row>
    <row r="44875">
      <c r="F44875" s="13"/>
      <c r="M44875" s="13"/>
    </row>
    <row r="44876">
      <c r="F44876" s="13"/>
      <c r="M44876" s="13"/>
    </row>
    <row r="44877">
      <c r="F44877" s="13"/>
      <c r="M44877" s="13"/>
    </row>
    <row r="44878">
      <c r="F44878" s="13"/>
      <c r="M44878" s="13"/>
    </row>
    <row r="44879">
      <c r="F44879" s="13"/>
      <c r="M44879" s="13"/>
    </row>
    <row r="44880">
      <c r="F44880" s="13"/>
      <c r="M44880" s="13"/>
    </row>
    <row r="44881">
      <c r="F44881" s="13"/>
      <c r="M44881" s="13"/>
    </row>
    <row r="44882">
      <c r="F44882" s="13"/>
      <c r="M44882" s="13"/>
    </row>
    <row r="44883">
      <c r="F44883" s="13"/>
      <c r="M44883" s="13"/>
    </row>
    <row r="44884">
      <c r="F44884" s="13"/>
      <c r="M44884" s="13"/>
    </row>
    <row r="44885">
      <c r="F44885" s="13"/>
      <c r="M44885" s="13"/>
    </row>
    <row r="44886">
      <c r="F44886" s="13"/>
      <c r="M44886" s="13"/>
    </row>
    <row r="44887">
      <c r="F44887" s="13"/>
      <c r="M44887" s="13"/>
    </row>
    <row r="44888">
      <c r="F44888" s="13"/>
      <c r="M44888" s="13"/>
    </row>
    <row r="44889">
      <c r="F44889" s="13"/>
      <c r="M44889" s="13"/>
    </row>
    <row r="44890">
      <c r="F44890" s="13"/>
      <c r="M44890" s="13"/>
    </row>
    <row r="44891">
      <c r="F44891" s="13"/>
      <c r="M44891" s="13"/>
    </row>
    <row r="44892">
      <c r="F44892" s="13"/>
      <c r="M44892" s="13"/>
    </row>
    <row r="44893">
      <c r="F44893" s="13"/>
      <c r="M44893" s="13"/>
    </row>
    <row r="44894">
      <c r="F44894" s="13"/>
      <c r="M44894" s="13"/>
    </row>
    <row r="44895">
      <c r="F44895" s="13"/>
      <c r="M44895" s="13"/>
    </row>
    <row r="44896">
      <c r="F44896" s="13"/>
      <c r="M44896" s="13"/>
    </row>
    <row r="44897">
      <c r="F44897" s="13"/>
      <c r="M44897" s="13"/>
    </row>
    <row r="44898">
      <c r="F44898" s="13"/>
      <c r="M44898" s="13"/>
    </row>
    <row r="44899">
      <c r="F44899" s="13"/>
      <c r="M44899" s="13"/>
    </row>
    <row r="44900">
      <c r="F44900" s="13"/>
      <c r="M44900" s="13"/>
    </row>
    <row r="44901">
      <c r="F44901" s="13"/>
      <c r="M44901" s="13"/>
    </row>
    <row r="44902">
      <c r="F44902" s="13"/>
      <c r="M44902" s="13"/>
    </row>
    <row r="44903">
      <c r="F44903" s="13"/>
      <c r="M44903" s="13"/>
    </row>
    <row r="44904">
      <c r="F44904" s="13"/>
      <c r="M44904" s="13"/>
    </row>
    <row r="44905">
      <c r="F44905" s="13"/>
      <c r="M44905" s="13"/>
    </row>
    <row r="44906">
      <c r="F44906" s="13"/>
      <c r="M44906" s="13"/>
    </row>
    <row r="44907">
      <c r="F44907" s="13"/>
      <c r="M44907" s="13"/>
    </row>
    <row r="44908">
      <c r="F44908" s="13"/>
      <c r="M44908" s="13"/>
    </row>
    <row r="44909">
      <c r="F44909" s="13"/>
      <c r="M44909" s="13"/>
    </row>
    <row r="44910">
      <c r="F44910" s="13"/>
      <c r="M44910" s="13"/>
    </row>
    <row r="44911">
      <c r="F44911" s="13"/>
      <c r="M44911" s="13"/>
    </row>
    <row r="44912">
      <c r="F44912" s="13"/>
      <c r="M44912" s="13"/>
    </row>
    <row r="44913">
      <c r="F44913" s="13"/>
      <c r="M44913" s="13"/>
    </row>
    <row r="44914">
      <c r="F44914" s="13"/>
      <c r="M44914" s="13"/>
    </row>
    <row r="44915">
      <c r="F44915" s="13"/>
      <c r="M44915" s="13"/>
    </row>
    <row r="44916">
      <c r="F44916" s="13"/>
      <c r="M44916" s="13"/>
    </row>
    <row r="44917">
      <c r="F44917" s="13"/>
      <c r="M44917" s="13"/>
    </row>
    <row r="44918">
      <c r="F44918" s="13"/>
      <c r="M44918" s="13"/>
    </row>
    <row r="44919">
      <c r="F44919" s="13"/>
      <c r="M44919" s="13"/>
    </row>
    <row r="44920">
      <c r="F44920" s="13"/>
      <c r="M44920" s="13"/>
    </row>
    <row r="44921">
      <c r="F44921" s="13"/>
      <c r="M44921" s="13"/>
    </row>
    <row r="44922">
      <c r="F44922" s="13"/>
      <c r="M44922" s="13"/>
    </row>
    <row r="44923">
      <c r="F44923" s="13"/>
      <c r="M44923" s="13"/>
    </row>
    <row r="44924">
      <c r="F44924" s="13"/>
      <c r="M44924" s="13"/>
    </row>
    <row r="44925">
      <c r="F44925" s="13"/>
      <c r="M44925" s="13"/>
    </row>
    <row r="44926">
      <c r="F44926" s="13"/>
      <c r="M44926" s="13"/>
    </row>
    <row r="44927">
      <c r="F44927" s="13"/>
      <c r="M44927" s="13"/>
    </row>
    <row r="44928">
      <c r="F44928" s="13"/>
      <c r="M44928" s="13"/>
    </row>
    <row r="44929">
      <c r="F44929" s="13"/>
      <c r="M44929" s="13"/>
    </row>
    <row r="44930">
      <c r="F44930" s="13"/>
      <c r="M44930" s="13"/>
    </row>
    <row r="44931">
      <c r="F44931" s="13"/>
      <c r="M44931" s="13"/>
    </row>
    <row r="44932">
      <c r="F44932" s="13"/>
      <c r="M44932" s="13"/>
    </row>
    <row r="44933">
      <c r="F44933" s="13"/>
      <c r="M44933" s="13"/>
    </row>
    <row r="44934">
      <c r="F44934" s="13"/>
      <c r="M44934" s="13"/>
    </row>
    <row r="44935">
      <c r="F44935" s="13"/>
      <c r="M44935" s="13"/>
    </row>
    <row r="44936">
      <c r="F44936" s="13"/>
      <c r="M44936" s="13"/>
    </row>
    <row r="44937">
      <c r="F44937" s="13"/>
      <c r="M44937" s="13"/>
    </row>
    <row r="44938">
      <c r="F44938" s="13"/>
      <c r="M44938" s="13"/>
    </row>
    <row r="44939">
      <c r="F44939" s="13"/>
      <c r="M44939" s="13"/>
    </row>
    <row r="44940">
      <c r="F44940" s="13"/>
      <c r="M44940" s="13"/>
    </row>
    <row r="44941">
      <c r="F44941" s="13"/>
      <c r="M44941" s="13"/>
    </row>
    <row r="44942">
      <c r="F44942" s="13"/>
      <c r="M44942" s="13"/>
    </row>
    <row r="44943">
      <c r="F44943" s="13"/>
      <c r="M44943" s="13"/>
    </row>
    <row r="44944">
      <c r="F44944" s="13"/>
      <c r="M44944" s="13"/>
    </row>
    <row r="44945">
      <c r="F44945" s="13"/>
      <c r="M44945" s="13"/>
    </row>
    <row r="44946">
      <c r="F44946" s="13"/>
      <c r="M44946" s="13"/>
    </row>
    <row r="44947">
      <c r="F44947" s="13"/>
      <c r="M44947" s="13"/>
    </row>
    <row r="44948">
      <c r="F44948" s="13"/>
      <c r="M44948" s="13"/>
    </row>
    <row r="44949">
      <c r="F44949" s="13"/>
      <c r="M44949" s="13"/>
    </row>
    <row r="44950">
      <c r="F44950" s="13"/>
      <c r="M44950" s="13"/>
    </row>
    <row r="44951">
      <c r="F44951" s="13"/>
      <c r="M44951" s="13"/>
    </row>
    <row r="44952">
      <c r="F44952" s="13"/>
      <c r="M44952" s="13"/>
    </row>
    <row r="44953">
      <c r="F44953" s="13"/>
      <c r="M44953" s="13"/>
    </row>
    <row r="44954">
      <c r="F44954" s="13"/>
      <c r="M44954" s="13"/>
    </row>
    <row r="44955">
      <c r="F44955" s="13"/>
      <c r="M44955" s="13"/>
    </row>
    <row r="44956">
      <c r="F44956" s="13"/>
      <c r="M44956" s="13"/>
    </row>
    <row r="44957">
      <c r="F44957" s="13"/>
      <c r="M44957" s="13"/>
    </row>
    <row r="44958">
      <c r="F44958" s="13"/>
      <c r="M44958" s="13"/>
    </row>
    <row r="44959">
      <c r="F44959" s="13"/>
      <c r="M44959" s="13"/>
    </row>
    <row r="44960">
      <c r="F44960" s="13"/>
      <c r="M44960" s="13"/>
    </row>
    <row r="44961">
      <c r="F44961" s="13"/>
      <c r="M44961" s="13"/>
    </row>
    <row r="44962">
      <c r="F44962" s="13"/>
      <c r="M44962" s="13"/>
    </row>
    <row r="44963">
      <c r="F44963" s="13"/>
      <c r="M44963" s="13"/>
    </row>
    <row r="44964">
      <c r="F44964" s="13"/>
      <c r="M44964" s="13"/>
    </row>
    <row r="44965">
      <c r="F44965" s="13"/>
      <c r="M44965" s="13"/>
    </row>
    <row r="44966">
      <c r="F44966" s="13"/>
      <c r="M44966" s="13"/>
    </row>
    <row r="44967">
      <c r="F44967" s="13"/>
      <c r="M44967" s="13"/>
    </row>
    <row r="44968">
      <c r="F44968" s="13"/>
      <c r="M44968" s="13"/>
    </row>
    <row r="44969">
      <c r="F44969" s="13"/>
      <c r="M44969" s="13"/>
    </row>
    <row r="44970">
      <c r="F44970" s="13"/>
      <c r="M44970" s="13"/>
    </row>
    <row r="44971">
      <c r="F44971" s="13"/>
      <c r="M44971" s="13"/>
    </row>
    <row r="44972">
      <c r="F44972" s="13"/>
      <c r="M44972" s="13"/>
    </row>
    <row r="44973">
      <c r="F44973" s="13"/>
      <c r="M44973" s="13"/>
    </row>
    <row r="44974">
      <c r="F44974" s="13"/>
      <c r="M44974" s="13"/>
    </row>
    <row r="44975">
      <c r="F44975" s="13"/>
      <c r="M44975" s="13"/>
    </row>
    <row r="44976">
      <c r="F44976" s="13"/>
      <c r="M44976" s="13"/>
    </row>
    <row r="44977">
      <c r="F44977" s="13"/>
      <c r="M44977" s="13"/>
    </row>
    <row r="44978">
      <c r="F44978" s="13"/>
      <c r="M44978" s="13"/>
    </row>
    <row r="44979">
      <c r="F44979" s="13"/>
      <c r="M44979" s="13"/>
    </row>
    <row r="44980">
      <c r="F44980" s="13"/>
      <c r="M44980" s="13"/>
    </row>
    <row r="44981">
      <c r="F44981" s="13"/>
      <c r="M44981" s="13"/>
    </row>
    <row r="44982">
      <c r="F44982" s="13"/>
      <c r="M44982" s="13"/>
    </row>
    <row r="44983">
      <c r="F44983" s="13"/>
      <c r="M44983" s="13"/>
    </row>
    <row r="44984">
      <c r="F44984" s="13"/>
      <c r="M44984" s="13"/>
    </row>
    <row r="44985">
      <c r="F44985" s="13"/>
      <c r="M44985" s="13"/>
    </row>
    <row r="44986">
      <c r="F44986" s="13"/>
      <c r="M44986" s="13"/>
    </row>
    <row r="44987">
      <c r="F44987" s="13"/>
      <c r="M44987" s="13"/>
    </row>
    <row r="44988">
      <c r="F44988" s="13"/>
      <c r="M44988" s="13"/>
    </row>
    <row r="44989">
      <c r="F44989" s="13"/>
      <c r="M44989" s="13"/>
    </row>
    <row r="44990">
      <c r="F44990" s="13"/>
      <c r="M44990" s="13"/>
    </row>
    <row r="44991">
      <c r="F44991" s="13"/>
      <c r="M44991" s="13"/>
    </row>
    <row r="44992">
      <c r="F44992" s="13"/>
      <c r="M44992" s="13"/>
    </row>
    <row r="44993">
      <c r="F44993" s="13"/>
      <c r="M44993" s="13"/>
    </row>
    <row r="44994">
      <c r="F44994" s="13"/>
      <c r="M44994" s="13"/>
    </row>
    <row r="44995">
      <c r="F44995" s="13"/>
      <c r="M44995" s="13"/>
    </row>
    <row r="44996">
      <c r="F44996" s="13"/>
      <c r="M44996" s="13"/>
    </row>
    <row r="44997">
      <c r="F44997" s="13"/>
      <c r="M44997" s="13"/>
    </row>
    <row r="44998">
      <c r="F44998" s="13"/>
      <c r="M44998" s="13"/>
    </row>
    <row r="44999">
      <c r="F44999" s="13"/>
      <c r="M44999" s="13"/>
    </row>
    <row r="45000">
      <c r="F45000" s="13"/>
      <c r="M45000" s="13"/>
    </row>
    <row r="45001">
      <c r="F45001" s="13"/>
      <c r="M45001" s="13"/>
    </row>
    <row r="45002">
      <c r="F45002" s="13"/>
      <c r="M45002" s="13"/>
    </row>
    <row r="45003">
      <c r="F45003" s="13"/>
      <c r="M45003" s="13"/>
    </row>
    <row r="45004">
      <c r="F45004" s="13"/>
      <c r="M45004" s="13"/>
    </row>
    <row r="45005">
      <c r="F45005" s="13"/>
      <c r="M45005" s="13"/>
    </row>
    <row r="45006">
      <c r="F45006" s="13"/>
      <c r="M45006" s="13"/>
    </row>
    <row r="45007">
      <c r="F45007" s="13"/>
      <c r="M45007" s="13"/>
    </row>
    <row r="45008">
      <c r="F45008" s="13"/>
      <c r="M45008" s="13"/>
    </row>
    <row r="45009">
      <c r="F45009" s="13"/>
      <c r="M45009" s="13"/>
    </row>
    <row r="45010">
      <c r="F45010" s="13"/>
      <c r="M45010" s="13"/>
    </row>
    <row r="45011">
      <c r="F45011" s="13"/>
      <c r="M45011" s="13"/>
    </row>
    <row r="45012">
      <c r="F45012" s="13"/>
      <c r="M45012" s="13"/>
    </row>
    <row r="45013">
      <c r="F45013" s="13"/>
      <c r="M45013" s="13"/>
    </row>
    <row r="45014">
      <c r="F45014" s="13"/>
      <c r="M45014" s="13"/>
    </row>
    <row r="45015">
      <c r="F45015" s="13"/>
      <c r="M45015" s="13"/>
    </row>
    <row r="45016">
      <c r="F45016" s="13"/>
      <c r="M45016" s="13"/>
    </row>
    <row r="45017">
      <c r="F45017" s="13"/>
      <c r="M45017" s="13"/>
    </row>
    <row r="45018">
      <c r="F45018" s="13"/>
      <c r="M45018" s="13"/>
    </row>
    <row r="45019">
      <c r="F45019" s="13"/>
      <c r="M45019" s="13"/>
    </row>
    <row r="45020">
      <c r="F45020" s="13"/>
      <c r="M45020" s="13"/>
    </row>
    <row r="45021">
      <c r="F45021" s="13"/>
      <c r="M45021" s="13"/>
    </row>
    <row r="45022">
      <c r="F45022" s="13"/>
      <c r="M45022" s="13"/>
    </row>
    <row r="45023">
      <c r="F45023" s="13"/>
      <c r="M45023" s="13"/>
    </row>
    <row r="45024">
      <c r="F45024" s="13"/>
      <c r="M45024" s="13"/>
    </row>
    <row r="45025">
      <c r="F45025" s="13"/>
      <c r="M45025" s="13"/>
    </row>
    <row r="45026">
      <c r="F45026" s="13"/>
      <c r="M45026" s="13"/>
    </row>
    <row r="45027">
      <c r="F45027" s="13"/>
      <c r="M45027" s="13"/>
    </row>
    <row r="45028">
      <c r="F45028" s="13"/>
      <c r="M45028" s="13"/>
    </row>
    <row r="45029">
      <c r="F45029" s="13"/>
      <c r="M45029" s="13"/>
    </row>
    <row r="45030">
      <c r="F45030" s="13"/>
      <c r="M45030" s="13"/>
    </row>
    <row r="45031">
      <c r="F45031" s="13"/>
      <c r="M45031" s="13"/>
    </row>
    <row r="45032">
      <c r="F45032" s="13"/>
      <c r="M45032" s="13"/>
    </row>
    <row r="45033">
      <c r="F45033" s="13"/>
      <c r="M45033" s="13"/>
    </row>
    <row r="45034">
      <c r="F45034" s="13"/>
      <c r="M45034" s="13"/>
    </row>
    <row r="45035">
      <c r="F45035" s="13"/>
      <c r="M45035" s="13"/>
    </row>
    <row r="45036">
      <c r="F45036" s="13"/>
      <c r="M45036" s="13"/>
    </row>
    <row r="45037">
      <c r="F45037" s="13"/>
      <c r="M45037" s="13"/>
    </row>
    <row r="45038">
      <c r="F45038" s="13"/>
      <c r="M45038" s="13"/>
    </row>
    <row r="45039">
      <c r="F45039" s="13"/>
      <c r="M45039" s="13"/>
    </row>
    <row r="45040">
      <c r="F45040" s="13"/>
      <c r="M45040" s="13"/>
    </row>
    <row r="45041">
      <c r="F45041" s="13"/>
      <c r="M45041" s="13"/>
    </row>
    <row r="45042">
      <c r="F45042" s="13"/>
      <c r="M45042" s="13"/>
    </row>
    <row r="45043">
      <c r="F45043" s="13"/>
      <c r="M45043" s="13"/>
    </row>
    <row r="45044">
      <c r="F45044" s="13"/>
      <c r="M45044" s="13"/>
    </row>
    <row r="45045">
      <c r="F45045" s="13"/>
      <c r="M45045" s="13"/>
    </row>
    <row r="45046">
      <c r="F45046" s="13"/>
      <c r="M45046" s="13"/>
    </row>
    <row r="45047">
      <c r="F45047" s="13"/>
      <c r="M45047" s="13"/>
    </row>
    <row r="45048">
      <c r="F45048" s="13"/>
      <c r="M45048" s="13"/>
    </row>
    <row r="45049">
      <c r="F45049" s="13"/>
      <c r="M45049" s="13"/>
    </row>
    <row r="45050">
      <c r="F45050" s="13"/>
      <c r="M45050" s="13"/>
    </row>
    <row r="45051">
      <c r="F45051" s="13"/>
      <c r="M45051" s="13"/>
    </row>
    <row r="45052">
      <c r="F45052" s="13"/>
      <c r="M45052" s="13"/>
    </row>
    <row r="45053">
      <c r="F45053" s="13"/>
      <c r="M45053" s="13"/>
    </row>
    <row r="45054">
      <c r="F45054" s="13"/>
      <c r="M45054" s="13"/>
    </row>
    <row r="45055">
      <c r="F45055" s="13"/>
      <c r="M45055" s="13"/>
    </row>
    <row r="45056">
      <c r="F45056" s="13"/>
      <c r="M45056" s="13"/>
    </row>
    <row r="45057">
      <c r="F45057" s="13"/>
      <c r="M45057" s="13"/>
    </row>
    <row r="45058">
      <c r="F45058" s="13"/>
      <c r="M45058" s="13"/>
    </row>
    <row r="45059">
      <c r="F45059" s="13"/>
      <c r="M45059" s="13"/>
    </row>
    <row r="45060">
      <c r="F45060" s="13"/>
      <c r="M45060" s="13"/>
    </row>
    <row r="45061">
      <c r="F45061" s="13"/>
      <c r="M45061" s="13"/>
    </row>
    <row r="45062">
      <c r="F45062" s="13"/>
      <c r="M45062" s="13"/>
    </row>
    <row r="45063">
      <c r="F45063" s="13"/>
      <c r="M45063" s="13"/>
    </row>
    <row r="45064">
      <c r="F45064" s="13"/>
      <c r="M45064" s="13"/>
    </row>
    <row r="45065">
      <c r="F45065" s="13"/>
      <c r="M45065" s="13"/>
    </row>
    <row r="45066">
      <c r="F45066" s="13"/>
      <c r="M45066" s="13"/>
    </row>
    <row r="45067">
      <c r="F45067" s="13"/>
      <c r="M45067" s="13"/>
    </row>
    <row r="45068">
      <c r="F45068" s="13"/>
      <c r="M45068" s="13"/>
    </row>
    <row r="45069">
      <c r="F45069" s="13"/>
      <c r="M45069" s="13"/>
    </row>
    <row r="45070">
      <c r="F45070" s="13"/>
      <c r="M45070" s="13"/>
    </row>
    <row r="45071">
      <c r="F45071" s="13"/>
      <c r="M45071" s="13"/>
    </row>
    <row r="45072">
      <c r="F45072" s="13"/>
      <c r="M45072" s="13"/>
    </row>
    <row r="45073">
      <c r="F45073" s="13"/>
      <c r="M45073" s="13"/>
    </row>
    <row r="45074">
      <c r="F45074" s="13"/>
      <c r="M45074" s="13"/>
    </row>
    <row r="45075">
      <c r="F45075" s="13"/>
      <c r="M45075" s="13"/>
    </row>
    <row r="45076">
      <c r="F45076" s="13"/>
      <c r="M45076" s="13"/>
    </row>
    <row r="45077">
      <c r="F45077" s="13"/>
      <c r="M45077" s="13"/>
    </row>
    <row r="45078">
      <c r="F45078" s="13"/>
      <c r="M45078" s="13"/>
    </row>
    <row r="45079">
      <c r="F45079" s="13"/>
      <c r="M45079" s="13"/>
    </row>
    <row r="45080">
      <c r="F45080" s="13"/>
      <c r="M45080" s="13"/>
    </row>
    <row r="45081">
      <c r="F45081" s="13"/>
      <c r="M45081" s="13"/>
    </row>
    <row r="45082">
      <c r="F45082" s="13"/>
      <c r="M45082" s="13"/>
    </row>
    <row r="45083">
      <c r="F45083" s="13"/>
      <c r="M45083" s="13"/>
    </row>
    <row r="45084">
      <c r="F45084" s="13"/>
      <c r="M45084" s="13"/>
    </row>
    <row r="45085">
      <c r="F45085" s="13"/>
      <c r="M45085" s="13"/>
    </row>
    <row r="45086">
      <c r="F45086" s="13"/>
      <c r="M45086" s="13"/>
    </row>
    <row r="45087">
      <c r="F45087" s="13"/>
      <c r="M45087" s="13"/>
    </row>
    <row r="45088">
      <c r="F45088" s="13"/>
      <c r="M45088" s="13"/>
    </row>
    <row r="45089">
      <c r="F45089" s="13"/>
      <c r="M45089" s="13"/>
    </row>
    <row r="45090">
      <c r="F45090" s="13"/>
      <c r="M45090" s="13"/>
    </row>
    <row r="45091">
      <c r="F45091" s="13"/>
      <c r="M45091" s="13"/>
    </row>
    <row r="45092">
      <c r="F45092" s="13"/>
      <c r="M45092" s="13"/>
    </row>
    <row r="45093">
      <c r="F45093" s="13"/>
      <c r="M45093" s="13"/>
    </row>
    <row r="45094">
      <c r="F45094" s="13"/>
      <c r="M45094" s="13"/>
    </row>
    <row r="45095">
      <c r="F45095" s="13"/>
      <c r="M45095" s="13"/>
    </row>
    <row r="45096">
      <c r="F45096" s="13"/>
      <c r="M45096" s="13"/>
    </row>
    <row r="45097">
      <c r="F45097" s="13"/>
      <c r="M45097" s="13"/>
    </row>
    <row r="45098">
      <c r="F45098" s="13"/>
      <c r="M45098" s="13"/>
    </row>
    <row r="45099">
      <c r="F45099" s="13"/>
      <c r="M45099" s="13"/>
    </row>
    <row r="45100">
      <c r="F45100" s="13"/>
      <c r="M45100" s="13"/>
    </row>
    <row r="45101">
      <c r="F45101" s="13"/>
      <c r="M45101" s="13"/>
    </row>
    <row r="45102">
      <c r="F45102" s="13"/>
      <c r="M45102" s="13"/>
    </row>
    <row r="45103">
      <c r="F45103" s="13"/>
      <c r="M45103" s="13"/>
    </row>
    <row r="45104">
      <c r="F45104" s="13"/>
      <c r="M45104" s="13"/>
    </row>
    <row r="45105">
      <c r="F45105" s="13"/>
      <c r="M45105" s="13"/>
    </row>
    <row r="45106">
      <c r="F45106" s="13"/>
      <c r="M45106" s="13"/>
    </row>
    <row r="45107">
      <c r="F45107" s="13"/>
      <c r="M45107" s="13"/>
    </row>
    <row r="45108">
      <c r="F45108" s="13"/>
      <c r="M45108" s="13"/>
    </row>
    <row r="45109">
      <c r="F45109" s="13"/>
      <c r="M45109" s="13"/>
    </row>
    <row r="45110">
      <c r="F45110" s="13"/>
      <c r="M45110" s="13"/>
    </row>
    <row r="45111">
      <c r="F45111" s="13"/>
      <c r="M45111" s="13"/>
    </row>
    <row r="45112">
      <c r="F45112" s="13"/>
      <c r="M45112" s="13"/>
    </row>
    <row r="45113">
      <c r="F45113" s="13"/>
      <c r="M45113" s="13"/>
    </row>
    <row r="45114">
      <c r="F45114" s="13"/>
      <c r="M45114" s="13"/>
    </row>
    <row r="45115">
      <c r="F45115" s="13"/>
      <c r="M45115" s="13"/>
    </row>
    <row r="45116">
      <c r="F45116" s="13"/>
      <c r="M45116" s="13"/>
    </row>
    <row r="45117">
      <c r="F45117" s="13"/>
      <c r="M45117" s="13"/>
    </row>
    <row r="45118">
      <c r="F45118" s="13"/>
      <c r="M45118" s="13"/>
    </row>
    <row r="45119">
      <c r="F45119" s="13"/>
      <c r="M45119" s="13"/>
    </row>
    <row r="45120">
      <c r="F45120" s="13"/>
      <c r="M45120" s="13"/>
    </row>
    <row r="45121">
      <c r="F45121" s="13"/>
      <c r="M45121" s="13"/>
    </row>
    <row r="45122">
      <c r="F45122" s="13"/>
      <c r="M45122" s="13"/>
    </row>
    <row r="45123">
      <c r="F45123" s="13"/>
      <c r="M45123" s="13"/>
    </row>
    <row r="45124">
      <c r="F45124" s="13"/>
      <c r="M45124" s="13"/>
    </row>
    <row r="45125">
      <c r="F45125" s="13"/>
      <c r="M45125" s="13"/>
    </row>
    <row r="45126">
      <c r="F45126" s="13"/>
      <c r="M45126" s="13"/>
    </row>
    <row r="45127">
      <c r="F45127" s="13"/>
      <c r="M45127" s="13"/>
    </row>
    <row r="45128">
      <c r="F45128" s="13"/>
      <c r="M45128" s="13"/>
    </row>
    <row r="45129">
      <c r="F45129" s="13"/>
      <c r="M45129" s="13"/>
    </row>
    <row r="45130">
      <c r="F45130" s="13"/>
      <c r="M45130" s="13"/>
    </row>
    <row r="45131">
      <c r="F45131" s="13"/>
      <c r="M45131" s="13"/>
    </row>
    <row r="45132">
      <c r="F45132" s="13"/>
      <c r="M45132" s="13"/>
    </row>
    <row r="45133">
      <c r="F45133" s="13"/>
      <c r="M45133" s="13"/>
    </row>
    <row r="45134">
      <c r="F45134" s="13"/>
      <c r="M45134" s="13"/>
    </row>
    <row r="45135">
      <c r="F45135" s="13"/>
      <c r="M45135" s="13"/>
    </row>
    <row r="45136">
      <c r="F45136" s="13"/>
      <c r="M45136" s="13"/>
    </row>
    <row r="45137">
      <c r="F45137" s="13"/>
      <c r="M45137" s="13"/>
    </row>
    <row r="45138">
      <c r="F45138" s="13"/>
      <c r="M45138" s="13"/>
    </row>
    <row r="45139">
      <c r="F45139" s="13"/>
      <c r="M45139" s="13"/>
    </row>
    <row r="45140">
      <c r="F45140" s="13"/>
      <c r="M45140" s="13"/>
    </row>
    <row r="45141">
      <c r="F45141" s="13"/>
      <c r="M45141" s="13"/>
    </row>
    <row r="45142">
      <c r="F45142" s="13"/>
      <c r="M45142" s="13"/>
    </row>
    <row r="45143">
      <c r="F45143" s="13"/>
      <c r="M45143" s="13"/>
    </row>
    <row r="45144">
      <c r="F45144" s="13"/>
      <c r="M45144" s="13"/>
    </row>
    <row r="45145">
      <c r="F45145" s="13"/>
      <c r="M45145" s="13"/>
    </row>
    <row r="45146">
      <c r="F45146" s="13"/>
      <c r="M45146" s="13"/>
    </row>
    <row r="45147">
      <c r="F45147" s="13"/>
      <c r="M45147" s="13"/>
    </row>
    <row r="45148">
      <c r="F45148" s="13"/>
      <c r="M45148" s="13"/>
    </row>
    <row r="45149">
      <c r="F45149" s="13"/>
      <c r="M45149" s="13"/>
    </row>
    <row r="45150">
      <c r="F45150" s="13"/>
      <c r="M45150" s="13"/>
    </row>
    <row r="45151">
      <c r="F45151" s="13"/>
      <c r="M45151" s="13"/>
    </row>
    <row r="45152">
      <c r="F45152" s="13"/>
      <c r="M45152" s="13"/>
    </row>
    <row r="45153">
      <c r="F45153" s="13"/>
      <c r="M45153" s="13"/>
    </row>
    <row r="45154">
      <c r="F45154" s="13"/>
      <c r="M45154" s="13"/>
    </row>
    <row r="45155">
      <c r="F45155" s="13"/>
      <c r="M45155" s="13"/>
    </row>
    <row r="45156">
      <c r="F45156" s="13"/>
      <c r="M45156" s="13"/>
    </row>
    <row r="45157">
      <c r="F45157" s="13"/>
      <c r="M45157" s="13"/>
    </row>
    <row r="45158">
      <c r="F45158" s="13"/>
      <c r="M45158" s="13"/>
    </row>
    <row r="45159">
      <c r="F45159" s="13"/>
      <c r="M45159" s="13"/>
    </row>
    <row r="45160">
      <c r="F45160" s="13"/>
      <c r="M45160" s="13"/>
    </row>
    <row r="45161">
      <c r="F45161" s="13"/>
      <c r="M45161" s="13"/>
    </row>
    <row r="45162">
      <c r="F45162" s="13"/>
      <c r="M45162" s="13"/>
    </row>
    <row r="45163">
      <c r="F45163" s="13"/>
      <c r="M45163" s="13"/>
    </row>
    <row r="45164">
      <c r="F45164" s="13"/>
      <c r="M45164" s="13"/>
    </row>
    <row r="45165">
      <c r="F45165" s="13"/>
      <c r="M45165" s="13"/>
    </row>
    <row r="45166">
      <c r="F45166" s="13"/>
      <c r="M45166" s="13"/>
    </row>
    <row r="45167">
      <c r="F45167" s="13"/>
      <c r="M45167" s="13"/>
    </row>
    <row r="45168">
      <c r="F45168" s="13"/>
      <c r="M45168" s="13"/>
    </row>
    <row r="45169">
      <c r="F45169" s="13"/>
      <c r="M45169" s="13"/>
    </row>
    <row r="45170">
      <c r="F45170" s="13"/>
      <c r="M45170" s="13"/>
    </row>
    <row r="45171">
      <c r="F45171" s="13"/>
      <c r="M45171" s="13"/>
    </row>
    <row r="45172">
      <c r="F45172" s="13"/>
      <c r="M45172" s="13"/>
    </row>
    <row r="45173">
      <c r="F45173" s="13"/>
      <c r="M45173" s="13"/>
    </row>
    <row r="45174">
      <c r="F45174" s="13"/>
      <c r="M45174" s="13"/>
    </row>
    <row r="45175">
      <c r="F45175" s="13"/>
      <c r="M45175" s="13"/>
    </row>
    <row r="45176">
      <c r="F45176" s="13"/>
      <c r="M45176" s="13"/>
    </row>
    <row r="45177">
      <c r="F45177" s="13"/>
      <c r="M45177" s="13"/>
    </row>
    <row r="45178">
      <c r="F45178" s="13"/>
      <c r="M45178" s="13"/>
    </row>
    <row r="45179">
      <c r="F45179" s="13"/>
      <c r="M45179" s="13"/>
    </row>
    <row r="45180">
      <c r="F45180" s="13"/>
      <c r="M45180" s="13"/>
    </row>
    <row r="45181">
      <c r="F45181" s="13"/>
      <c r="M45181" s="13"/>
    </row>
    <row r="45182">
      <c r="F45182" s="13"/>
      <c r="M45182" s="13"/>
    </row>
    <row r="45183">
      <c r="F45183" s="13"/>
      <c r="M45183" s="13"/>
    </row>
    <row r="45184">
      <c r="F45184" s="13"/>
      <c r="M45184" s="13"/>
    </row>
    <row r="45185">
      <c r="F45185" s="13"/>
      <c r="M45185" s="13"/>
    </row>
    <row r="45186">
      <c r="F45186" s="13"/>
      <c r="M45186" s="13"/>
    </row>
    <row r="45187">
      <c r="F45187" s="13"/>
      <c r="M45187" s="13"/>
    </row>
    <row r="45188">
      <c r="F45188" s="13"/>
      <c r="M45188" s="13"/>
    </row>
    <row r="45189">
      <c r="F45189" s="13"/>
      <c r="M45189" s="13"/>
    </row>
    <row r="45190">
      <c r="F45190" s="13"/>
      <c r="M45190" s="13"/>
    </row>
    <row r="45191">
      <c r="F45191" s="13"/>
      <c r="M45191" s="13"/>
    </row>
    <row r="45192">
      <c r="F45192" s="13"/>
      <c r="M45192" s="13"/>
    </row>
    <row r="45193">
      <c r="F45193" s="13"/>
      <c r="M45193" s="13"/>
    </row>
    <row r="45194">
      <c r="F45194" s="13"/>
      <c r="M45194" s="13"/>
    </row>
    <row r="45195">
      <c r="F45195" s="13"/>
      <c r="M45195" s="13"/>
    </row>
    <row r="45196">
      <c r="F45196" s="13"/>
      <c r="M45196" s="13"/>
    </row>
    <row r="45197">
      <c r="F45197" s="13"/>
      <c r="M45197" s="13"/>
    </row>
    <row r="45198">
      <c r="F45198" s="13"/>
      <c r="M45198" s="13"/>
    </row>
    <row r="45199">
      <c r="F45199" s="13"/>
      <c r="M45199" s="13"/>
    </row>
    <row r="45200">
      <c r="F45200" s="13"/>
      <c r="M45200" s="13"/>
    </row>
    <row r="45201">
      <c r="F45201" s="13"/>
      <c r="M45201" s="13"/>
    </row>
    <row r="45202">
      <c r="F45202" s="13"/>
      <c r="M45202" s="13"/>
    </row>
    <row r="45203">
      <c r="F45203" s="13"/>
      <c r="M45203" s="13"/>
    </row>
    <row r="45204">
      <c r="F45204" s="13"/>
      <c r="M45204" s="13"/>
    </row>
    <row r="45205">
      <c r="F45205" s="13"/>
      <c r="M45205" s="13"/>
    </row>
    <row r="45206">
      <c r="F45206" s="13"/>
      <c r="M45206" s="13"/>
    </row>
    <row r="45207">
      <c r="F45207" s="13"/>
      <c r="M45207" s="13"/>
    </row>
    <row r="45208">
      <c r="F45208" s="13"/>
      <c r="M45208" s="13"/>
    </row>
    <row r="45209">
      <c r="F45209" s="13"/>
      <c r="M45209" s="13"/>
    </row>
    <row r="45210">
      <c r="F45210" s="13"/>
      <c r="M45210" s="13"/>
    </row>
    <row r="45211">
      <c r="F45211" s="13"/>
      <c r="M45211" s="13"/>
    </row>
    <row r="45212">
      <c r="F45212" s="13"/>
      <c r="M45212" s="13"/>
    </row>
    <row r="45213">
      <c r="F45213" s="13"/>
      <c r="M45213" s="13"/>
    </row>
    <row r="45214">
      <c r="F45214" s="13"/>
      <c r="M45214" s="13"/>
    </row>
    <row r="45215">
      <c r="F45215" s="13"/>
      <c r="M45215" s="13"/>
    </row>
    <row r="45216">
      <c r="F45216" s="13"/>
      <c r="M45216" s="13"/>
    </row>
    <row r="45217">
      <c r="F45217" s="13"/>
      <c r="M45217" s="13"/>
    </row>
    <row r="45218">
      <c r="F45218" s="13"/>
      <c r="M45218" s="13"/>
    </row>
    <row r="45219">
      <c r="F45219" s="13"/>
      <c r="M45219" s="13"/>
    </row>
    <row r="45220">
      <c r="F45220" s="13"/>
      <c r="M45220" s="13"/>
    </row>
    <row r="45221">
      <c r="F45221" s="13"/>
      <c r="M45221" s="13"/>
    </row>
    <row r="45222">
      <c r="F45222" s="13"/>
      <c r="M45222" s="13"/>
    </row>
    <row r="45223">
      <c r="F45223" s="13"/>
      <c r="M45223" s="13"/>
    </row>
    <row r="45224">
      <c r="F45224" s="13"/>
      <c r="M45224" s="13"/>
    </row>
    <row r="45225">
      <c r="F45225" s="13"/>
      <c r="M45225" s="13"/>
    </row>
    <row r="45226">
      <c r="F45226" s="13"/>
      <c r="M45226" s="13"/>
    </row>
    <row r="45227">
      <c r="F45227" s="13"/>
      <c r="M45227" s="13"/>
    </row>
    <row r="45228">
      <c r="F45228" s="13"/>
      <c r="M45228" s="13"/>
    </row>
    <row r="45229">
      <c r="F45229" s="13"/>
      <c r="M45229" s="13"/>
    </row>
    <row r="45230">
      <c r="F45230" s="13"/>
      <c r="M45230" s="13"/>
    </row>
    <row r="45231">
      <c r="F45231" s="13"/>
      <c r="M45231" s="13"/>
    </row>
    <row r="45232">
      <c r="F45232" s="13"/>
      <c r="M45232" s="13"/>
    </row>
    <row r="45233">
      <c r="F45233" s="13"/>
      <c r="M45233" s="13"/>
    </row>
    <row r="45234">
      <c r="F45234" s="13"/>
      <c r="M45234" s="13"/>
    </row>
    <row r="45235">
      <c r="F45235" s="13"/>
      <c r="M45235" s="13"/>
    </row>
    <row r="45236">
      <c r="F45236" s="13"/>
      <c r="M45236" s="13"/>
    </row>
    <row r="45237">
      <c r="F45237" s="13"/>
      <c r="M45237" s="13"/>
    </row>
    <row r="45238">
      <c r="F45238" s="13"/>
      <c r="M45238" s="13"/>
    </row>
    <row r="45239">
      <c r="F45239" s="13"/>
      <c r="M45239" s="13"/>
    </row>
    <row r="45240">
      <c r="F45240" s="13"/>
      <c r="M45240" s="13"/>
    </row>
    <row r="45241">
      <c r="F45241" s="13"/>
      <c r="M45241" s="13"/>
    </row>
    <row r="45242">
      <c r="F45242" s="13"/>
      <c r="M45242" s="13"/>
    </row>
    <row r="45243">
      <c r="F45243" s="13"/>
      <c r="M45243" s="13"/>
    </row>
    <row r="45244">
      <c r="F45244" s="13"/>
      <c r="M45244" s="13"/>
    </row>
    <row r="45245">
      <c r="F45245" s="13"/>
      <c r="M45245" s="13"/>
    </row>
    <row r="45246">
      <c r="F45246" s="13"/>
      <c r="M45246" s="13"/>
    </row>
    <row r="45247">
      <c r="F45247" s="13"/>
      <c r="M45247" s="13"/>
    </row>
    <row r="45248">
      <c r="F45248" s="13"/>
      <c r="M45248" s="13"/>
    </row>
    <row r="45249">
      <c r="F45249" s="13"/>
      <c r="M45249" s="13"/>
    </row>
    <row r="45250">
      <c r="F45250" s="13"/>
      <c r="M45250" s="13"/>
    </row>
    <row r="45251">
      <c r="F45251" s="13"/>
      <c r="M45251" s="13"/>
    </row>
    <row r="45252">
      <c r="F45252" s="13"/>
      <c r="M45252" s="13"/>
    </row>
    <row r="45253">
      <c r="F45253" s="13"/>
      <c r="M45253" s="13"/>
    </row>
    <row r="45254">
      <c r="F45254" s="13"/>
      <c r="M45254" s="13"/>
    </row>
    <row r="45255">
      <c r="F45255" s="13"/>
      <c r="M45255" s="13"/>
    </row>
    <row r="45256">
      <c r="F45256" s="13"/>
      <c r="M45256" s="13"/>
    </row>
    <row r="45257">
      <c r="F45257" s="13"/>
      <c r="M45257" s="13"/>
    </row>
    <row r="45258">
      <c r="F45258" s="13"/>
      <c r="M45258" s="13"/>
    </row>
    <row r="45259">
      <c r="F45259" s="13"/>
      <c r="M45259" s="13"/>
    </row>
    <row r="45260">
      <c r="F45260" s="13"/>
      <c r="M45260" s="13"/>
    </row>
    <row r="45261">
      <c r="F45261" s="13"/>
      <c r="M45261" s="13"/>
    </row>
    <row r="45262">
      <c r="F45262" s="13"/>
      <c r="M45262" s="13"/>
    </row>
    <row r="45263">
      <c r="F45263" s="13"/>
      <c r="M45263" s="13"/>
    </row>
    <row r="45264">
      <c r="F45264" s="13"/>
      <c r="M45264" s="13"/>
    </row>
    <row r="45265">
      <c r="F45265" s="13"/>
      <c r="M45265" s="13"/>
    </row>
    <row r="45266">
      <c r="F45266" s="13"/>
      <c r="M45266" s="13"/>
    </row>
    <row r="45267">
      <c r="F45267" s="13"/>
      <c r="M45267" s="13"/>
    </row>
    <row r="45268">
      <c r="F45268" s="13"/>
      <c r="M45268" s="13"/>
    </row>
    <row r="45269">
      <c r="F45269" s="13"/>
      <c r="M45269" s="13"/>
    </row>
    <row r="45270">
      <c r="F45270" s="13"/>
      <c r="M45270" s="13"/>
    </row>
    <row r="45271">
      <c r="F45271" s="13"/>
      <c r="M45271" s="13"/>
    </row>
    <row r="45272">
      <c r="F45272" s="13"/>
      <c r="M45272" s="13"/>
    </row>
    <row r="45273">
      <c r="F45273" s="13"/>
      <c r="M45273" s="13"/>
    </row>
    <row r="45274">
      <c r="F45274" s="13"/>
      <c r="M45274" s="13"/>
    </row>
    <row r="45275">
      <c r="F45275" s="13"/>
      <c r="M45275" s="13"/>
    </row>
    <row r="45276">
      <c r="F45276" s="13"/>
      <c r="M45276" s="13"/>
    </row>
    <row r="45277">
      <c r="F45277" s="13"/>
      <c r="M45277" s="13"/>
    </row>
    <row r="45278">
      <c r="F45278" s="13"/>
      <c r="M45278" s="13"/>
    </row>
    <row r="45279">
      <c r="F45279" s="13"/>
      <c r="M45279" s="13"/>
    </row>
    <row r="45280">
      <c r="F45280" s="13"/>
      <c r="M45280" s="13"/>
    </row>
    <row r="45281">
      <c r="F45281" s="13"/>
      <c r="M45281" s="13"/>
    </row>
    <row r="45282">
      <c r="F45282" s="13"/>
      <c r="M45282" s="13"/>
    </row>
    <row r="45283">
      <c r="F45283" s="13"/>
      <c r="M45283" s="13"/>
    </row>
    <row r="45284">
      <c r="F45284" s="13"/>
      <c r="M45284" s="13"/>
    </row>
    <row r="45285">
      <c r="F45285" s="13"/>
      <c r="M45285" s="13"/>
    </row>
    <row r="45286">
      <c r="F45286" s="13"/>
      <c r="M45286" s="13"/>
    </row>
    <row r="45287">
      <c r="F45287" s="13"/>
      <c r="M45287" s="13"/>
    </row>
    <row r="45288">
      <c r="F45288" s="13"/>
      <c r="M45288" s="13"/>
    </row>
    <row r="45289">
      <c r="F45289" s="13"/>
      <c r="M45289" s="13"/>
    </row>
    <row r="45290">
      <c r="F45290" s="13"/>
      <c r="M45290" s="13"/>
    </row>
    <row r="45291">
      <c r="F45291" s="13"/>
      <c r="M45291" s="13"/>
    </row>
    <row r="45292">
      <c r="F45292" s="13"/>
      <c r="M45292" s="13"/>
    </row>
    <row r="45293">
      <c r="F45293" s="13"/>
      <c r="M45293" s="13"/>
    </row>
    <row r="45294">
      <c r="F45294" s="13"/>
      <c r="M45294" s="13"/>
    </row>
    <row r="45295">
      <c r="F45295" s="13"/>
      <c r="M45295" s="13"/>
    </row>
    <row r="45296">
      <c r="F45296" s="13"/>
      <c r="M45296" s="13"/>
    </row>
    <row r="45297">
      <c r="F45297" s="13"/>
      <c r="M45297" s="13"/>
    </row>
    <row r="45298">
      <c r="F45298" s="13"/>
      <c r="M45298" s="13"/>
    </row>
    <row r="45299">
      <c r="F45299" s="13"/>
      <c r="M45299" s="13"/>
    </row>
    <row r="45300">
      <c r="F45300" s="13"/>
      <c r="M45300" s="13"/>
    </row>
    <row r="45301">
      <c r="F45301" s="13"/>
      <c r="M45301" s="13"/>
    </row>
    <row r="45302">
      <c r="F45302" s="13"/>
      <c r="M45302" s="13"/>
    </row>
    <row r="45303">
      <c r="F45303" s="13"/>
      <c r="M45303" s="13"/>
    </row>
    <row r="45304">
      <c r="F45304" s="13"/>
      <c r="M45304" s="13"/>
    </row>
    <row r="45305">
      <c r="F45305" s="13"/>
      <c r="M45305" s="13"/>
    </row>
    <row r="45306">
      <c r="F45306" s="13"/>
      <c r="M45306" s="13"/>
    </row>
    <row r="45307">
      <c r="F45307" s="13"/>
      <c r="M45307" s="13"/>
    </row>
    <row r="45308">
      <c r="F45308" s="13"/>
      <c r="M45308" s="13"/>
    </row>
    <row r="45309">
      <c r="F45309" s="13"/>
      <c r="M45309" s="13"/>
    </row>
    <row r="45310">
      <c r="F45310" s="13"/>
      <c r="M45310" s="13"/>
    </row>
    <row r="45311">
      <c r="F45311" s="13"/>
      <c r="M45311" s="13"/>
    </row>
    <row r="45312">
      <c r="F45312" s="13"/>
      <c r="M45312" s="13"/>
    </row>
    <row r="45313">
      <c r="F45313" s="13"/>
      <c r="M45313" s="13"/>
    </row>
    <row r="45314">
      <c r="F45314" s="13"/>
      <c r="M45314" s="13"/>
    </row>
    <row r="45315">
      <c r="F45315" s="13"/>
      <c r="M45315" s="13"/>
    </row>
    <row r="45316">
      <c r="F45316" s="13"/>
      <c r="M45316" s="13"/>
    </row>
    <row r="45317">
      <c r="F45317" s="13"/>
      <c r="M45317" s="13"/>
    </row>
    <row r="45318">
      <c r="F45318" s="13"/>
      <c r="M45318" s="13"/>
    </row>
    <row r="45319">
      <c r="F45319" s="13"/>
      <c r="M45319" s="13"/>
    </row>
    <row r="45320">
      <c r="F45320" s="13"/>
      <c r="M45320" s="13"/>
    </row>
    <row r="45321">
      <c r="F45321" s="13"/>
      <c r="M45321" s="13"/>
    </row>
    <row r="45322">
      <c r="F45322" s="13"/>
      <c r="M45322" s="13"/>
    </row>
    <row r="45323">
      <c r="F45323" s="13"/>
      <c r="M45323" s="13"/>
    </row>
    <row r="45324">
      <c r="F45324" s="13"/>
      <c r="M45324" s="13"/>
    </row>
    <row r="45325">
      <c r="F45325" s="13"/>
      <c r="M45325" s="13"/>
    </row>
    <row r="45326">
      <c r="F45326" s="13"/>
      <c r="M45326" s="13"/>
    </row>
    <row r="45327">
      <c r="F45327" s="13"/>
      <c r="M45327" s="13"/>
    </row>
    <row r="45328">
      <c r="F45328" s="13"/>
      <c r="M45328" s="13"/>
    </row>
    <row r="45329">
      <c r="F45329" s="13"/>
      <c r="M45329" s="13"/>
    </row>
    <row r="45330">
      <c r="F45330" s="13"/>
      <c r="M45330" s="13"/>
    </row>
    <row r="45331">
      <c r="F45331" s="13"/>
      <c r="M45331" s="13"/>
    </row>
    <row r="45332">
      <c r="F45332" s="13"/>
      <c r="M45332" s="13"/>
    </row>
    <row r="45333">
      <c r="F45333" s="13"/>
      <c r="M45333" s="13"/>
    </row>
    <row r="45334">
      <c r="F45334" s="13"/>
      <c r="M45334" s="13"/>
    </row>
    <row r="45335">
      <c r="F45335" s="13"/>
      <c r="M45335" s="13"/>
    </row>
    <row r="45336">
      <c r="F45336" s="13"/>
      <c r="M45336" s="13"/>
    </row>
    <row r="45337">
      <c r="F45337" s="13"/>
      <c r="M45337" s="13"/>
    </row>
    <row r="45338">
      <c r="F45338" s="13"/>
      <c r="M45338" s="13"/>
    </row>
    <row r="45339">
      <c r="F45339" s="13"/>
      <c r="M45339" s="13"/>
    </row>
    <row r="45340">
      <c r="F45340" s="13"/>
      <c r="M45340" s="13"/>
    </row>
    <row r="45341">
      <c r="F45341" s="13"/>
      <c r="M45341" s="13"/>
    </row>
    <row r="45342">
      <c r="F45342" s="13"/>
      <c r="M45342" s="13"/>
    </row>
    <row r="45343">
      <c r="F45343" s="13"/>
      <c r="M45343" s="13"/>
    </row>
    <row r="45344">
      <c r="F45344" s="13"/>
      <c r="M45344" s="13"/>
    </row>
    <row r="45345">
      <c r="F45345" s="13"/>
      <c r="M45345" s="13"/>
    </row>
    <row r="45346">
      <c r="F45346" s="13"/>
      <c r="M45346" s="13"/>
    </row>
    <row r="45347">
      <c r="F45347" s="13"/>
      <c r="M45347" s="13"/>
    </row>
    <row r="45348">
      <c r="F45348" s="13"/>
      <c r="M45348" s="13"/>
    </row>
    <row r="45349">
      <c r="F45349" s="13"/>
      <c r="M45349" s="13"/>
    </row>
    <row r="45350">
      <c r="F45350" s="13"/>
      <c r="M45350" s="13"/>
    </row>
    <row r="45351">
      <c r="F45351" s="13"/>
      <c r="M45351" s="13"/>
    </row>
    <row r="45352">
      <c r="F45352" s="13"/>
      <c r="M45352" s="13"/>
    </row>
    <row r="45353">
      <c r="F45353" s="13"/>
      <c r="M45353" s="13"/>
    </row>
    <row r="45354">
      <c r="F45354" s="13"/>
      <c r="M45354" s="13"/>
    </row>
    <row r="45355">
      <c r="F45355" s="13"/>
      <c r="M45355" s="13"/>
    </row>
    <row r="45356">
      <c r="F45356" s="13"/>
      <c r="M45356" s="13"/>
    </row>
    <row r="45357">
      <c r="F45357" s="13"/>
      <c r="M45357" s="13"/>
    </row>
    <row r="45358">
      <c r="F45358" s="13"/>
      <c r="M45358" s="13"/>
    </row>
    <row r="45359">
      <c r="F45359" s="13"/>
      <c r="M45359" s="13"/>
    </row>
    <row r="45360">
      <c r="F45360" s="13"/>
      <c r="M45360" s="13"/>
    </row>
    <row r="45361">
      <c r="F45361" s="13"/>
      <c r="M45361" s="13"/>
    </row>
    <row r="45362">
      <c r="F45362" s="13"/>
      <c r="M45362" s="13"/>
    </row>
    <row r="45363">
      <c r="F45363" s="13"/>
      <c r="M45363" s="13"/>
    </row>
    <row r="45364">
      <c r="F45364" s="13"/>
      <c r="M45364" s="13"/>
    </row>
    <row r="45365">
      <c r="F45365" s="13"/>
      <c r="M45365" s="13"/>
    </row>
    <row r="45366">
      <c r="F45366" s="13"/>
      <c r="M45366" s="13"/>
    </row>
    <row r="45367">
      <c r="F45367" s="13"/>
      <c r="M45367" s="13"/>
    </row>
    <row r="45368">
      <c r="F45368" s="13"/>
      <c r="M45368" s="13"/>
    </row>
    <row r="45369">
      <c r="F45369" s="13"/>
      <c r="M45369" s="13"/>
    </row>
    <row r="45370">
      <c r="F45370" s="13"/>
      <c r="M45370" s="13"/>
    </row>
    <row r="45371">
      <c r="F45371" s="13"/>
      <c r="M45371" s="13"/>
    </row>
    <row r="45372">
      <c r="F45372" s="13"/>
      <c r="M45372" s="13"/>
    </row>
    <row r="45373">
      <c r="F45373" s="13"/>
      <c r="M45373" s="13"/>
    </row>
    <row r="45374">
      <c r="F45374" s="13"/>
      <c r="M45374" s="13"/>
    </row>
    <row r="45375">
      <c r="F45375" s="13"/>
      <c r="M45375" s="13"/>
    </row>
    <row r="45376">
      <c r="F45376" s="13"/>
      <c r="M45376" s="13"/>
    </row>
    <row r="45377">
      <c r="F45377" s="13"/>
      <c r="M45377" s="13"/>
    </row>
    <row r="45378">
      <c r="F45378" s="13"/>
      <c r="M45378" s="13"/>
    </row>
    <row r="45379">
      <c r="F45379" s="13"/>
      <c r="M45379" s="13"/>
    </row>
    <row r="45380">
      <c r="F45380" s="13"/>
      <c r="M45380" s="13"/>
    </row>
    <row r="45381">
      <c r="F45381" s="13"/>
      <c r="M45381" s="13"/>
    </row>
    <row r="45382">
      <c r="F45382" s="13"/>
      <c r="M45382" s="13"/>
    </row>
    <row r="45383">
      <c r="F45383" s="13"/>
      <c r="M45383" s="13"/>
    </row>
    <row r="45384">
      <c r="F45384" s="13"/>
      <c r="M45384" s="13"/>
    </row>
    <row r="45385">
      <c r="F45385" s="13"/>
      <c r="M45385" s="13"/>
    </row>
    <row r="45386">
      <c r="F45386" s="13"/>
      <c r="M45386" s="13"/>
    </row>
    <row r="45387">
      <c r="F45387" s="13"/>
      <c r="M45387" s="13"/>
    </row>
    <row r="45388">
      <c r="F45388" s="13"/>
      <c r="M45388" s="13"/>
    </row>
    <row r="45389">
      <c r="F45389" s="13"/>
      <c r="M45389" s="13"/>
    </row>
    <row r="45390">
      <c r="F45390" s="13"/>
      <c r="M45390" s="13"/>
    </row>
    <row r="45391">
      <c r="F45391" s="13"/>
      <c r="M45391" s="13"/>
    </row>
    <row r="45392">
      <c r="F45392" s="13"/>
      <c r="M45392" s="13"/>
    </row>
    <row r="45393">
      <c r="F45393" s="13"/>
      <c r="M45393" s="13"/>
    </row>
    <row r="45394">
      <c r="F45394" s="13"/>
      <c r="M45394" s="13"/>
    </row>
    <row r="45395">
      <c r="F45395" s="13"/>
      <c r="M45395" s="13"/>
    </row>
    <row r="45396">
      <c r="F45396" s="13"/>
      <c r="M45396" s="13"/>
    </row>
    <row r="45397">
      <c r="F45397" s="13"/>
      <c r="M45397" s="13"/>
    </row>
    <row r="45398">
      <c r="F45398" s="13"/>
      <c r="M45398" s="13"/>
    </row>
    <row r="45399">
      <c r="F45399" s="13"/>
      <c r="M45399" s="13"/>
    </row>
    <row r="45400">
      <c r="F45400" s="13"/>
      <c r="M45400" s="13"/>
    </row>
    <row r="45401">
      <c r="F45401" s="13"/>
      <c r="M45401" s="13"/>
    </row>
    <row r="45402">
      <c r="F45402" s="13"/>
      <c r="M45402" s="13"/>
    </row>
    <row r="45403">
      <c r="F45403" s="13"/>
      <c r="M45403" s="13"/>
    </row>
    <row r="45404">
      <c r="F45404" s="13"/>
      <c r="M45404" s="13"/>
    </row>
    <row r="45405">
      <c r="F45405" s="13"/>
      <c r="M45405" s="13"/>
    </row>
    <row r="45406">
      <c r="F45406" s="13"/>
      <c r="M45406" s="13"/>
    </row>
    <row r="45407">
      <c r="F45407" s="13"/>
      <c r="M45407" s="13"/>
    </row>
    <row r="45408">
      <c r="F45408" s="13"/>
      <c r="M45408" s="13"/>
    </row>
    <row r="45409">
      <c r="F45409" s="13"/>
      <c r="M45409" s="13"/>
    </row>
    <row r="45410">
      <c r="F45410" s="13"/>
      <c r="M45410" s="13"/>
    </row>
    <row r="45411">
      <c r="F45411" s="13"/>
      <c r="M45411" s="13"/>
    </row>
    <row r="45412">
      <c r="F45412" s="13"/>
      <c r="M45412" s="13"/>
    </row>
    <row r="45413">
      <c r="F45413" s="13"/>
      <c r="M45413" s="13"/>
    </row>
    <row r="45414">
      <c r="F45414" s="13"/>
      <c r="M45414" s="13"/>
    </row>
    <row r="45415">
      <c r="F45415" s="13"/>
      <c r="M45415" s="13"/>
    </row>
    <row r="45416">
      <c r="F45416" s="13"/>
      <c r="M45416" s="13"/>
    </row>
    <row r="45417">
      <c r="F45417" s="13"/>
      <c r="M45417" s="13"/>
    </row>
    <row r="45418">
      <c r="F45418" s="13"/>
      <c r="M45418" s="13"/>
    </row>
    <row r="45419">
      <c r="F45419" s="13"/>
      <c r="M45419" s="13"/>
    </row>
    <row r="45420">
      <c r="F45420" s="13"/>
      <c r="M45420" s="13"/>
    </row>
    <row r="45421">
      <c r="F45421" s="13"/>
      <c r="M45421" s="13"/>
    </row>
    <row r="45422">
      <c r="F45422" s="13"/>
      <c r="M45422" s="13"/>
    </row>
    <row r="45423">
      <c r="F45423" s="13"/>
      <c r="M45423" s="13"/>
    </row>
    <row r="45424">
      <c r="F45424" s="13"/>
      <c r="M45424" s="13"/>
    </row>
    <row r="45425">
      <c r="F45425" s="13"/>
      <c r="M45425" s="13"/>
    </row>
    <row r="45426">
      <c r="F45426" s="13"/>
      <c r="M45426" s="13"/>
    </row>
    <row r="45427">
      <c r="F45427" s="13"/>
      <c r="M45427" s="13"/>
    </row>
    <row r="45428">
      <c r="F45428" s="13"/>
      <c r="M45428" s="13"/>
    </row>
    <row r="45429">
      <c r="F45429" s="13"/>
      <c r="M45429" s="13"/>
    </row>
    <row r="45430">
      <c r="F45430" s="13"/>
      <c r="M45430" s="13"/>
    </row>
    <row r="45431">
      <c r="F45431" s="13"/>
      <c r="M45431" s="13"/>
    </row>
    <row r="45432">
      <c r="F45432" s="13"/>
      <c r="M45432" s="13"/>
    </row>
    <row r="45433">
      <c r="F45433" s="13"/>
      <c r="M45433" s="13"/>
    </row>
    <row r="45434">
      <c r="F45434" s="13"/>
      <c r="M45434" s="13"/>
    </row>
    <row r="45435">
      <c r="F45435" s="13"/>
      <c r="M45435" s="13"/>
    </row>
    <row r="45436">
      <c r="F45436" s="13"/>
      <c r="M45436" s="13"/>
    </row>
    <row r="45437">
      <c r="F45437" s="13"/>
      <c r="M45437" s="13"/>
    </row>
    <row r="45438">
      <c r="F45438" s="13"/>
      <c r="M45438" s="13"/>
    </row>
    <row r="45439">
      <c r="F45439" s="13"/>
      <c r="M45439" s="13"/>
    </row>
    <row r="45440">
      <c r="F45440" s="13"/>
      <c r="M45440" s="13"/>
    </row>
    <row r="45441">
      <c r="F45441" s="13"/>
      <c r="M45441" s="13"/>
    </row>
    <row r="45442">
      <c r="F45442" s="13"/>
      <c r="M45442" s="13"/>
    </row>
    <row r="45443">
      <c r="F45443" s="13"/>
      <c r="M45443" s="13"/>
    </row>
    <row r="45444">
      <c r="F45444" s="13"/>
      <c r="M45444" s="13"/>
    </row>
    <row r="45445">
      <c r="F45445" s="13"/>
      <c r="M45445" s="13"/>
    </row>
    <row r="45446">
      <c r="F45446" s="13"/>
      <c r="M45446" s="13"/>
    </row>
    <row r="45447">
      <c r="F45447" s="13"/>
      <c r="M45447" s="13"/>
    </row>
    <row r="45448">
      <c r="F45448" s="13"/>
      <c r="M45448" s="13"/>
    </row>
    <row r="45449">
      <c r="F45449" s="13"/>
      <c r="M45449" s="13"/>
    </row>
    <row r="45450">
      <c r="F45450" s="13"/>
      <c r="M45450" s="13"/>
    </row>
    <row r="45451">
      <c r="F45451" s="13"/>
      <c r="M45451" s="13"/>
    </row>
    <row r="45452">
      <c r="F45452" s="13"/>
      <c r="M45452" s="13"/>
    </row>
    <row r="45453">
      <c r="F45453" s="13"/>
      <c r="M45453" s="13"/>
    </row>
    <row r="45454">
      <c r="F45454" s="13"/>
      <c r="M45454" s="13"/>
    </row>
    <row r="45455">
      <c r="F45455" s="13"/>
      <c r="M45455" s="13"/>
    </row>
    <row r="45456">
      <c r="F45456" s="13"/>
      <c r="M45456" s="13"/>
    </row>
    <row r="45457">
      <c r="F45457" s="13"/>
      <c r="M45457" s="13"/>
    </row>
    <row r="45458">
      <c r="F45458" s="13"/>
      <c r="M45458" s="13"/>
    </row>
    <row r="45459">
      <c r="F45459" s="13"/>
      <c r="M45459" s="13"/>
    </row>
    <row r="45460">
      <c r="F45460" s="13"/>
      <c r="M45460" s="13"/>
    </row>
    <row r="45461">
      <c r="F45461" s="13"/>
      <c r="M45461" s="13"/>
    </row>
    <row r="45462">
      <c r="F45462" s="13"/>
      <c r="M45462" s="13"/>
    </row>
    <row r="45463">
      <c r="F45463" s="13"/>
      <c r="M45463" s="13"/>
    </row>
    <row r="45464">
      <c r="F45464" s="13"/>
      <c r="M45464" s="13"/>
    </row>
    <row r="45465">
      <c r="F45465" s="13"/>
      <c r="M45465" s="13"/>
    </row>
    <row r="45466">
      <c r="F45466" s="13"/>
      <c r="M45466" s="13"/>
    </row>
    <row r="45467">
      <c r="F45467" s="13"/>
      <c r="M45467" s="13"/>
    </row>
    <row r="45468">
      <c r="F45468" s="13"/>
      <c r="M45468" s="13"/>
    </row>
    <row r="45469">
      <c r="F45469" s="13"/>
      <c r="M45469" s="13"/>
    </row>
    <row r="45470">
      <c r="F45470" s="13"/>
      <c r="M45470" s="13"/>
    </row>
    <row r="45471">
      <c r="F45471" s="13"/>
      <c r="M45471" s="13"/>
    </row>
    <row r="45472">
      <c r="F45472" s="13"/>
      <c r="M45472" s="13"/>
    </row>
    <row r="45473">
      <c r="F45473" s="13"/>
      <c r="M45473" s="13"/>
    </row>
    <row r="45474">
      <c r="F45474" s="13"/>
      <c r="M45474" s="13"/>
    </row>
    <row r="45475">
      <c r="F45475" s="13"/>
      <c r="M45475" s="13"/>
    </row>
    <row r="45476">
      <c r="F45476" s="13"/>
      <c r="M45476" s="13"/>
    </row>
    <row r="45477">
      <c r="F45477" s="13"/>
      <c r="M45477" s="13"/>
    </row>
    <row r="45478">
      <c r="F45478" s="13"/>
      <c r="M45478" s="13"/>
    </row>
    <row r="45479">
      <c r="F45479" s="13"/>
      <c r="M45479" s="13"/>
    </row>
    <row r="45480">
      <c r="F45480" s="13"/>
      <c r="M45480" s="13"/>
    </row>
    <row r="45481">
      <c r="F45481" s="13"/>
      <c r="M45481" s="13"/>
    </row>
    <row r="45482">
      <c r="F45482" s="13"/>
      <c r="M45482" s="13"/>
    </row>
    <row r="45483">
      <c r="F45483" s="13"/>
      <c r="M45483" s="13"/>
    </row>
    <row r="45484">
      <c r="F45484" s="13"/>
      <c r="M45484" s="13"/>
    </row>
    <row r="45485">
      <c r="F45485" s="13"/>
      <c r="M45485" s="13"/>
    </row>
    <row r="45486">
      <c r="F45486" s="13"/>
      <c r="M45486" s="13"/>
    </row>
    <row r="45487">
      <c r="F45487" s="13"/>
      <c r="M45487" s="13"/>
    </row>
    <row r="45488">
      <c r="F45488" s="13"/>
      <c r="M45488" s="13"/>
    </row>
    <row r="45489">
      <c r="F45489" s="13"/>
      <c r="M45489" s="13"/>
    </row>
    <row r="45490">
      <c r="F45490" s="13"/>
      <c r="M45490" s="13"/>
    </row>
    <row r="45491">
      <c r="F45491" s="13"/>
      <c r="M45491" s="13"/>
    </row>
    <row r="45492">
      <c r="F45492" s="13"/>
      <c r="M45492" s="13"/>
    </row>
    <row r="45493">
      <c r="F45493" s="13"/>
      <c r="M45493" s="13"/>
    </row>
    <row r="45494">
      <c r="F45494" s="13"/>
      <c r="M45494" s="13"/>
    </row>
    <row r="45495">
      <c r="F45495" s="13"/>
      <c r="M45495" s="13"/>
    </row>
    <row r="45496">
      <c r="F45496" s="13"/>
      <c r="M45496" s="13"/>
    </row>
    <row r="45497">
      <c r="F45497" s="13"/>
      <c r="M45497" s="13"/>
    </row>
    <row r="45498">
      <c r="F45498" s="13"/>
      <c r="M45498" s="13"/>
    </row>
    <row r="45499">
      <c r="F45499" s="13"/>
      <c r="M45499" s="13"/>
    </row>
    <row r="45500">
      <c r="F45500" s="13"/>
      <c r="M45500" s="13"/>
    </row>
    <row r="45501">
      <c r="F45501" s="13"/>
      <c r="M45501" s="13"/>
    </row>
    <row r="45502">
      <c r="F45502" s="13"/>
      <c r="M45502" s="13"/>
    </row>
    <row r="45503">
      <c r="F45503" s="13"/>
      <c r="M45503" s="13"/>
    </row>
    <row r="45504">
      <c r="F45504" s="13"/>
      <c r="M45504" s="13"/>
    </row>
    <row r="45505">
      <c r="F45505" s="13"/>
      <c r="M45505" s="13"/>
    </row>
    <row r="45506">
      <c r="F45506" s="13"/>
      <c r="M45506" s="13"/>
    </row>
    <row r="45507">
      <c r="F45507" s="13"/>
      <c r="M45507" s="13"/>
    </row>
    <row r="45508">
      <c r="F45508" s="13"/>
      <c r="M45508" s="13"/>
    </row>
    <row r="45509">
      <c r="F45509" s="13"/>
      <c r="M45509" s="13"/>
    </row>
    <row r="45510">
      <c r="F45510" s="13"/>
      <c r="M45510" s="13"/>
    </row>
    <row r="45511">
      <c r="F45511" s="13"/>
      <c r="M45511" s="13"/>
    </row>
    <row r="45512">
      <c r="F45512" s="13"/>
      <c r="M45512" s="13"/>
    </row>
    <row r="45513">
      <c r="F45513" s="13"/>
      <c r="M45513" s="13"/>
    </row>
    <row r="45514">
      <c r="F45514" s="13"/>
      <c r="M45514" s="13"/>
    </row>
    <row r="45515">
      <c r="F45515" s="13"/>
      <c r="M45515" s="13"/>
    </row>
    <row r="45516">
      <c r="F45516" s="13"/>
      <c r="M45516" s="13"/>
    </row>
    <row r="45517">
      <c r="F45517" s="13"/>
      <c r="M45517" s="13"/>
    </row>
    <row r="45518">
      <c r="F45518" s="13"/>
      <c r="M45518" s="13"/>
    </row>
    <row r="45519">
      <c r="F45519" s="13"/>
      <c r="M45519" s="13"/>
    </row>
    <row r="45520">
      <c r="F45520" s="13"/>
      <c r="M45520" s="13"/>
    </row>
    <row r="45521">
      <c r="F45521" s="13"/>
      <c r="M45521" s="13"/>
    </row>
    <row r="45522">
      <c r="F45522" s="13"/>
      <c r="M45522" s="13"/>
    </row>
    <row r="45523">
      <c r="F45523" s="13"/>
      <c r="M45523" s="13"/>
    </row>
    <row r="45524">
      <c r="F45524" s="13"/>
      <c r="M45524" s="13"/>
    </row>
    <row r="45525">
      <c r="F45525" s="13"/>
      <c r="M45525" s="13"/>
    </row>
    <row r="45526">
      <c r="F45526" s="13"/>
      <c r="M45526" s="13"/>
    </row>
    <row r="45527">
      <c r="F45527" s="13"/>
      <c r="M45527" s="13"/>
    </row>
    <row r="45528">
      <c r="F45528" s="13"/>
      <c r="M45528" s="13"/>
    </row>
    <row r="45529">
      <c r="F45529" s="13"/>
      <c r="M45529" s="13"/>
    </row>
    <row r="45530">
      <c r="F45530" s="13"/>
      <c r="M45530" s="13"/>
    </row>
    <row r="45531">
      <c r="F45531" s="13"/>
      <c r="M45531" s="13"/>
    </row>
    <row r="45532">
      <c r="F45532" s="13"/>
      <c r="M45532" s="13"/>
    </row>
    <row r="45533">
      <c r="F45533" s="13"/>
      <c r="M45533" s="13"/>
    </row>
    <row r="45534">
      <c r="F45534" s="13"/>
      <c r="M45534" s="13"/>
    </row>
    <row r="45535">
      <c r="F45535" s="13"/>
      <c r="M45535" s="13"/>
    </row>
    <row r="45536">
      <c r="F45536" s="13"/>
      <c r="M45536" s="13"/>
    </row>
    <row r="45537">
      <c r="F45537" s="13"/>
      <c r="M45537" s="13"/>
    </row>
    <row r="45538">
      <c r="F45538" s="13"/>
      <c r="M45538" s="13"/>
    </row>
    <row r="45539">
      <c r="F45539" s="13"/>
      <c r="M45539" s="13"/>
    </row>
    <row r="45540">
      <c r="F45540" s="13"/>
      <c r="M45540" s="13"/>
    </row>
    <row r="45541">
      <c r="F45541" s="13"/>
      <c r="M45541" s="13"/>
    </row>
    <row r="45542">
      <c r="F45542" s="13"/>
      <c r="M45542" s="13"/>
    </row>
    <row r="45543">
      <c r="F45543" s="13"/>
      <c r="M45543" s="13"/>
    </row>
    <row r="45544">
      <c r="F45544" s="13"/>
      <c r="M45544" s="13"/>
    </row>
    <row r="45545">
      <c r="F45545" s="13"/>
      <c r="M45545" s="13"/>
    </row>
    <row r="45546">
      <c r="F45546" s="13"/>
      <c r="M45546" s="13"/>
    </row>
    <row r="45547">
      <c r="F45547" s="13"/>
      <c r="M45547" s="13"/>
    </row>
    <row r="45548">
      <c r="F45548" s="13"/>
      <c r="M45548" s="13"/>
    </row>
    <row r="45549">
      <c r="F45549" s="13"/>
      <c r="M45549" s="13"/>
    </row>
    <row r="45550">
      <c r="F45550" s="13"/>
      <c r="M45550" s="13"/>
    </row>
    <row r="45551">
      <c r="F45551" s="13"/>
      <c r="M45551" s="13"/>
    </row>
    <row r="45552">
      <c r="F45552" s="13"/>
      <c r="M45552" s="13"/>
    </row>
    <row r="45553">
      <c r="F45553" s="13"/>
      <c r="M45553" s="13"/>
    </row>
    <row r="45554">
      <c r="F45554" s="13"/>
      <c r="M45554" s="13"/>
    </row>
    <row r="45555">
      <c r="F45555" s="13"/>
      <c r="M45555" s="13"/>
    </row>
    <row r="45556">
      <c r="F45556" s="13"/>
      <c r="M45556" s="13"/>
    </row>
    <row r="45557">
      <c r="F45557" s="13"/>
      <c r="M45557" s="13"/>
    </row>
    <row r="45558">
      <c r="F45558" s="13"/>
      <c r="M45558" s="13"/>
    </row>
    <row r="45559">
      <c r="F45559" s="13"/>
      <c r="M45559" s="13"/>
    </row>
    <row r="45560">
      <c r="F45560" s="13"/>
      <c r="M45560" s="13"/>
    </row>
    <row r="45561">
      <c r="F45561" s="13"/>
      <c r="M45561" s="13"/>
    </row>
    <row r="45562">
      <c r="F45562" s="13"/>
      <c r="M45562" s="13"/>
    </row>
    <row r="45563">
      <c r="F45563" s="13"/>
      <c r="M45563" s="13"/>
    </row>
    <row r="45564">
      <c r="F45564" s="13"/>
      <c r="M45564" s="13"/>
    </row>
    <row r="45565">
      <c r="F45565" s="13"/>
      <c r="M45565" s="13"/>
    </row>
    <row r="45566">
      <c r="F45566" s="13"/>
      <c r="M45566" s="13"/>
    </row>
    <row r="45567">
      <c r="F45567" s="13"/>
      <c r="M45567" s="13"/>
    </row>
    <row r="45568">
      <c r="F45568" s="13"/>
      <c r="M45568" s="13"/>
    </row>
    <row r="45569">
      <c r="F45569" s="13"/>
      <c r="M45569" s="13"/>
    </row>
    <row r="45570">
      <c r="F45570" s="13"/>
      <c r="M45570" s="13"/>
    </row>
    <row r="45571">
      <c r="F45571" s="13"/>
      <c r="M45571" s="13"/>
    </row>
    <row r="45572">
      <c r="F45572" s="13"/>
      <c r="M45572" s="13"/>
    </row>
    <row r="45573">
      <c r="F45573" s="13"/>
      <c r="M45573" s="13"/>
    </row>
    <row r="45574">
      <c r="F45574" s="13"/>
      <c r="M45574" s="13"/>
    </row>
    <row r="45575">
      <c r="F45575" s="13"/>
      <c r="M45575" s="13"/>
    </row>
    <row r="45576">
      <c r="F45576" s="13"/>
      <c r="M45576" s="13"/>
    </row>
    <row r="45577">
      <c r="F45577" s="13"/>
      <c r="M45577" s="13"/>
    </row>
    <row r="45578">
      <c r="F45578" s="13"/>
      <c r="M45578" s="13"/>
    </row>
    <row r="45579">
      <c r="F45579" s="13"/>
      <c r="M45579" s="13"/>
    </row>
    <row r="45580">
      <c r="F45580" s="13"/>
      <c r="M45580" s="13"/>
    </row>
    <row r="45581">
      <c r="F45581" s="13"/>
      <c r="M45581" s="13"/>
    </row>
    <row r="45582">
      <c r="F45582" s="13"/>
      <c r="M45582" s="13"/>
    </row>
    <row r="45583">
      <c r="F45583" s="13"/>
      <c r="M45583" s="13"/>
    </row>
    <row r="45584">
      <c r="F45584" s="13"/>
      <c r="M45584" s="13"/>
    </row>
    <row r="45585">
      <c r="F45585" s="13"/>
      <c r="M45585" s="13"/>
    </row>
    <row r="45586">
      <c r="F45586" s="13"/>
      <c r="M45586" s="13"/>
    </row>
    <row r="45587">
      <c r="F45587" s="13"/>
      <c r="M45587" s="13"/>
    </row>
    <row r="45588">
      <c r="F45588" s="13"/>
      <c r="M45588" s="13"/>
    </row>
    <row r="45589">
      <c r="F45589" s="13"/>
      <c r="M45589" s="13"/>
    </row>
    <row r="45590">
      <c r="F45590" s="13"/>
      <c r="M45590" s="13"/>
    </row>
    <row r="45591">
      <c r="F45591" s="13"/>
      <c r="M45591" s="13"/>
    </row>
    <row r="45592">
      <c r="F45592" s="13"/>
      <c r="M45592" s="13"/>
    </row>
    <row r="45593">
      <c r="F45593" s="13"/>
      <c r="M45593" s="13"/>
    </row>
    <row r="45594">
      <c r="F45594" s="13"/>
      <c r="M45594" s="13"/>
    </row>
    <row r="45595">
      <c r="F45595" s="13"/>
      <c r="M45595" s="13"/>
    </row>
    <row r="45596">
      <c r="F45596" s="13"/>
      <c r="M45596" s="13"/>
    </row>
    <row r="45597">
      <c r="F45597" s="13"/>
      <c r="M45597" s="13"/>
    </row>
    <row r="45598">
      <c r="F45598" s="13"/>
      <c r="M45598" s="13"/>
    </row>
    <row r="45599">
      <c r="F45599" s="13"/>
      <c r="M45599" s="13"/>
    </row>
    <row r="45600">
      <c r="F45600" s="13"/>
      <c r="M45600" s="13"/>
    </row>
    <row r="45601">
      <c r="F45601" s="13"/>
      <c r="M45601" s="13"/>
    </row>
    <row r="45602">
      <c r="F45602" s="13"/>
      <c r="M45602" s="13"/>
    </row>
    <row r="45603">
      <c r="F45603" s="13"/>
      <c r="M45603" s="13"/>
    </row>
    <row r="45604">
      <c r="F45604" s="13"/>
      <c r="M45604" s="13"/>
    </row>
    <row r="45605">
      <c r="F45605" s="13"/>
      <c r="M45605" s="13"/>
    </row>
    <row r="45606">
      <c r="F45606" s="13"/>
      <c r="M45606" s="13"/>
    </row>
    <row r="45607">
      <c r="F45607" s="13"/>
      <c r="M45607" s="13"/>
    </row>
    <row r="45608">
      <c r="F45608" s="13"/>
      <c r="M45608" s="13"/>
    </row>
    <row r="45609">
      <c r="F45609" s="13"/>
      <c r="M45609" s="13"/>
    </row>
    <row r="45610">
      <c r="F45610" s="13"/>
      <c r="M45610" s="13"/>
    </row>
    <row r="45611">
      <c r="F45611" s="13"/>
      <c r="M45611" s="13"/>
    </row>
    <row r="45612">
      <c r="F45612" s="13"/>
      <c r="M45612" s="13"/>
    </row>
    <row r="45613">
      <c r="F45613" s="13"/>
      <c r="M45613" s="13"/>
    </row>
    <row r="45614">
      <c r="F45614" s="13"/>
      <c r="M45614" s="13"/>
    </row>
    <row r="45615">
      <c r="F45615" s="13"/>
      <c r="M45615" s="13"/>
    </row>
    <row r="45616">
      <c r="F45616" s="13"/>
      <c r="M45616" s="13"/>
    </row>
    <row r="45617">
      <c r="F45617" s="13"/>
      <c r="M45617" s="13"/>
    </row>
    <row r="45618">
      <c r="F45618" s="13"/>
      <c r="M45618" s="13"/>
    </row>
    <row r="45619">
      <c r="F45619" s="13"/>
      <c r="M45619" s="13"/>
    </row>
    <row r="45620">
      <c r="F45620" s="13"/>
      <c r="M45620" s="13"/>
    </row>
    <row r="45621">
      <c r="F45621" s="13"/>
      <c r="M45621" s="13"/>
    </row>
    <row r="45622">
      <c r="F45622" s="13"/>
      <c r="M45622" s="13"/>
    </row>
    <row r="45623">
      <c r="F45623" s="13"/>
      <c r="M45623" s="13"/>
    </row>
    <row r="45624">
      <c r="F45624" s="13"/>
      <c r="M45624" s="13"/>
    </row>
    <row r="45625">
      <c r="F45625" s="13"/>
      <c r="M45625" s="13"/>
    </row>
    <row r="45626">
      <c r="F45626" s="13"/>
      <c r="M45626" s="13"/>
    </row>
    <row r="45627">
      <c r="F45627" s="13"/>
      <c r="M45627" s="13"/>
    </row>
    <row r="45628">
      <c r="F45628" s="13"/>
      <c r="M45628" s="13"/>
    </row>
    <row r="45629">
      <c r="F45629" s="13"/>
      <c r="M45629" s="13"/>
    </row>
    <row r="45630">
      <c r="F45630" s="13"/>
      <c r="M45630" s="13"/>
    </row>
    <row r="45631">
      <c r="F45631" s="13"/>
      <c r="M45631" s="13"/>
    </row>
    <row r="45632">
      <c r="F45632" s="13"/>
      <c r="M45632" s="13"/>
    </row>
    <row r="45633">
      <c r="F45633" s="13"/>
      <c r="M45633" s="13"/>
    </row>
    <row r="45634">
      <c r="F45634" s="13"/>
      <c r="M45634" s="13"/>
    </row>
    <row r="45635">
      <c r="F45635" s="13"/>
      <c r="M45635" s="13"/>
    </row>
    <row r="45636">
      <c r="F45636" s="13"/>
      <c r="M45636" s="13"/>
    </row>
    <row r="45637">
      <c r="F45637" s="13"/>
      <c r="M45637" s="13"/>
    </row>
    <row r="45638">
      <c r="F45638" s="13"/>
      <c r="M45638" s="13"/>
    </row>
    <row r="45639">
      <c r="F45639" s="13"/>
      <c r="M45639" s="13"/>
    </row>
    <row r="45640">
      <c r="F45640" s="13"/>
      <c r="M45640" s="13"/>
    </row>
    <row r="45641">
      <c r="F45641" s="13"/>
      <c r="M45641" s="13"/>
    </row>
    <row r="45642">
      <c r="F45642" s="13"/>
      <c r="M45642" s="13"/>
    </row>
    <row r="45643">
      <c r="F45643" s="13"/>
      <c r="M45643" s="13"/>
    </row>
    <row r="45644">
      <c r="F45644" s="13"/>
      <c r="M45644" s="13"/>
    </row>
    <row r="45645">
      <c r="F45645" s="13"/>
      <c r="M45645" s="13"/>
    </row>
    <row r="45646">
      <c r="F45646" s="13"/>
      <c r="M45646" s="13"/>
    </row>
    <row r="45647">
      <c r="F45647" s="13"/>
      <c r="M45647" s="13"/>
    </row>
    <row r="45648">
      <c r="F45648" s="13"/>
      <c r="M45648" s="13"/>
    </row>
    <row r="45649">
      <c r="F45649" s="13"/>
      <c r="M45649" s="13"/>
    </row>
    <row r="45650">
      <c r="F45650" s="13"/>
      <c r="M45650" s="13"/>
    </row>
    <row r="45651">
      <c r="F45651" s="13"/>
      <c r="M45651" s="13"/>
    </row>
    <row r="45652">
      <c r="F45652" s="13"/>
      <c r="M45652" s="13"/>
    </row>
    <row r="45653">
      <c r="F45653" s="13"/>
      <c r="M45653" s="13"/>
    </row>
    <row r="45654">
      <c r="F45654" s="13"/>
      <c r="M45654" s="13"/>
    </row>
    <row r="45655">
      <c r="F45655" s="13"/>
      <c r="M45655" s="13"/>
    </row>
    <row r="45656">
      <c r="F45656" s="13"/>
      <c r="M45656" s="13"/>
    </row>
    <row r="45657">
      <c r="F45657" s="13"/>
      <c r="M45657" s="13"/>
    </row>
    <row r="45658">
      <c r="F45658" s="13"/>
      <c r="M45658" s="13"/>
    </row>
    <row r="45659">
      <c r="F45659" s="13"/>
      <c r="M45659" s="13"/>
    </row>
    <row r="45660">
      <c r="F45660" s="13"/>
      <c r="M45660" s="13"/>
    </row>
    <row r="45661">
      <c r="F45661" s="13"/>
      <c r="M45661" s="13"/>
    </row>
    <row r="45662">
      <c r="F45662" s="13"/>
      <c r="M45662" s="13"/>
    </row>
    <row r="45663">
      <c r="F45663" s="13"/>
      <c r="M45663" s="13"/>
    </row>
    <row r="45664">
      <c r="F45664" s="13"/>
      <c r="M45664" s="13"/>
    </row>
    <row r="45665">
      <c r="F45665" s="13"/>
      <c r="M45665" s="13"/>
    </row>
    <row r="45666">
      <c r="F45666" s="13"/>
      <c r="M45666" s="13"/>
    </row>
    <row r="45667">
      <c r="F45667" s="13"/>
      <c r="M45667" s="13"/>
    </row>
    <row r="45668">
      <c r="F45668" s="13"/>
      <c r="M45668" s="13"/>
    </row>
    <row r="45669">
      <c r="F45669" s="13"/>
      <c r="M45669" s="13"/>
    </row>
    <row r="45670">
      <c r="F45670" s="13"/>
      <c r="M45670" s="13"/>
    </row>
    <row r="45671">
      <c r="F45671" s="13"/>
      <c r="M45671" s="13"/>
    </row>
    <row r="45672">
      <c r="F45672" s="13"/>
      <c r="M45672" s="13"/>
    </row>
    <row r="45673">
      <c r="F45673" s="13"/>
      <c r="M45673" s="13"/>
    </row>
    <row r="45674">
      <c r="F45674" s="13"/>
      <c r="M45674" s="13"/>
    </row>
    <row r="45675">
      <c r="F45675" s="13"/>
      <c r="M45675" s="13"/>
    </row>
    <row r="45676">
      <c r="F45676" s="13"/>
      <c r="M45676" s="13"/>
    </row>
    <row r="45677">
      <c r="F45677" s="13"/>
      <c r="M45677" s="13"/>
    </row>
    <row r="45678">
      <c r="F45678" s="13"/>
      <c r="M45678" s="13"/>
    </row>
    <row r="45679">
      <c r="F45679" s="13"/>
      <c r="M45679" s="13"/>
    </row>
    <row r="45680">
      <c r="F45680" s="13"/>
      <c r="M45680" s="13"/>
    </row>
    <row r="45681">
      <c r="F45681" s="13"/>
      <c r="M45681" s="13"/>
    </row>
    <row r="45682">
      <c r="F45682" s="13"/>
      <c r="M45682" s="13"/>
    </row>
    <row r="45683">
      <c r="F45683" s="13"/>
      <c r="M45683" s="13"/>
    </row>
    <row r="45684">
      <c r="F45684" s="13"/>
      <c r="M45684" s="13"/>
    </row>
    <row r="45685">
      <c r="F45685" s="13"/>
      <c r="M45685" s="13"/>
    </row>
    <row r="45686">
      <c r="F45686" s="13"/>
      <c r="M45686" s="13"/>
    </row>
    <row r="45687">
      <c r="F45687" s="13"/>
      <c r="M45687" s="13"/>
    </row>
    <row r="45688">
      <c r="F45688" s="13"/>
      <c r="M45688" s="13"/>
    </row>
    <row r="45689">
      <c r="F45689" s="13"/>
      <c r="M45689" s="13"/>
    </row>
    <row r="45690">
      <c r="F45690" s="13"/>
      <c r="M45690" s="13"/>
    </row>
    <row r="45691">
      <c r="F45691" s="13"/>
      <c r="M45691" s="13"/>
    </row>
    <row r="45692">
      <c r="F45692" s="13"/>
      <c r="M45692" s="13"/>
    </row>
    <row r="45693">
      <c r="F45693" s="13"/>
      <c r="M45693" s="13"/>
    </row>
    <row r="45694">
      <c r="F45694" s="13"/>
      <c r="M45694" s="13"/>
    </row>
    <row r="45695">
      <c r="F45695" s="13"/>
      <c r="M45695" s="13"/>
    </row>
    <row r="45696">
      <c r="F45696" s="13"/>
      <c r="M45696" s="13"/>
    </row>
    <row r="45697">
      <c r="F45697" s="13"/>
      <c r="M45697" s="13"/>
    </row>
    <row r="45698">
      <c r="F45698" s="13"/>
      <c r="M45698" s="13"/>
    </row>
    <row r="45699">
      <c r="F45699" s="13"/>
      <c r="M45699" s="13"/>
    </row>
    <row r="45700">
      <c r="F45700" s="13"/>
      <c r="M45700" s="13"/>
    </row>
    <row r="45701">
      <c r="F45701" s="13"/>
      <c r="M45701" s="13"/>
    </row>
    <row r="45702">
      <c r="F45702" s="13"/>
      <c r="M45702" s="13"/>
    </row>
    <row r="45703">
      <c r="F45703" s="13"/>
      <c r="M45703" s="13"/>
    </row>
    <row r="45704">
      <c r="F45704" s="13"/>
      <c r="M45704" s="13"/>
    </row>
    <row r="45705">
      <c r="F45705" s="13"/>
      <c r="M45705" s="13"/>
    </row>
    <row r="45706">
      <c r="F45706" s="13"/>
      <c r="M45706" s="13"/>
    </row>
    <row r="45707">
      <c r="F45707" s="13"/>
      <c r="M45707" s="13"/>
    </row>
    <row r="45708">
      <c r="F45708" s="13"/>
      <c r="M45708" s="13"/>
    </row>
    <row r="45709">
      <c r="F45709" s="13"/>
      <c r="M45709" s="13"/>
    </row>
    <row r="45710">
      <c r="F45710" s="13"/>
      <c r="M45710" s="13"/>
    </row>
    <row r="45711">
      <c r="F45711" s="13"/>
      <c r="M45711" s="13"/>
    </row>
    <row r="45712">
      <c r="F45712" s="13"/>
      <c r="M45712" s="13"/>
    </row>
    <row r="45713">
      <c r="F45713" s="13"/>
      <c r="M45713" s="13"/>
    </row>
    <row r="45714">
      <c r="F45714" s="13"/>
      <c r="M45714" s="13"/>
    </row>
    <row r="45715">
      <c r="F45715" s="13"/>
      <c r="M45715" s="13"/>
    </row>
    <row r="45716">
      <c r="F45716" s="13"/>
      <c r="M45716" s="13"/>
    </row>
    <row r="45717">
      <c r="F45717" s="13"/>
      <c r="M45717" s="13"/>
    </row>
    <row r="45718">
      <c r="F45718" s="13"/>
      <c r="M45718" s="13"/>
    </row>
    <row r="45719">
      <c r="F45719" s="13"/>
      <c r="M45719" s="13"/>
    </row>
    <row r="45720">
      <c r="F45720" s="13"/>
      <c r="M45720" s="13"/>
    </row>
    <row r="45721">
      <c r="F45721" s="13"/>
      <c r="M45721" s="13"/>
    </row>
    <row r="45722">
      <c r="F45722" s="13"/>
      <c r="M45722" s="13"/>
    </row>
    <row r="45723">
      <c r="F45723" s="13"/>
      <c r="M45723" s="13"/>
    </row>
    <row r="45724">
      <c r="F45724" s="13"/>
      <c r="M45724" s="13"/>
    </row>
    <row r="45725">
      <c r="F45725" s="13"/>
      <c r="M45725" s="13"/>
    </row>
    <row r="45726">
      <c r="F45726" s="13"/>
      <c r="M45726" s="13"/>
    </row>
    <row r="45727">
      <c r="F45727" s="13"/>
      <c r="M45727" s="13"/>
    </row>
    <row r="45728">
      <c r="F45728" s="13"/>
      <c r="M45728" s="13"/>
    </row>
    <row r="45729">
      <c r="F45729" s="13"/>
      <c r="M45729" s="13"/>
    </row>
    <row r="45730">
      <c r="F45730" s="13"/>
      <c r="M45730" s="13"/>
    </row>
    <row r="45731">
      <c r="F45731" s="13"/>
      <c r="M45731" s="13"/>
    </row>
    <row r="45732">
      <c r="F45732" s="13"/>
      <c r="M45732" s="13"/>
    </row>
    <row r="45733">
      <c r="F45733" s="13"/>
      <c r="M45733" s="13"/>
    </row>
    <row r="45734">
      <c r="F45734" s="13"/>
      <c r="M45734" s="13"/>
    </row>
    <row r="45735">
      <c r="F45735" s="13"/>
      <c r="M45735" s="13"/>
    </row>
    <row r="45736">
      <c r="F45736" s="13"/>
      <c r="M45736" s="13"/>
    </row>
    <row r="45737">
      <c r="F45737" s="13"/>
      <c r="M45737" s="13"/>
    </row>
    <row r="45738">
      <c r="F45738" s="13"/>
      <c r="M45738" s="13"/>
    </row>
    <row r="45739">
      <c r="F45739" s="13"/>
      <c r="M45739" s="13"/>
    </row>
    <row r="45740">
      <c r="F45740" s="13"/>
      <c r="M45740" s="13"/>
    </row>
    <row r="45741">
      <c r="F45741" s="13"/>
      <c r="M45741" s="13"/>
    </row>
    <row r="45742">
      <c r="F45742" s="13"/>
      <c r="M45742" s="13"/>
    </row>
    <row r="45743">
      <c r="F45743" s="13"/>
      <c r="M45743" s="13"/>
    </row>
    <row r="45744">
      <c r="F45744" s="13"/>
      <c r="M45744" s="13"/>
    </row>
    <row r="45745">
      <c r="F45745" s="13"/>
      <c r="M45745" s="13"/>
    </row>
    <row r="45746">
      <c r="F45746" s="13"/>
      <c r="M45746" s="13"/>
    </row>
    <row r="45747">
      <c r="F45747" s="13"/>
      <c r="M45747" s="13"/>
    </row>
    <row r="45748">
      <c r="F45748" s="13"/>
      <c r="M45748" s="13"/>
    </row>
    <row r="45749">
      <c r="F45749" s="13"/>
      <c r="M45749" s="13"/>
    </row>
    <row r="45750">
      <c r="F45750" s="13"/>
      <c r="M45750" s="13"/>
    </row>
    <row r="45751">
      <c r="F45751" s="13"/>
      <c r="M45751" s="13"/>
    </row>
    <row r="45752">
      <c r="F45752" s="13"/>
      <c r="M45752" s="13"/>
    </row>
    <row r="45753">
      <c r="F45753" s="13"/>
      <c r="M45753" s="13"/>
    </row>
    <row r="45754">
      <c r="F45754" s="13"/>
      <c r="M45754" s="13"/>
    </row>
    <row r="45755">
      <c r="F45755" s="13"/>
      <c r="M45755" s="13"/>
    </row>
    <row r="45756">
      <c r="F45756" s="13"/>
      <c r="M45756" s="13"/>
    </row>
    <row r="45757">
      <c r="F45757" s="13"/>
      <c r="M45757" s="13"/>
    </row>
    <row r="45758">
      <c r="F45758" s="13"/>
      <c r="M45758" s="13"/>
    </row>
    <row r="45759">
      <c r="F45759" s="13"/>
      <c r="M45759" s="13"/>
    </row>
    <row r="45760">
      <c r="F45760" s="13"/>
      <c r="M45760" s="13"/>
    </row>
    <row r="45761">
      <c r="F45761" s="13"/>
      <c r="M45761" s="13"/>
    </row>
    <row r="45762">
      <c r="F45762" s="13"/>
      <c r="M45762" s="13"/>
    </row>
    <row r="45763">
      <c r="F45763" s="13"/>
      <c r="M45763" s="13"/>
    </row>
    <row r="45764">
      <c r="F45764" s="13"/>
      <c r="M45764" s="13"/>
    </row>
    <row r="45765">
      <c r="F45765" s="13"/>
      <c r="M45765" s="13"/>
    </row>
    <row r="45766">
      <c r="F45766" s="13"/>
      <c r="M45766" s="13"/>
    </row>
    <row r="45767">
      <c r="F45767" s="13"/>
      <c r="M45767" s="13"/>
    </row>
    <row r="45768">
      <c r="F45768" s="13"/>
      <c r="M45768" s="13"/>
    </row>
    <row r="45769">
      <c r="F45769" s="13"/>
      <c r="M45769" s="13"/>
    </row>
    <row r="45770">
      <c r="F45770" s="13"/>
      <c r="M45770" s="13"/>
    </row>
    <row r="45771">
      <c r="F45771" s="13"/>
      <c r="M45771" s="13"/>
    </row>
    <row r="45772">
      <c r="F45772" s="13"/>
      <c r="M45772" s="13"/>
    </row>
    <row r="45773">
      <c r="F45773" s="13"/>
      <c r="M45773" s="13"/>
    </row>
    <row r="45774">
      <c r="F45774" s="13"/>
      <c r="M45774" s="13"/>
    </row>
    <row r="45775">
      <c r="F45775" s="13"/>
      <c r="M45775" s="13"/>
    </row>
    <row r="45776">
      <c r="F45776" s="13"/>
      <c r="M45776" s="13"/>
    </row>
    <row r="45777">
      <c r="F45777" s="13"/>
      <c r="M45777" s="13"/>
    </row>
    <row r="45778">
      <c r="F45778" s="13"/>
      <c r="M45778" s="13"/>
    </row>
    <row r="45779">
      <c r="F45779" s="13"/>
      <c r="M45779" s="13"/>
    </row>
    <row r="45780">
      <c r="F45780" s="13"/>
      <c r="M45780" s="13"/>
    </row>
    <row r="45781">
      <c r="F45781" s="13"/>
      <c r="M45781" s="13"/>
    </row>
    <row r="45782">
      <c r="F45782" s="13"/>
      <c r="M45782" s="13"/>
    </row>
    <row r="45783">
      <c r="F45783" s="13"/>
      <c r="M45783" s="13"/>
    </row>
    <row r="45784">
      <c r="F45784" s="13"/>
      <c r="M45784" s="13"/>
    </row>
    <row r="45785">
      <c r="F45785" s="13"/>
      <c r="M45785" s="13"/>
    </row>
    <row r="45786">
      <c r="F45786" s="13"/>
      <c r="M45786" s="13"/>
    </row>
    <row r="45787">
      <c r="F45787" s="13"/>
      <c r="M45787" s="13"/>
    </row>
    <row r="45788">
      <c r="F45788" s="13"/>
      <c r="M45788" s="13"/>
    </row>
    <row r="45789">
      <c r="F45789" s="13"/>
      <c r="M45789" s="13"/>
    </row>
    <row r="45790">
      <c r="F45790" s="13"/>
      <c r="M45790" s="13"/>
    </row>
    <row r="45791">
      <c r="F45791" s="13"/>
      <c r="M45791" s="13"/>
    </row>
    <row r="45792">
      <c r="F45792" s="13"/>
      <c r="M45792" s="13"/>
    </row>
    <row r="45793">
      <c r="F45793" s="13"/>
      <c r="M45793" s="13"/>
    </row>
    <row r="45794">
      <c r="F45794" s="13"/>
      <c r="M45794" s="13"/>
    </row>
    <row r="45795">
      <c r="F45795" s="13"/>
      <c r="M45795" s="13"/>
    </row>
    <row r="45796">
      <c r="F45796" s="13"/>
      <c r="M45796" s="13"/>
    </row>
    <row r="45797">
      <c r="F45797" s="13"/>
      <c r="M45797" s="13"/>
    </row>
    <row r="45798">
      <c r="F45798" s="13"/>
      <c r="M45798" s="13"/>
    </row>
    <row r="45799">
      <c r="F45799" s="13"/>
      <c r="M45799" s="13"/>
    </row>
    <row r="45800">
      <c r="F45800" s="13"/>
      <c r="M45800" s="13"/>
    </row>
    <row r="45801">
      <c r="F45801" s="13"/>
      <c r="M45801" s="13"/>
    </row>
    <row r="45802">
      <c r="F45802" s="13"/>
      <c r="M45802" s="13"/>
    </row>
    <row r="45803">
      <c r="F45803" s="13"/>
      <c r="M45803" s="13"/>
    </row>
    <row r="45804">
      <c r="F45804" s="13"/>
      <c r="M45804" s="13"/>
    </row>
    <row r="45805">
      <c r="F45805" s="13"/>
      <c r="M45805" s="13"/>
    </row>
    <row r="45806">
      <c r="F45806" s="13"/>
      <c r="M45806" s="13"/>
    </row>
    <row r="45807">
      <c r="F45807" s="13"/>
      <c r="M45807" s="13"/>
    </row>
    <row r="45808">
      <c r="F45808" s="13"/>
      <c r="M45808" s="13"/>
    </row>
    <row r="45809">
      <c r="F45809" s="13"/>
      <c r="M45809" s="13"/>
    </row>
    <row r="45810">
      <c r="F45810" s="13"/>
      <c r="M45810" s="13"/>
    </row>
    <row r="45811">
      <c r="F45811" s="13"/>
      <c r="M45811" s="13"/>
    </row>
    <row r="45812">
      <c r="F45812" s="13"/>
      <c r="M45812" s="13"/>
    </row>
    <row r="45813">
      <c r="F45813" s="13"/>
      <c r="M45813" s="13"/>
    </row>
    <row r="45814">
      <c r="F45814" s="13"/>
      <c r="M45814" s="13"/>
    </row>
    <row r="45815">
      <c r="F45815" s="13"/>
      <c r="M45815" s="13"/>
    </row>
    <row r="45816">
      <c r="F45816" s="13"/>
      <c r="M45816" s="13"/>
    </row>
    <row r="45817">
      <c r="F45817" s="13"/>
      <c r="M45817" s="13"/>
    </row>
    <row r="45818">
      <c r="F45818" s="13"/>
      <c r="M45818" s="13"/>
    </row>
    <row r="45819">
      <c r="F45819" s="13"/>
      <c r="M45819" s="13"/>
    </row>
    <row r="45820">
      <c r="F45820" s="13"/>
      <c r="M45820" s="13"/>
    </row>
    <row r="45821">
      <c r="F45821" s="13"/>
      <c r="M45821" s="13"/>
    </row>
    <row r="45822">
      <c r="F45822" s="13"/>
      <c r="M45822" s="13"/>
    </row>
    <row r="45823">
      <c r="F45823" s="13"/>
      <c r="M45823" s="13"/>
    </row>
    <row r="45824">
      <c r="F45824" s="13"/>
      <c r="M45824" s="13"/>
    </row>
    <row r="45825">
      <c r="F45825" s="13"/>
      <c r="M45825" s="13"/>
    </row>
    <row r="45826">
      <c r="F45826" s="13"/>
      <c r="M45826" s="13"/>
    </row>
    <row r="45827">
      <c r="F45827" s="13"/>
      <c r="M45827" s="13"/>
    </row>
    <row r="45828">
      <c r="F45828" s="13"/>
      <c r="M45828" s="13"/>
    </row>
    <row r="45829">
      <c r="F45829" s="13"/>
      <c r="M45829" s="13"/>
    </row>
    <row r="45830">
      <c r="F45830" s="13"/>
      <c r="M45830" s="13"/>
    </row>
    <row r="45831">
      <c r="F45831" s="13"/>
      <c r="M45831" s="13"/>
    </row>
    <row r="45832">
      <c r="F45832" s="13"/>
      <c r="M45832" s="13"/>
    </row>
    <row r="45833">
      <c r="F45833" s="13"/>
      <c r="M45833" s="13"/>
    </row>
    <row r="45834">
      <c r="F45834" s="13"/>
      <c r="M45834" s="13"/>
    </row>
    <row r="45835">
      <c r="F45835" s="13"/>
      <c r="M45835" s="13"/>
    </row>
    <row r="45836">
      <c r="F45836" s="13"/>
      <c r="M45836" s="13"/>
    </row>
    <row r="45837">
      <c r="F45837" s="13"/>
      <c r="M45837" s="13"/>
    </row>
    <row r="45838">
      <c r="F45838" s="13"/>
      <c r="M45838" s="13"/>
    </row>
    <row r="45839">
      <c r="F45839" s="13"/>
      <c r="M45839" s="13"/>
    </row>
    <row r="45840">
      <c r="F45840" s="13"/>
      <c r="M45840" s="13"/>
    </row>
    <row r="45841">
      <c r="F45841" s="13"/>
      <c r="M45841" s="13"/>
    </row>
    <row r="45842">
      <c r="F45842" s="13"/>
      <c r="M45842" s="13"/>
    </row>
    <row r="45843">
      <c r="F45843" s="13"/>
      <c r="M45843" s="13"/>
    </row>
    <row r="45844">
      <c r="F45844" s="13"/>
      <c r="M45844" s="13"/>
    </row>
    <row r="45845">
      <c r="F45845" s="13"/>
      <c r="M45845" s="13"/>
    </row>
    <row r="45846">
      <c r="F45846" s="13"/>
      <c r="M45846" s="13"/>
    </row>
    <row r="45847">
      <c r="F45847" s="13"/>
      <c r="M45847" s="13"/>
    </row>
    <row r="45848">
      <c r="F45848" s="13"/>
      <c r="M45848" s="13"/>
    </row>
    <row r="45849">
      <c r="F45849" s="13"/>
      <c r="M45849" s="13"/>
    </row>
    <row r="45850">
      <c r="F45850" s="13"/>
      <c r="M45850" s="13"/>
    </row>
    <row r="45851">
      <c r="F45851" s="13"/>
      <c r="M45851" s="13"/>
    </row>
    <row r="45852">
      <c r="F45852" s="13"/>
      <c r="M45852" s="13"/>
    </row>
    <row r="45853">
      <c r="F45853" s="13"/>
      <c r="M45853" s="13"/>
    </row>
    <row r="45854">
      <c r="F45854" s="13"/>
      <c r="M45854" s="13"/>
    </row>
    <row r="45855">
      <c r="F45855" s="13"/>
      <c r="M45855" s="13"/>
    </row>
    <row r="45856">
      <c r="F45856" s="13"/>
      <c r="M45856" s="13"/>
    </row>
    <row r="45857">
      <c r="F45857" s="13"/>
      <c r="M45857" s="13"/>
    </row>
    <row r="45858">
      <c r="F45858" s="13"/>
      <c r="M45858" s="13"/>
    </row>
    <row r="45859">
      <c r="F45859" s="13"/>
      <c r="M45859" s="13"/>
    </row>
    <row r="45860">
      <c r="F45860" s="13"/>
      <c r="M45860" s="13"/>
    </row>
    <row r="45861">
      <c r="F45861" s="13"/>
      <c r="M45861" s="13"/>
    </row>
    <row r="45862">
      <c r="F45862" s="13"/>
      <c r="M45862" s="13"/>
    </row>
    <row r="45863">
      <c r="F45863" s="13"/>
      <c r="M45863" s="13"/>
    </row>
    <row r="45864">
      <c r="F45864" s="13"/>
      <c r="M45864" s="13"/>
    </row>
    <row r="45865">
      <c r="F45865" s="13"/>
      <c r="M45865" s="13"/>
    </row>
    <row r="45866">
      <c r="F45866" s="13"/>
      <c r="M45866" s="13"/>
    </row>
    <row r="45867">
      <c r="F45867" s="13"/>
      <c r="M45867" s="13"/>
    </row>
    <row r="45868">
      <c r="F45868" s="13"/>
      <c r="M45868" s="13"/>
    </row>
    <row r="45869">
      <c r="F45869" s="13"/>
      <c r="M45869" s="13"/>
    </row>
    <row r="45870">
      <c r="F45870" s="13"/>
      <c r="M45870" s="13"/>
    </row>
    <row r="45871">
      <c r="F45871" s="13"/>
      <c r="M45871" s="13"/>
    </row>
    <row r="45872">
      <c r="F45872" s="13"/>
      <c r="M45872" s="13"/>
    </row>
    <row r="45873">
      <c r="F45873" s="13"/>
      <c r="M45873" s="13"/>
    </row>
    <row r="45874">
      <c r="F45874" s="13"/>
      <c r="M45874" s="13"/>
    </row>
    <row r="45875">
      <c r="F45875" s="13"/>
      <c r="M45875" s="13"/>
    </row>
    <row r="45876">
      <c r="F45876" s="13"/>
      <c r="M45876" s="13"/>
    </row>
    <row r="45877">
      <c r="F45877" s="13"/>
      <c r="M45877" s="13"/>
    </row>
    <row r="45878">
      <c r="F45878" s="13"/>
      <c r="M45878" s="13"/>
    </row>
    <row r="45879">
      <c r="F45879" s="13"/>
      <c r="M45879" s="13"/>
    </row>
    <row r="45880">
      <c r="F45880" s="13"/>
      <c r="M45880" s="13"/>
    </row>
    <row r="45881">
      <c r="F45881" s="13"/>
      <c r="M45881" s="13"/>
    </row>
    <row r="45882">
      <c r="F45882" s="13"/>
      <c r="M45882" s="13"/>
    </row>
    <row r="45883">
      <c r="F45883" s="13"/>
      <c r="M45883" s="13"/>
    </row>
    <row r="45884">
      <c r="F45884" s="13"/>
      <c r="M45884" s="13"/>
    </row>
    <row r="45885">
      <c r="F45885" s="13"/>
      <c r="M45885" s="13"/>
    </row>
    <row r="45886">
      <c r="F45886" s="13"/>
      <c r="M45886" s="13"/>
    </row>
    <row r="45887">
      <c r="F45887" s="13"/>
      <c r="M45887" s="13"/>
    </row>
    <row r="45888">
      <c r="F45888" s="13"/>
      <c r="M45888" s="13"/>
    </row>
    <row r="45889">
      <c r="F45889" s="13"/>
      <c r="M45889" s="13"/>
    </row>
    <row r="45890">
      <c r="F45890" s="13"/>
      <c r="M45890" s="13"/>
    </row>
    <row r="45891">
      <c r="F45891" s="13"/>
      <c r="M45891" s="13"/>
    </row>
    <row r="45892">
      <c r="F45892" s="13"/>
      <c r="M45892" s="13"/>
    </row>
    <row r="45893">
      <c r="F45893" s="13"/>
      <c r="M45893" s="13"/>
    </row>
    <row r="45894">
      <c r="F45894" s="13"/>
      <c r="M45894" s="13"/>
    </row>
    <row r="45895">
      <c r="F45895" s="13"/>
      <c r="M45895" s="13"/>
    </row>
    <row r="45896">
      <c r="F45896" s="13"/>
      <c r="M45896" s="13"/>
    </row>
    <row r="45897">
      <c r="F45897" s="13"/>
      <c r="M45897" s="13"/>
    </row>
    <row r="45898">
      <c r="F45898" s="13"/>
      <c r="M45898" s="13"/>
    </row>
    <row r="45899">
      <c r="F45899" s="13"/>
      <c r="M45899" s="13"/>
    </row>
    <row r="45900">
      <c r="F45900" s="13"/>
      <c r="M45900" s="13"/>
    </row>
    <row r="45901">
      <c r="F45901" s="13"/>
      <c r="M45901" s="13"/>
    </row>
    <row r="45902">
      <c r="F45902" s="13"/>
      <c r="M45902" s="13"/>
    </row>
    <row r="45903">
      <c r="F45903" s="13"/>
      <c r="M45903" s="13"/>
    </row>
    <row r="45904">
      <c r="F45904" s="13"/>
      <c r="M45904" s="13"/>
    </row>
    <row r="45905">
      <c r="F45905" s="13"/>
      <c r="M45905" s="13"/>
    </row>
    <row r="45906">
      <c r="F45906" s="13"/>
      <c r="M45906" s="13"/>
    </row>
    <row r="45907">
      <c r="F45907" s="13"/>
      <c r="M45907" s="13"/>
    </row>
    <row r="45908">
      <c r="F45908" s="13"/>
      <c r="M45908" s="13"/>
    </row>
    <row r="45909">
      <c r="F45909" s="13"/>
      <c r="M45909" s="13"/>
    </row>
    <row r="45910">
      <c r="F45910" s="13"/>
      <c r="M45910" s="13"/>
    </row>
    <row r="45911">
      <c r="F45911" s="13"/>
      <c r="M45911" s="13"/>
    </row>
    <row r="45912">
      <c r="F45912" s="13"/>
      <c r="M45912" s="13"/>
    </row>
    <row r="45913">
      <c r="F45913" s="13"/>
      <c r="M45913" s="13"/>
    </row>
    <row r="45914">
      <c r="F45914" s="13"/>
      <c r="M45914" s="13"/>
    </row>
    <row r="45915">
      <c r="F45915" s="13"/>
      <c r="M45915" s="13"/>
    </row>
    <row r="45916">
      <c r="F45916" s="13"/>
      <c r="M45916" s="13"/>
    </row>
    <row r="45917">
      <c r="F45917" s="13"/>
      <c r="M45917" s="13"/>
    </row>
    <row r="45918">
      <c r="F45918" s="13"/>
      <c r="M45918" s="13"/>
    </row>
    <row r="45919">
      <c r="F45919" s="13"/>
      <c r="M45919" s="13"/>
    </row>
    <row r="45920">
      <c r="F45920" s="13"/>
      <c r="M45920" s="13"/>
    </row>
    <row r="45921">
      <c r="F45921" s="13"/>
      <c r="M45921" s="13"/>
    </row>
    <row r="45922">
      <c r="F45922" s="13"/>
      <c r="M45922" s="13"/>
    </row>
    <row r="45923">
      <c r="F45923" s="13"/>
      <c r="M45923" s="13"/>
    </row>
    <row r="45924">
      <c r="F45924" s="13"/>
      <c r="M45924" s="13"/>
    </row>
    <row r="45925">
      <c r="F45925" s="13"/>
      <c r="M45925" s="13"/>
    </row>
    <row r="45926">
      <c r="F45926" s="13"/>
      <c r="M45926" s="13"/>
    </row>
    <row r="45927">
      <c r="F45927" s="13"/>
      <c r="M45927" s="13"/>
    </row>
    <row r="45928">
      <c r="F45928" s="13"/>
      <c r="M45928" s="13"/>
    </row>
    <row r="45929">
      <c r="F45929" s="13"/>
      <c r="M45929" s="13"/>
    </row>
    <row r="45930">
      <c r="F45930" s="13"/>
      <c r="M45930" s="13"/>
    </row>
    <row r="45931">
      <c r="F45931" s="13"/>
      <c r="M45931" s="13"/>
    </row>
    <row r="45932">
      <c r="F45932" s="13"/>
      <c r="M45932" s="13"/>
    </row>
    <row r="45933">
      <c r="F45933" s="13"/>
      <c r="M45933" s="13"/>
    </row>
    <row r="45934">
      <c r="F45934" s="13"/>
      <c r="M45934" s="13"/>
    </row>
    <row r="45935">
      <c r="F45935" s="13"/>
      <c r="M45935" s="13"/>
    </row>
    <row r="45936">
      <c r="F45936" s="13"/>
      <c r="M45936" s="13"/>
    </row>
    <row r="45937">
      <c r="F45937" s="13"/>
      <c r="M45937" s="13"/>
    </row>
    <row r="45938">
      <c r="F45938" s="13"/>
      <c r="M45938" s="13"/>
    </row>
    <row r="45939">
      <c r="F45939" s="13"/>
      <c r="M45939" s="13"/>
    </row>
    <row r="45940">
      <c r="F45940" s="13"/>
      <c r="M45940" s="13"/>
    </row>
    <row r="45941">
      <c r="F45941" s="13"/>
      <c r="M45941" s="13"/>
    </row>
    <row r="45942">
      <c r="F45942" s="13"/>
      <c r="M45942" s="13"/>
    </row>
    <row r="45943">
      <c r="F45943" s="13"/>
      <c r="M45943" s="13"/>
    </row>
    <row r="45944">
      <c r="F45944" s="13"/>
      <c r="M45944" s="13"/>
    </row>
    <row r="45945">
      <c r="F45945" s="13"/>
      <c r="M45945" s="13"/>
    </row>
    <row r="45946">
      <c r="F45946" s="13"/>
      <c r="M45946" s="13"/>
    </row>
    <row r="45947">
      <c r="F45947" s="13"/>
      <c r="M45947" s="13"/>
    </row>
    <row r="45948">
      <c r="F45948" s="13"/>
      <c r="M45948" s="13"/>
    </row>
    <row r="45949">
      <c r="F45949" s="13"/>
      <c r="M45949" s="13"/>
    </row>
    <row r="45950">
      <c r="F45950" s="13"/>
      <c r="M45950" s="13"/>
    </row>
    <row r="45951">
      <c r="F45951" s="13"/>
      <c r="M45951" s="13"/>
    </row>
    <row r="45952">
      <c r="F45952" s="13"/>
      <c r="M45952" s="13"/>
    </row>
    <row r="45953">
      <c r="F45953" s="13"/>
      <c r="M45953" s="13"/>
    </row>
    <row r="45954">
      <c r="F45954" s="13"/>
      <c r="M45954" s="13"/>
    </row>
    <row r="45955">
      <c r="F45955" s="13"/>
      <c r="M45955" s="13"/>
    </row>
    <row r="45956">
      <c r="F45956" s="13"/>
      <c r="M45956" s="13"/>
    </row>
    <row r="45957">
      <c r="F45957" s="13"/>
      <c r="M45957" s="13"/>
    </row>
    <row r="45958">
      <c r="F45958" s="13"/>
      <c r="M45958" s="13"/>
    </row>
    <row r="45959">
      <c r="F45959" s="13"/>
      <c r="M45959" s="13"/>
    </row>
    <row r="45960">
      <c r="F45960" s="13"/>
      <c r="M45960" s="13"/>
    </row>
    <row r="45961">
      <c r="F45961" s="13"/>
      <c r="M45961" s="13"/>
    </row>
    <row r="45962">
      <c r="F45962" s="13"/>
      <c r="M45962" s="13"/>
    </row>
    <row r="45963">
      <c r="F45963" s="13"/>
      <c r="M45963" s="13"/>
    </row>
    <row r="45964">
      <c r="F45964" s="13"/>
      <c r="M45964" s="13"/>
    </row>
    <row r="45965">
      <c r="F45965" s="13"/>
      <c r="M45965" s="13"/>
    </row>
    <row r="45966">
      <c r="F45966" s="13"/>
      <c r="M45966" s="13"/>
    </row>
    <row r="45967">
      <c r="F45967" s="13"/>
      <c r="M45967" s="13"/>
    </row>
    <row r="45968">
      <c r="F45968" s="13"/>
      <c r="M45968" s="13"/>
    </row>
    <row r="45969">
      <c r="F45969" s="13"/>
      <c r="M45969" s="13"/>
    </row>
    <row r="45970">
      <c r="F45970" s="13"/>
      <c r="M45970" s="13"/>
    </row>
    <row r="45971">
      <c r="F45971" s="13"/>
      <c r="M45971" s="13"/>
    </row>
    <row r="45972">
      <c r="F45972" s="13"/>
      <c r="M45972" s="13"/>
    </row>
    <row r="45973">
      <c r="F45973" s="13"/>
      <c r="M45973" s="13"/>
    </row>
    <row r="45974">
      <c r="F45974" s="13"/>
      <c r="M45974" s="13"/>
    </row>
    <row r="45975">
      <c r="F45975" s="13"/>
      <c r="M45975" s="13"/>
    </row>
    <row r="45976">
      <c r="F45976" s="13"/>
      <c r="M45976" s="13"/>
    </row>
    <row r="45977">
      <c r="F45977" s="13"/>
      <c r="M45977" s="13"/>
    </row>
    <row r="45978">
      <c r="F45978" s="13"/>
      <c r="M45978" s="13"/>
    </row>
    <row r="45979">
      <c r="F45979" s="13"/>
      <c r="M45979" s="13"/>
    </row>
    <row r="45980">
      <c r="F45980" s="13"/>
      <c r="M45980" s="13"/>
    </row>
    <row r="45981">
      <c r="F45981" s="13"/>
      <c r="M45981" s="13"/>
    </row>
    <row r="45982">
      <c r="F45982" s="13"/>
      <c r="M45982" s="13"/>
    </row>
    <row r="45983">
      <c r="F45983" s="13"/>
      <c r="M45983" s="13"/>
    </row>
    <row r="45984">
      <c r="F45984" s="13"/>
      <c r="M45984" s="13"/>
    </row>
    <row r="45985">
      <c r="F45985" s="13"/>
      <c r="M45985" s="13"/>
    </row>
    <row r="45986">
      <c r="F45986" s="13"/>
      <c r="M45986" s="13"/>
    </row>
    <row r="45987">
      <c r="F45987" s="13"/>
      <c r="M45987" s="13"/>
    </row>
    <row r="45988">
      <c r="F45988" s="13"/>
      <c r="M45988" s="13"/>
    </row>
    <row r="45989">
      <c r="F45989" s="13"/>
      <c r="M45989" s="13"/>
    </row>
    <row r="45990">
      <c r="F45990" s="13"/>
      <c r="M45990" s="13"/>
    </row>
    <row r="45991">
      <c r="F45991" s="13"/>
      <c r="M45991" s="13"/>
    </row>
    <row r="45992">
      <c r="F45992" s="13"/>
      <c r="M45992" s="13"/>
    </row>
    <row r="45993">
      <c r="F45993" s="13"/>
      <c r="M45993" s="13"/>
    </row>
    <row r="45994">
      <c r="F45994" s="13"/>
      <c r="M45994" s="13"/>
    </row>
    <row r="45995">
      <c r="F45995" s="13"/>
      <c r="M45995" s="13"/>
    </row>
    <row r="45996">
      <c r="F45996" s="13"/>
      <c r="M45996" s="13"/>
    </row>
    <row r="45997">
      <c r="F45997" s="13"/>
      <c r="M45997" s="13"/>
    </row>
    <row r="45998">
      <c r="F45998" s="13"/>
      <c r="M45998" s="13"/>
    </row>
    <row r="45999">
      <c r="F45999" s="13"/>
      <c r="M45999" s="13"/>
    </row>
    <row r="46000">
      <c r="F46000" s="13"/>
      <c r="M46000" s="13"/>
    </row>
    <row r="46001">
      <c r="F46001" s="13"/>
      <c r="M46001" s="13"/>
    </row>
    <row r="46002">
      <c r="F46002" s="13"/>
      <c r="M46002" s="13"/>
    </row>
    <row r="46003">
      <c r="F46003" s="13"/>
      <c r="M46003" s="13"/>
    </row>
    <row r="46004">
      <c r="F46004" s="13"/>
      <c r="M46004" s="13"/>
    </row>
    <row r="46005">
      <c r="F46005" s="13"/>
      <c r="M46005" s="13"/>
    </row>
    <row r="46006">
      <c r="F46006" s="13"/>
      <c r="M46006" s="13"/>
    </row>
    <row r="46007">
      <c r="F46007" s="13"/>
      <c r="M46007" s="13"/>
    </row>
    <row r="46008">
      <c r="F46008" s="13"/>
      <c r="M46008" s="13"/>
    </row>
    <row r="46009">
      <c r="F46009" s="13"/>
      <c r="M46009" s="13"/>
    </row>
    <row r="46010">
      <c r="F46010" s="13"/>
      <c r="M46010" s="13"/>
    </row>
    <row r="46011">
      <c r="F46011" s="13"/>
      <c r="M46011" s="13"/>
    </row>
    <row r="46012">
      <c r="F46012" s="13"/>
      <c r="M46012" s="13"/>
    </row>
    <row r="46013">
      <c r="F46013" s="13"/>
      <c r="M46013" s="13"/>
    </row>
    <row r="46014">
      <c r="F46014" s="13"/>
      <c r="M46014" s="13"/>
    </row>
    <row r="46015">
      <c r="F46015" s="13"/>
      <c r="M46015" s="13"/>
    </row>
    <row r="46016">
      <c r="F46016" s="13"/>
      <c r="M46016" s="13"/>
    </row>
    <row r="46017">
      <c r="F46017" s="13"/>
      <c r="M46017" s="13"/>
    </row>
    <row r="46018">
      <c r="F46018" s="13"/>
      <c r="M46018" s="13"/>
    </row>
    <row r="46019">
      <c r="F46019" s="13"/>
      <c r="M46019" s="13"/>
    </row>
    <row r="46020">
      <c r="F46020" s="13"/>
      <c r="M46020" s="13"/>
    </row>
    <row r="46021">
      <c r="F46021" s="13"/>
      <c r="M46021" s="13"/>
    </row>
    <row r="46022">
      <c r="F46022" s="13"/>
      <c r="M46022" s="13"/>
    </row>
    <row r="46023">
      <c r="F46023" s="13"/>
      <c r="M46023" s="13"/>
    </row>
    <row r="46024">
      <c r="F46024" s="13"/>
      <c r="M46024" s="13"/>
    </row>
    <row r="46025">
      <c r="F46025" s="13"/>
      <c r="M46025" s="13"/>
    </row>
    <row r="46026">
      <c r="F46026" s="13"/>
      <c r="M46026" s="13"/>
    </row>
    <row r="46027">
      <c r="F46027" s="13"/>
      <c r="M46027" s="13"/>
    </row>
    <row r="46028">
      <c r="F46028" s="13"/>
      <c r="M46028" s="13"/>
    </row>
    <row r="46029">
      <c r="F46029" s="13"/>
      <c r="M46029" s="13"/>
    </row>
    <row r="46030">
      <c r="F46030" s="13"/>
      <c r="M46030" s="13"/>
    </row>
    <row r="46031">
      <c r="F46031" s="13"/>
      <c r="M46031" s="13"/>
    </row>
    <row r="46032">
      <c r="F46032" s="13"/>
      <c r="M46032" s="13"/>
    </row>
    <row r="46033">
      <c r="F46033" s="13"/>
      <c r="M46033" s="13"/>
    </row>
    <row r="46034">
      <c r="F46034" s="13"/>
      <c r="M46034" s="13"/>
    </row>
    <row r="46035">
      <c r="F46035" s="13"/>
      <c r="M46035" s="13"/>
    </row>
    <row r="46036">
      <c r="F46036" s="13"/>
      <c r="M46036" s="13"/>
    </row>
    <row r="46037">
      <c r="F46037" s="13"/>
      <c r="M46037" s="13"/>
    </row>
    <row r="46038">
      <c r="F46038" s="13"/>
      <c r="M46038" s="13"/>
    </row>
    <row r="46039">
      <c r="F46039" s="13"/>
      <c r="M46039" s="13"/>
    </row>
    <row r="46040">
      <c r="F46040" s="13"/>
      <c r="M46040" s="13"/>
    </row>
    <row r="46041">
      <c r="F46041" s="13"/>
      <c r="M46041" s="13"/>
    </row>
    <row r="46042">
      <c r="F46042" s="13"/>
      <c r="M46042" s="13"/>
    </row>
    <row r="46043">
      <c r="F46043" s="13"/>
      <c r="M46043" s="13"/>
    </row>
    <row r="46044">
      <c r="F46044" s="13"/>
      <c r="M46044" s="13"/>
    </row>
    <row r="46045">
      <c r="F46045" s="13"/>
      <c r="M46045" s="13"/>
    </row>
    <row r="46046">
      <c r="F46046" s="13"/>
      <c r="M46046" s="13"/>
    </row>
    <row r="46047">
      <c r="F46047" s="13"/>
      <c r="M46047" s="13"/>
    </row>
    <row r="46048">
      <c r="F46048" s="13"/>
      <c r="M46048" s="13"/>
    </row>
    <row r="46049">
      <c r="F46049" s="13"/>
      <c r="M46049" s="13"/>
    </row>
    <row r="46050">
      <c r="F46050" s="13"/>
      <c r="M46050" s="13"/>
    </row>
    <row r="46051">
      <c r="F46051" s="13"/>
      <c r="M46051" s="13"/>
    </row>
    <row r="46052">
      <c r="F46052" s="13"/>
      <c r="M46052" s="13"/>
    </row>
    <row r="46053">
      <c r="F46053" s="13"/>
      <c r="M46053" s="13"/>
    </row>
    <row r="46054">
      <c r="F46054" s="13"/>
      <c r="M46054" s="13"/>
    </row>
    <row r="46055">
      <c r="F46055" s="13"/>
      <c r="M46055" s="13"/>
    </row>
    <row r="46056">
      <c r="F46056" s="13"/>
      <c r="M46056" s="13"/>
    </row>
    <row r="46057">
      <c r="F46057" s="13"/>
      <c r="M46057" s="13"/>
    </row>
    <row r="46058">
      <c r="F46058" s="13"/>
      <c r="M46058" s="13"/>
    </row>
    <row r="46059">
      <c r="F46059" s="13"/>
      <c r="M46059" s="13"/>
    </row>
    <row r="46060">
      <c r="F46060" s="13"/>
      <c r="M46060" s="13"/>
    </row>
    <row r="46061">
      <c r="F46061" s="13"/>
      <c r="M46061" s="13"/>
    </row>
    <row r="46062">
      <c r="F46062" s="13"/>
      <c r="M46062" s="13"/>
    </row>
    <row r="46063">
      <c r="F46063" s="13"/>
      <c r="M46063" s="13"/>
    </row>
    <row r="46064">
      <c r="F46064" s="13"/>
      <c r="M46064" s="13"/>
    </row>
    <row r="46065">
      <c r="F46065" s="13"/>
      <c r="M46065" s="13"/>
    </row>
    <row r="46066">
      <c r="F46066" s="13"/>
      <c r="M46066" s="13"/>
    </row>
    <row r="46067">
      <c r="F46067" s="13"/>
      <c r="M46067" s="13"/>
    </row>
    <row r="46068">
      <c r="F46068" s="13"/>
      <c r="M46068" s="13"/>
    </row>
    <row r="46069">
      <c r="F46069" s="13"/>
      <c r="M46069" s="13"/>
    </row>
    <row r="46070">
      <c r="F46070" s="13"/>
      <c r="M46070" s="13"/>
    </row>
    <row r="46071">
      <c r="F46071" s="13"/>
      <c r="M46071" s="13"/>
    </row>
    <row r="46072">
      <c r="F46072" s="13"/>
      <c r="M46072" s="13"/>
    </row>
    <row r="46073">
      <c r="F46073" s="13"/>
      <c r="M46073" s="13"/>
    </row>
    <row r="46074">
      <c r="F46074" s="13"/>
      <c r="M46074" s="13"/>
    </row>
    <row r="46075">
      <c r="F46075" s="13"/>
      <c r="M46075" s="13"/>
    </row>
    <row r="46076">
      <c r="F46076" s="13"/>
      <c r="M46076" s="13"/>
    </row>
    <row r="46077">
      <c r="F46077" s="13"/>
      <c r="M46077" s="13"/>
    </row>
    <row r="46078">
      <c r="F46078" s="13"/>
      <c r="M46078" s="13"/>
    </row>
    <row r="46079">
      <c r="F46079" s="13"/>
      <c r="M46079" s="13"/>
    </row>
    <row r="46080">
      <c r="F46080" s="13"/>
      <c r="M46080" s="13"/>
    </row>
    <row r="46081">
      <c r="F46081" s="13"/>
      <c r="M46081" s="13"/>
    </row>
    <row r="46082">
      <c r="F46082" s="13"/>
      <c r="M46082" s="13"/>
    </row>
    <row r="46083">
      <c r="F46083" s="13"/>
      <c r="M46083" s="13"/>
    </row>
    <row r="46084">
      <c r="F46084" s="13"/>
      <c r="M46084" s="13"/>
    </row>
    <row r="46085">
      <c r="F46085" s="13"/>
      <c r="M46085" s="13"/>
    </row>
    <row r="46086">
      <c r="F46086" s="13"/>
      <c r="M46086" s="13"/>
    </row>
    <row r="46087">
      <c r="F46087" s="13"/>
      <c r="M46087" s="13"/>
    </row>
    <row r="46088">
      <c r="F46088" s="13"/>
      <c r="M46088" s="13"/>
    </row>
    <row r="46089">
      <c r="F46089" s="13"/>
      <c r="M46089" s="13"/>
    </row>
    <row r="46090">
      <c r="F46090" s="13"/>
      <c r="M46090" s="13"/>
    </row>
    <row r="46091">
      <c r="F46091" s="13"/>
      <c r="M46091" s="13"/>
    </row>
    <row r="46092">
      <c r="F46092" s="13"/>
      <c r="M46092" s="13"/>
    </row>
    <row r="46093">
      <c r="F46093" s="13"/>
      <c r="M46093" s="13"/>
    </row>
    <row r="46094">
      <c r="F46094" s="13"/>
      <c r="M46094" s="13"/>
    </row>
    <row r="46095">
      <c r="F46095" s="13"/>
      <c r="M46095" s="13"/>
    </row>
    <row r="46096">
      <c r="F46096" s="13"/>
      <c r="M46096" s="13"/>
    </row>
    <row r="46097">
      <c r="F46097" s="13"/>
      <c r="M46097" s="13"/>
    </row>
    <row r="46098">
      <c r="F46098" s="13"/>
      <c r="M46098" s="13"/>
    </row>
    <row r="46099">
      <c r="F46099" s="13"/>
      <c r="M46099" s="13"/>
    </row>
    <row r="46100">
      <c r="F46100" s="13"/>
      <c r="M46100" s="13"/>
    </row>
    <row r="46101">
      <c r="F46101" s="13"/>
      <c r="M46101" s="13"/>
    </row>
    <row r="46102">
      <c r="F46102" s="13"/>
      <c r="M46102" s="13"/>
    </row>
    <row r="46103">
      <c r="F46103" s="13"/>
      <c r="M46103" s="13"/>
    </row>
    <row r="46104">
      <c r="F46104" s="13"/>
      <c r="M46104" s="13"/>
    </row>
    <row r="46105">
      <c r="F46105" s="13"/>
      <c r="M46105" s="13"/>
    </row>
    <row r="46106">
      <c r="F46106" s="13"/>
      <c r="M46106" s="13"/>
    </row>
    <row r="46107">
      <c r="F46107" s="13"/>
      <c r="M46107" s="13"/>
    </row>
    <row r="46108">
      <c r="F46108" s="13"/>
      <c r="M46108" s="13"/>
    </row>
    <row r="46109">
      <c r="F46109" s="13"/>
      <c r="M46109" s="13"/>
    </row>
    <row r="46110">
      <c r="F46110" s="13"/>
      <c r="M46110" s="13"/>
    </row>
    <row r="46111">
      <c r="F46111" s="13"/>
      <c r="M46111" s="13"/>
    </row>
    <row r="46112">
      <c r="F46112" s="13"/>
      <c r="M46112" s="13"/>
    </row>
    <row r="46113">
      <c r="F46113" s="13"/>
      <c r="M46113" s="13"/>
    </row>
    <row r="46114">
      <c r="F46114" s="13"/>
      <c r="M46114" s="13"/>
    </row>
    <row r="46115">
      <c r="F46115" s="13"/>
      <c r="M46115" s="13"/>
    </row>
    <row r="46116">
      <c r="F46116" s="13"/>
      <c r="M46116" s="13"/>
    </row>
    <row r="46117">
      <c r="F46117" s="13"/>
      <c r="M46117" s="13"/>
    </row>
    <row r="46118">
      <c r="F46118" s="13"/>
      <c r="M46118" s="13"/>
    </row>
    <row r="46119">
      <c r="F46119" s="13"/>
      <c r="M46119" s="13"/>
    </row>
    <row r="46120">
      <c r="F46120" s="13"/>
      <c r="M46120" s="13"/>
    </row>
    <row r="46121">
      <c r="F46121" s="13"/>
      <c r="M46121" s="13"/>
    </row>
    <row r="46122">
      <c r="F46122" s="13"/>
      <c r="M46122" s="13"/>
    </row>
    <row r="46123">
      <c r="F46123" s="13"/>
      <c r="M46123" s="13"/>
    </row>
    <row r="46124">
      <c r="F46124" s="13"/>
      <c r="M46124" s="13"/>
    </row>
    <row r="46125">
      <c r="F46125" s="13"/>
      <c r="M46125" s="13"/>
    </row>
    <row r="46126">
      <c r="F46126" s="13"/>
      <c r="M46126" s="13"/>
    </row>
    <row r="46127">
      <c r="F46127" s="13"/>
      <c r="M46127" s="13"/>
    </row>
    <row r="46128">
      <c r="F46128" s="13"/>
      <c r="M46128" s="13"/>
    </row>
    <row r="46129">
      <c r="F46129" s="13"/>
      <c r="M46129" s="13"/>
    </row>
    <row r="46130">
      <c r="F46130" s="13"/>
      <c r="M46130" s="13"/>
    </row>
    <row r="46131">
      <c r="F46131" s="13"/>
      <c r="M46131" s="13"/>
    </row>
    <row r="46132">
      <c r="F46132" s="13"/>
      <c r="M46132" s="13"/>
    </row>
    <row r="46133">
      <c r="F46133" s="13"/>
      <c r="M46133" s="13"/>
    </row>
    <row r="46134">
      <c r="F46134" s="13"/>
      <c r="M46134" s="13"/>
    </row>
    <row r="46135">
      <c r="F46135" s="13"/>
      <c r="M46135" s="13"/>
    </row>
    <row r="46136">
      <c r="F46136" s="13"/>
      <c r="M46136" s="13"/>
    </row>
    <row r="46137">
      <c r="F46137" s="13"/>
      <c r="M46137" s="13"/>
    </row>
    <row r="46138">
      <c r="F46138" s="13"/>
      <c r="M46138" s="13"/>
    </row>
    <row r="46139">
      <c r="F46139" s="13"/>
      <c r="M46139" s="13"/>
    </row>
    <row r="46140">
      <c r="F46140" s="13"/>
      <c r="M46140" s="13"/>
    </row>
    <row r="46141">
      <c r="F46141" s="13"/>
      <c r="M46141" s="13"/>
    </row>
    <row r="46142">
      <c r="F46142" s="13"/>
      <c r="M46142" s="13"/>
    </row>
    <row r="46143">
      <c r="F46143" s="13"/>
      <c r="M46143" s="13"/>
    </row>
    <row r="46144">
      <c r="F46144" s="13"/>
      <c r="M46144" s="13"/>
    </row>
    <row r="46145">
      <c r="F46145" s="13"/>
      <c r="M46145" s="13"/>
    </row>
    <row r="46146">
      <c r="F46146" s="13"/>
      <c r="M46146" s="13"/>
    </row>
    <row r="46147">
      <c r="F46147" s="13"/>
      <c r="M46147" s="13"/>
    </row>
    <row r="46148">
      <c r="F46148" s="13"/>
      <c r="M46148" s="13"/>
    </row>
    <row r="46149">
      <c r="F46149" s="13"/>
      <c r="M46149" s="13"/>
    </row>
    <row r="46150">
      <c r="F46150" s="13"/>
      <c r="M46150" s="13"/>
    </row>
    <row r="46151">
      <c r="F46151" s="13"/>
      <c r="M46151" s="13"/>
    </row>
    <row r="46152">
      <c r="F46152" s="13"/>
      <c r="M46152" s="13"/>
    </row>
    <row r="46153">
      <c r="F46153" s="13"/>
      <c r="M46153" s="13"/>
    </row>
    <row r="46154">
      <c r="F46154" s="13"/>
      <c r="M46154" s="13"/>
    </row>
    <row r="46155">
      <c r="F46155" s="13"/>
      <c r="M46155" s="13"/>
    </row>
    <row r="46156">
      <c r="F46156" s="13"/>
      <c r="M46156" s="13"/>
    </row>
    <row r="46157">
      <c r="F46157" s="13"/>
      <c r="M46157" s="13"/>
    </row>
    <row r="46158">
      <c r="F46158" s="13"/>
      <c r="M46158" s="13"/>
    </row>
    <row r="46159">
      <c r="F46159" s="13"/>
      <c r="M46159" s="13"/>
    </row>
    <row r="46160">
      <c r="F46160" s="13"/>
      <c r="M46160" s="13"/>
    </row>
    <row r="46161">
      <c r="F46161" s="13"/>
      <c r="M46161" s="13"/>
    </row>
    <row r="46162">
      <c r="F46162" s="13"/>
      <c r="M46162" s="13"/>
    </row>
    <row r="46163">
      <c r="F46163" s="13"/>
      <c r="M46163" s="13"/>
    </row>
    <row r="46164">
      <c r="F46164" s="13"/>
      <c r="M46164" s="13"/>
    </row>
    <row r="46165">
      <c r="F46165" s="13"/>
      <c r="M46165" s="13"/>
    </row>
    <row r="46166">
      <c r="F46166" s="13"/>
      <c r="M46166" s="13"/>
    </row>
    <row r="46167">
      <c r="F46167" s="13"/>
      <c r="M46167" s="13"/>
    </row>
    <row r="46168">
      <c r="F46168" s="13"/>
      <c r="M46168" s="13"/>
    </row>
    <row r="46169">
      <c r="F46169" s="13"/>
      <c r="M46169" s="13"/>
    </row>
    <row r="46170">
      <c r="F46170" s="13"/>
      <c r="M46170" s="13"/>
    </row>
    <row r="46171">
      <c r="F46171" s="13"/>
      <c r="M46171" s="13"/>
    </row>
    <row r="46172">
      <c r="F46172" s="13"/>
      <c r="M46172" s="13"/>
    </row>
    <row r="46173">
      <c r="F46173" s="13"/>
      <c r="M46173" s="13"/>
    </row>
    <row r="46174">
      <c r="F46174" s="13"/>
      <c r="M46174" s="13"/>
    </row>
    <row r="46175">
      <c r="F46175" s="13"/>
      <c r="M46175" s="13"/>
    </row>
    <row r="46176">
      <c r="F46176" s="13"/>
      <c r="M46176" s="13"/>
    </row>
    <row r="46177">
      <c r="F46177" s="13"/>
      <c r="M46177" s="13"/>
    </row>
    <row r="46178">
      <c r="F46178" s="13"/>
      <c r="M46178" s="13"/>
    </row>
    <row r="46179">
      <c r="F46179" s="13"/>
      <c r="M46179" s="13"/>
    </row>
    <row r="46180">
      <c r="F46180" s="13"/>
      <c r="M46180" s="13"/>
    </row>
    <row r="46181">
      <c r="F46181" s="13"/>
      <c r="M46181" s="13"/>
    </row>
    <row r="46182">
      <c r="F46182" s="13"/>
      <c r="M46182" s="13"/>
    </row>
    <row r="46183">
      <c r="F46183" s="13"/>
      <c r="M46183" s="13"/>
    </row>
    <row r="46184">
      <c r="F46184" s="13"/>
      <c r="M46184" s="13"/>
    </row>
    <row r="46185">
      <c r="F46185" s="13"/>
      <c r="M46185" s="13"/>
    </row>
    <row r="46186">
      <c r="F46186" s="13"/>
      <c r="M46186" s="13"/>
    </row>
    <row r="46187">
      <c r="F46187" s="13"/>
      <c r="M46187" s="13"/>
    </row>
    <row r="46188">
      <c r="F46188" s="13"/>
      <c r="M46188" s="13"/>
    </row>
    <row r="46189">
      <c r="F46189" s="13"/>
      <c r="M46189" s="13"/>
    </row>
    <row r="46190">
      <c r="F46190" s="13"/>
      <c r="M46190" s="13"/>
    </row>
    <row r="46191">
      <c r="F46191" s="13"/>
      <c r="M46191" s="13"/>
    </row>
    <row r="46192">
      <c r="F46192" s="13"/>
      <c r="M46192" s="13"/>
    </row>
    <row r="46193">
      <c r="F46193" s="13"/>
      <c r="M46193" s="13"/>
    </row>
    <row r="46194">
      <c r="F46194" s="13"/>
      <c r="M46194" s="13"/>
    </row>
    <row r="46195">
      <c r="F46195" s="13"/>
      <c r="M46195" s="13"/>
    </row>
    <row r="46196">
      <c r="F46196" s="13"/>
      <c r="M46196" s="13"/>
    </row>
    <row r="46197">
      <c r="F46197" s="13"/>
      <c r="M46197" s="13"/>
    </row>
    <row r="46198">
      <c r="F46198" s="13"/>
      <c r="M46198" s="13"/>
    </row>
    <row r="46199">
      <c r="F46199" s="13"/>
      <c r="M46199" s="13"/>
    </row>
    <row r="46200">
      <c r="F46200" s="13"/>
      <c r="M46200" s="13"/>
    </row>
    <row r="46201">
      <c r="F46201" s="13"/>
      <c r="M46201" s="13"/>
    </row>
    <row r="46202">
      <c r="F46202" s="13"/>
      <c r="M46202" s="13"/>
    </row>
    <row r="46203">
      <c r="F46203" s="13"/>
      <c r="M46203" s="13"/>
    </row>
    <row r="46204">
      <c r="F46204" s="13"/>
      <c r="M46204" s="13"/>
    </row>
    <row r="46205">
      <c r="F46205" s="13"/>
      <c r="M46205" s="13"/>
    </row>
    <row r="46206">
      <c r="F46206" s="13"/>
      <c r="M46206" s="13"/>
    </row>
    <row r="46207">
      <c r="F46207" s="13"/>
      <c r="M46207" s="13"/>
    </row>
    <row r="46208">
      <c r="F46208" s="13"/>
      <c r="M46208" s="13"/>
    </row>
    <row r="46209">
      <c r="F46209" s="13"/>
      <c r="M46209" s="13"/>
    </row>
    <row r="46210">
      <c r="F46210" s="13"/>
      <c r="M46210" s="13"/>
    </row>
    <row r="46211">
      <c r="F46211" s="13"/>
      <c r="M46211" s="13"/>
    </row>
    <row r="46212">
      <c r="F46212" s="13"/>
      <c r="M46212" s="13"/>
    </row>
    <row r="46213">
      <c r="F46213" s="13"/>
      <c r="M46213" s="13"/>
    </row>
    <row r="46214">
      <c r="F46214" s="13"/>
      <c r="M46214" s="13"/>
    </row>
    <row r="46215">
      <c r="F46215" s="13"/>
      <c r="M46215" s="13"/>
    </row>
    <row r="46216">
      <c r="F46216" s="13"/>
      <c r="M46216" s="13"/>
    </row>
    <row r="46217">
      <c r="F46217" s="13"/>
      <c r="M46217" s="13"/>
    </row>
    <row r="46218">
      <c r="F46218" s="13"/>
      <c r="M46218" s="13"/>
    </row>
    <row r="46219">
      <c r="F46219" s="13"/>
      <c r="M46219" s="13"/>
    </row>
    <row r="46220">
      <c r="F46220" s="13"/>
      <c r="M46220" s="13"/>
    </row>
    <row r="46221">
      <c r="F46221" s="13"/>
      <c r="M46221" s="13"/>
    </row>
    <row r="46222">
      <c r="F46222" s="13"/>
      <c r="M46222" s="13"/>
    </row>
    <row r="46223">
      <c r="F46223" s="13"/>
      <c r="M46223" s="13"/>
    </row>
    <row r="46224">
      <c r="F46224" s="13"/>
      <c r="M46224" s="13"/>
    </row>
    <row r="46225">
      <c r="F46225" s="13"/>
      <c r="M46225" s="13"/>
    </row>
    <row r="46226">
      <c r="F46226" s="13"/>
      <c r="M46226" s="13"/>
    </row>
    <row r="46227">
      <c r="F46227" s="13"/>
      <c r="M46227" s="13"/>
    </row>
    <row r="46228">
      <c r="F46228" s="13"/>
      <c r="M46228" s="13"/>
    </row>
    <row r="46229">
      <c r="F46229" s="13"/>
      <c r="M46229" s="13"/>
    </row>
    <row r="46230">
      <c r="F46230" s="13"/>
      <c r="M46230" s="13"/>
    </row>
    <row r="46231">
      <c r="F46231" s="13"/>
      <c r="M46231" s="13"/>
    </row>
    <row r="46232">
      <c r="F46232" s="13"/>
      <c r="M46232" s="13"/>
    </row>
    <row r="46233">
      <c r="F46233" s="13"/>
      <c r="M46233" s="13"/>
    </row>
    <row r="46234">
      <c r="F46234" s="13"/>
      <c r="M46234" s="13"/>
    </row>
    <row r="46235">
      <c r="F46235" s="13"/>
      <c r="M46235" s="13"/>
    </row>
    <row r="46236">
      <c r="F46236" s="13"/>
      <c r="M46236" s="13"/>
    </row>
    <row r="46237">
      <c r="F46237" s="13"/>
      <c r="M46237" s="13"/>
    </row>
    <row r="46238">
      <c r="F46238" s="13"/>
      <c r="M46238" s="13"/>
    </row>
    <row r="46239">
      <c r="F46239" s="13"/>
      <c r="M46239" s="13"/>
    </row>
    <row r="46240">
      <c r="F46240" s="13"/>
      <c r="M46240" s="13"/>
    </row>
    <row r="46241">
      <c r="F46241" s="13"/>
      <c r="M46241" s="13"/>
    </row>
    <row r="46242">
      <c r="F46242" s="13"/>
      <c r="M46242" s="13"/>
    </row>
    <row r="46243">
      <c r="F46243" s="13"/>
      <c r="M46243" s="13"/>
    </row>
    <row r="46244">
      <c r="F46244" s="13"/>
      <c r="M46244" s="13"/>
    </row>
    <row r="46245">
      <c r="F46245" s="13"/>
      <c r="M46245" s="13"/>
    </row>
    <row r="46246">
      <c r="F46246" s="13"/>
      <c r="M46246" s="13"/>
    </row>
    <row r="46247">
      <c r="F46247" s="13"/>
      <c r="M46247" s="13"/>
    </row>
    <row r="46248">
      <c r="F46248" s="13"/>
      <c r="M46248" s="13"/>
    </row>
    <row r="46249">
      <c r="F46249" s="13"/>
      <c r="M46249" s="13"/>
    </row>
    <row r="46250">
      <c r="F46250" s="13"/>
      <c r="M46250" s="13"/>
    </row>
    <row r="46251">
      <c r="F46251" s="13"/>
      <c r="M46251" s="13"/>
    </row>
    <row r="46252">
      <c r="F46252" s="13"/>
      <c r="M46252" s="13"/>
    </row>
    <row r="46253">
      <c r="F46253" s="13"/>
      <c r="M46253" s="13"/>
    </row>
    <row r="46254">
      <c r="F46254" s="13"/>
      <c r="M46254" s="13"/>
    </row>
    <row r="46255">
      <c r="F46255" s="13"/>
      <c r="M46255" s="13"/>
    </row>
    <row r="46256">
      <c r="F46256" s="13"/>
      <c r="M46256" s="13"/>
    </row>
    <row r="46257">
      <c r="F46257" s="13"/>
      <c r="M46257" s="13"/>
    </row>
    <row r="46258">
      <c r="F46258" s="13"/>
      <c r="M46258" s="13"/>
    </row>
    <row r="46259">
      <c r="F46259" s="13"/>
      <c r="M46259" s="13"/>
    </row>
    <row r="46260">
      <c r="F46260" s="13"/>
      <c r="M46260" s="13"/>
    </row>
    <row r="46261">
      <c r="F46261" s="13"/>
      <c r="M46261" s="13"/>
    </row>
    <row r="46262">
      <c r="F46262" s="13"/>
      <c r="M46262" s="13"/>
    </row>
    <row r="46263">
      <c r="F46263" s="13"/>
      <c r="M46263" s="13"/>
    </row>
    <row r="46264">
      <c r="F46264" s="13"/>
      <c r="M46264" s="13"/>
    </row>
    <row r="46265">
      <c r="F46265" s="13"/>
      <c r="M46265" s="13"/>
    </row>
    <row r="46266">
      <c r="F46266" s="13"/>
      <c r="M46266" s="13"/>
    </row>
    <row r="46267">
      <c r="F46267" s="13"/>
      <c r="M46267" s="13"/>
    </row>
    <row r="46268">
      <c r="F46268" s="13"/>
      <c r="M46268" s="13"/>
    </row>
    <row r="46269">
      <c r="F46269" s="13"/>
      <c r="M46269" s="13"/>
    </row>
    <row r="46270">
      <c r="F46270" s="13"/>
      <c r="M46270" s="13"/>
    </row>
    <row r="46271">
      <c r="F46271" s="13"/>
      <c r="M46271" s="13"/>
    </row>
    <row r="46272">
      <c r="F46272" s="13"/>
      <c r="M46272" s="13"/>
    </row>
    <row r="46273">
      <c r="F46273" s="13"/>
      <c r="M46273" s="13"/>
    </row>
    <row r="46274">
      <c r="F46274" s="13"/>
      <c r="M46274" s="13"/>
    </row>
    <row r="46275">
      <c r="F46275" s="13"/>
      <c r="M46275" s="13"/>
    </row>
    <row r="46276">
      <c r="F46276" s="13"/>
      <c r="M46276" s="13"/>
    </row>
    <row r="46277">
      <c r="F46277" s="13"/>
      <c r="M46277" s="13"/>
    </row>
    <row r="46278">
      <c r="F46278" s="13"/>
      <c r="M46278" s="13"/>
    </row>
    <row r="46279">
      <c r="F46279" s="13"/>
      <c r="M46279" s="13"/>
    </row>
    <row r="46280">
      <c r="F46280" s="13"/>
      <c r="M46280" s="13"/>
    </row>
    <row r="46281">
      <c r="F46281" s="13"/>
      <c r="M46281" s="13"/>
    </row>
    <row r="46282">
      <c r="F46282" s="13"/>
      <c r="M46282" s="13"/>
    </row>
    <row r="46283">
      <c r="F46283" s="13"/>
      <c r="M46283" s="13"/>
    </row>
    <row r="46284">
      <c r="F46284" s="13"/>
      <c r="M46284" s="13"/>
    </row>
    <row r="46285">
      <c r="F46285" s="13"/>
      <c r="M46285" s="13"/>
    </row>
    <row r="46286">
      <c r="F46286" s="13"/>
      <c r="M46286" s="13"/>
    </row>
    <row r="46287">
      <c r="F46287" s="13"/>
      <c r="M46287" s="13"/>
    </row>
    <row r="46288">
      <c r="F46288" s="13"/>
      <c r="M46288" s="13"/>
    </row>
    <row r="46289">
      <c r="F46289" s="13"/>
      <c r="M46289" s="13"/>
    </row>
    <row r="46290">
      <c r="F46290" s="13"/>
      <c r="M46290" s="13"/>
    </row>
    <row r="46291">
      <c r="F46291" s="13"/>
      <c r="M46291" s="13"/>
    </row>
    <row r="46292">
      <c r="F46292" s="13"/>
      <c r="M46292" s="13"/>
    </row>
    <row r="46293">
      <c r="F46293" s="13"/>
      <c r="M46293" s="13"/>
    </row>
    <row r="46294">
      <c r="F46294" s="13"/>
      <c r="M46294" s="13"/>
    </row>
    <row r="46295">
      <c r="F46295" s="13"/>
      <c r="M46295" s="13"/>
    </row>
    <row r="46296">
      <c r="F46296" s="13"/>
      <c r="M46296" s="13"/>
    </row>
    <row r="46297">
      <c r="F46297" s="13"/>
      <c r="M46297" s="13"/>
    </row>
    <row r="46298">
      <c r="F46298" s="13"/>
      <c r="M46298" s="13"/>
    </row>
    <row r="46299">
      <c r="F46299" s="13"/>
      <c r="M46299" s="13"/>
    </row>
    <row r="46300">
      <c r="F46300" s="13"/>
      <c r="M46300" s="13"/>
    </row>
    <row r="46301">
      <c r="F46301" s="13"/>
      <c r="M46301" s="13"/>
    </row>
    <row r="46302">
      <c r="F46302" s="13"/>
      <c r="M46302" s="13"/>
    </row>
    <row r="46303">
      <c r="F46303" s="13"/>
      <c r="M46303" s="13"/>
    </row>
    <row r="46304">
      <c r="F46304" s="13"/>
      <c r="M46304" s="13"/>
    </row>
    <row r="46305">
      <c r="F46305" s="13"/>
      <c r="M46305" s="13"/>
    </row>
    <row r="46306">
      <c r="F46306" s="13"/>
      <c r="M46306" s="13"/>
    </row>
    <row r="46307">
      <c r="F46307" s="13"/>
      <c r="M46307" s="13"/>
    </row>
    <row r="46308">
      <c r="F46308" s="13"/>
      <c r="M46308" s="13"/>
    </row>
    <row r="46309">
      <c r="F46309" s="13"/>
      <c r="M46309" s="13"/>
    </row>
    <row r="46310">
      <c r="F46310" s="13"/>
      <c r="M46310" s="13"/>
    </row>
    <row r="46311">
      <c r="F46311" s="13"/>
      <c r="M46311" s="13"/>
    </row>
    <row r="46312">
      <c r="F46312" s="13"/>
      <c r="M46312" s="13"/>
    </row>
    <row r="46313">
      <c r="F46313" s="13"/>
      <c r="M46313" s="13"/>
    </row>
    <row r="46314">
      <c r="F46314" s="13"/>
      <c r="M46314" s="13"/>
    </row>
    <row r="46315">
      <c r="F46315" s="13"/>
      <c r="M46315" s="13"/>
    </row>
    <row r="46316">
      <c r="F46316" s="13"/>
      <c r="M46316" s="13"/>
    </row>
    <row r="46317">
      <c r="F46317" s="13"/>
      <c r="M46317" s="13"/>
    </row>
    <row r="46318">
      <c r="F46318" s="13"/>
      <c r="M46318" s="13"/>
    </row>
    <row r="46319">
      <c r="F46319" s="13"/>
      <c r="M46319" s="13"/>
    </row>
    <row r="46320">
      <c r="F46320" s="13"/>
      <c r="M46320" s="13"/>
    </row>
    <row r="46321">
      <c r="F46321" s="13"/>
      <c r="M46321" s="13"/>
    </row>
    <row r="46322">
      <c r="F46322" s="13"/>
      <c r="M46322" s="13"/>
    </row>
    <row r="46323">
      <c r="F46323" s="13"/>
      <c r="M46323" s="13"/>
    </row>
    <row r="46324">
      <c r="F46324" s="13"/>
      <c r="M46324" s="13"/>
    </row>
    <row r="46325">
      <c r="F46325" s="13"/>
      <c r="M46325" s="13"/>
    </row>
    <row r="46326">
      <c r="F46326" s="13"/>
      <c r="M46326" s="13"/>
    </row>
    <row r="46327">
      <c r="F46327" s="13"/>
      <c r="M46327" s="13"/>
    </row>
    <row r="46328">
      <c r="F46328" s="13"/>
      <c r="M46328" s="13"/>
    </row>
    <row r="46329">
      <c r="F46329" s="13"/>
      <c r="M46329" s="13"/>
    </row>
    <row r="46330">
      <c r="F46330" s="13"/>
      <c r="M46330" s="13"/>
    </row>
    <row r="46331">
      <c r="F46331" s="13"/>
      <c r="M46331" s="13"/>
    </row>
    <row r="46332">
      <c r="F46332" s="13"/>
      <c r="M46332" s="13"/>
    </row>
    <row r="46333">
      <c r="F46333" s="13"/>
      <c r="M46333" s="13"/>
    </row>
    <row r="46334">
      <c r="F46334" s="13"/>
      <c r="M46334" s="13"/>
    </row>
    <row r="46335">
      <c r="F46335" s="13"/>
      <c r="M46335" s="13"/>
    </row>
    <row r="46336">
      <c r="F46336" s="13"/>
      <c r="M46336" s="13"/>
    </row>
    <row r="46337">
      <c r="F46337" s="13"/>
      <c r="M46337" s="13"/>
    </row>
    <row r="46338">
      <c r="F46338" s="13"/>
      <c r="M46338" s="13"/>
    </row>
    <row r="46339">
      <c r="F46339" s="13"/>
      <c r="M46339" s="13"/>
    </row>
    <row r="46340">
      <c r="F46340" s="13"/>
      <c r="M46340" s="13"/>
    </row>
    <row r="46341">
      <c r="F46341" s="13"/>
      <c r="M46341" s="13"/>
    </row>
    <row r="46342">
      <c r="F46342" s="13"/>
      <c r="M46342" s="13"/>
    </row>
    <row r="46343">
      <c r="F46343" s="13"/>
      <c r="M46343" s="13"/>
    </row>
    <row r="46344">
      <c r="F46344" s="13"/>
      <c r="M46344" s="13"/>
    </row>
    <row r="46345">
      <c r="F46345" s="13"/>
      <c r="M46345" s="13"/>
    </row>
    <row r="46346">
      <c r="F46346" s="13"/>
      <c r="M46346" s="13"/>
    </row>
    <row r="46347">
      <c r="F46347" s="13"/>
      <c r="M46347" s="13"/>
    </row>
    <row r="46348">
      <c r="F46348" s="13"/>
      <c r="M46348" s="13"/>
    </row>
    <row r="46349">
      <c r="F46349" s="13"/>
      <c r="M46349" s="13"/>
    </row>
    <row r="46350">
      <c r="F46350" s="13"/>
      <c r="M46350" s="13"/>
    </row>
    <row r="46351">
      <c r="F46351" s="13"/>
      <c r="M46351" s="13"/>
    </row>
    <row r="46352">
      <c r="F46352" s="13"/>
      <c r="M46352" s="13"/>
    </row>
    <row r="46353">
      <c r="F46353" s="13"/>
      <c r="M46353" s="13"/>
    </row>
    <row r="46354">
      <c r="F46354" s="13"/>
      <c r="M46354" s="13"/>
    </row>
    <row r="46355">
      <c r="F46355" s="13"/>
      <c r="M46355" s="13"/>
    </row>
    <row r="46356">
      <c r="F46356" s="13"/>
      <c r="M46356" s="13"/>
    </row>
    <row r="46357">
      <c r="F46357" s="13"/>
      <c r="M46357" s="13"/>
    </row>
    <row r="46358">
      <c r="F46358" s="13"/>
      <c r="M46358" s="13"/>
    </row>
    <row r="46359">
      <c r="F46359" s="13"/>
      <c r="M46359" s="13"/>
    </row>
    <row r="46360">
      <c r="F46360" s="13"/>
      <c r="M46360" s="13"/>
    </row>
    <row r="46361">
      <c r="F46361" s="13"/>
      <c r="M46361" s="13"/>
    </row>
    <row r="46362">
      <c r="F46362" s="13"/>
      <c r="M46362" s="13"/>
    </row>
    <row r="46363">
      <c r="F46363" s="13"/>
      <c r="M46363" s="13"/>
    </row>
    <row r="46364">
      <c r="F46364" s="13"/>
      <c r="M46364" s="13"/>
    </row>
    <row r="46365">
      <c r="F46365" s="13"/>
      <c r="M46365" s="13"/>
    </row>
    <row r="46366">
      <c r="F46366" s="13"/>
      <c r="M46366" s="13"/>
    </row>
    <row r="46367">
      <c r="F46367" s="13"/>
      <c r="M46367" s="13"/>
    </row>
    <row r="46368">
      <c r="F46368" s="13"/>
      <c r="M46368" s="13"/>
    </row>
    <row r="46369">
      <c r="F46369" s="13"/>
      <c r="M46369" s="13"/>
    </row>
    <row r="46370">
      <c r="F46370" s="13"/>
      <c r="M46370" s="13"/>
    </row>
    <row r="46371">
      <c r="F46371" s="13"/>
      <c r="M46371" s="13"/>
    </row>
    <row r="46372">
      <c r="F46372" s="13"/>
      <c r="M46372" s="13"/>
    </row>
    <row r="46373">
      <c r="F46373" s="13"/>
      <c r="M46373" s="13"/>
    </row>
    <row r="46374">
      <c r="F46374" s="13"/>
      <c r="M46374" s="13"/>
    </row>
    <row r="46375">
      <c r="F46375" s="13"/>
      <c r="M46375" s="13"/>
    </row>
    <row r="46376">
      <c r="F46376" s="13"/>
      <c r="M46376" s="13"/>
    </row>
    <row r="46377">
      <c r="F46377" s="13"/>
      <c r="M46377" s="13"/>
    </row>
    <row r="46378">
      <c r="F46378" s="13"/>
      <c r="M46378" s="13"/>
    </row>
    <row r="46379">
      <c r="F46379" s="13"/>
      <c r="M46379" s="13"/>
    </row>
    <row r="46380">
      <c r="F46380" s="13"/>
      <c r="M46380" s="13"/>
    </row>
    <row r="46381">
      <c r="F46381" s="13"/>
      <c r="M46381" s="13"/>
    </row>
    <row r="46382">
      <c r="F46382" s="13"/>
      <c r="M46382" s="13"/>
    </row>
    <row r="46383">
      <c r="F46383" s="13"/>
      <c r="M46383" s="13"/>
    </row>
    <row r="46384">
      <c r="F46384" s="13"/>
      <c r="M46384" s="13"/>
    </row>
    <row r="46385">
      <c r="F46385" s="13"/>
      <c r="M46385" s="13"/>
    </row>
    <row r="46386">
      <c r="F46386" s="13"/>
      <c r="M46386" s="13"/>
    </row>
    <row r="46387">
      <c r="F46387" s="13"/>
      <c r="M46387" s="13"/>
    </row>
    <row r="46388">
      <c r="F46388" s="13"/>
      <c r="M46388" s="13"/>
    </row>
    <row r="46389">
      <c r="F46389" s="13"/>
      <c r="M46389" s="13"/>
    </row>
    <row r="46390">
      <c r="F46390" s="13"/>
      <c r="M46390" s="13"/>
    </row>
    <row r="46391">
      <c r="F46391" s="13"/>
      <c r="M46391" s="13"/>
    </row>
    <row r="46392">
      <c r="F46392" s="13"/>
      <c r="M46392" s="13"/>
    </row>
    <row r="46393">
      <c r="F46393" s="13"/>
      <c r="M46393" s="13"/>
    </row>
    <row r="46394">
      <c r="F46394" s="13"/>
      <c r="M46394" s="13"/>
    </row>
    <row r="46395">
      <c r="F46395" s="13"/>
      <c r="M46395" s="13"/>
    </row>
    <row r="46396">
      <c r="F46396" s="13"/>
      <c r="M46396" s="13"/>
    </row>
    <row r="46397">
      <c r="F46397" s="13"/>
      <c r="M46397" s="13"/>
    </row>
    <row r="46398">
      <c r="F46398" s="13"/>
      <c r="M46398" s="13"/>
    </row>
    <row r="46399">
      <c r="F46399" s="13"/>
      <c r="M46399" s="13"/>
    </row>
    <row r="46400">
      <c r="F46400" s="13"/>
      <c r="M46400" s="13"/>
    </row>
    <row r="46401">
      <c r="F46401" s="13"/>
      <c r="M46401" s="13"/>
    </row>
    <row r="46402">
      <c r="F46402" s="13"/>
      <c r="M46402" s="13"/>
    </row>
    <row r="46403">
      <c r="F46403" s="13"/>
      <c r="M46403" s="13"/>
    </row>
    <row r="46404">
      <c r="F46404" s="13"/>
      <c r="M46404" s="13"/>
    </row>
    <row r="46405">
      <c r="F46405" s="13"/>
      <c r="M46405" s="13"/>
    </row>
    <row r="46406">
      <c r="F46406" s="13"/>
      <c r="M46406" s="13"/>
    </row>
    <row r="46407">
      <c r="F46407" s="13"/>
      <c r="M46407" s="13"/>
    </row>
    <row r="46408">
      <c r="F46408" s="13"/>
      <c r="M46408" s="13"/>
    </row>
    <row r="46409">
      <c r="F46409" s="13"/>
      <c r="M46409" s="13"/>
    </row>
    <row r="46410">
      <c r="F46410" s="13"/>
      <c r="M46410" s="13"/>
    </row>
    <row r="46411">
      <c r="F46411" s="13"/>
      <c r="M46411" s="13"/>
    </row>
    <row r="46412">
      <c r="F46412" s="13"/>
      <c r="M46412" s="13"/>
    </row>
    <row r="46413">
      <c r="F46413" s="13"/>
      <c r="M46413" s="13"/>
    </row>
    <row r="46414">
      <c r="F46414" s="13"/>
      <c r="M46414" s="13"/>
    </row>
    <row r="46415">
      <c r="F46415" s="13"/>
      <c r="M46415" s="13"/>
    </row>
    <row r="46416">
      <c r="F46416" s="13"/>
      <c r="M46416" s="13"/>
    </row>
    <row r="46417">
      <c r="F46417" s="13"/>
      <c r="M46417" s="13"/>
    </row>
    <row r="46418">
      <c r="F46418" s="13"/>
      <c r="M46418" s="13"/>
    </row>
    <row r="46419">
      <c r="F46419" s="13"/>
      <c r="M46419" s="13"/>
    </row>
    <row r="46420">
      <c r="F46420" s="13"/>
      <c r="M46420" s="13"/>
    </row>
    <row r="46421">
      <c r="F46421" s="13"/>
      <c r="M46421" s="13"/>
    </row>
    <row r="46422">
      <c r="F46422" s="13"/>
      <c r="M46422" s="13"/>
    </row>
    <row r="46423">
      <c r="F46423" s="13"/>
      <c r="M46423" s="13"/>
    </row>
    <row r="46424">
      <c r="F46424" s="13"/>
      <c r="M46424" s="13"/>
    </row>
    <row r="46425">
      <c r="F46425" s="13"/>
      <c r="M46425" s="13"/>
    </row>
    <row r="46426">
      <c r="F46426" s="13"/>
      <c r="M46426" s="13"/>
    </row>
    <row r="46427">
      <c r="F46427" s="13"/>
      <c r="M46427" s="13"/>
    </row>
    <row r="46428">
      <c r="F46428" s="13"/>
      <c r="M46428" s="13"/>
    </row>
    <row r="46429">
      <c r="F46429" s="13"/>
      <c r="M46429" s="13"/>
    </row>
    <row r="46430">
      <c r="F46430" s="13"/>
      <c r="M46430" s="13"/>
    </row>
    <row r="46431">
      <c r="F46431" s="13"/>
      <c r="M46431" s="13"/>
    </row>
    <row r="46432">
      <c r="F46432" s="13"/>
      <c r="M46432" s="13"/>
    </row>
    <row r="46433">
      <c r="F46433" s="13"/>
      <c r="M46433" s="13"/>
    </row>
    <row r="46434">
      <c r="F46434" s="13"/>
      <c r="M46434" s="13"/>
    </row>
    <row r="46435">
      <c r="F46435" s="13"/>
      <c r="M46435" s="13"/>
    </row>
    <row r="46436">
      <c r="F46436" s="13"/>
      <c r="M46436" s="13"/>
    </row>
    <row r="46437">
      <c r="F46437" s="13"/>
      <c r="M46437" s="13"/>
    </row>
    <row r="46438">
      <c r="F46438" s="13"/>
      <c r="M46438" s="13"/>
    </row>
    <row r="46439">
      <c r="F46439" s="13"/>
      <c r="M46439" s="13"/>
    </row>
    <row r="46440">
      <c r="F46440" s="13"/>
      <c r="M46440" s="13"/>
    </row>
    <row r="46441">
      <c r="F46441" s="13"/>
      <c r="M46441" s="13"/>
    </row>
    <row r="46442">
      <c r="F46442" s="13"/>
      <c r="M46442" s="13"/>
    </row>
    <row r="46443">
      <c r="F46443" s="13"/>
      <c r="M46443" s="13"/>
    </row>
    <row r="46444">
      <c r="F46444" s="13"/>
      <c r="M46444" s="13"/>
    </row>
    <row r="46445">
      <c r="F46445" s="13"/>
      <c r="M46445" s="13"/>
    </row>
    <row r="46446">
      <c r="F46446" s="13"/>
      <c r="M46446" s="13"/>
    </row>
    <row r="46447">
      <c r="F46447" s="13"/>
      <c r="M46447" s="13"/>
    </row>
    <row r="46448">
      <c r="F46448" s="13"/>
      <c r="M46448" s="13"/>
    </row>
    <row r="46449">
      <c r="F46449" s="13"/>
      <c r="M46449" s="13"/>
    </row>
    <row r="46450">
      <c r="F46450" s="13"/>
      <c r="M46450" s="13"/>
    </row>
    <row r="46451">
      <c r="F46451" s="13"/>
      <c r="M46451" s="13"/>
    </row>
    <row r="46452">
      <c r="F46452" s="13"/>
      <c r="M46452" s="13"/>
    </row>
    <row r="46453">
      <c r="F46453" s="13"/>
      <c r="M46453" s="13"/>
    </row>
    <row r="46454">
      <c r="F46454" s="13"/>
      <c r="M46454" s="13"/>
    </row>
    <row r="46455">
      <c r="F46455" s="13"/>
      <c r="M46455" s="13"/>
    </row>
    <row r="46456">
      <c r="F46456" s="13"/>
      <c r="M46456" s="13"/>
    </row>
    <row r="46457">
      <c r="F46457" s="13"/>
      <c r="M46457" s="13"/>
    </row>
    <row r="46458">
      <c r="F46458" s="13"/>
      <c r="M46458" s="13"/>
    </row>
    <row r="46459">
      <c r="F46459" s="13"/>
      <c r="M46459" s="13"/>
    </row>
    <row r="46460">
      <c r="F46460" s="13"/>
      <c r="M46460" s="13"/>
    </row>
    <row r="46461">
      <c r="F46461" s="13"/>
      <c r="M46461" s="13"/>
    </row>
    <row r="46462">
      <c r="F46462" s="13"/>
      <c r="M46462" s="13"/>
    </row>
    <row r="46463">
      <c r="F46463" s="13"/>
      <c r="M46463" s="13"/>
    </row>
    <row r="46464">
      <c r="F46464" s="13"/>
      <c r="M46464" s="13"/>
    </row>
    <row r="46465">
      <c r="F46465" s="13"/>
      <c r="M46465" s="13"/>
    </row>
    <row r="46466">
      <c r="F46466" s="13"/>
      <c r="M46466" s="13"/>
    </row>
    <row r="46467">
      <c r="F46467" s="13"/>
      <c r="M46467" s="13"/>
    </row>
    <row r="46468">
      <c r="F46468" s="13"/>
      <c r="M46468" s="13"/>
    </row>
    <row r="46469">
      <c r="F46469" s="13"/>
      <c r="M46469" s="13"/>
    </row>
    <row r="46470">
      <c r="F46470" s="13"/>
      <c r="M46470" s="13"/>
    </row>
    <row r="46471">
      <c r="F46471" s="13"/>
      <c r="M46471" s="13"/>
    </row>
    <row r="46472">
      <c r="F46472" s="13"/>
      <c r="M46472" s="13"/>
    </row>
    <row r="46473">
      <c r="F46473" s="13"/>
      <c r="M46473" s="13"/>
    </row>
    <row r="46474">
      <c r="F46474" s="13"/>
      <c r="M46474" s="13"/>
    </row>
    <row r="46475">
      <c r="F46475" s="13"/>
      <c r="M46475" s="13"/>
    </row>
    <row r="46476">
      <c r="F46476" s="13"/>
      <c r="M46476" s="13"/>
    </row>
    <row r="46477">
      <c r="F46477" s="13"/>
      <c r="M46477" s="13"/>
    </row>
    <row r="46478">
      <c r="F46478" s="13"/>
      <c r="M46478" s="13"/>
    </row>
    <row r="46479">
      <c r="F46479" s="13"/>
      <c r="M46479" s="13"/>
    </row>
    <row r="46480">
      <c r="F46480" s="13"/>
      <c r="M46480" s="13"/>
    </row>
    <row r="46481">
      <c r="F46481" s="13"/>
      <c r="M46481" s="13"/>
    </row>
    <row r="46482">
      <c r="F46482" s="13"/>
      <c r="M46482" s="13"/>
    </row>
    <row r="46483">
      <c r="F46483" s="13"/>
      <c r="M46483" s="13"/>
    </row>
    <row r="46484">
      <c r="F46484" s="13"/>
      <c r="M46484" s="13"/>
    </row>
    <row r="46485">
      <c r="F46485" s="13"/>
      <c r="M46485" s="13"/>
    </row>
    <row r="46486">
      <c r="F46486" s="13"/>
      <c r="M46486" s="13"/>
    </row>
    <row r="46487">
      <c r="F46487" s="13"/>
      <c r="M46487" s="13"/>
    </row>
    <row r="46488">
      <c r="F46488" s="13"/>
      <c r="M46488" s="13"/>
    </row>
    <row r="46489">
      <c r="F46489" s="13"/>
      <c r="M46489" s="13"/>
    </row>
    <row r="46490">
      <c r="F46490" s="13"/>
      <c r="M46490" s="13"/>
    </row>
    <row r="46491">
      <c r="F46491" s="13"/>
      <c r="M46491" s="13"/>
    </row>
    <row r="46492">
      <c r="F46492" s="13"/>
      <c r="M46492" s="13"/>
    </row>
    <row r="46493">
      <c r="F46493" s="13"/>
      <c r="M46493" s="13"/>
    </row>
    <row r="46494">
      <c r="F46494" s="13"/>
      <c r="M46494" s="13"/>
    </row>
    <row r="46495">
      <c r="F46495" s="13"/>
      <c r="M46495" s="13"/>
    </row>
    <row r="46496">
      <c r="F46496" s="13"/>
      <c r="M46496" s="13"/>
    </row>
    <row r="46497">
      <c r="F46497" s="13"/>
      <c r="M46497" s="13"/>
    </row>
    <row r="46498">
      <c r="F46498" s="13"/>
      <c r="M46498" s="13"/>
    </row>
    <row r="46499">
      <c r="F46499" s="13"/>
      <c r="M46499" s="13"/>
    </row>
    <row r="46500">
      <c r="F46500" s="13"/>
      <c r="M46500" s="13"/>
    </row>
    <row r="46501">
      <c r="F46501" s="13"/>
      <c r="M46501" s="13"/>
    </row>
    <row r="46502">
      <c r="F46502" s="13"/>
      <c r="M46502" s="13"/>
    </row>
    <row r="46503">
      <c r="F46503" s="13"/>
      <c r="M46503" s="13"/>
    </row>
    <row r="46504">
      <c r="F46504" s="13"/>
      <c r="M46504" s="13"/>
    </row>
    <row r="46505">
      <c r="F46505" s="13"/>
      <c r="M46505" s="13"/>
    </row>
    <row r="46506">
      <c r="F46506" s="13"/>
      <c r="M46506" s="13"/>
    </row>
    <row r="46507">
      <c r="F46507" s="13"/>
      <c r="M46507" s="13"/>
    </row>
    <row r="46508">
      <c r="F46508" s="13"/>
      <c r="M46508" s="13"/>
    </row>
    <row r="46509">
      <c r="F46509" s="13"/>
      <c r="M46509" s="13"/>
    </row>
    <row r="46510">
      <c r="F46510" s="13"/>
      <c r="M46510" s="13"/>
    </row>
    <row r="46511">
      <c r="F46511" s="13"/>
      <c r="M46511" s="13"/>
    </row>
    <row r="46512">
      <c r="F46512" s="13"/>
      <c r="M46512" s="13"/>
    </row>
    <row r="46513">
      <c r="F46513" s="13"/>
      <c r="M46513" s="13"/>
    </row>
    <row r="46514">
      <c r="F46514" s="13"/>
      <c r="M46514" s="13"/>
    </row>
    <row r="46515">
      <c r="F46515" s="13"/>
      <c r="M46515" s="13"/>
    </row>
    <row r="46516">
      <c r="F46516" s="13"/>
      <c r="M46516" s="13"/>
    </row>
    <row r="46517">
      <c r="F46517" s="13"/>
      <c r="M46517" s="13"/>
    </row>
    <row r="46518">
      <c r="F46518" s="13"/>
      <c r="M46518" s="13"/>
    </row>
    <row r="46519">
      <c r="F46519" s="13"/>
      <c r="M46519" s="13"/>
    </row>
    <row r="46520">
      <c r="F46520" s="13"/>
      <c r="M46520" s="13"/>
    </row>
    <row r="46521">
      <c r="F46521" s="13"/>
      <c r="M46521" s="13"/>
    </row>
    <row r="46522">
      <c r="F46522" s="13"/>
      <c r="M46522" s="13"/>
    </row>
    <row r="46523">
      <c r="F46523" s="13"/>
      <c r="M46523" s="13"/>
    </row>
    <row r="46524">
      <c r="F46524" s="13"/>
      <c r="M46524" s="13"/>
    </row>
    <row r="46525">
      <c r="F46525" s="13"/>
      <c r="M46525" s="13"/>
    </row>
    <row r="46526">
      <c r="F46526" s="13"/>
      <c r="M46526" s="13"/>
    </row>
    <row r="46527">
      <c r="F46527" s="13"/>
      <c r="M46527" s="13"/>
    </row>
    <row r="46528">
      <c r="F46528" s="13"/>
      <c r="M46528" s="13"/>
    </row>
    <row r="46529">
      <c r="F46529" s="13"/>
      <c r="M46529" s="13"/>
    </row>
    <row r="46530">
      <c r="F46530" s="13"/>
      <c r="M46530" s="13"/>
    </row>
    <row r="46531">
      <c r="F46531" s="13"/>
      <c r="M46531" s="13"/>
    </row>
    <row r="46532">
      <c r="F46532" s="13"/>
      <c r="M46532" s="13"/>
    </row>
    <row r="46533">
      <c r="F46533" s="13"/>
      <c r="M46533" s="13"/>
    </row>
    <row r="46534">
      <c r="F46534" s="13"/>
      <c r="M46534" s="13"/>
    </row>
    <row r="46535">
      <c r="F46535" s="13"/>
      <c r="M46535" s="13"/>
    </row>
    <row r="46536">
      <c r="F46536" s="13"/>
      <c r="M46536" s="13"/>
    </row>
    <row r="46537">
      <c r="F46537" s="13"/>
      <c r="M46537" s="13"/>
    </row>
    <row r="46538">
      <c r="F46538" s="13"/>
      <c r="M46538" s="13"/>
    </row>
    <row r="46539">
      <c r="F46539" s="13"/>
      <c r="M46539" s="13"/>
    </row>
    <row r="46540">
      <c r="F46540" s="13"/>
      <c r="M46540" s="13"/>
    </row>
    <row r="46541">
      <c r="F46541" s="13"/>
      <c r="M46541" s="13"/>
    </row>
    <row r="46542">
      <c r="F46542" s="13"/>
      <c r="M46542" s="13"/>
    </row>
    <row r="46543">
      <c r="F46543" s="13"/>
      <c r="M46543" s="13"/>
    </row>
    <row r="46544">
      <c r="F46544" s="13"/>
      <c r="M46544" s="13"/>
    </row>
    <row r="46545">
      <c r="F46545" s="13"/>
      <c r="M46545" s="13"/>
    </row>
    <row r="46546">
      <c r="F46546" s="13"/>
      <c r="M46546" s="13"/>
    </row>
    <row r="46547">
      <c r="F46547" s="13"/>
      <c r="M46547" s="13"/>
    </row>
    <row r="46548">
      <c r="F46548" s="13"/>
      <c r="M46548" s="13"/>
    </row>
    <row r="46549">
      <c r="F46549" s="13"/>
      <c r="M46549" s="13"/>
    </row>
    <row r="46550">
      <c r="F46550" s="13"/>
      <c r="M46550" s="13"/>
    </row>
    <row r="46551">
      <c r="F46551" s="13"/>
      <c r="M46551" s="13"/>
    </row>
    <row r="46552">
      <c r="F46552" s="13"/>
      <c r="M46552" s="13"/>
    </row>
    <row r="46553">
      <c r="F46553" s="13"/>
      <c r="M46553" s="13"/>
    </row>
    <row r="46554">
      <c r="F46554" s="13"/>
      <c r="M46554" s="13"/>
    </row>
    <row r="46555">
      <c r="F46555" s="13"/>
      <c r="M46555" s="13"/>
    </row>
    <row r="46556">
      <c r="F46556" s="13"/>
      <c r="M46556" s="13"/>
    </row>
    <row r="46557">
      <c r="F46557" s="13"/>
      <c r="M46557" s="13"/>
    </row>
    <row r="46558">
      <c r="F46558" s="13"/>
      <c r="M46558" s="13"/>
    </row>
    <row r="46559">
      <c r="F46559" s="13"/>
      <c r="M46559" s="13"/>
    </row>
    <row r="46560">
      <c r="F46560" s="13"/>
      <c r="M46560" s="13"/>
    </row>
    <row r="46561">
      <c r="F46561" s="13"/>
      <c r="M46561" s="13"/>
    </row>
    <row r="46562">
      <c r="F46562" s="13"/>
      <c r="M46562" s="13"/>
    </row>
    <row r="46563">
      <c r="F46563" s="13"/>
      <c r="M46563" s="13"/>
    </row>
    <row r="46564">
      <c r="F46564" s="13"/>
      <c r="M46564" s="13"/>
    </row>
    <row r="46565">
      <c r="F46565" s="13"/>
      <c r="M46565" s="13"/>
    </row>
    <row r="46566">
      <c r="F46566" s="13"/>
      <c r="M46566" s="13"/>
    </row>
    <row r="46567">
      <c r="F46567" s="13"/>
      <c r="M46567" s="13"/>
    </row>
    <row r="46568">
      <c r="F46568" s="13"/>
      <c r="M46568" s="13"/>
    </row>
    <row r="46569">
      <c r="F46569" s="13"/>
      <c r="M46569" s="13"/>
    </row>
    <row r="46570">
      <c r="F46570" s="13"/>
      <c r="M46570" s="13"/>
    </row>
    <row r="46571">
      <c r="F46571" s="13"/>
      <c r="M46571" s="13"/>
    </row>
    <row r="46572">
      <c r="F46572" s="13"/>
      <c r="M46572" s="13"/>
    </row>
    <row r="46573">
      <c r="F46573" s="13"/>
      <c r="M46573" s="13"/>
    </row>
    <row r="46574">
      <c r="F46574" s="13"/>
      <c r="M46574" s="13"/>
    </row>
    <row r="46575">
      <c r="F46575" s="13"/>
      <c r="M46575" s="13"/>
    </row>
    <row r="46576">
      <c r="F46576" s="13"/>
      <c r="M46576" s="13"/>
    </row>
    <row r="46577">
      <c r="F46577" s="13"/>
      <c r="M46577" s="13"/>
    </row>
    <row r="46578">
      <c r="F46578" s="13"/>
      <c r="M46578" s="13"/>
    </row>
    <row r="46579">
      <c r="F46579" s="13"/>
      <c r="M46579" s="13"/>
    </row>
    <row r="46580">
      <c r="F46580" s="13"/>
      <c r="M46580" s="13"/>
    </row>
    <row r="46581">
      <c r="F46581" s="13"/>
      <c r="M46581" s="13"/>
    </row>
    <row r="46582">
      <c r="F46582" s="13"/>
      <c r="M46582" s="13"/>
    </row>
    <row r="46583">
      <c r="F46583" s="13"/>
      <c r="M46583" s="13"/>
    </row>
    <row r="46584">
      <c r="F46584" s="13"/>
      <c r="M46584" s="13"/>
    </row>
    <row r="46585">
      <c r="F46585" s="13"/>
      <c r="M46585" s="13"/>
    </row>
    <row r="46586">
      <c r="F46586" s="13"/>
      <c r="M46586" s="13"/>
    </row>
    <row r="46587">
      <c r="F46587" s="13"/>
      <c r="M46587" s="13"/>
    </row>
    <row r="46588">
      <c r="F46588" s="13"/>
      <c r="M46588" s="13"/>
    </row>
    <row r="46589">
      <c r="F46589" s="13"/>
      <c r="M46589" s="13"/>
    </row>
    <row r="46590">
      <c r="F46590" s="13"/>
      <c r="M46590" s="13"/>
    </row>
    <row r="46591">
      <c r="F46591" s="13"/>
      <c r="M46591" s="13"/>
    </row>
    <row r="46592">
      <c r="F46592" s="13"/>
      <c r="M46592" s="13"/>
    </row>
    <row r="46593">
      <c r="F46593" s="13"/>
      <c r="M46593" s="13"/>
    </row>
    <row r="46594">
      <c r="F46594" s="13"/>
      <c r="M46594" s="13"/>
    </row>
    <row r="46595">
      <c r="F46595" s="13"/>
      <c r="M46595" s="13"/>
    </row>
    <row r="46596">
      <c r="F46596" s="13"/>
      <c r="M46596" s="13"/>
    </row>
    <row r="46597">
      <c r="F46597" s="13"/>
      <c r="M46597" s="13"/>
    </row>
    <row r="46598">
      <c r="F46598" s="13"/>
      <c r="M46598" s="13"/>
    </row>
    <row r="46599">
      <c r="F46599" s="13"/>
      <c r="M46599" s="13"/>
    </row>
    <row r="46600">
      <c r="F46600" s="13"/>
      <c r="M46600" s="13"/>
    </row>
    <row r="46601">
      <c r="F46601" s="13"/>
      <c r="M46601" s="13"/>
    </row>
    <row r="46602">
      <c r="F46602" s="13"/>
      <c r="M46602" s="13"/>
    </row>
    <row r="46603">
      <c r="F46603" s="13"/>
      <c r="M46603" s="13"/>
    </row>
    <row r="46604">
      <c r="F46604" s="13"/>
      <c r="M46604" s="13"/>
    </row>
    <row r="46605">
      <c r="F46605" s="13"/>
      <c r="M46605" s="13"/>
    </row>
    <row r="46606">
      <c r="F46606" s="13"/>
      <c r="M46606" s="13"/>
    </row>
    <row r="46607">
      <c r="F46607" s="13"/>
      <c r="M46607" s="13"/>
    </row>
    <row r="46608">
      <c r="F46608" s="13"/>
      <c r="M46608" s="13"/>
    </row>
    <row r="46609">
      <c r="F46609" s="13"/>
      <c r="M46609" s="13"/>
    </row>
    <row r="46610">
      <c r="F46610" s="13"/>
      <c r="M46610" s="13"/>
    </row>
    <row r="46611">
      <c r="F46611" s="13"/>
      <c r="M46611" s="13"/>
    </row>
    <row r="46612">
      <c r="F46612" s="13"/>
      <c r="M46612" s="13"/>
    </row>
    <row r="46613">
      <c r="F46613" s="13"/>
      <c r="M46613" s="13"/>
    </row>
    <row r="46614">
      <c r="F46614" s="13"/>
      <c r="M46614" s="13"/>
    </row>
    <row r="46615">
      <c r="F46615" s="13"/>
      <c r="M46615" s="13"/>
    </row>
    <row r="46616">
      <c r="F46616" s="13"/>
      <c r="M46616" s="13"/>
    </row>
    <row r="46617">
      <c r="F46617" s="13"/>
      <c r="M46617" s="13"/>
    </row>
    <row r="46618">
      <c r="F46618" s="13"/>
      <c r="M46618" s="13"/>
    </row>
    <row r="46619">
      <c r="F46619" s="13"/>
      <c r="M46619" s="13"/>
    </row>
    <row r="46620">
      <c r="F46620" s="13"/>
      <c r="M46620" s="13"/>
    </row>
    <row r="46621">
      <c r="F46621" s="13"/>
      <c r="M46621" s="13"/>
    </row>
    <row r="46622">
      <c r="F46622" s="13"/>
      <c r="M46622" s="13"/>
    </row>
    <row r="46623">
      <c r="F46623" s="13"/>
      <c r="M46623" s="13"/>
    </row>
    <row r="46624">
      <c r="F46624" s="13"/>
      <c r="M46624" s="13"/>
    </row>
    <row r="46625">
      <c r="F46625" s="13"/>
      <c r="M46625" s="13"/>
    </row>
    <row r="46626">
      <c r="F46626" s="13"/>
      <c r="M46626" s="13"/>
    </row>
    <row r="46627">
      <c r="F46627" s="13"/>
      <c r="M46627" s="13"/>
    </row>
    <row r="46628">
      <c r="F46628" s="13"/>
      <c r="M46628" s="13"/>
    </row>
    <row r="46629">
      <c r="F46629" s="13"/>
      <c r="M46629" s="13"/>
    </row>
    <row r="46630">
      <c r="F46630" s="13"/>
      <c r="M46630" s="13"/>
    </row>
    <row r="46631">
      <c r="F46631" s="13"/>
      <c r="M46631" s="13"/>
    </row>
    <row r="46632">
      <c r="F46632" s="13"/>
      <c r="M46632" s="13"/>
    </row>
    <row r="46633">
      <c r="F46633" s="13"/>
      <c r="M46633" s="13"/>
    </row>
    <row r="46634">
      <c r="F46634" s="13"/>
      <c r="M46634" s="13"/>
    </row>
    <row r="46635">
      <c r="F46635" s="13"/>
      <c r="M46635" s="13"/>
    </row>
    <row r="46636">
      <c r="F46636" s="13"/>
      <c r="M46636" s="13"/>
    </row>
    <row r="46637">
      <c r="F46637" s="13"/>
      <c r="M46637" s="13"/>
    </row>
    <row r="46638">
      <c r="F46638" s="13"/>
      <c r="M46638" s="13"/>
    </row>
    <row r="46639">
      <c r="F46639" s="13"/>
      <c r="M46639" s="13"/>
    </row>
    <row r="46640">
      <c r="F46640" s="13"/>
      <c r="M46640" s="13"/>
    </row>
    <row r="46641">
      <c r="F46641" s="13"/>
      <c r="M46641" s="13"/>
    </row>
    <row r="46642">
      <c r="F46642" s="13"/>
      <c r="M46642" s="13"/>
    </row>
    <row r="46643">
      <c r="F46643" s="13"/>
      <c r="M46643" s="13"/>
    </row>
    <row r="46644">
      <c r="F46644" s="13"/>
      <c r="M46644" s="13"/>
    </row>
    <row r="46645">
      <c r="F46645" s="13"/>
      <c r="M46645" s="13"/>
    </row>
    <row r="46646">
      <c r="F46646" s="13"/>
      <c r="M46646" s="13"/>
    </row>
    <row r="46647">
      <c r="F46647" s="13"/>
      <c r="M46647" s="13"/>
    </row>
    <row r="46648">
      <c r="F46648" s="13"/>
      <c r="M46648" s="13"/>
    </row>
    <row r="46649">
      <c r="F46649" s="13"/>
      <c r="M46649" s="13"/>
    </row>
    <row r="46650">
      <c r="F46650" s="13"/>
      <c r="M46650" s="13"/>
    </row>
    <row r="46651">
      <c r="F46651" s="13"/>
      <c r="M46651" s="13"/>
    </row>
    <row r="46652">
      <c r="F46652" s="13"/>
      <c r="M46652" s="13"/>
    </row>
    <row r="46653">
      <c r="F46653" s="13"/>
      <c r="M46653" s="13"/>
    </row>
    <row r="46654">
      <c r="F46654" s="13"/>
      <c r="M46654" s="13"/>
    </row>
    <row r="46655">
      <c r="F46655" s="13"/>
      <c r="M46655" s="13"/>
    </row>
    <row r="46656">
      <c r="F46656" s="13"/>
      <c r="M46656" s="13"/>
    </row>
    <row r="46657">
      <c r="F46657" s="13"/>
      <c r="M46657" s="13"/>
    </row>
    <row r="46658">
      <c r="F46658" s="13"/>
      <c r="M46658" s="13"/>
    </row>
    <row r="46659">
      <c r="F46659" s="13"/>
      <c r="M46659" s="13"/>
    </row>
    <row r="46660">
      <c r="F46660" s="13"/>
      <c r="M46660" s="13"/>
    </row>
    <row r="46661">
      <c r="F46661" s="13"/>
      <c r="M46661" s="13"/>
    </row>
    <row r="46662">
      <c r="F46662" s="13"/>
      <c r="M46662" s="13"/>
    </row>
    <row r="46663">
      <c r="F46663" s="13"/>
      <c r="M46663" s="13"/>
    </row>
    <row r="46664">
      <c r="F46664" s="13"/>
      <c r="M46664" s="13"/>
    </row>
    <row r="46665">
      <c r="F46665" s="13"/>
      <c r="M46665" s="13"/>
    </row>
    <row r="46666">
      <c r="F46666" s="13"/>
      <c r="M46666" s="13"/>
    </row>
    <row r="46667">
      <c r="F46667" s="13"/>
      <c r="M46667" s="13"/>
    </row>
    <row r="46668">
      <c r="F46668" s="13"/>
      <c r="M46668" s="13"/>
    </row>
    <row r="46669">
      <c r="F46669" s="13"/>
      <c r="M46669" s="13"/>
    </row>
    <row r="46670">
      <c r="F46670" s="13"/>
      <c r="M46670" s="13"/>
    </row>
    <row r="46671">
      <c r="F46671" s="13"/>
      <c r="M46671" s="13"/>
    </row>
    <row r="46672">
      <c r="F46672" s="13"/>
      <c r="M46672" s="13"/>
    </row>
    <row r="46673">
      <c r="F46673" s="13"/>
      <c r="M46673" s="13"/>
    </row>
    <row r="46674">
      <c r="F46674" s="13"/>
      <c r="M46674" s="13"/>
    </row>
    <row r="46675">
      <c r="F46675" s="13"/>
      <c r="M46675" s="13"/>
    </row>
    <row r="46676">
      <c r="F46676" s="13"/>
      <c r="M46676" s="13"/>
    </row>
    <row r="46677">
      <c r="F46677" s="13"/>
      <c r="M46677" s="13"/>
    </row>
    <row r="46678">
      <c r="F46678" s="13"/>
      <c r="M46678" s="13"/>
    </row>
    <row r="46679">
      <c r="F46679" s="13"/>
      <c r="M46679" s="13"/>
    </row>
    <row r="46680">
      <c r="F46680" s="13"/>
      <c r="M46680" s="13"/>
    </row>
    <row r="46681">
      <c r="F46681" s="13"/>
      <c r="M46681" s="13"/>
    </row>
    <row r="46682">
      <c r="F46682" s="13"/>
      <c r="M46682" s="13"/>
    </row>
    <row r="46683">
      <c r="F46683" s="13"/>
      <c r="M46683" s="13"/>
    </row>
    <row r="46684">
      <c r="F46684" s="13"/>
      <c r="M46684" s="13"/>
    </row>
    <row r="46685">
      <c r="F46685" s="13"/>
      <c r="M46685" s="13"/>
    </row>
    <row r="46686">
      <c r="F46686" s="13"/>
      <c r="M46686" s="13"/>
    </row>
    <row r="46687">
      <c r="F46687" s="13"/>
      <c r="M46687" s="13"/>
    </row>
    <row r="46688">
      <c r="F46688" s="13"/>
      <c r="M46688" s="13"/>
    </row>
    <row r="46689">
      <c r="F46689" s="13"/>
      <c r="M46689" s="13"/>
    </row>
    <row r="46690">
      <c r="F46690" s="13"/>
      <c r="M46690" s="13"/>
    </row>
    <row r="46691">
      <c r="F46691" s="13"/>
      <c r="M46691" s="13"/>
    </row>
    <row r="46692">
      <c r="F46692" s="13"/>
      <c r="M46692" s="13"/>
    </row>
    <row r="46693">
      <c r="F46693" s="13"/>
      <c r="M46693" s="13"/>
    </row>
    <row r="46694">
      <c r="F46694" s="13"/>
      <c r="M46694" s="13"/>
    </row>
    <row r="46695">
      <c r="F46695" s="13"/>
      <c r="M46695" s="13"/>
    </row>
    <row r="46696">
      <c r="F46696" s="13"/>
      <c r="M46696" s="13"/>
    </row>
    <row r="46697">
      <c r="F46697" s="13"/>
      <c r="M46697" s="13"/>
    </row>
    <row r="46698">
      <c r="F46698" s="13"/>
      <c r="M46698" s="13"/>
    </row>
    <row r="46699">
      <c r="F46699" s="13"/>
      <c r="M46699" s="13"/>
    </row>
    <row r="46700">
      <c r="F46700" s="13"/>
      <c r="M46700" s="13"/>
    </row>
    <row r="46701">
      <c r="F46701" s="13"/>
      <c r="M46701" s="13"/>
    </row>
    <row r="46702">
      <c r="F46702" s="13"/>
      <c r="M46702" s="13"/>
    </row>
    <row r="46703">
      <c r="F46703" s="13"/>
      <c r="M46703" s="13"/>
    </row>
    <row r="46704">
      <c r="F46704" s="13"/>
      <c r="M46704" s="13"/>
    </row>
    <row r="46705">
      <c r="F46705" s="13"/>
      <c r="M46705" s="13"/>
    </row>
    <row r="46706">
      <c r="F46706" s="13"/>
      <c r="M46706" s="13"/>
    </row>
    <row r="46707">
      <c r="F46707" s="13"/>
      <c r="M46707" s="13"/>
    </row>
    <row r="46708">
      <c r="F46708" s="13"/>
      <c r="M46708" s="13"/>
    </row>
    <row r="46709">
      <c r="F46709" s="13"/>
      <c r="M46709" s="13"/>
    </row>
    <row r="46710">
      <c r="F46710" s="13"/>
      <c r="M46710" s="13"/>
    </row>
    <row r="46711">
      <c r="F46711" s="13"/>
      <c r="M46711" s="13"/>
    </row>
    <row r="46712">
      <c r="F46712" s="13"/>
      <c r="M46712" s="13"/>
    </row>
    <row r="46713">
      <c r="F46713" s="13"/>
      <c r="M46713" s="13"/>
    </row>
    <row r="46714">
      <c r="F46714" s="13"/>
      <c r="M46714" s="13"/>
    </row>
    <row r="46715">
      <c r="F46715" s="13"/>
      <c r="M46715" s="13"/>
    </row>
    <row r="46716">
      <c r="F46716" s="13"/>
      <c r="M46716" s="13"/>
    </row>
    <row r="46717">
      <c r="F46717" s="13"/>
      <c r="M46717" s="13"/>
    </row>
    <row r="46718">
      <c r="F46718" s="13"/>
      <c r="M46718" s="13"/>
    </row>
    <row r="46719">
      <c r="F46719" s="13"/>
      <c r="M46719" s="13"/>
    </row>
    <row r="46720">
      <c r="F46720" s="13"/>
      <c r="M46720" s="13"/>
    </row>
    <row r="46721">
      <c r="F46721" s="13"/>
      <c r="M46721" s="13"/>
    </row>
    <row r="46722">
      <c r="F46722" s="13"/>
      <c r="M46722" s="13"/>
    </row>
    <row r="46723">
      <c r="F46723" s="13"/>
      <c r="M46723" s="13"/>
    </row>
    <row r="46724">
      <c r="F46724" s="13"/>
      <c r="M46724" s="13"/>
    </row>
    <row r="46725">
      <c r="F46725" s="13"/>
      <c r="M46725" s="13"/>
    </row>
    <row r="46726">
      <c r="F46726" s="13"/>
      <c r="M46726" s="13"/>
    </row>
    <row r="46727">
      <c r="F46727" s="13"/>
      <c r="M46727" s="13"/>
    </row>
    <row r="46728">
      <c r="F46728" s="13"/>
      <c r="M46728" s="13"/>
    </row>
    <row r="46729">
      <c r="F46729" s="13"/>
      <c r="M46729" s="13"/>
    </row>
    <row r="46730">
      <c r="F46730" s="13"/>
      <c r="M46730" s="13"/>
    </row>
    <row r="46731">
      <c r="F46731" s="13"/>
      <c r="M46731" s="13"/>
    </row>
    <row r="46732">
      <c r="F46732" s="13"/>
      <c r="M46732" s="13"/>
    </row>
    <row r="46733">
      <c r="F46733" s="13"/>
      <c r="M46733" s="13"/>
    </row>
    <row r="46734">
      <c r="F46734" s="13"/>
      <c r="M46734" s="13"/>
    </row>
    <row r="46735">
      <c r="F46735" s="13"/>
      <c r="M46735" s="13"/>
    </row>
    <row r="46736">
      <c r="F46736" s="13"/>
      <c r="M46736" s="13"/>
    </row>
    <row r="46737">
      <c r="F46737" s="13"/>
      <c r="M46737" s="13"/>
    </row>
    <row r="46738">
      <c r="F46738" s="13"/>
      <c r="M46738" s="13"/>
    </row>
    <row r="46739">
      <c r="F46739" s="13"/>
      <c r="M46739" s="13"/>
    </row>
    <row r="46740">
      <c r="F46740" s="13"/>
      <c r="M46740" s="13"/>
    </row>
    <row r="46741">
      <c r="F46741" s="13"/>
      <c r="M46741" s="13"/>
    </row>
    <row r="46742">
      <c r="F46742" s="13"/>
      <c r="M46742" s="13"/>
    </row>
    <row r="46743">
      <c r="F46743" s="13"/>
      <c r="M46743" s="13"/>
    </row>
    <row r="46744">
      <c r="F46744" s="13"/>
      <c r="M46744" s="13"/>
    </row>
    <row r="46745">
      <c r="F46745" s="13"/>
      <c r="M46745" s="13"/>
    </row>
    <row r="46746">
      <c r="F46746" s="13"/>
      <c r="M46746" s="13"/>
    </row>
    <row r="46747">
      <c r="F46747" s="13"/>
      <c r="M46747" s="13"/>
    </row>
    <row r="46748">
      <c r="F46748" s="13"/>
      <c r="M46748" s="13"/>
    </row>
    <row r="46749">
      <c r="F46749" s="13"/>
      <c r="M46749" s="13"/>
    </row>
    <row r="46750">
      <c r="F46750" s="13"/>
      <c r="M46750" s="13"/>
    </row>
    <row r="46751">
      <c r="F46751" s="13"/>
      <c r="M46751" s="13"/>
    </row>
    <row r="46752">
      <c r="F46752" s="13"/>
      <c r="M46752" s="13"/>
    </row>
    <row r="46753">
      <c r="F46753" s="13"/>
      <c r="M46753" s="13"/>
    </row>
    <row r="46754">
      <c r="F46754" s="13"/>
      <c r="M46754" s="13"/>
    </row>
    <row r="46755">
      <c r="F46755" s="13"/>
      <c r="M46755" s="13"/>
    </row>
    <row r="46756">
      <c r="F46756" s="13"/>
      <c r="M46756" s="13"/>
    </row>
    <row r="46757">
      <c r="F46757" s="13"/>
      <c r="M46757" s="13"/>
    </row>
    <row r="46758">
      <c r="F46758" s="13"/>
      <c r="M46758" s="13"/>
    </row>
    <row r="46759">
      <c r="F46759" s="13"/>
      <c r="M46759" s="13"/>
    </row>
    <row r="46760">
      <c r="F46760" s="13"/>
      <c r="M46760" s="13"/>
    </row>
    <row r="46761">
      <c r="F46761" s="13"/>
      <c r="M46761" s="13"/>
    </row>
    <row r="46762">
      <c r="F46762" s="13"/>
      <c r="M46762" s="13"/>
    </row>
    <row r="46763">
      <c r="F46763" s="13"/>
      <c r="M46763" s="13"/>
    </row>
    <row r="46764">
      <c r="F46764" s="13"/>
      <c r="M46764" s="13"/>
    </row>
    <row r="46765">
      <c r="F46765" s="13"/>
      <c r="M46765" s="13"/>
    </row>
    <row r="46766">
      <c r="F46766" s="13"/>
      <c r="M46766" s="13"/>
    </row>
    <row r="46767">
      <c r="F46767" s="13"/>
      <c r="M46767" s="13"/>
    </row>
    <row r="46768">
      <c r="F46768" s="13"/>
      <c r="M46768" s="13"/>
    </row>
    <row r="46769">
      <c r="F46769" s="13"/>
      <c r="M46769" s="13"/>
    </row>
    <row r="46770">
      <c r="F46770" s="13"/>
      <c r="M46770" s="13"/>
    </row>
    <row r="46771">
      <c r="F46771" s="13"/>
      <c r="M46771" s="13"/>
    </row>
    <row r="46772">
      <c r="F46772" s="13"/>
      <c r="M46772" s="13"/>
    </row>
    <row r="46773">
      <c r="F46773" s="13"/>
      <c r="M46773" s="13"/>
    </row>
    <row r="46774">
      <c r="F46774" s="13"/>
      <c r="M46774" s="13"/>
    </row>
    <row r="46775">
      <c r="F46775" s="13"/>
      <c r="M46775" s="13"/>
    </row>
    <row r="46776">
      <c r="F46776" s="13"/>
      <c r="M46776" s="13"/>
    </row>
    <row r="46777">
      <c r="F46777" s="13"/>
      <c r="M46777" s="13"/>
    </row>
    <row r="46778">
      <c r="F46778" s="13"/>
      <c r="M46778" s="13"/>
    </row>
    <row r="46779">
      <c r="F46779" s="13"/>
      <c r="M46779" s="13"/>
    </row>
    <row r="46780">
      <c r="F46780" s="13"/>
      <c r="M46780" s="13"/>
    </row>
    <row r="46781">
      <c r="F46781" s="13"/>
      <c r="M46781" s="13"/>
    </row>
    <row r="46782">
      <c r="F46782" s="13"/>
      <c r="M46782" s="13"/>
    </row>
    <row r="46783">
      <c r="F46783" s="13"/>
      <c r="M46783" s="13"/>
    </row>
    <row r="46784">
      <c r="F46784" s="13"/>
      <c r="M46784" s="13"/>
    </row>
    <row r="46785">
      <c r="F46785" s="13"/>
      <c r="M46785" s="13"/>
    </row>
    <row r="46786">
      <c r="F46786" s="13"/>
      <c r="M46786" s="13"/>
    </row>
    <row r="46787">
      <c r="F46787" s="13"/>
      <c r="M46787" s="13"/>
    </row>
    <row r="46788">
      <c r="F46788" s="13"/>
      <c r="M46788" s="13"/>
    </row>
    <row r="46789">
      <c r="F46789" s="13"/>
      <c r="M46789" s="13"/>
    </row>
    <row r="46790">
      <c r="F46790" s="13"/>
      <c r="M46790" s="13"/>
    </row>
    <row r="46791">
      <c r="F46791" s="13"/>
      <c r="M46791" s="13"/>
    </row>
    <row r="46792">
      <c r="F46792" s="13"/>
      <c r="M46792" s="13"/>
    </row>
    <row r="46793">
      <c r="F46793" s="13"/>
      <c r="M46793" s="13"/>
    </row>
    <row r="46794">
      <c r="F46794" s="13"/>
      <c r="M46794" s="13"/>
    </row>
    <row r="46795">
      <c r="F46795" s="13"/>
      <c r="M46795" s="13"/>
    </row>
    <row r="46796">
      <c r="F46796" s="13"/>
      <c r="M46796" s="13"/>
    </row>
    <row r="46797">
      <c r="F46797" s="13"/>
      <c r="M46797" s="13"/>
    </row>
    <row r="46798">
      <c r="F46798" s="13"/>
      <c r="M46798" s="13"/>
    </row>
    <row r="46799">
      <c r="F46799" s="13"/>
      <c r="M46799" s="13"/>
    </row>
    <row r="46800">
      <c r="F46800" s="13"/>
      <c r="M46800" s="13"/>
    </row>
    <row r="46801">
      <c r="F46801" s="13"/>
      <c r="M46801" s="13"/>
    </row>
    <row r="46802">
      <c r="F46802" s="13"/>
      <c r="M46802" s="13"/>
    </row>
    <row r="46803">
      <c r="F46803" s="13"/>
      <c r="M46803" s="13"/>
    </row>
    <row r="46804">
      <c r="F46804" s="13"/>
      <c r="M46804" s="13"/>
    </row>
    <row r="46805">
      <c r="F46805" s="13"/>
      <c r="M46805" s="13"/>
    </row>
    <row r="46806">
      <c r="F46806" s="13"/>
      <c r="M46806" s="13"/>
    </row>
    <row r="46807">
      <c r="F46807" s="13"/>
      <c r="M46807" s="13"/>
    </row>
    <row r="46808">
      <c r="F46808" s="13"/>
      <c r="M46808" s="13"/>
    </row>
    <row r="46809">
      <c r="F46809" s="13"/>
      <c r="M46809" s="13"/>
    </row>
    <row r="46810">
      <c r="F46810" s="13"/>
      <c r="M46810" s="13"/>
    </row>
    <row r="46811">
      <c r="F46811" s="13"/>
      <c r="M46811" s="13"/>
    </row>
    <row r="46812">
      <c r="F46812" s="13"/>
      <c r="M46812" s="13"/>
    </row>
    <row r="46813">
      <c r="F46813" s="13"/>
      <c r="M46813" s="13"/>
    </row>
    <row r="46814">
      <c r="F46814" s="13"/>
      <c r="M46814" s="13"/>
    </row>
    <row r="46815">
      <c r="F46815" s="13"/>
      <c r="M46815" s="13"/>
    </row>
    <row r="46816">
      <c r="F46816" s="13"/>
      <c r="M46816" s="13"/>
    </row>
    <row r="46817">
      <c r="F46817" s="13"/>
      <c r="M46817" s="13"/>
    </row>
    <row r="46818">
      <c r="F46818" s="13"/>
      <c r="M46818" s="13"/>
    </row>
    <row r="46819">
      <c r="F46819" s="13"/>
      <c r="M46819" s="13"/>
    </row>
    <row r="46820">
      <c r="F46820" s="13"/>
      <c r="M46820" s="13"/>
    </row>
    <row r="46821">
      <c r="F46821" s="13"/>
      <c r="M46821" s="13"/>
    </row>
    <row r="46822">
      <c r="F46822" s="13"/>
      <c r="M46822" s="13"/>
    </row>
    <row r="46823">
      <c r="F46823" s="13"/>
      <c r="M46823" s="13"/>
    </row>
    <row r="46824">
      <c r="F46824" s="13"/>
      <c r="M46824" s="13"/>
    </row>
    <row r="46825">
      <c r="F46825" s="13"/>
      <c r="M46825" s="13"/>
    </row>
    <row r="46826">
      <c r="F46826" s="13"/>
      <c r="M46826" s="13"/>
    </row>
    <row r="46827">
      <c r="F46827" s="13"/>
      <c r="M46827" s="13"/>
    </row>
    <row r="46828">
      <c r="F46828" s="13"/>
      <c r="M46828" s="13"/>
    </row>
    <row r="46829">
      <c r="F46829" s="13"/>
      <c r="M46829" s="13"/>
    </row>
    <row r="46830">
      <c r="F46830" s="13"/>
      <c r="M46830" s="13"/>
    </row>
    <row r="46831">
      <c r="F46831" s="13"/>
      <c r="M46831" s="13"/>
    </row>
    <row r="46832">
      <c r="F46832" s="13"/>
      <c r="M46832" s="13"/>
    </row>
    <row r="46833">
      <c r="F46833" s="13"/>
      <c r="M46833" s="13"/>
    </row>
    <row r="46834">
      <c r="F46834" s="13"/>
      <c r="M46834" s="13"/>
    </row>
    <row r="46835">
      <c r="F46835" s="13"/>
      <c r="M46835" s="13"/>
    </row>
    <row r="46836">
      <c r="F46836" s="13"/>
      <c r="M46836" s="13"/>
    </row>
    <row r="46837">
      <c r="F46837" s="13"/>
      <c r="M46837" s="13"/>
    </row>
    <row r="46838">
      <c r="F46838" s="13"/>
      <c r="M46838" s="13"/>
    </row>
    <row r="46839">
      <c r="F46839" s="13"/>
      <c r="M46839" s="13"/>
    </row>
    <row r="46840">
      <c r="F46840" s="13"/>
      <c r="M46840" s="13"/>
    </row>
    <row r="46841">
      <c r="F46841" s="13"/>
      <c r="M46841" s="13"/>
    </row>
    <row r="46842">
      <c r="F46842" s="13"/>
      <c r="M46842" s="13"/>
    </row>
    <row r="46843">
      <c r="F46843" s="13"/>
      <c r="M46843" s="13"/>
    </row>
    <row r="46844">
      <c r="F46844" s="13"/>
      <c r="M46844" s="13"/>
    </row>
    <row r="46845">
      <c r="F46845" s="13"/>
      <c r="M46845" s="13"/>
    </row>
    <row r="46846">
      <c r="F46846" s="13"/>
      <c r="M46846" s="13"/>
    </row>
    <row r="46847">
      <c r="F46847" s="13"/>
      <c r="M46847" s="13"/>
    </row>
    <row r="46848">
      <c r="F46848" s="13"/>
      <c r="M46848" s="13"/>
    </row>
    <row r="46849">
      <c r="F46849" s="13"/>
      <c r="M46849" s="13"/>
    </row>
    <row r="46850">
      <c r="F46850" s="13"/>
      <c r="M46850" s="13"/>
    </row>
    <row r="46851">
      <c r="F46851" s="13"/>
      <c r="M46851" s="13"/>
    </row>
    <row r="46852">
      <c r="F46852" s="13"/>
      <c r="M46852" s="13"/>
    </row>
    <row r="46853">
      <c r="F46853" s="13"/>
      <c r="M46853" s="13"/>
    </row>
    <row r="46854">
      <c r="F46854" s="13"/>
      <c r="M46854" s="13"/>
    </row>
    <row r="46855">
      <c r="F46855" s="13"/>
      <c r="M46855" s="13"/>
    </row>
    <row r="46856">
      <c r="F46856" s="13"/>
      <c r="M46856" s="13"/>
    </row>
    <row r="46857">
      <c r="F46857" s="13"/>
      <c r="M46857" s="13"/>
    </row>
    <row r="46858">
      <c r="F46858" s="13"/>
      <c r="M46858" s="13"/>
    </row>
    <row r="46859">
      <c r="F46859" s="13"/>
      <c r="M46859" s="13"/>
    </row>
    <row r="46860">
      <c r="F46860" s="13"/>
      <c r="M46860" s="13"/>
    </row>
    <row r="46861">
      <c r="F46861" s="13"/>
      <c r="M46861" s="13"/>
    </row>
    <row r="46862">
      <c r="F46862" s="13"/>
      <c r="M46862" s="13"/>
    </row>
    <row r="46863">
      <c r="F46863" s="13"/>
      <c r="M46863" s="13"/>
    </row>
    <row r="46864">
      <c r="F46864" s="13"/>
      <c r="M46864" s="13"/>
    </row>
    <row r="46865">
      <c r="F46865" s="13"/>
      <c r="M46865" s="13"/>
    </row>
    <row r="46866">
      <c r="F46866" s="13"/>
      <c r="M46866" s="13"/>
    </row>
    <row r="46867">
      <c r="F46867" s="13"/>
      <c r="M46867" s="13"/>
    </row>
    <row r="46868">
      <c r="F46868" s="13"/>
      <c r="M46868" s="13"/>
    </row>
    <row r="46869">
      <c r="F46869" s="13"/>
      <c r="M46869" s="13"/>
    </row>
    <row r="46870">
      <c r="F46870" s="13"/>
      <c r="M46870" s="13"/>
    </row>
    <row r="46871">
      <c r="F46871" s="13"/>
      <c r="M46871" s="13"/>
    </row>
    <row r="46872">
      <c r="F46872" s="13"/>
      <c r="M46872" s="13"/>
    </row>
    <row r="46873">
      <c r="F46873" s="13"/>
      <c r="M46873" s="13"/>
    </row>
    <row r="46874">
      <c r="F46874" s="13"/>
      <c r="M46874" s="13"/>
    </row>
    <row r="46875">
      <c r="F46875" s="13"/>
      <c r="M46875" s="13"/>
    </row>
    <row r="46876">
      <c r="F46876" s="13"/>
      <c r="M46876" s="13"/>
    </row>
    <row r="46877">
      <c r="F46877" s="13"/>
      <c r="M46877" s="13"/>
    </row>
    <row r="46878">
      <c r="F46878" s="13"/>
      <c r="M46878" s="13"/>
    </row>
    <row r="46879">
      <c r="F46879" s="13"/>
      <c r="M46879" s="13"/>
    </row>
    <row r="46880">
      <c r="F46880" s="13"/>
      <c r="M46880" s="13"/>
    </row>
    <row r="46881">
      <c r="F46881" s="13"/>
      <c r="M46881" s="13"/>
    </row>
    <row r="46882">
      <c r="F46882" s="13"/>
      <c r="M46882" s="13"/>
    </row>
    <row r="46883">
      <c r="F46883" s="13"/>
      <c r="M46883" s="13"/>
    </row>
    <row r="46884">
      <c r="F46884" s="13"/>
      <c r="M46884" s="13"/>
    </row>
    <row r="46885">
      <c r="F46885" s="13"/>
      <c r="M46885" s="13"/>
    </row>
    <row r="46886">
      <c r="F46886" s="13"/>
      <c r="M46886" s="13"/>
    </row>
    <row r="46887">
      <c r="F46887" s="13"/>
      <c r="M46887" s="13"/>
    </row>
    <row r="46888">
      <c r="F46888" s="13"/>
      <c r="M46888" s="13"/>
    </row>
    <row r="46889">
      <c r="F46889" s="13"/>
      <c r="M46889" s="13"/>
    </row>
    <row r="46890">
      <c r="F46890" s="13"/>
      <c r="M46890" s="13"/>
    </row>
    <row r="46891">
      <c r="F46891" s="13"/>
      <c r="M46891" s="13"/>
    </row>
    <row r="46892">
      <c r="F46892" s="13"/>
      <c r="M46892" s="13"/>
    </row>
    <row r="46893">
      <c r="F46893" s="13"/>
      <c r="M46893" s="13"/>
    </row>
    <row r="46894">
      <c r="F46894" s="13"/>
      <c r="M46894" s="13"/>
    </row>
    <row r="46895">
      <c r="F46895" s="13"/>
      <c r="M46895" s="13"/>
    </row>
    <row r="46896">
      <c r="F46896" s="13"/>
      <c r="M46896" s="13"/>
    </row>
    <row r="46897">
      <c r="F46897" s="13"/>
      <c r="M46897" s="13"/>
    </row>
    <row r="46898">
      <c r="F46898" s="13"/>
      <c r="M46898" s="13"/>
    </row>
    <row r="46899">
      <c r="F46899" s="13"/>
      <c r="M46899" s="13"/>
    </row>
    <row r="46900">
      <c r="F46900" s="13"/>
      <c r="M46900" s="13"/>
    </row>
    <row r="46901">
      <c r="F46901" s="13"/>
      <c r="M46901" s="13"/>
    </row>
    <row r="46902">
      <c r="F46902" s="13"/>
      <c r="M46902" s="13"/>
    </row>
    <row r="46903">
      <c r="F46903" s="13"/>
      <c r="M46903" s="13"/>
    </row>
    <row r="46904">
      <c r="F46904" s="13"/>
      <c r="M46904" s="13"/>
    </row>
    <row r="46905">
      <c r="F46905" s="13"/>
      <c r="M46905" s="13"/>
    </row>
    <row r="46906">
      <c r="F46906" s="13"/>
      <c r="M46906" s="13"/>
    </row>
    <row r="46907">
      <c r="F46907" s="13"/>
      <c r="M46907" s="13"/>
    </row>
    <row r="46908">
      <c r="F46908" s="13"/>
      <c r="M46908" s="13"/>
    </row>
    <row r="46909">
      <c r="F46909" s="13"/>
      <c r="M46909" s="13"/>
    </row>
    <row r="46910">
      <c r="F46910" s="13"/>
      <c r="M46910" s="13"/>
    </row>
    <row r="46911">
      <c r="F46911" s="13"/>
      <c r="M46911" s="13"/>
    </row>
    <row r="46912">
      <c r="F46912" s="13"/>
      <c r="M46912" s="13"/>
    </row>
    <row r="46913">
      <c r="F46913" s="13"/>
      <c r="M46913" s="13"/>
    </row>
    <row r="46914">
      <c r="F46914" s="13"/>
      <c r="M46914" s="13"/>
    </row>
    <row r="46915">
      <c r="F46915" s="13"/>
      <c r="M46915" s="13"/>
    </row>
    <row r="46916">
      <c r="F46916" s="13"/>
      <c r="M46916" s="13"/>
    </row>
    <row r="46917">
      <c r="F46917" s="13"/>
      <c r="M46917" s="13"/>
    </row>
    <row r="46918">
      <c r="F46918" s="13"/>
      <c r="M46918" s="13"/>
    </row>
    <row r="46919">
      <c r="F46919" s="13"/>
      <c r="M46919" s="13"/>
    </row>
    <row r="46920">
      <c r="F46920" s="13"/>
      <c r="M46920" s="13"/>
    </row>
    <row r="46921">
      <c r="F46921" s="13"/>
      <c r="M46921" s="13"/>
    </row>
    <row r="46922">
      <c r="F46922" s="13"/>
      <c r="M46922" s="13"/>
    </row>
    <row r="46923">
      <c r="F46923" s="13"/>
      <c r="M46923" s="13"/>
    </row>
    <row r="46924">
      <c r="F46924" s="13"/>
      <c r="M46924" s="13"/>
    </row>
    <row r="46925">
      <c r="F46925" s="13"/>
      <c r="M46925" s="13"/>
    </row>
    <row r="46926">
      <c r="F46926" s="13"/>
      <c r="M46926" s="13"/>
    </row>
    <row r="46927">
      <c r="F46927" s="13"/>
      <c r="M46927" s="13"/>
    </row>
    <row r="46928">
      <c r="F46928" s="13"/>
      <c r="M46928" s="13"/>
    </row>
    <row r="46929">
      <c r="F46929" s="13"/>
      <c r="M46929" s="13"/>
    </row>
    <row r="46930">
      <c r="F46930" s="13"/>
      <c r="M46930" s="13"/>
    </row>
    <row r="46931">
      <c r="F46931" s="13"/>
      <c r="M46931" s="13"/>
    </row>
    <row r="46932">
      <c r="F46932" s="13"/>
      <c r="M46932" s="13"/>
    </row>
    <row r="46933">
      <c r="F46933" s="13"/>
      <c r="M46933" s="13"/>
    </row>
    <row r="46934">
      <c r="F46934" s="13"/>
      <c r="M46934" s="13"/>
    </row>
    <row r="46935">
      <c r="F46935" s="13"/>
      <c r="M46935" s="13"/>
    </row>
    <row r="46936">
      <c r="F46936" s="13"/>
      <c r="M46936" s="13"/>
    </row>
    <row r="46937">
      <c r="F46937" s="13"/>
      <c r="M46937" s="13"/>
    </row>
    <row r="46938">
      <c r="F46938" s="13"/>
      <c r="M46938" s="13"/>
    </row>
    <row r="46939">
      <c r="F46939" s="13"/>
      <c r="M46939" s="13"/>
    </row>
    <row r="46940">
      <c r="F46940" s="13"/>
      <c r="M46940" s="13"/>
    </row>
    <row r="46941">
      <c r="F46941" s="13"/>
      <c r="M46941" s="13"/>
    </row>
    <row r="46942">
      <c r="F46942" s="13"/>
      <c r="M46942" s="13"/>
    </row>
    <row r="46943">
      <c r="F46943" s="13"/>
      <c r="M46943" s="13"/>
    </row>
    <row r="46944">
      <c r="F46944" s="13"/>
      <c r="M46944" s="13"/>
    </row>
    <row r="46945">
      <c r="F46945" s="13"/>
      <c r="M46945" s="13"/>
    </row>
    <row r="46946">
      <c r="F46946" s="13"/>
      <c r="M46946" s="13"/>
    </row>
    <row r="46947">
      <c r="F46947" s="13"/>
      <c r="M46947" s="13"/>
    </row>
    <row r="46948">
      <c r="F46948" s="13"/>
      <c r="M46948" s="13"/>
    </row>
    <row r="46949">
      <c r="F46949" s="13"/>
      <c r="M46949" s="13"/>
    </row>
    <row r="46950">
      <c r="F46950" s="13"/>
      <c r="M46950" s="13"/>
    </row>
    <row r="46951">
      <c r="F46951" s="13"/>
      <c r="M46951" s="13"/>
    </row>
    <row r="46952">
      <c r="F46952" s="13"/>
      <c r="M46952" s="13"/>
    </row>
    <row r="46953">
      <c r="F46953" s="13"/>
      <c r="M46953" s="13"/>
    </row>
    <row r="46954">
      <c r="F46954" s="13"/>
      <c r="M46954" s="13"/>
    </row>
    <row r="46955">
      <c r="F46955" s="13"/>
      <c r="M46955" s="13"/>
    </row>
    <row r="46956">
      <c r="F46956" s="13"/>
      <c r="M46956" s="13"/>
    </row>
    <row r="46957">
      <c r="F46957" s="13"/>
      <c r="M46957" s="13"/>
    </row>
    <row r="46958">
      <c r="F46958" s="13"/>
      <c r="M46958" s="13"/>
    </row>
    <row r="46959">
      <c r="F46959" s="13"/>
      <c r="M46959" s="13"/>
    </row>
    <row r="46960">
      <c r="F46960" s="13"/>
      <c r="M46960" s="13"/>
    </row>
    <row r="46961">
      <c r="F46961" s="13"/>
      <c r="M46961" s="13"/>
    </row>
    <row r="46962">
      <c r="F46962" s="13"/>
      <c r="M46962" s="13"/>
    </row>
    <row r="46963">
      <c r="F46963" s="13"/>
      <c r="M46963" s="13"/>
    </row>
    <row r="46964">
      <c r="F46964" s="13"/>
      <c r="M46964" s="13"/>
    </row>
    <row r="46965">
      <c r="F46965" s="13"/>
      <c r="M46965" s="13"/>
    </row>
    <row r="46966">
      <c r="F46966" s="13"/>
      <c r="M46966" s="13"/>
    </row>
    <row r="46967">
      <c r="F46967" s="13"/>
      <c r="M46967" s="13"/>
    </row>
    <row r="46968">
      <c r="F46968" s="13"/>
      <c r="M46968" s="13"/>
    </row>
    <row r="46969">
      <c r="F46969" s="13"/>
      <c r="M46969" s="13"/>
    </row>
    <row r="46970">
      <c r="F46970" s="13"/>
      <c r="M46970" s="13"/>
    </row>
    <row r="46971">
      <c r="F46971" s="13"/>
      <c r="M46971" s="13"/>
    </row>
    <row r="46972">
      <c r="F46972" s="13"/>
      <c r="M46972" s="13"/>
    </row>
    <row r="46973">
      <c r="F46973" s="13"/>
      <c r="M46973" s="13"/>
    </row>
    <row r="46974">
      <c r="F46974" s="13"/>
      <c r="M46974" s="13"/>
    </row>
    <row r="46975">
      <c r="F46975" s="13"/>
      <c r="M46975" s="13"/>
    </row>
    <row r="46976">
      <c r="F46976" s="13"/>
      <c r="M46976" s="13"/>
    </row>
    <row r="46977">
      <c r="F46977" s="13"/>
      <c r="M46977" s="13"/>
    </row>
    <row r="46978">
      <c r="F46978" s="13"/>
      <c r="M46978" s="13"/>
    </row>
    <row r="46979">
      <c r="F46979" s="13"/>
      <c r="M46979" s="13"/>
    </row>
    <row r="46980">
      <c r="F46980" s="13"/>
      <c r="M46980" s="13"/>
    </row>
    <row r="46981">
      <c r="F46981" s="13"/>
      <c r="M46981" s="13"/>
    </row>
    <row r="46982">
      <c r="F46982" s="13"/>
      <c r="M46982" s="13"/>
    </row>
    <row r="46983">
      <c r="F46983" s="13"/>
      <c r="M46983" s="13"/>
    </row>
    <row r="46984">
      <c r="F46984" s="13"/>
      <c r="M46984" s="13"/>
    </row>
    <row r="46985">
      <c r="F46985" s="13"/>
      <c r="M46985" s="13"/>
    </row>
    <row r="46986">
      <c r="F46986" s="13"/>
      <c r="M46986" s="13"/>
    </row>
    <row r="46987">
      <c r="F46987" s="13"/>
      <c r="M46987" s="13"/>
    </row>
    <row r="46988">
      <c r="F46988" s="13"/>
      <c r="M46988" s="13"/>
    </row>
    <row r="46989">
      <c r="F46989" s="13"/>
      <c r="M46989" s="13"/>
    </row>
    <row r="46990">
      <c r="F46990" s="13"/>
      <c r="M46990" s="13"/>
    </row>
    <row r="46991">
      <c r="F46991" s="13"/>
      <c r="M46991" s="13"/>
    </row>
    <row r="46992">
      <c r="F46992" s="13"/>
      <c r="M46992" s="13"/>
    </row>
    <row r="46993">
      <c r="F46993" s="13"/>
      <c r="M46993" s="13"/>
    </row>
    <row r="46994">
      <c r="F46994" s="13"/>
      <c r="M46994" s="13"/>
    </row>
    <row r="46995">
      <c r="F46995" s="13"/>
      <c r="M46995" s="13"/>
    </row>
    <row r="46996">
      <c r="F46996" s="13"/>
      <c r="M46996" s="13"/>
    </row>
    <row r="46997">
      <c r="F46997" s="13"/>
      <c r="M46997" s="13"/>
    </row>
    <row r="46998">
      <c r="F46998" s="13"/>
      <c r="M46998" s="13"/>
    </row>
    <row r="46999">
      <c r="F46999" s="13"/>
      <c r="M46999" s="13"/>
    </row>
    <row r="47000">
      <c r="F47000" s="13"/>
      <c r="M47000" s="13"/>
    </row>
    <row r="47001">
      <c r="F47001" s="13"/>
      <c r="M47001" s="13"/>
    </row>
    <row r="47002">
      <c r="F47002" s="13"/>
      <c r="M47002" s="13"/>
    </row>
    <row r="47003">
      <c r="F47003" s="13"/>
      <c r="M47003" s="13"/>
    </row>
    <row r="47004">
      <c r="F47004" s="13"/>
      <c r="M47004" s="13"/>
    </row>
    <row r="47005">
      <c r="F47005" s="13"/>
      <c r="M47005" s="13"/>
    </row>
    <row r="47006">
      <c r="F47006" s="13"/>
      <c r="M47006" s="13"/>
    </row>
    <row r="47007">
      <c r="F47007" s="13"/>
      <c r="M47007" s="13"/>
    </row>
    <row r="47008">
      <c r="F47008" s="13"/>
      <c r="M47008" s="13"/>
    </row>
    <row r="47009">
      <c r="F47009" s="13"/>
      <c r="M47009" s="13"/>
    </row>
    <row r="47010">
      <c r="F47010" s="13"/>
      <c r="M47010" s="13"/>
    </row>
    <row r="47011">
      <c r="F47011" s="13"/>
      <c r="M47011" s="13"/>
    </row>
    <row r="47012">
      <c r="F47012" s="13"/>
      <c r="M47012" s="13"/>
    </row>
    <row r="47013">
      <c r="F47013" s="13"/>
      <c r="M47013" s="13"/>
    </row>
    <row r="47014">
      <c r="F47014" s="13"/>
      <c r="M47014" s="13"/>
    </row>
    <row r="47015">
      <c r="F47015" s="13"/>
      <c r="M47015" s="13"/>
    </row>
    <row r="47016">
      <c r="F47016" s="13"/>
      <c r="M47016" s="13"/>
    </row>
    <row r="47017">
      <c r="F47017" s="13"/>
      <c r="M47017" s="13"/>
    </row>
    <row r="47018">
      <c r="F47018" s="13"/>
      <c r="M47018" s="13"/>
    </row>
    <row r="47019">
      <c r="F47019" s="13"/>
      <c r="M47019" s="13"/>
    </row>
    <row r="47020">
      <c r="F47020" s="13"/>
      <c r="M47020" s="13"/>
    </row>
    <row r="47021">
      <c r="F47021" s="13"/>
      <c r="M47021" s="13"/>
    </row>
    <row r="47022">
      <c r="F47022" s="13"/>
      <c r="M47022" s="13"/>
    </row>
    <row r="47023">
      <c r="F47023" s="13"/>
      <c r="M47023" s="13"/>
    </row>
    <row r="47024">
      <c r="F47024" s="13"/>
      <c r="M47024" s="13"/>
    </row>
    <row r="47025">
      <c r="F47025" s="13"/>
      <c r="M47025" s="13"/>
    </row>
    <row r="47026">
      <c r="F47026" s="13"/>
      <c r="M47026" s="13"/>
    </row>
    <row r="47027">
      <c r="F47027" s="13"/>
      <c r="M47027" s="13"/>
    </row>
    <row r="47028">
      <c r="F47028" s="13"/>
      <c r="M47028" s="13"/>
    </row>
    <row r="47029">
      <c r="F47029" s="13"/>
      <c r="M47029" s="13"/>
    </row>
    <row r="47030">
      <c r="F47030" s="13"/>
      <c r="M47030" s="13"/>
    </row>
    <row r="47031">
      <c r="F47031" s="13"/>
      <c r="M47031" s="13"/>
    </row>
    <row r="47032">
      <c r="F47032" s="13"/>
      <c r="M47032" s="13"/>
    </row>
    <row r="47033">
      <c r="F47033" s="13"/>
      <c r="M47033" s="13"/>
    </row>
    <row r="47034">
      <c r="F47034" s="13"/>
      <c r="M47034" s="13"/>
    </row>
    <row r="47035">
      <c r="F47035" s="13"/>
      <c r="M47035" s="13"/>
    </row>
    <row r="47036">
      <c r="F47036" s="13"/>
      <c r="M47036" s="13"/>
    </row>
    <row r="47037">
      <c r="F47037" s="13"/>
      <c r="M47037" s="13"/>
    </row>
    <row r="47038">
      <c r="F47038" s="13"/>
      <c r="M47038" s="13"/>
    </row>
    <row r="47039">
      <c r="F47039" s="13"/>
      <c r="M47039" s="13"/>
    </row>
    <row r="47040">
      <c r="F47040" s="13"/>
      <c r="M47040" s="13"/>
    </row>
    <row r="47041">
      <c r="F47041" s="13"/>
      <c r="M47041" s="13"/>
    </row>
    <row r="47042">
      <c r="F47042" s="13"/>
      <c r="M47042" s="13"/>
    </row>
    <row r="47043">
      <c r="F47043" s="13"/>
      <c r="M47043" s="13"/>
    </row>
    <row r="47044">
      <c r="F47044" s="13"/>
      <c r="M47044" s="13"/>
    </row>
    <row r="47045">
      <c r="F47045" s="13"/>
      <c r="M47045" s="13"/>
    </row>
    <row r="47046">
      <c r="F47046" s="13"/>
      <c r="M47046" s="13"/>
    </row>
    <row r="47047">
      <c r="F47047" s="13"/>
      <c r="M47047" s="13"/>
    </row>
    <row r="47048">
      <c r="F47048" s="13"/>
      <c r="M47048" s="13"/>
    </row>
    <row r="47049">
      <c r="F47049" s="13"/>
      <c r="M47049" s="13"/>
    </row>
    <row r="47050">
      <c r="F47050" s="13"/>
      <c r="M47050" s="13"/>
    </row>
    <row r="47051">
      <c r="F47051" s="13"/>
      <c r="M47051" s="13"/>
    </row>
    <row r="47052">
      <c r="F47052" s="13"/>
      <c r="M47052" s="13"/>
    </row>
    <row r="47053">
      <c r="F47053" s="13"/>
      <c r="M47053" s="13"/>
    </row>
    <row r="47054">
      <c r="F47054" s="13"/>
      <c r="M47054" s="13"/>
    </row>
    <row r="47055">
      <c r="F47055" s="13"/>
      <c r="M47055" s="13"/>
    </row>
    <row r="47056">
      <c r="F47056" s="13"/>
      <c r="M47056" s="13"/>
    </row>
    <row r="47057">
      <c r="F47057" s="13"/>
      <c r="M47057" s="13"/>
    </row>
    <row r="47058">
      <c r="F47058" s="13"/>
      <c r="M47058" s="13"/>
    </row>
    <row r="47059">
      <c r="F47059" s="13"/>
      <c r="M47059" s="13"/>
    </row>
    <row r="47060">
      <c r="F47060" s="13"/>
      <c r="M47060" s="13"/>
    </row>
    <row r="47061">
      <c r="F47061" s="13"/>
      <c r="M47061" s="13"/>
    </row>
    <row r="47062">
      <c r="F47062" s="13"/>
      <c r="M47062" s="13"/>
    </row>
    <row r="47063">
      <c r="F47063" s="13"/>
      <c r="M47063" s="13"/>
    </row>
    <row r="47064">
      <c r="F47064" s="13"/>
      <c r="M47064" s="13"/>
    </row>
    <row r="47065">
      <c r="F47065" s="13"/>
      <c r="M47065" s="13"/>
    </row>
    <row r="47066">
      <c r="F47066" s="13"/>
      <c r="M47066" s="13"/>
    </row>
    <row r="47067">
      <c r="F47067" s="13"/>
      <c r="M47067" s="13"/>
    </row>
    <row r="47068">
      <c r="F47068" s="13"/>
      <c r="M47068" s="13"/>
    </row>
    <row r="47069">
      <c r="F47069" s="13"/>
      <c r="M47069" s="13"/>
    </row>
    <row r="47070">
      <c r="F47070" s="13"/>
      <c r="M47070" s="13"/>
    </row>
    <row r="47071">
      <c r="F47071" s="13"/>
      <c r="M47071" s="13"/>
    </row>
    <row r="47072">
      <c r="F47072" s="13"/>
      <c r="M47072" s="13"/>
    </row>
    <row r="47073">
      <c r="F47073" s="13"/>
      <c r="M47073" s="13"/>
    </row>
    <row r="47074">
      <c r="F47074" s="13"/>
      <c r="M47074" s="13"/>
    </row>
    <row r="47075">
      <c r="F47075" s="13"/>
      <c r="M47075" s="13"/>
    </row>
    <row r="47076">
      <c r="F47076" s="13"/>
      <c r="M47076" s="13"/>
    </row>
    <row r="47077">
      <c r="F47077" s="13"/>
      <c r="M47077" s="13"/>
    </row>
    <row r="47078">
      <c r="F47078" s="13"/>
      <c r="M47078" s="13"/>
    </row>
    <row r="47079">
      <c r="F47079" s="13"/>
      <c r="M47079" s="13"/>
    </row>
    <row r="47080">
      <c r="F47080" s="13"/>
      <c r="M47080" s="13"/>
    </row>
    <row r="47081">
      <c r="F47081" s="13"/>
      <c r="M47081" s="13"/>
    </row>
    <row r="47082">
      <c r="F47082" s="13"/>
      <c r="M47082" s="13"/>
    </row>
    <row r="47083">
      <c r="F47083" s="13"/>
      <c r="M47083" s="13"/>
    </row>
    <row r="47084">
      <c r="F47084" s="13"/>
      <c r="M47084" s="13"/>
    </row>
    <row r="47085">
      <c r="F47085" s="13"/>
      <c r="M47085" s="13"/>
    </row>
    <row r="47086">
      <c r="F47086" s="13"/>
      <c r="M47086" s="13"/>
    </row>
    <row r="47087">
      <c r="F47087" s="13"/>
      <c r="M47087" s="13"/>
    </row>
    <row r="47088">
      <c r="F47088" s="13"/>
      <c r="M47088" s="13"/>
    </row>
    <row r="47089">
      <c r="F47089" s="13"/>
      <c r="M47089" s="13"/>
    </row>
    <row r="47090">
      <c r="F47090" s="13"/>
      <c r="M47090" s="13"/>
    </row>
    <row r="47091">
      <c r="F47091" s="13"/>
      <c r="M47091" s="13"/>
    </row>
    <row r="47092">
      <c r="F47092" s="13"/>
      <c r="M47092" s="13"/>
    </row>
    <row r="47093">
      <c r="F47093" s="13"/>
      <c r="M47093" s="13"/>
    </row>
    <row r="47094">
      <c r="F47094" s="13"/>
      <c r="M47094" s="13"/>
    </row>
    <row r="47095">
      <c r="F47095" s="13"/>
      <c r="M47095" s="13"/>
    </row>
    <row r="47096">
      <c r="F47096" s="13"/>
      <c r="M47096" s="13"/>
    </row>
    <row r="47097">
      <c r="F47097" s="13"/>
      <c r="M47097" s="13"/>
    </row>
    <row r="47098">
      <c r="F47098" s="13"/>
      <c r="M47098" s="13"/>
    </row>
    <row r="47099">
      <c r="F47099" s="13"/>
      <c r="M47099" s="13"/>
    </row>
    <row r="47100">
      <c r="F47100" s="13"/>
      <c r="M47100" s="13"/>
    </row>
    <row r="47101">
      <c r="F47101" s="13"/>
      <c r="M47101" s="13"/>
    </row>
    <row r="47102">
      <c r="F47102" s="13"/>
      <c r="M47102" s="13"/>
    </row>
    <row r="47103">
      <c r="F47103" s="13"/>
      <c r="M47103" s="13"/>
    </row>
    <row r="47104">
      <c r="F47104" s="13"/>
      <c r="M47104" s="13"/>
    </row>
    <row r="47105">
      <c r="F47105" s="13"/>
      <c r="M47105" s="13"/>
    </row>
    <row r="47106">
      <c r="F47106" s="13"/>
      <c r="M47106" s="13"/>
    </row>
    <row r="47107">
      <c r="F47107" s="13"/>
      <c r="M47107" s="13"/>
    </row>
    <row r="47108">
      <c r="F47108" s="13"/>
      <c r="M47108" s="13"/>
    </row>
    <row r="47109">
      <c r="F47109" s="13"/>
      <c r="M47109" s="13"/>
    </row>
    <row r="47110">
      <c r="F47110" s="13"/>
      <c r="M47110" s="13"/>
    </row>
    <row r="47111">
      <c r="F47111" s="13"/>
      <c r="M47111" s="13"/>
    </row>
    <row r="47112">
      <c r="F47112" s="13"/>
      <c r="M47112" s="13"/>
    </row>
    <row r="47113">
      <c r="F47113" s="13"/>
      <c r="M47113" s="13"/>
    </row>
    <row r="47114">
      <c r="F47114" s="13"/>
      <c r="M47114" s="13"/>
    </row>
    <row r="47115">
      <c r="F47115" s="13"/>
      <c r="M47115" s="13"/>
    </row>
    <row r="47116">
      <c r="F47116" s="13"/>
      <c r="M47116" s="13"/>
    </row>
    <row r="47117">
      <c r="F47117" s="13"/>
      <c r="M47117" s="13"/>
    </row>
    <row r="47118">
      <c r="F47118" s="13"/>
      <c r="M47118" s="13"/>
    </row>
    <row r="47119">
      <c r="F47119" s="13"/>
      <c r="M47119" s="13"/>
    </row>
    <row r="47120">
      <c r="F47120" s="13"/>
      <c r="M47120" s="13"/>
    </row>
    <row r="47121">
      <c r="F47121" s="13"/>
      <c r="M47121" s="13"/>
    </row>
    <row r="47122">
      <c r="F47122" s="13"/>
      <c r="M47122" s="13"/>
    </row>
    <row r="47123">
      <c r="F47123" s="13"/>
      <c r="M47123" s="13"/>
    </row>
    <row r="47124">
      <c r="F47124" s="13"/>
      <c r="M47124" s="13"/>
    </row>
    <row r="47125">
      <c r="F47125" s="13"/>
      <c r="M47125" s="13"/>
    </row>
    <row r="47126">
      <c r="F47126" s="13"/>
      <c r="M47126" s="13"/>
    </row>
    <row r="47127">
      <c r="F47127" s="13"/>
      <c r="M47127" s="13"/>
    </row>
    <row r="47128">
      <c r="F47128" s="13"/>
      <c r="M47128" s="13"/>
    </row>
    <row r="47129">
      <c r="F47129" s="13"/>
      <c r="M47129" s="13"/>
    </row>
    <row r="47130">
      <c r="F47130" s="13"/>
      <c r="M47130" s="13"/>
    </row>
    <row r="47131">
      <c r="F47131" s="13"/>
      <c r="M47131" s="13"/>
    </row>
    <row r="47132">
      <c r="F47132" s="13"/>
      <c r="M47132" s="13"/>
    </row>
    <row r="47133">
      <c r="F47133" s="13"/>
      <c r="M47133" s="13"/>
    </row>
    <row r="47134">
      <c r="F47134" s="13"/>
      <c r="M47134" s="13"/>
    </row>
    <row r="47135">
      <c r="F47135" s="13"/>
      <c r="M47135" s="13"/>
    </row>
    <row r="47136">
      <c r="F47136" s="13"/>
      <c r="M47136" s="13"/>
    </row>
    <row r="47137">
      <c r="F47137" s="13"/>
      <c r="M47137" s="13"/>
    </row>
    <row r="47138">
      <c r="F47138" s="13"/>
      <c r="M47138" s="13"/>
    </row>
    <row r="47139">
      <c r="F47139" s="13"/>
      <c r="M47139" s="13"/>
    </row>
    <row r="47140">
      <c r="F47140" s="13"/>
      <c r="M47140" s="13"/>
    </row>
    <row r="47141">
      <c r="F47141" s="13"/>
      <c r="M47141" s="13"/>
    </row>
    <row r="47142">
      <c r="F47142" s="13"/>
      <c r="M47142" s="13"/>
    </row>
    <row r="47143">
      <c r="F47143" s="13"/>
      <c r="M47143" s="13"/>
    </row>
    <row r="47144">
      <c r="F47144" s="13"/>
      <c r="M47144" s="13"/>
    </row>
    <row r="47145">
      <c r="F47145" s="13"/>
      <c r="M47145" s="13"/>
    </row>
    <row r="47146">
      <c r="F47146" s="13"/>
      <c r="M47146" s="13"/>
    </row>
    <row r="47147">
      <c r="F47147" s="13"/>
      <c r="M47147" s="13"/>
    </row>
    <row r="47148">
      <c r="F47148" s="13"/>
      <c r="M47148" s="13"/>
    </row>
    <row r="47149">
      <c r="F47149" s="13"/>
      <c r="M47149" s="13"/>
    </row>
    <row r="47150">
      <c r="F47150" s="13"/>
      <c r="M47150" s="13"/>
    </row>
    <row r="47151">
      <c r="F47151" s="13"/>
      <c r="M47151" s="13"/>
    </row>
    <row r="47152">
      <c r="F47152" s="13"/>
      <c r="M47152" s="13"/>
    </row>
    <row r="47153">
      <c r="F47153" s="13"/>
      <c r="M47153" s="13"/>
    </row>
    <row r="47154">
      <c r="F47154" s="13"/>
      <c r="M47154" s="13"/>
    </row>
    <row r="47155">
      <c r="F47155" s="13"/>
      <c r="M47155" s="13"/>
    </row>
    <row r="47156">
      <c r="F47156" s="13"/>
      <c r="M47156" s="13"/>
    </row>
    <row r="47157">
      <c r="F47157" s="13"/>
      <c r="M47157" s="13"/>
    </row>
    <row r="47158">
      <c r="F47158" s="13"/>
      <c r="M47158" s="13"/>
    </row>
    <row r="47159">
      <c r="F47159" s="13"/>
      <c r="M47159" s="13"/>
    </row>
    <row r="47160">
      <c r="F47160" s="13"/>
      <c r="M47160" s="13"/>
    </row>
    <row r="47161">
      <c r="F47161" s="13"/>
      <c r="M47161" s="13"/>
    </row>
    <row r="47162">
      <c r="F47162" s="13"/>
      <c r="M47162" s="13"/>
    </row>
    <row r="47163">
      <c r="F47163" s="13"/>
      <c r="M47163" s="13"/>
    </row>
    <row r="47164">
      <c r="F47164" s="13"/>
      <c r="M47164" s="13"/>
    </row>
    <row r="47165">
      <c r="F47165" s="13"/>
      <c r="M47165" s="13"/>
    </row>
    <row r="47166">
      <c r="F47166" s="13"/>
      <c r="M47166" s="13"/>
    </row>
    <row r="47167">
      <c r="F47167" s="13"/>
      <c r="M47167" s="13"/>
    </row>
    <row r="47168">
      <c r="F47168" s="13"/>
      <c r="M47168" s="13"/>
    </row>
    <row r="47169">
      <c r="F47169" s="13"/>
      <c r="M47169" s="13"/>
    </row>
    <row r="47170">
      <c r="F47170" s="13"/>
      <c r="M47170" s="13"/>
    </row>
    <row r="47171">
      <c r="F47171" s="13"/>
      <c r="M47171" s="13"/>
    </row>
    <row r="47172">
      <c r="F47172" s="13"/>
      <c r="M47172" s="13"/>
    </row>
    <row r="47173">
      <c r="F47173" s="13"/>
      <c r="M47173" s="13"/>
    </row>
    <row r="47174">
      <c r="F47174" s="13"/>
      <c r="M47174" s="13"/>
    </row>
    <row r="47175">
      <c r="F47175" s="13"/>
      <c r="M47175" s="13"/>
    </row>
    <row r="47176">
      <c r="F47176" s="13"/>
      <c r="M47176" s="13"/>
    </row>
    <row r="47177">
      <c r="F47177" s="13"/>
      <c r="M47177" s="13"/>
    </row>
    <row r="47178">
      <c r="F47178" s="13"/>
      <c r="M47178" s="13"/>
    </row>
    <row r="47179">
      <c r="F47179" s="13"/>
      <c r="M47179" s="13"/>
    </row>
    <row r="47180">
      <c r="F47180" s="13"/>
      <c r="M47180" s="13"/>
    </row>
    <row r="47181">
      <c r="F47181" s="13"/>
      <c r="M47181" s="13"/>
    </row>
    <row r="47182">
      <c r="F47182" s="13"/>
      <c r="M47182" s="13"/>
    </row>
    <row r="47183">
      <c r="F47183" s="13"/>
      <c r="M47183" s="13"/>
    </row>
    <row r="47184">
      <c r="F47184" s="13"/>
      <c r="M47184" s="13"/>
    </row>
    <row r="47185">
      <c r="F47185" s="13"/>
      <c r="M47185" s="13"/>
    </row>
    <row r="47186">
      <c r="F47186" s="13"/>
      <c r="M47186" s="13"/>
    </row>
    <row r="47187">
      <c r="F47187" s="13"/>
      <c r="M47187" s="13"/>
    </row>
    <row r="47188">
      <c r="F47188" s="13"/>
      <c r="M47188" s="13"/>
    </row>
    <row r="47189">
      <c r="F47189" s="13"/>
      <c r="M47189" s="13"/>
    </row>
    <row r="47190">
      <c r="F47190" s="13"/>
      <c r="M47190" s="13"/>
    </row>
    <row r="47191">
      <c r="F47191" s="13"/>
      <c r="M47191" s="13"/>
    </row>
    <row r="47192">
      <c r="F47192" s="13"/>
      <c r="M47192" s="13"/>
    </row>
    <row r="47193">
      <c r="F47193" s="13"/>
      <c r="M47193" s="13"/>
    </row>
    <row r="47194">
      <c r="F47194" s="13"/>
      <c r="M47194" s="13"/>
    </row>
    <row r="47195">
      <c r="F47195" s="13"/>
      <c r="M47195" s="13"/>
    </row>
    <row r="47196">
      <c r="F47196" s="13"/>
      <c r="M47196" s="13"/>
    </row>
    <row r="47197">
      <c r="F47197" s="13"/>
      <c r="M47197" s="13"/>
    </row>
    <row r="47198">
      <c r="F47198" s="13"/>
      <c r="M47198" s="13"/>
    </row>
    <row r="47199">
      <c r="F47199" s="13"/>
      <c r="M47199" s="13"/>
    </row>
    <row r="47200">
      <c r="F47200" s="13"/>
      <c r="M47200" s="13"/>
    </row>
    <row r="47201">
      <c r="F47201" s="13"/>
      <c r="M47201" s="13"/>
    </row>
    <row r="47202">
      <c r="F47202" s="13"/>
      <c r="M47202" s="13"/>
    </row>
    <row r="47203">
      <c r="F47203" s="13"/>
      <c r="M47203" s="13"/>
    </row>
    <row r="47204">
      <c r="F47204" s="13"/>
      <c r="M47204" s="13"/>
    </row>
    <row r="47205">
      <c r="F47205" s="13"/>
      <c r="M47205" s="13"/>
    </row>
    <row r="47206">
      <c r="F47206" s="13"/>
      <c r="M47206" s="13"/>
    </row>
    <row r="47207">
      <c r="F47207" s="13"/>
      <c r="M47207" s="13"/>
    </row>
    <row r="47208">
      <c r="F47208" s="13"/>
      <c r="M47208" s="13"/>
    </row>
    <row r="47209">
      <c r="F47209" s="13"/>
      <c r="M47209" s="13"/>
    </row>
    <row r="47210">
      <c r="F47210" s="13"/>
      <c r="M47210" s="13"/>
    </row>
    <row r="47211">
      <c r="F47211" s="13"/>
      <c r="M47211" s="13"/>
    </row>
    <row r="47212">
      <c r="F47212" s="13"/>
      <c r="M47212" s="13"/>
    </row>
    <row r="47213">
      <c r="F47213" s="13"/>
      <c r="M47213" s="13"/>
    </row>
    <row r="47214">
      <c r="F47214" s="13"/>
      <c r="M47214" s="13"/>
    </row>
    <row r="47215">
      <c r="F47215" s="13"/>
      <c r="M47215" s="13"/>
    </row>
    <row r="47216">
      <c r="F47216" s="13"/>
      <c r="M47216" s="13"/>
    </row>
    <row r="47217">
      <c r="F47217" s="13"/>
      <c r="M47217" s="13"/>
    </row>
    <row r="47218">
      <c r="F47218" s="13"/>
      <c r="M47218" s="13"/>
    </row>
    <row r="47219">
      <c r="F47219" s="13"/>
      <c r="M47219" s="13"/>
    </row>
    <row r="47220">
      <c r="F47220" s="13"/>
      <c r="M47220" s="13"/>
    </row>
    <row r="47221">
      <c r="F47221" s="13"/>
      <c r="M47221" s="13"/>
    </row>
    <row r="47222">
      <c r="F47222" s="13"/>
      <c r="M47222" s="13"/>
    </row>
    <row r="47223">
      <c r="F47223" s="13"/>
      <c r="M47223" s="13"/>
    </row>
    <row r="47224">
      <c r="F47224" s="13"/>
      <c r="M47224" s="13"/>
    </row>
    <row r="47225">
      <c r="F47225" s="13"/>
      <c r="M47225" s="13"/>
    </row>
    <row r="47226">
      <c r="F47226" s="13"/>
      <c r="M47226" s="13"/>
    </row>
    <row r="47227">
      <c r="F47227" s="13"/>
      <c r="M47227" s="13"/>
    </row>
    <row r="47228">
      <c r="F47228" s="13"/>
      <c r="M47228" s="13"/>
    </row>
    <row r="47229">
      <c r="F47229" s="13"/>
      <c r="M47229" s="13"/>
    </row>
    <row r="47230">
      <c r="F47230" s="13"/>
      <c r="M47230" s="13"/>
    </row>
    <row r="47231">
      <c r="F47231" s="13"/>
      <c r="M47231" s="13"/>
    </row>
    <row r="47232">
      <c r="F47232" s="13"/>
      <c r="M47232" s="13"/>
    </row>
    <row r="47233">
      <c r="F47233" s="13"/>
      <c r="M47233" s="13"/>
    </row>
    <row r="47234">
      <c r="F47234" s="13"/>
      <c r="M47234" s="13"/>
    </row>
    <row r="47235">
      <c r="F47235" s="13"/>
      <c r="M47235" s="13"/>
    </row>
    <row r="47236">
      <c r="F47236" s="13"/>
      <c r="M47236" s="13"/>
    </row>
    <row r="47237">
      <c r="F47237" s="13"/>
      <c r="M47237" s="13"/>
    </row>
    <row r="47238">
      <c r="F47238" s="13"/>
      <c r="M47238" s="13"/>
    </row>
    <row r="47239">
      <c r="F47239" s="13"/>
      <c r="M47239" s="13"/>
    </row>
    <row r="47240">
      <c r="F47240" s="13"/>
      <c r="M47240" s="13"/>
    </row>
    <row r="47241">
      <c r="F47241" s="13"/>
      <c r="M47241" s="13"/>
    </row>
    <row r="47242">
      <c r="F47242" s="13"/>
      <c r="M47242" s="13"/>
    </row>
    <row r="47243">
      <c r="F47243" s="13"/>
      <c r="M47243" s="13"/>
    </row>
    <row r="47244">
      <c r="F47244" s="13"/>
      <c r="M47244" s="13"/>
    </row>
    <row r="47245">
      <c r="F47245" s="13"/>
      <c r="M47245" s="13"/>
    </row>
    <row r="47246">
      <c r="F47246" s="13"/>
      <c r="M47246" s="13"/>
    </row>
    <row r="47247">
      <c r="F47247" s="13"/>
      <c r="M47247" s="13"/>
    </row>
    <row r="47248">
      <c r="F47248" s="13"/>
      <c r="M47248" s="13"/>
    </row>
    <row r="47249">
      <c r="F47249" s="13"/>
      <c r="M47249" s="13"/>
    </row>
    <row r="47250">
      <c r="F47250" s="13"/>
      <c r="M47250" s="13"/>
    </row>
    <row r="47251">
      <c r="F47251" s="13"/>
      <c r="M47251" s="13"/>
    </row>
    <row r="47252">
      <c r="F47252" s="13"/>
      <c r="M47252" s="13"/>
    </row>
    <row r="47253">
      <c r="F47253" s="13"/>
      <c r="M47253" s="13"/>
    </row>
    <row r="47254">
      <c r="F47254" s="13"/>
      <c r="M47254" s="13"/>
    </row>
    <row r="47255">
      <c r="F47255" s="13"/>
      <c r="M47255" s="13"/>
    </row>
    <row r="47256">
      <c r="F47256" s="13"/>
      <c r="M47256" s="13"/>
    </row>
    <row r="47257">
      <c r="F47257" s="13"/>
      <c r="M47257" s="13"/>
    </row>
    <row r="47258">
      <c r="F47258" s="13"/>
      <c r="M47258" s="13"/>
    </row>
    <row r="47259">
      <c r="F47259" s="13"/>
      <c r="M47259" s="13"/>
    </row>
    <row r="47260">
      <c r="F47260" s="13"/>
      <c r="M47260" s="13"/>
    </row>
    <row r="47261">
      <c r="F47261" s="13"/>
      <c r="M47261" s="13"/>
    </row>
    <row r="47262">
      <c r="F47262" s="13"/>
      <c r="M47262" s="13"/>
    </row>
    <row r="47263">
      <c r="F47263" s="13"/>
      <c r="M47263" s="13"/>
    </row>
    <row r="47264">
      <c r="F47264" s="13"/>
      <c r="M47264" s="13"/>
    </row>
    <row r="47265">
      <c r="F47265" s="13"/>
      <c r="M47265" s="13"/>
    </row>
    <row r="47266">
      <c r="F47266" s="13"/>
      <c r="M47266" s="13"/>
    </row>
    <row r="47267">
      <c r="F47267" s="13"/>
      <c r="M47267" s="13"/>
    </row>
    <row r="47268">
      <c r="F47268" s="13"/>
      <c r="M47268" s="13"/>
    </row>
    <row r="47269">
      <c r="F47269" s="13"/>
      <c r="M47269" s="13"/>
    </row>
    <row r="47270">
      <c r="F47270" s="13"/>
      <c r="M47270" s="13"/>
    </row>
    <row r="47271">
      <c r="F47271" s="13"/>
      <c r="M47271" s="13"/>
    </row>
    <row r="47272">
      <c r="F47272" s="13"/>
      <c r="M47272" s="13"/>
    </row>
    <row r="47273">
      <c r="F47273" s="13"/>
      <c r="M47273" s="13"/>
    </row>
    <row r="47274">
      <c r="F47274" s="13"/>
      <c r="M47274" s="13"/>
    </row>
    <row r="47275">
      <c r="F47275" s="13"/>
      <c r="M47275" s="13"/>
    </row>
    <row r="47276">
      <c r="F47276" s="13"/>
      <c r="M47276" s="13"/>
    </row>
    <row r="47277">
      <c r="F47277" s="13"/>
      <c r="M47277" s="13"/>
    </row>
    <row r="47278">
      <c r="F47278" s="13"/>
      <c r="M47278" s="13"/>
    </row>
    <row r="47279">
      <c r="F47279" s="13"/>
      <c r="M47279" s="13"/>
    </row>
    <row r="47280">
      <c r="F47280" s="13"/>
      <c r="M47280" s="13"/>
    </row>
    <row r="47281">
      <c r="F47281" s="13"/>
      <c r="M47281" s="13"/>
    </row>
    <row r="47282">
      <c r="F47282" s="13"/>
      <c r="M47282" s="13"/>
    </row>
    <row r="47283">
      <c r="F47283" s="13"/>
      <c r="M47283" s="13"/>
    </row>
    <row r="47284">
      <c r="F47284" s="13"/>
      <c r="M47284" s="13"/>
    </row>
    <row r="47285">
      <c r="F47285" s="13"/>
      <c r="M47285" s="13"/>
    </row>
    <row r="47286">
      <c r="F47286" s="13"/>
      <c r="M47286" s="13"/>
    </row>
    <row r="47287">
      <c r="F47287" s="13"/>
      <c r="M47287" s="13"/>
    </row>
    <row r="47288">
      <c r="F47288" s="13"/>
      <c r="M47288" s="13"/>
    </row>
    <row r="47289">
      <c r="F47289" s="13"/>
      <c r="M47289" s="13"/>
    </row>
    <row r="47290">
      <c r="F47290" s="13"/>
      <c r="M47290" s="13"/>
    </row>
    <row r="47291">
      <c r="F47291" s="13"/>
      <c r="M47291" s="13"/>
    </row>
    <row r="47292">
      <c r="F47292" s="13"/>
      <c r="M47292" s="13"/>
    </row>
    <row r="47293">
      <c r="F47293" s="13"/>
      <c r="M47293" s="13"/>
    </row>
    <row r="47294">
      <c r="F47294" s="13"/>
      <c r="M47294" s="13"/>
    </row>
    <row r="47295">
      <c r="F47295" s="13"/>
      <c r="M47295" s="13"/>
    </row>
    <row r="47296">
      <c r="F47296" s="13"/>
      <c r="M47296" s="13"/>
    </row>
    <row r="47297">
      <c r="F47297" s="13"/>
      <c r="M47297" s="13"/>
    </row>
    <row r="47298">
      <c r="F47298" s="13"/>
      <c r="M47298" s="13"/>
    </row>
    <row r="47299">
      <c r="F47299" s="13"/>
      <c r="M47299" s="13"/>
    </row>
    <row r="47300">
      <c r="F47300" s="13"/>
      <c r="M47300" s="13"/>
    </row>
    <row r="47301">
      <c r="F47301" s="13"/>
      <c r="M47301" s="13"/>
    </row>
    <row r="47302">
      <c r="F47302" s="13"/>
      <c r="M47302" s="13"/>
    </row>
    <row r="47303">
      <c r="F47303" s="13"/>
      <c r="M47303" s="13"/>
    </row>
    <row r="47304">
      <c r="F47304" s="13"/>
      <c r="M47304" s="13"/>
    </row>
    <row r="47305">
      <c r="F47305" s="13"/>
      <c r="M47305" s="13"/>
    </row>
    <row r="47306">
      <c r="F47306" s="13"/>
      <c r="M47306" s="13"/>
    </row>
    <row r="47307">
      <c r="F47307" s="13"/>
      <c r="M47307" s="13"/>
    </row>
    <row r="47308">
      <c r="F47308" s="13"/>
      <c r="M47308" s="13"/>
    </row>
    <row r="47309">
      <c r="F47309" s="13"/>
      <c r="M47309" s="13"/>
    </row>
    <row r="47310">
      <c r="F47310" s="13"/>
      <c r="M47310" s="13"/>
    </row>
    <row r="47311">
      <c r="F47311" s="13"/>
      <c r="M47311" s="13"/>
    </row>
    <row r="47312">
      <c r="F47312" s="13"/>
      <c r="M47312" s="13"/>
    </row>
    <row r="47313">
      <c r="F47313" s="13"/>
      <c r="M47313" s="13"/>
    </row>
    <row r="47314">
      <c r="F47314" s="13"/>
      <c r="M47314" s="13"/>
    </row>
    <row r="47315">
      <c r="F47315" s="13"/>
      <c r="M47315" s="13"/>
    </row>
    <row r="47316">
      <c r="F47316" s="13"/>
      <c r="M47316" s="13"/>
    </row>
    <row r="47317">
      <c r="F47317" s="13"/>
      <c r="M47317" s="13"/>
    </row>
    <row r="47318">
      <c r="F47318" s="13"/>
      <c r="M47318" s="13"/>
    </row>
    <row r="47319">
      <c r="F47319" s="13"/>
      <c r="M47319" s="13"/>
    </row>
    <row r="47320">
      <c r="F47320" s="13"/>
      <c r="M47320" s="13"/>
    </row>
    <row r="47321">
      <c r="F47321" s="13"/>
      <c r="M47321" s="13"/>
    </row>
    <row r="47322">
      <c r="F47322" s="13"/>
      <c r="M47322" s="13"/>
    </row>
    <row r="47323">
      <c r="F47323" s="13"/>
      <c r="M47323" s="13"/>
    </row>
    <row r="47324">
      <c r="F47324" s="13"/>
      <c r="M47324" s="13"/>
    </row>
    <row r="47325">
      <c r="F47325" s="13"/>
      <c r="M47325" s="13"/>
    </row>
    <row r="47326">
      <c r="F47326" s="13"/>
      <c r="M47326" s="13"/>
    </row>
    <row r="47327">
      <c r="F47327" s="13"/>
      <c r="M47327" s="13"/>
    </row>
    <row r="47328">
      <c r="F47328" s="13"/>
      <c r="M47328" s="13"/>
    </row>
    <row r="47329">
      <c r="F47329" s="13"/>
      <c r="M47329" s="13"/>
    </row>
    <row r="47330">
      <c r="F47330" s="13"/>
      <c r="M47330" s="13"/>
    </row>
    <row r="47331">
      <c r="F47331" s="13"/>
      <c r="M47331" s="13"/>
    </row>
    <row r="47332">
      <c r="F47332" s="13"/>
      <c r="M47332" s="13"/>
    </row>
    <row r="47333">
      <c r="F47333" s="13"/>
      <c r="M47333" s="13"/>
    </row>
    <row r="47334">
      <c r="F47334" s="13"/>
      <c r="M47334" s="13"/>
    </row>
    <row r="47335">
      <c r="F47335" s="13"/>
      <c r="M47335" s="13"/>
    </row>
    <row r="47336">
      <c r="F47336" s="13"/>
      <c r="M47336" s="13"/>
    </row>
    <row r="47337">
      <c r="F47337" s="13"/>
      <c r="M47337" s="13"/>
    </row>
    <row r="47338">
      <c r="F47338" s="13"/>
      <c r="M47338" s="13"/>
    </row>
    <row r="47339">
      <c r="F47339" s="13"/>
      <c r="M47339" s="13"/>
    </row>
    <row r="47340">
      <c r="F47340" s="13"/>
      <c r="M47340" s="13"/>
    </row>
    <row r="47341">
      <c r="F47341" s="13"/>
      <c r="M47341" s="13"/>
    </row>
    <row r="47342">
      <c r="F47342" s="13"/>
      <c r="M47342" s="13"/>
    </row>
    <row r="47343">
      <c r="F47343" s="13"/>
      <c r="M47343" s="13"/>
    </row>
    <row r="47344">
      <c r="F47344" s="13"/>
      <c r="M47344" s="13"/>
    </row>
    <row r="47345">
      <c r="F47345" s="13"/>
      <c r="M47345" s="13"/>
    </row>
    <row r="47346">
      <c r="F47346" s="13"/>
      <c r="M47346" s="13"/>
    </row>
    <row r="47347">
      <c r="F47347" s="13"/>
      <c r="M47347" s="13"/>
    </row>
    <row r="47348">
      <c r="F47348" s="13"/>
      <c r="M47348" s="13"/>
    </row>
    <row r="47349">
      <c r="F47349" s="13"/>
      <c r="M47349" s="13"/>
    </row>
    <row r="47350">
      <c r="F47350" s="13"/>
      <c r="M47350" s="13"/>
    </row>
    <row r="47351">
      <c r="F47351" s="13"/>
      <c r="M47351" s="13"/>
    </row>
    <row r="47352">
      <c r="F47352" s="13"/>
      <c r="M47352" s="13"/>
    </row>
    <row r="47353">
      <c r="F47353" s="13"/>
      <c r="M47353" s="13"/>
    </row>
    <row r="47354">
      <c r="F47354" s="13"/>
      <c r="M47354" s="13"/>
    </row>
    <row r="47355">
      <c r="F47355" s="13"/>
      <c r="M47355" s="13"/>
    </row>
    <row r="47356">
      <c r="F47356" s="13"/>
      <c r="M47356" s="13"/>
    </row>
    <row r="47357">
      <c r="F47357" s="13"/>
      <c r="M47357" s="13"/>
    </row>
    <row r="47358">
      <c r="F47358" s="13"/>
      <c r="M47358" s="13"/>
    </row>
    <row r="47359">
      <c r="F47359" s="13"/>
      <c r="M47359" s="13"/>
    </row>
    <row r="47360">
      <c r="F47360" s="13"/>
      <c r="M47360" s="13"/>
    </row>
    <row r="47361">
      <c r="F47361" s="13"/>
      <c r="M47361" s="13"/>
    </row>
    <row r="47362">
      <c r="F47362" s="13"/>
      <c r="M47362" s="13"/>
    </row>
    <row r="47363">
      <c r="F47363" s="13"/>
      <c r="M47363" s="13"/>
    </row>
    <row r="47364">
      <c r="F47364" s="13"/>
      <c r="M47364" s="13"/>
    </row>
    <row r="47365">
      <c r="F47365" s="13"/>
      <c r="M47365" s="13"/>
    </row>
    <row r="47366">
      <c r="F47366" s="13"/>
      <c r="M47366" s="13"/>
    </row>
    <row r="47367">
      <c r="F47367" s="13"/>
      <c r="M47367" s="13"/>
    </row>
    <row r="47368">
      <c r="F47368" s="13"/>
      <c r="M47368" s="13"/>
    </row>
    <row r="47369">
      <c r="F47369" s="13"/>
      <c r="M47369" s="13"/>
    </row>
    <row r="47370">
      <c r="F47370" s="13"/>
      <c r="M47370" s="13"/>
    </row>
    <row r="47371">
      <c r="F47371" s="13"/>
      <c r="M47371" s="13"/>
    </row>
    <row r="47372">
      <c r="F47372" s="13"/>
      <c r="M47372" s="13"/>
    </row>
    <row r="47373">
      <c r="F47373" s="13"/>
      <c r="M47373" s="13"/>
    </row>
    <row r="47374">
      <c r="F47374" s="13"/>
      <c r="M47374" s="13"/>
    </row>
    <row r="47375">
      <c r="F47375" s="13"/>
      <c r="M47375" s="13"/>
    </row>
    <row r="47376">
      <c r="F47376" s="13"/>
      <c r="M47376" s="13"/>
    </row>
    <row r="47377">
      <c r="F47377" s="13"/>
      <c r="M47377" s="13"/>
    </row>
    <row r="47378">
      <c r="F47378" s="13"/>
      <c r="M47378" s="13"/>
    </row>
    <row r="47379">
      <c r="F47379" s="13"/>
      <c r="M47379" s="13"/>
    </row>
    <row r="47380">
      <c r="F47380" s="13"/>
      <c r="M47380" s="13"/>
    </row>
    <row r="47381">
      <c r="F47381" s="13"/>
      <c r="M47381" s="13"/>
    </row>
    <row r="47382">
      <c r="F47382" s="13"/>
      <c r="M47382" s="13"/>
    </row>
    <row r="47383">
      <c r="F47383" s="13"/>
      <c r="M47383" s="13"/>
    </row>
    <row r="47384">
      <c r="F47384" s="13"/>
      <c r="M47384" s="13"/>
    </row>
    <row r="47385">
      <c r="F47385" s="13"/>
      <c r="M47385" s="13"/>
    </row>
    <row r="47386">
      <c r="F47386" s="13"/>
      <c r="M47386" s="13"/>
    </row>
    <row r="47387">
      <c r="F47387" s="13"/>
      <c r="M47387" s="13"/>
    </row>
    <row r="47388">
      <c r="F47388" s="13"/>
      <c r="M47388" s="13"/>
    </row>
    <row r="47389">
      <c r="F47389" s="13"/>
      <c r="M47389" s="13"/>
    </row>
    <row r="47390">
      <c r="F47390" s="13"/>
      <c r="M47390" s="13"/>
    </row>
    <row r="47391">
      <c r="F47391" s="13"/>
      <c r="M47391" s="13"/>
    </row>
    <row r="47392">
      <c r="F47392" s="13"/>
      <c r="M47392" s="13"/>
    </row>
    <row r="47393">
      <c r="F47393" s="13"/>
      <c r="M47393" s="13"/>
    </row>
    <row r="47394">
      <c r="F47394" s="13"/>
      <c r="M47394" s="13"/>
    </row>
    <row r="47395">
      <c r="F47395" s="13"/>
      <c r="M47395" s="13"/>
    </row>
    <row r="47396">
      <c r="F47396" s="13"/>
      <c r="M47396" s="13"/>
    </row>
    <row r="47397">
      <c r="F47397" s="13"/>
      <c r="M47397" s="13"/>
    </row>
    <row r="47398">
      <c r="F47398" s="13"/>
      <c r="M47398" s="13"/>
    </row>
    <row r="47399">
      <c r="F47399" s="13"/>
      <c r="M47399" s="13"/>
    </row>
    <row r="47400">
      <c r="F47400" s="13"/>
      <c r="M47400" s="13"/>
    </row>
    <row r="47401">
      <c r="F47401" s="13"/>
      <c r="M47401" s="13"/>
    </row>
    <row r="47402">
      <c r="F47402" s="13"/>
      <c r="M47402" s="13"/>
    </row>
    <row r="47403">
      <c r="F47403" s="13"/>
      <c r="M47403" s="13"/>
    </row>
    <row r="47404">
      <c r="F47404" s="13"/>
      <c r="M47404" s="13"/>
    </row>
    <row r="47405">
      <c r="F47405" s="13"/>
      <c r="M47405" s="13"/>
    </row>
    <row r="47406">
      <c r="F47406" s="13"/>
      <c r="M47406" s="13"/>
    </row>
    <row r="47407">
      <c r="F47407" s="13"/>
      <c r="M47407" s="13"/>
    </row>
    <row r="47408">
      <c r="F47408" s="13"/>
      <c r="M47408" s="13"/>
    </row>
    <row r="47409">
      <c r="F47409" s="13"/>
      <c r="M47409" s="13"/>
    </row>
    <row r="47410">
      <c r="F47410" s="13"/>
      <c r="M47410" s="13"/>
    </row>
    <row r="47411">
      <c r="F47411" s="13"/>
      <c r="M47411" s="13"/>
    </row>
    <row r="47412">
      <c r="F47412" s="13"/>
      <c r="M47412" s="13"/>
    </row>
    <row r="47413">
      <c r="F47413" s="13"/>
      <c r="M47413" s="13"/>
    </row>
    <row r="47414">
      <c r="F47414" s="13"/>
      <c r="M47414" s="13"/>
    </row>
    <row r="47415">
      <c r="F47415" s="13"/>
      <c r="M47415" s="13"/>
    </row>
    <row r="47416">
      <c r="F47416" s="13"/>
      <c r="M47416" s="13"/>
    </row>
    <row r="47417">
      <c r="F47417" s="13"/>
      <c r="M47417" s="13"/>
    </row>
    <row r="47418">
      <c r="F47418" s="13"/>
      <c r="M47418" s="13"/>
    </row>
    <row r="47419">
      <c r="F47419" s="13"/>
      <c r="M47419" s="13"/>
    </row>
    <row r="47420">
      <c r="F47420" s="13"/>
      <c r="M47420" s="13"/>
    </row>
    <row r="47421">
      <c r="F47421" s="13"/>
      <c r="M47421" s="13"/>
    </row>
    <row r="47422">
      <c r="F47422" s="13"/>
      <c r="M47422" s="13"/>
    </row>
    <row r="47423">
      <c r="F47423" s="13"/>
      <c r="M47423" s="13"/>
    </row>
    <row r="47424">
      <c r="F47424" s="13"/>
      <c r="M47424" s="13"/>
    </row>
    <row r="47425">
      <c r="F47425" s="13"/>
      <c r="M47425" s="13"/>
    </row>
    <row r="47426">
      <c r="F47426" s="13"/>
      <c r="M47426" s="13"/>
    </row>
    <row r="47427">
      <c r="F47427" s="13"/>
      <c r="M47427" s="13"/>
    </row>
    <row r="47428">
      <c r="F47428" s="13"/>
      <c r="M47428" s="13"/>
    </row>
    <row r="47429">
      <c r="F47429" s="13"/>
      <c r="M47429" s="13"/>
    </row>
    <row r="47430">
      <c r="F47430" s="13"/>
      <c r="M47430" s="13"/>
    </row>
    <row r="47431">
      <c r="F47431" s="13"/>
      <c r="M47431" s="13"/>
    </row>
    <row r="47432">
      <c r="F47432" s="13"/>
      <c r="M47432" s="13"/>
    </row>
    <row r="47433">
      <c r="F47433" s="13"/>
      <c r="M47433" s="13"/>
    </row>
    <row r="47434">
      <c r="F47434" s="13"/>
      <c r="M47434" s="13"/>
    </row>
    <row r="47435">
      <c r="F47435" s="13"/>
      <c r="M47435" s="13"/>
    </row>
    <row r="47436">
      <c r="F47436" s="13"/>
      <c r="M47436" s="13"/>
    </row>
    <row r="47437">
      <c r="F47437" s="13"/>
      <c r="M47437" s="13"/>
    </row>
    <row r="47438">
      <c r="F47438" s="13"/>
      <c r="M47438" s="13"/>
    </row>
    <row r="47439">
      <c r="F47439" s="13"/>
      <c r="M47439" s="13"/>
    </row>
    <row r="47440">
      <c r="F47440" s="13"/>
      <c r="M47440" s="13"/>
    </row>
    <row r="47441">
      <c r="F47441" s="13"/>
      <c r="M47441" s="13"/>
    </row>
    <row r="47442">
      <c r="F47442" s="13"/>
      <c r="M47442" s="13"/>
    </row>
    <row r="47443">
      <c r="F47443" s="13"/>
      <c r="M47443" s="13"/>
    </row>
    <row r="47444">
      <c r="F47444" s="13"/>
      <c r="M47444" s="13"/>
    </row>
    <row r="47445">
      <c r="F47445" s="13"/>
      <c r="M47445" s="13"/>
    </row>
    <row r="47446">
      <c r="F47446" s="13"/>
      <c r="M47446" s="13"/>
    </row>
    <row r="47447">
      <c r="F47447" s="13"/>
      <c r="M47447" s="13"/>
    </row>
    <row r="47448">
      <c r="F47448" s="13"/>
      <c r="M47448" s="13"/>
    </row>
    <row r="47449">
      <c r="F47449" s="13"/>
      <c r="M47449" s="13"/>
    </row>
    <row r="47450">
      <c r="F47450" s="13"/>
      <c r="M47450" s="13"/>
    </row>
    <row r="47451">
      <c r="F47451" s="13"/>
      <c r="M47451" s="13"/>
    </row>
    <row r="47452">
      <c r="F47452" s="13"/>
      <c r="M47452" s="13"/>
    </row>
    <row r="47453">
      <c r="F47453" s="13"/>
      <c r="M47453" s="13"/>
    </row>
    <row r="47454">
      <c r="F47454" s="13"/>
      <c r="M47454" s="13"/>
    </row>
    <row r="47455">
      <c r="F47455" s="13"/>
      <c r="M47455" s="13"/>
    </row>
    <row r="47456">
      <c r="F47456" s="13"/>
      <c r="M47456" s="13"/>
    </row>
    <row r="47457">
      <c r="F47457" s="13"/>
      <c r="M47457" s="13"/>
    </row>
    <row r="47458">
      <c r="F47458" s="13"/>
      <c r="M47458" s="13"/>
    </row>
    <row r="47459">
      <c r="F47459" s="13"/>
      <c r="M47459" s="13"/>
    </row>
    <row r="47460">
      <c r="F47460" s="13"/>
      <c r="M47460" s="13"/>
    </row>
    <row r="47461">
      <c r="F47461" s="13"/>
      <c r="M47461" s="13"/>
    </row>
    <row r="47462">
      <c r="F47462" s="13"/>
      <c r="M47462" s="13"/>
    </row>
    <row r="47463">
      <c r="F47463" s="13"/>
      <c r="M47463" s="13"/>
    </row>
    <row r="47464">
      <c r="F47464" s="13"/>
      <c r="M47464" s="13"/>
    </row>
    <row r="47465">
      <c r="F47465" s="13"/>
      <c r="M47465" s="13"/>
    </row>
    <row r="47466">
      <c r="F47466" s="13"/>
      <c r="M47466" s="13"/>
    </row>
    <row r="47467">
      <c r="F47467" s="13"/>
      <c r="M47467" s="13"/>
    </row>
    <row r="47468">
      <c r="F47468" s="13"/>
      <c r="M47468" s="13"/>
    </row>
    <row r="47469">
      <c r="F47469" s="13"/>
      <c r="M47469" s="13"/>
    </row>
    <row r="47470">
      <c r="F47470" s="13"/>
      <c r="M47470" s="13"/>
    </row>
    <row r="47471">
      <c r="F47471" s="13"/>
      <c r="M47471" s="13"/>
    </row>
    <row r="47472">
      <c r="F47472" s="13"/>
      <c r="M47472" s="13"/>
    </row>
    <row r="47473">
      <c r="F47473" s="13"/>
      <c r="M47473" s="13"/>
    </row>
    <row r="47474">
      <c r="F47474" s="13"/>
      <c r="M47474" s="13"/>
    </row>
    <row r="47475">
      <c r="F47475" s="13"/>
      <c r="M47475" s="13"/>
    </row>
    <row r="47476">
      <c r="F47476" s="13"/>
      <c r="M47476" s="13"/>
    </row>
    <row r="47477">
      <c r="F47477" s="13"/>
      <c r="M47477" s="13"/>
    </row>
    <row r="47478">
      <c r="F47478" s="13"/>
      <c r="M47478" s="13"/>
    </row>
    <row r="47479">
      <c r="F47479" s="13"/>
      <c r="M47479" s="13"/>
    </row>
    <row r="47480">
      <c r="F47480" s="13"/>
      <c r="M47480" s="13"/>
    </row>
    <row r="47481">
      <c r="F47481" s="13"/>
      <c r="M47481" s="13"/>
    </row>
    <row r="47482">
      <c r="F47482" s="13"/>
      <c r="M47482" s="13"/>
    </row>
    <row r="47483">
      <c r="F47483" s="13"/>
      <c r="M47483" s="13"/>
    </row>
    <row r="47484">
      <c r="F47484" s="13"/>
      <c r="M47484" s="13"/>
    </row>
    <row r="47485">
      <c r="F47485" s="13"/>
      <c r="M47485" s="13"/>
    </row>
    <row r="47486">
      <c r="F47486" s="13"/>
      <c r="M47486" s="13"/>
    </row>
    <row r="47487">
      <c r="F47487" s="13"/>
      <c r="M47487" s="13"/>
    </row>
    <row r="47488">
      <c r="F47488" s="13"/>
      <c r="M47488" s="13"/>
    </row>
    <row r="47489">
      <c r="F47489" s="13"/>
      <c r="M47489" s="13"/>
    </row>
    <row r="47490">
      <c r="F47490" s="13"/>
      <c r="M47490" s="13"/>
    </row>
    <row r="47491">
      <c r="F47491" s="13"/>
      <c r="M47491" s="13"/>
    </row>
    <row r="47492">
      <c r="F47492" s="13"/>
      <c r="M47492" s="13"/>
    </row>
    <row r="47493">
      <c r="F47493" s="13"/>
      <c r="M47493" s="13"/>
    </row>
    <row r="47494">
      <c r="F47494" s="13"/>
      <c r="M47494" s="13"/>
    </row>
    <row r="47495">
      <c r="F47495" s="13"/>
      <c r="M47495" s="13"/>
    </row>
    <row r="47496">
      <c r="F47496" s="13"/>
      <c r="M47496" s="13"/>
    </row>
    <row r="47497">
      <c r="F47497" s="13"/>
      <c r="M47497" s="13"/>
    </row>
    <row r="47498">
      <c r="F47498" s="13"/>
      <c r="M47498" s="13"/>
    </row>
    <row r="47499">
      <c r="F47499" s="13"/>
      <c r="M47499" s="13"/>
    </row>
    <row r="47500">
      <c r="F47500" s="13"/>
      <c r="M47500" s="13"/>
    </row>
    <row r="47501">
      <c r="F47501" s="13"/>
      <c r="M47501" s="13"/>
    </row>
    <row r="47502">
      <c r="F47502" s="13"/>
      <c r="M47502" s="13"/>
    </row>
    <row r="47503">
      <c r="F47503" s="13"/>
      <c r="M47503" s="13"/>
    </row>
    <row r="47504">
      <c r="F47504" s="13"/>
      <c r="M47504" s="13"/>
    </row>
    <row r="47505">
      <c r="F47505" s="13"/>
      <c r="M47505" s="13"/>
    </row>
    <row r="47506">
      <c r="F47506" s="13"/>
      <c r="M47506" s="13"/>
    </row>
    <row r="47507">
      <c r="F47507" s="13"/>
      <c r="M47507" s="13"/>
    </row>
    <row r="47508">
      <c r="F47508" s="13"/>
      <c r="M47508" s="13"/>
    </row>
    <row r="47509">
      <c r="F47509" s="13"/>
      <c r="M47509" s="13"/>
    </row>
    <row r="47510">
      <c r="F47510" s="13"/>
      <c r="M47510" s="13"/>
    </row>
    <row r="47511">
      <c r="F47511" s="13"/>
      <c r="M47511" s="13"/>
    </row>
    <row r="47512">
      <c r="F47512" s="13"/>
      <c r="M47512" s="13"/>
    </row>
    <row r="47513">
      <c r="F47513" s="13"/>
      <c r="M47513" s="13"/>
    </row>
    <row r="47514">
      <c r="F47514" s="13"/>
      <c r="M47514" s="13"/>
    </row>
    <row r="47515">
      <c r="F47515" s="13"/>
      <c r="M47515" s="13"/>
    </row>
    <row r="47516">
      <c r="F47516" s="13"/>
      <c r="M47516" s="13"/>
    </row>
    <row r="47517">
      <c r="F47517" s="13"/>
      <c r="M47517" s="13"/>
    </row>
    <row r="47518">
      <c r="F47518" s="13"/>
      <c r="M47518" s="13"/>
    </row>
    <row r="47519">
      <c r="F47519" s="13"/>
      <c r="M47519" s="13"/>
    </row>
    <row r="47520">
      <c r="F47520" s="13"/>
      <c r="M47520" s="13"/>
    </row>
    <row r="47521">
      <c r="F47521" s="13"/>
      <c r="M47521" s="13"/>
    </row>
    <row r="47522">
      <c r="F47522" s="13"/>
      <c r="M47522" s="13"/>
    </row>
    <row r="47523">
      <c r="F47523" s="13"/>
      <c r="M47523" s="13"/>
    </row>
    <row r="47524">
      <c r="F47524" s="13"/>
      <c r="M47524" s="13"/>
    </row>
    <row r="47525">
      <c r="F47525" s="13"/>
      <c r="M47525" s="13"/>
    </row>
    <row r="47526">
      <c r="F47526" s="13"/>
      <c r="M47526" s="13"/>
    </row>
    <row r="47527">
      <c r="F47527" s="13"/>
      <c r="M47527" s="13"/>
    </row>
    <row r="47528">
      <c r="F47528" s="13"/>
      <c r="M47528" s="13"/>
    </row>
    <row r="47529">
      <c r="F47529" s="13"/>
      <c r="M47529" s="13"/>
    </row>
    <row r="47530">
      <c r="F47530" s="13"/>
      <c r="M47530" s="13"/>
    </row>
    <row r="47531">
      <c r="F47531" s="13"/>
      <c r="M47531" s="13"/>
    </row>
    <row r="47532">
      <c r="F47532" s="13"/>
      <c r="M47532" s="13"/>
    </row>
    <row r="47533">
      <c r="F47533" s="13"/>
      <c r="M47533" s="13"/>
    </row>
    <row r="47534">
      <c r="F47534" s="13"/>
      <c r="M47534" s="13"/>
    </row>
    <row r="47535">
      <c r="F47535" s="13"/>
      <c r="M47535" s="13"/>
    </row>
    <row r="47536">
      <c r="F47536" s="13"/>
      <c r="M47536" s="13"/>
    </row>
    <row r="47537">
      <c r="F47537" s="13"/>
      <c r="M47537" s="13"/>
    </row>
    <row r="47538">
      <c r="F47538" s="13"/>
      <c r="M47538" s="13"/>
    </row>
    <row r="47539">
      <c r="F47539" s="13"/>
      <c r="M47539" s="13"/>
    </row>
    <row r="47540">
      <c r="F47540" s="13"/>
      <c r="M47540" s="13"/>
    </row>
    <row r="47541">
      <c r="F47541" s="13"/>
      <c r="M47541" s="13"/>
    </row>
    <row r="47542">
      <c r="F47542" s="13"/>
      <c r="M47542" s="13"/>
    </row>
    <row r="47543">
      <c r="F47543" s="13"/>
      <c r="M47543" s="13"/>
    </row>
    <row r="47544">
      <c r="F47544" s="13"/>
      <c r="M47544" s="13"/>
    </row>
    <row r="47545">
      <c r="F47545" s="13"/>
      <c r="M47545" s="13"/>
    </row>
    <row r="47546">
      <c r="F47546" s="13"/>
      <c r="M47546" s="13"/>
    </row>
    <row r="47547">
      <c r="F47547" s="13"/>
      <c r="M47547" s="13"/>
    </row>
    <row r="47548">
      <c r="F47548" s="13"/>
      <c r="M47548" s="13"/>
    </row>
    <row r="47549">
      <c r="F47549" s="13"/>
      <c r="M47549" s="13"/>
    </row>
    <row r="47550">
      <c r="F47550" s="13"/>
      <c r="M47550" s="13"/>
    </row>
    <row r="47551">
      <c r="F47551" s="13"/>
      <c r="M47551" s="13"/>
    </row>
    <row r="47552">
      <c r="F47552" s="13"/>
      <c r="M47552" s="13"/>
    </row>
    <row r="47553">
      <c r="F47553" s="13"/>
      <c r="M47553" s="13"/>
    </row>
    <row r="47554">
      <c r="F47554" s="13"/>
      <c r="M47554" s="13"/>
    </row>
    <row r="47555">
      <c r="F47555" s="13"/>
      <c r="M47555" s="13"/>
    </row>
    <row r="47556">
      <c r="F47556" s="13"/>
      <c r="M47556" s="13"/>
    </row>
    <row r="47557">
      <c r="F47557" s="13"/>
      <c r="M47557" s="13"/>
    </row>
    <row r="47558">
      <c r="F47558" s="13"/>
      <c r="M47558" s="13"/>
    </row>
    <row r="47559">
      <c r="F47559" s="13"/>
      <c r="M47559" s="13"/>
    </row>
    <row r="47560">
      <c r="F47560" s="13"/>
      <c r="M47560" s="13"/>
    </row>
    <row r="47561">
      <c r="F47561" s="13"/>
      <c r="M47561" s="13"/>
    </row>
    <row r="47562">
      <c r="F47562" s="13"/>
      <c r="M47562" s="13"/>
    </row>
    <row r="47563">
      <c r="F47563" s="13"/>
      <c r="M47563" s="13"/>
    </row>
    <row r="47564">
      <c r="F47564" s="13"/>
      <c r="M47564" s="13"/>
    </row>
    <row r="47565">
      <c r="F47565" s="13"/>
      <c r="M47565" s="13"/>
    </row>
    <row r="47566">
      <c r="F47566" s="13"/>
      <c r="M47566" s="13"/>
    </row>
    <row r="47567">
      <c r="F47567" s="13"/>
      <c r="M47567" s="13"/>
    </row>
    <row r="47568">
      <c r="F47568" s="13"/>
      <c r="M47568" s="13"/>
    </row>
    <row r="47569">
      <c r="F47569" s="13"/>
      <c r="M47569" s="13"/>
    </row>
    <row r="47570">
      <c r="F47570" s="13"/>
      <c r="M47570" s="13"/>
    </row>
    <row r="47571">
      <c r="F47571" s="13"/>
      <c r="M47571" s="13"/>
    </row>
    <row r="47572">
      <c r="F47572" s="13"/>
      <c r="M47572" s="13"/>
    </row>
    <row r="47573">
      <c r="F47573" s="13"/>
      <c r="M47573" s="13"/>
    </row>
    <row r="47574">
      <c r="F47574" s="13"/>
      <c r="M47574" s="13"/>
    </row>
    <row r="47575">
      <c r="F47575" s="13"/>
      <c r="M47575" s="13"/>
    </row>
    <row r="47576">
      <c r="F47576" s="13"/>
      <c r="M47576" s="13"/>
    </row>
    <row r="47577">
      <c r="F47577" s="13"/>
      <c r="M47577" s="13"/>
    </row>
    <row r="47578">
      <c r="F47578" s="13"/>
      <c r="M47578" s="13"/>
    </row>
    <row r="47579">
      <c r="F47579" s="13"/>
      <c r="M47579" s="13"/>
    </row>
    <row r="47580">
      <c r="F47580" s="13"/>
      <c r="M47580" s="13"/>
    </row>
    <row r="47581">
      <c r="F47581" s="13"/>
      <c r="M47581" s="13"/>
    </row>
    <row r="47582">
      <c r="F47582" s="13"/>
      <c r="M47582" s="13"/>
    </row>
    <row r="47583">
      <c r="F47583" s="13"/>
      <c r="M47583" s="13"/>
    </row>
    <row r="47584">
      <c r="F47584" s="13"/>
      <c r="M47584" s="13"/>
    </row>
    <row r="47585">
      <c r="F47585" s="13"/>
      <c r="M47585" s="13"/>
    </row>
    <row r="47586">
      <c r="F47586" s="13"/>
      <c r="M47586" s="13"/>
    </row>
    <row r="47587">
      <c r="F47587" s="13"/>
      <c r="M47587" s="13"/>
    </row>
    <row r="47588">
      <c r="F47588" s="13"/>
      <c r="M47588" s="13"/>
    </row>
    <row r="47589">
      <c r="F47589" s="13"/>
      <c r="M47589" s="13"/>
    </row>
    <row r="47590">
      <c r="F47590" s="13"/>
      <c r="M47590" s="13"/>
    </row>
    <row r="47591">
      <c r="F47591" s="13"/>
      <c r="M47591" s="13"/>
    </row>
    <row r="47592">
      <c r="F47592" s="13"/>
      <c r="M47592" s="13"/>
    </row>
    <row r="47593">
      <c r="F47593" s="13"/>
      <c r="M47593" s="13"/>
    </row>
    <row r="47594">
      <c r="F47594" s="13"/>
      <c r="M47594" s="13"/>
    </row>
    <row r="47595">
      <c r="F47595" s="13"/>
      <c r="M47595" s="13"/>
    </row>
    <row r="47596">
      <c r="F47596" s="13"/>
      <c r="M47596" s="13"/>
    </row>
    <row r="47597">
      <c r="F47597" s="13"/>
      <c r="M47597" s="13"/>
    </row>
    <row r="47598">
      <c r="F47598" s="13"/>
      <c r="M47598" s="13"/>
    </row>
    <row r="47599">
      <c r="F47599" s="13"/>
      <c r="M47599" s="13"/>
    </row>
    <row r="47600">
      <c r="F47600" s="13"/>
      <c r="M47600" s="13"/>
    </row>
    <row r="47601">
      <c r="F47601" s="13"/>
      <c r="M47601" s="13"/>
    </row>
    <row r="47602">
      <c r="F47602" s="13"/>
      <c r="M47602" s="13"/>
    </row>
    <row r="47603">
      <c r="F47603" s="13"/>
      <c r="M47603" s="13"/>
    </row>
    <row r="47604">
      <c r="F47604" s="13"/>
      <c r="M47604" s="13"/>
    </row>
    <row r="47605">
      <c r="F47605" s="13"/>
      <c r="M47605" s="13"/>
    </row>
    <row r="47606">
      <c r="F47606" s="13"/>
      <c r="M47606" s="13"/>
    </row>
    <row r="47607">
      <c r="F47607" s="13"/>
      <c r="M47607" s="13"/>
    </row>
    <row r="47608">
      <c r="F47608" s="13"/>
      <c r="M47608" s="13"/>
    </row>
    <row r="47609">
      <c r="F47609" s="13"/>
      <c r="M47609" s="13"/>
    </row>
    <row r="47610">
      <c r="F47610" s="13"/>
      <c r="M47610" s="13"/>
    </row>
    <row r="47611">
      <c r="F47611" s="13"/>
      <c r="M47611" s="13"/>
    </row>
    <row r="47612">
      <c r="F47612" s="13"/>
      <c r="M47612" s="13"/>
    </row>
    <row r="47613">
      <c r="F47613" s="13"/>
      <c r="M47613" s="13"/>
    </row>
    <row r="47614">
      <c r="F47614" s="13"/>
      <c r="M47614" s="13"/>
    </row>
    <row r="47615">
      <c r="F47615" s="13"/>
      <c r="M47615" s="13"/>
    </row>
    <row r="47616">
      <c r="F47616" s="13"/>
      <c r="M47616" s="13"/>
    </row>
    <row r="47617">
      <c r="F47617" s="13"/>
      <c r="M47617" s="13"/>
    </row>
    <row r="47618">
      <c r="F47618" s="13"/>
      <c r="M47618" s="13"/>
    </row>
    <row r="47619">
      <c r="F47619" s="13"/>
      <c r="M47619" s="13"/>
    </row>
    <row r="47620">
      <c r="F47620" s="13"/>
      <c r="M47620" s="13"/>
    </row>
    <row r="47621">
      <c r="F47621" s="13"/>
      <c r="M47621" s="13"/>
    </row>
    <row r="47622">
      <c r="F47622" s="13"/>
      <c r="M47622" s="13"/>
    </row>
    <row r="47623">
      <c r="F47623" s="13"/>
      <c r="M47623" s="13"/>
    </row>
    <row r="47624">
      <c r="F47624" s="13"/>
      <c r="M47624" s="13"/>
    </row>
    <row r="47625">
      <c r="F47625" s="13"/>
      <c r="M47625" s="13"/>
    </row>
    <row r="47626">
      <c r="F47626" s="13"/>
      <c r="M47626" s="13"/>
    </row>
    <row r="47627">
      <c r="F47627" s="13"/>
      <c r="M47627" s="13"/>
    </row>
    <row r="47628">
      <c r="F47628" s="13"/>
      <c r="M47628" s="13"/>
    </row>
    <row r="47629">
      <c r="F47629" s="13"/>
      <c r="M47629" s="13"/>
    </row>
    <row r="47630">
      <c r="F47630" s="13"/>
      <c r="M47630" s="13"/>
    </row>
    <row r="47631">
      <c r="F47631" s="13"/>
      <c r="M47631" s="13"/>
    </row>
    <row r="47632">
      <c r="F47632" s="13"/>
      <c r="M47632" s="13"/>
    </row>
    <row r="47633">
      <c r="F47633" s="13"/>
      <c r="M47633" s="13"/>
    </row>
    <row r="47634">
      <c r="F47634" s="13"/>
      <c r="M47634" s="13"/>
    </row>
    <row r="47635">
      <c r="F47635" s="13"/>
      <c r="M47635" s="13"/>
    </row>
    <row r="47636">
      <c r="F47636" s="13"/>
      <c r="M47636" s="13"/>
    </row>
    <row r="47637">
      <c r="F47637" s="13"/>
      <c r="M47637" s="13"/>
    </row>
    <row r="47638">
      <c r="F47638" s="13"/>
      <c r="M47638" s="13"/>
    </row>
    <row r="47639">
      <c r="F47639" s="13"/>
      <c r="M47639" s="13"/>
    </row>
    <row r="47640">
      <c r="F47640" s="13"/>
      <c r="M47640" s="13"/>
    </row>
    <row r="47641">
      <c r="F47641" s="13"/>
      <c r="M47641" s="13"/>
    </row>
    <row r="47642">
      <c r="F47642" s="13"/>
      <c r="M47642" s="13"/>
    </row>
    <row r="47643">
      <c r="F47643" s="13"/>
      <c r="M47643" s="13"/>
    </row>
    <row r="47644">
      <c r="F47644" s="13"/>
      <c r="M47644" s="13"/>
    </row>
    <row r="47645">
      <c r="F47645" s="13"/>
      <c r="M47645" s="13"/>
    </row>
    <row r="47646">
      <c r="F47646" s="13"/>
      <c r="M47646" s="13"/>
    </row>
    <row r="47647">
      <c r="F47647" s="13"/>
      <c r="M47647" s="13"/>
    </row>
    <row r="47648">
      <c r="F47648" s="13"/>
      <c r="M47648" s="13"/>
    </row>
    <row r="47649">
      <c r="F47649" s="13"/>
      <c r="M47649" s="13"/>
    </row>
    <row r="47650">
      <c r="F47650" s="13"/>
      <c r="M47650" s="13"/>
    </row>
    <row r="47651">
      <c r="F47651" s="13"/>
      <c r="M47651" s="13"/>
    </row>
    <row r="47652">
      <c r="F47652" s="13"/>
      <c r="M47652" s="13"/>
    </row>
    <row r="47653">
      <c r="F47653" s="13"/>
      <c r="M47653" s="13"/>
    </row>
    <row r="47654">
      <c r="F47654" s="13"/>
      <c r="M47654" s="13"/>
    </row>
    <row r="47655">
      <c r="F47655" s="13"/>
      <c r="M47655" s="13"/>
    </row>
    <row r="47656">
      <c r="F47656" s="13"/>
      <c r="M47656" s="13"/>
    </row>
    <row r="47657">
      <c r="F47657" s="13"/>
      <c r="M47657" s="13"/>
    </row>
    <row r="47658">
      <c r="F47658" s="13"/>
      <c r="M47658" s="13"/>
    </row>
    <row r="47659">
      <c r="F47659" s="13"/>
      <c r="M47659" s="13"/>
    </row>
    <row r="47660">
      <c r="F47660" s="13"/>
      <c r="M47660" s="13"/>
    </row>
    <row r="47661">
      <c r="F47661" s="13"/>
      <c r="M47661" s="13"/>
    </row>
    <row r="47662">
      <c r="F47662" s="13"/>
      <c r="M47662" s="13"/>
    </row>
    <row r="47663">
      <c r="F47663" s="13"/>
      <c r="M47663" s="13"/>
    </row>
    <row r="47664">
      <c r="F47664" s="13"/>
      <c r="M47664" s="13"/>
    </row>
    <row r="47665">
      <c r="F47665" s="13"/>
      <c r="M47665" s="13"/>
    </row>
    <row r="47666">
      <c r="F47666" s="13"/>
      <c r="M47666" s="13"/>
    </row>
    <row r="47667">
      <c r="F47667" s="13"/>
      <c r="M47667" s="13"/>
    </row>
    <row r="47668">
      <c r="F47668" s="13"/>
      <c r="M47668" s="13"/>
    </row>
    <row r="47669">
      <c r="F47669" s="13"/>
      <c r="M47669" s="13"/>
    </row>
    <row r="47670">
      <c r="F47670" s="13"/>
      <c r="M47670" s="13"/>
    </row>
    <row r="47671">
      <c r="F47671" s="13"/>
      <c r="M47671" s="13"/>
    </row>
    <row r="47672">
      <c r="F47672" s="13"/>
      <c r="M47672" s="13"/>
    </row>
    <row r="47673">
      <c r="F47673" s="13"/>
      <c r="M47673" s="13"/>
    </row>
    <row r="47674">
      <c r="F47674" s="13"/>
      <c r="M47674" s="13"/>
    </row>
    <row r="47675">
      <c r="F47675" s="13"/>
      <c r="M47675" s="13"/>
    </row>
    <row r="47676">
      <c r="F47676" s="13"/>
      <c r="M47676" s="13"/>
    </row>
    <row r="47677">
      <c r="F47677" s="13"/>
      <c r="M47677" s="13"/>
    </row>
    <row r="47678">
      <c r="F47678" s="13"/>
      <c r="M47678" s="13"/>
    </row>
    <row r="47679">
      <c r="F47679" s="13"/>
      <c r="M47679" s="13"/>
    </row>
    <row r="47680">
      <c r="F47680" s="13"/>
      <c r="M47680" s="13"/>
    </row>
    <row r="47681">
      <c r="F47681" s="13"/>
      <c r="M47681" s="13"/>
    </row>
    <row r="47682">
      <c r="F47682" s="13"/>
      <c r="M47682" s="13"/>
    </row>
    <row r="47683">
      <c r="F47683" s="13"/>
      <c r="M47683" s="13"/>
    </row>
    <row r="47684">
      <c r="F47684" s="13"/>
      <c r="M47684" s="13"/>
    </row>
    <row r="47685">
      <c r="F47685" s="13"/>
      <c r="M47685" s="13"/>
    </row>
    <row r="47686">
      <c r="F47686" s="13"/>
      <c r="M47686" s="13"/>
    </row>
    <row r="47687">
      <c r="F47687" s="13"/>
      <c r="M47687" s="13"/>
    </row>
    <row r="47688">
      <c r="F47688" s="13"/>
      <c r="M47688" s="13"/>
    </row>
    <row r="47689">
      <c r="F47689" s="13"/>
      <c r="M47689" s="13"/>
    </row>
    <row r="47690">
      <c r="F47690" s="13"/>
      <c r="M47690" s="13"/>
    </row>
    <row r="47691">
      <c r="F47691" s="13"/>
      <c r="M47691" s="13"/>
    </row>
    <row r="47692">
      <c r="F47692" s="13"/>
      <c r="M47692" s="13"/>
    </row>
    <row r="47693">
      <c r="F47693" s="13"/>
      <c r="M47693" s="13"/>
    </row>
    <row r="47694">
      <c r="F47694" s="13"/>
      <c r="M47694" s="13"/>
    </row>
    <row r="47695">
      <c r="F47695" s="13"/>
      <c r="M47695" s="13"/>
    </row>
    <row r="47696">
      <c r="F47696" s="13"/>
      <c r="M47696" s="13"/>
    </row>
    <row r="47697">
      <c r="F47697" s="13"/>
      <c r="M47697" s="13"/>
    </row>
    <row r="47698">
      <c r="F47698" s="13"/>
      <c r="M47698" s="13"/>
    </row>
    <row r="47699">
      <c r="F47699" s="13"/>
      <c r="M47699" s="13"/>
    </row>
    <row r="47700">
      <c r="F47700" s="13"/>
      <c r="M47700" s="13"/>
    </row>
    <row r="47701">
      <c r="F47701" s="13"/>
      <c r="M47701" s="13"/>
    </row>
    <row r="47702">
      <c r="F47702" s="13"/>
      <c r="M47702" s="13"/>
    </row>
    <row r="47703">
      <c r="F47703" s="13"/>
      <c r="M47703" s="13"/>
    </row>
    <row r="47704">
      <c r="F47704" s="13"/>
      <c r="M47704" s="13"/>
    </row>
    <row r="47705">
      <c r="F47705" s="13"/>
      <c r="M47705" s="13"/>
    </row>
    <row r="47706">
      <c r="F47706" s="13"/>
      <c r="M47706" s="13"/>
    </row>
    <row r="47707">
      <c r="F47707" s="13"/>
      <c r="M47707" s="13"/>
    </row>
    <row r="47708">
      <c r="F47708" s="13"/>
      <c r="M47708" s="13"/>
    </row>
    <row r="47709">
      <c r="F47709" s="13"/>
      <c r="M47709" s="13"/>
    </row>
    <row r="47710">
      <c r="F47710" s="13"/>
      <c r="M47710" s="13"/>
    </row>
    <row r="47711">
      <c r="F47711" s="13"/>
      <c r="M47711" s="13"/>
    </row>
    <row r="47712">
      <c r="F47712" s="13"/>
      <c r="M47712" s="13"/>
    </row>
    <row r="47713">
      <c r="F47713" s="13"/>
      <c r="M47713" s="13"/>
    </row>
    <row r="47714">
      <c r="F47714" s="13"/>
      <c r="M47714" s="13"/>
    </row>
    <row r="47715">
      <c r="F47715" s="13"/>
      <c r="M47715" s="13"/>
    </row>
    <row r="47716">
      <c r="F47716" s="13"/>
      <c r="M47716" s="13"/>
    </row>
    <row r="47717">
      <c r="F47717" s="13"/>
      <c r="M47717" s="13"/>
    </row>
    <row r="47718">
      <c r="F47718" s="13"/>
      <c r="M47718" s="13"/>
    </row>
    <row r="47719">
      <c r="F47719" s="13"/>
      <c r="M47719" s="13"/>
    </row>
    <row r="47720">
      <c r="F47720" s="13"/>
      <c r="M47720" s="13"/>
    </row>
    <row r="47721">
      <c r="F47721" s="13"/>
      <c r="M47721" s="13"/>
    </row>
    <row r="47722">
      <c r="F47722" s="13"/>
      <c r="M47722" s="13"/>
    </row>
    <row r="47723">
      <c r="F47723" s="13"/>
      <c r="M47723" s="13"/>
    </row>
    <row r="47724">
      <c r="F47724" s="13"/>
      <c r="M47724" s="13"/>
    </row>
    <row r="47725">
      <c r="F47725" s="13"/>
      <c r="M47725" s="13"/>
    </row>
    <row r="47726">
      <c r="F47726" s="13"/>
      <c r="M47726" s="13"/>
    </row>
    <row r="47727">
      <c r="F47727" s="13"/>
      <c r="M47727" s="13"/>
    </row>
    <row r="47728">
      <c r="F47728" s="13"/>
      <c r="M47728" s="13"/>
    </row>
    <row r="47729">
      <c r="F47729" s="13"/>
      <c r="M47729" s="13"/>
    </row>
    <row r="47730">
      <c r="F47730" s="13"/>
      <c r="M47730" s="13"/>
    </row>
    <row r="47731">
      <c r="F47731" s="13"/>
      <c r="M47731" s="13"/>
    </row>
    <row r="47732">
      <c r="F47732" s="13"/>
      <c r="M47732" s="13"/>
    </row>
    <row r="47733">
      <c r="F47733" s="13"/>
      <c r="M47733" s="13"/>
    </row>
    <row r="47734">
      <c r="F47734" s="13"/>
      <c r="M47734" s="13"/>
    </row>
    <row r="47735">
      <c r="F47735" s="13"/>
      <c r="M47735" s="13"/>
    </row>
    <row r="47736">
      <c r="F47736" s="13"/>
      <c r="M47736" s="13"/>
    </row>
    <row r="47737">
      <c r="F47737" s="13"/>
      <c r="M47737" s="13"/>
    </row>
    <row r="47738">
      <c r="F47738" s="13"/>
      <c r="M47738" s="13"/>
    </row>
    <row r="47739">
      <c r="F47739" s="13"/>
      <c r="M47739" s="13"/>
    </row>
    <row r="47740">
      <c r="F47740" s="13"/>
      <c r="M47740" s="13"/>
    </row>
    <row r="47741">
      <c r="F47741" s="13"/>
      <c r="M47741" s="13"/>
    </row>
    <row r="47742">
      <c r="F47742" s="13"/>
      <c r="M47742" s="13"/>
    </row>
    <row r="47743">
      <c r="F47743" s="13"/>
      <c r="M47743" s="13"/>
    </row>
    <row r="47744">
      <c r="F47744" s="13"/>
      <c r="M47744" s="13"/>
    </row>
    <row r="47745">
      <c r="F47745" s="13"/>
      <c r="M47745" s="13"/>
    </row>
    <row r="47746">
      <c r="F47746" s="13"/>
      <c r="M47746" s="13"/>
    </row>
    <row r="47747">
      <c r="F47747" s="13"/>
      <c r="M47747" s="13"/>
    </row>
    <row r="47748">
      <c r="F47748" s="13"/>
      <c r="M47748" s="13"/>
    </row>
    <row r="47749">
      <c r="F47749" s="13"/>
      <c r="M47749" s="13"/>
    </row>
    <row r="47750">
      <c r="F47750" s="13"/>
      <c r="M47750" s="13"/>
    </row>
    <row r="47751">
      <c r="F47751" s="13"/>
      <c r="M47751" s="13"/>
    </row>
    <row r="47752">
      <c r="F47752" s="13"/>
      <c r="M47752" s="13"/>
    </row>
    <row r="47753">
      <c r="F47753" s="13"/>
      <c r="M47753" s="13"/>
    </row>
    <row r="47754">
      <c r="F47754" s="13"/>
      <c r="M47754" s="13"/>
    </row>
    <row r="47755">
      <c r="F47755" s="13"/>
      <c r="M47755" s="13"/>
    </row>
    <row r="47756">
      <c r="F47756" s="13"/>
      <c r="M47756" s="13"/>
    </row>
    <row r="47757">
      <c r="F47757" s="13"/>
      <c r="M47757" s="13"/>
    </row>
    <row r="47758">
      <c r="F47758" s="13"/>
      <c r="M47758" s="13"/>
    </row>
    <row r="47759">
      <c r="F47759" s="13"/>
      <c r="M47759" s="13"/>
    </row>
    <row r="47760">
      <c r="F47760" s="13"/>
      <c r="M47760" s="13"/>
    </row>
    <row r="47761">
      <c r="F47761" s="13"/>
      <c r="M47761" s="13"/>
    </row>
    <row r="47762">
      <c r="F47762" s="13"/>
      <c r="M47762" s="13"/>
    </row>
    <row r="47763">
      <c r="F47763" s="13"/>
      <c r="M47763" s="13"/>
    </row>
    <row r="47764">
      <c r="F47764" s="13"/>
      <c r="M47764" s="13"/>
    </row>
    <row r="47765">
      <c r="F47765" s="13"/>
      <c r="M47765" s="13"/>
    </row>
    <row r="47766">
      <c r="F47766" s="13"/>
      <c r="M47766" s="13"/>
    </row>
    <row r="47767">
      <c r="F47767" s="13"/>
      <c r="M47767" s="13"/>
    </row>
    <row r="47768">
      <c r="F47768" s="13"/>
      <c r="M47768" s="13"/>
    </row>
    <row r="47769">
      <c r="F47769" s="13"/>
      <c r="M47769" s="13"/>
    </row>
    <row r="47770">
      <c r="F47770" s="13"/>
      <c r="M47770" s="13"/>
    </row>
    <row r="47771">
      <c r="F47771" s="13"/>
      <c r="M47771" s="13"/>
    </row>
    <row r="47772">
      <c r="F47772" s="13"/>
      <c r="M47772" s="13"/>
    </row>
    <row r="47773">
      <c r="F47773" s="13"/>
      <c r="M47773" s="13"/>
    </row>
    <row r="47774">
      <c r="F47774" s="13"/>
      <c r="M47774" s="13"/>
    </row>
    <row r="47775">
      <c r="F47775" s="13"/>
      <c r="M47775" s="13"/>
    </row>
    <row r="47776">
      <c r="F47776" s="13"/>
      <c r="M47776" s="13"/>
    </row>
    <row r="47777">
      <c r="F47777" s="13"/>
      <c r="M47777" s="13"/>
    </row>
    <row r="47778">
      <c r="F47778" s="13"/>
      <c r="M47778" s="13"/>
    </row>
    <row r="47779">
      <c r="F47779" s="13"/>
      <c r="M47779" s="13"/>
    </row>
    <row r="47780">
      <c r="F47780" s="13"/>
      <c r="M47780" s="13"/>
    </row>
    <row r="47781">
      <c r="F47781" s="13"/>
      <c r="M47781" s="13"/>
    </row>
    <row r="47782">
      <c r="F47782" s="13"/>
      <c r="M47782" s="13"/>
    </row>
    <row r="47783">
      <c r="F47783" s="13"/>
      <c r="M47783" s="13"/>
    </row>
    <row r="47784">
      <c r="F47784" s="13"/>
      <c r="M47784" s="13"/>
    </row>
    <row r="47785">
      <c r="F47785" s="13"/>
      <c r="M47785" s="13"/>
    </row>
    <row r="47786">
      <c r="F47786" s="13"/>
      <c r="M47786" s="13"/>
    </row>
    <row r="47787">
      <c r="F47787" s="13"/>
      <c r="M47787" s="13"/>
    </row>
    <row r="47788">
      <c r="F47788" s="13"/>
      <c r="M47788" s="13"/>
    </row>
    <row r="47789">
      <c r="F47789" s="13"/>
      <c r="M47789" s="13"/>
    </row>
    <row r="47790">
      <c r="F47790" s="13"/>
      <c r="M47790" s="13"/>
    </row>
    <row r="47791">
      <c r="F47791" s="13"/>
      <c r="M47791" s="13"/>
    </row>
    <row r="47792">
      <c r="F47792" s="13"/>
      <c r="M47792" s="13"/>
    </row>
    <row r="47793">
      <c r="F47793" s="13"/>
      <c r="M47793" s="13"/>
    </row>
    <row r="47794">
      <c r="F47794" s="13"/>
      <c r="M47794" s="13"/>
    </row>
    <row r="47795">
      <c r="F47795" s="13"/>
      <c r="M47795" s="13"/>
    </row>
    <row r="47796">
      <c r="F47796" s="13"/>
      <c r="M47796" s="13"/>
    </row>
    <row r="47797">
      <c r="F47797" s="13"/>
      <c r="M47797" s="13"/>
    </row>
    <row r="47798">
      <c r="F47798" s="13"/>
      <c r="M47798" s="13"/>
    </row>
    <row r="47799">
      <c r="F47799" s="13"/>
      <c r="M47799" s="13"/>
    </row>
    <row r="47800">
      <c r="F47800" s="13"/>
      <c r="M47800" s="13"/>
    </row>
    <row r="47801">
      <c r="F47801" s="13"/>
      <c r="M47801" s="13"/>
    </row>
    <row r="47802">
      <c r="F47802" s="13"/>
      <c r="M47802" s="13"/>
    </row>
    <row r="47803">
      <c r="F47803" s="13"/>
      <c r="M47803" s="13"/>
    </row>
    <row r="47804">
      <c r="F47804" s="13"/>
      <c r="M47804" s="13"/>
    </row>
    <row r="47805">
      <c r="F47805" s="13"/>
      <c r="M47805" s="13"/>
    </row>
    <row r="47806">
      <c r="F47806" s="13"/>
      <c r="M47806" s="13"/>
    </row>
    <row r="47807">
      <c r="F47807" s="13"/>
      <c r="M47807" s="13"/>
    </row>
    <row r="47808">
      <c r="F47808" s="13"/>
      <c r="M47808" s="13"/>
    </row>
    <row r="47809">
      <c r="F47809" s="13"/>
      <c r="M47809" s="13"/>
    </row>
    <row r="47810">
      <c r="F47810" s="13"/>
      <c r="M47810" s="13"/>
    </row>
    <row r="47811">
      <c r="F47811" s="13"/>
      <c r="M47811" s="13"/>
    </row>
    <row r="47812">
      <c r="F47812" s="13"/>
      <c r="M47812" s="13"/>
    </row>
    <row r="47813">
      <c r="F47813" s="13"/>
      <c r="M47813" s="13"/>
    </row>
    <row r="47814">
      <c r="F47814" s="13"/>
      <c r="M47814" s="13"/>
    </row>
    <row r="47815">
      <c r="F47815" s="13"/>
      <c r="M47815" s="13"/>
    </row>
    <row r="47816">
      <c r="F47816" s="13"/>
      <c r="M47816" s="13"/>
    </row>
    <row r="47817">
      <c r="F47817" s="13"/>
      <c r="M47817" s="13"/>
    </row>
    <row r="47818">
      <c r="F47818" s="13"/>
      <c r="M47818" s="13"/>
    </row>
    <row r="47819">
      <c r="F47819" s="13"/>
      <c r="M47819" s="13"/>
    </row>
    <row r="47820">
      <c r="F47820" s="13"/>
      <c r="M47820" s="13"/>
    </row>
    <row r="47821">
      <c r="F47821" s="13"/>
      <c r="M47821" s="13"/>
    </row>
    <row r="47822">
      <c r="F47822" s="13"/>
      <c r="M47822" s="13"/>
    </row>
    <row r="47823">
      <c r="F47823" s="13"/>
      <c r="M47823" s="13"/>
    </row>
    <row r="47824">
      <c r="F47824" s="13"/>
      <c r="M47824" s="13"/>
    </row>
    <row r="47825">
      <c r="F47825" s="13"/>
      <c r="M47825" s="13"/>
    </row>
    <row r="47826">
      <c r="F47826" s="13"/>
      <c r="M47826" s="13"/>
    </row>
    <row r="47827">
      <c r="F47827" s="13"/>
      <c r="M47827" s="13"/>
    </row>
    <row r="47828">
      <c r="F47828" s="13"/>
      <c r="M47828" s="13"/>
    </row>
    <row r="47829">
      <c r="F47829" s="13"/>
      <c r="M47829" s="13"/>
    </row>
    <row r="47830">
      <c r="F47830" s="13"/>
      <c r="M47830" s="13"/>
    </row>
    <row r="47831">
      <c r="F47831" s="13"/>
      <c r="M47831" s="13"/>
    </row>
    <row r="47832">
      <c r="F47832" s="13"/>
      <c r="M47832" s="13"/>
    </row>
    <row r="47833">
      <c r="F47833" s="13"/>
      <c r="M47833" s="13"/>
    </row>
    <row r="47834">
      <c r="F47834" s="13"/>
      <c r="M47834" s="13"/>
    </row>
    <row r="47835">
      <c r="F47835" s="13"/>
      <c r="M47835" s="13"/>
    </row>
    <row r="47836">
      <c r="F47836" s="13"/>
      <c r="M47836" s="13"/>
    </row>
    <row r="47837">
      <c r="F47837" s="13"/>
      <c r="M47837" s="13"/>
    </row>
    <row r="47838">
      <c r="F47838" s="13"/>
      <c r="M47838" s="13"/>
    </row>
    <row r="47839">
      <c r="F47839" s="13"/>
      <c r="M47839" s="13"/>
    </row>
    <row r="47840">
      <c r="F47840" s="13"/>
      <c r="M47840" s="13"/>
    </row>
    <row r="47841">
      <c r="F47841" s="13"/>
      <c r="M47841" s="13"/>
    </row>
    <row r="47842">
      <c r="F47842" s="13"/>
      <c r="M47842" s="13"/>
    </row>
    <row r="47843">
      <c r="F47843" s="13"/>
      <c r="M47843" s="13"/>
    </row>
    <row r="47844">
      <c r="F47844" s="13"/>
      <c r="M47844" s="13"/>
    </row>
    <row r="47845">
      <c r="F47845" s="13"/>
      <c r="M47845" s="13"/>
    </row>
    <row r="47846">
      <c r="F47846" s="13"/>
      <c r="M47846" s="13"/>
    </row>
    <row r="47847">
      <c r="F47847" s="13"/>
      <c r="M47847" s="13"/>
    </row>
    <row r="47848">
      <c r="F47848" s="13"/>
      <c r="M47848" s="13"/>
    </row>
    <row r="47849">
      <c r="F47849" s="13"/>
      <c r="M47849" s="13"/>
    </row>
    <row r="47850">
      <c r="F47850" s="13"/>
      <c r="M47850" s="13"/>
    </row>
    <row r="47851">
      <c r="F47851" s="13"/>
      <c r="M47851" s="13"/>
    </row>
    <row r="47852">
      <c r="F47852" s="13"/>
      <c r="M47852" s="13"/>
    </row>
    <row r="47853">
      <c r="F47853" s="13"/>
      <c r="M47853" s="13"/>
    </row>
    <row r="47854">
      <c r="F47854" s="13"/>
      <c r="M47854" s="13"/>
    </row>
    <row r="47855">
      <c r="F47855" s="13"/>
      <c r="M47855" s="13"/>
    </row>
    <row r="47856">
      <c r="F47856" s="13"/>
      <c r="M47856" s="13"/>
    </row>
    <row r="47857">
      <c r="F47857" s="13"/>
      <c r="M47857" s="13"/>
    </row>
    <row r="47858">
      <c r="F47858" s="13"/>
      <c r="M47858" s="13"/>
    </row>
    <row r="47859">
      <c r="F47859" s="13"/>
      <c r="M47859" s="13"/>
    </row>
    <row r="47860">
      <c r="F47860" s="13"/>
      <c r="M47860" s="13"/>
    </row>
    <row r="47861">
      <c r="F47861" s="13"/>
      <c r="M47861" s="13"/>
    </row>
    <row r="47862">
      <c r="F47862" s="13"/>
      <c r="M47862" s="13"/>
    </row>
    <row r="47863">
      <c r="F47863" s="13"/>
      <c r="M47863" s="13"/>
    </row>
    <row r="47864">
      <c r="F47864" s="13"/>
      <c r="M47864" s="13"/>
    </row>
    <row r="47865">
      <c r="F47865" s="13"/>
      <c r="M47865" s="13"/>
    </row>
    <row r="47866">
      <c r="F47866" s="13"/>
      <c r="M47866" s="13"/>
    </row>
    <row r="47867">
      <c r="F47867" s="13"/>
      <c r="M47867" s="13"/>
    </row>
    <row r="47868">
      <c r="F47868" s="13"/>
      <c r="M47868" s="13"/>
    </row>
    <row r="47869">
      <c r="F47869" s="13"/>
      <c r="M47869" s="13"/>
    </row>
    <row r="47870">
      <c r="F47870" s="13"/>
      <c r="M47870" s="13"/>
    </row>
    <row r="47871">
      <c r="F47871" s="13"/>
      <c r="M47871" s="13"/>
    </row>
    <row r="47872">
      <c r="F47872" s="13"/>
      <c r="M47872" s="13"/>
    </row>
    <row r="47873">
      <c r="F47873" s="13"/>
      <c r="M47873" s="13"/>
    </row>
    <row r="47874">
      <c r="F47874" s="13"/>
      <c r="M47874" s="13"/>
    </row>
    <row r="47875">
      <c r="F47875" s="13"/>
      <c r="M47875" s="13"/>
    </row>
    <row r="47876">
      <c r="F47876" s="13"/>
      <c r="M47876" s="13"/>
    </row>
    <row r="47877">
      <c r="F47877" s="13"/>
      <c r="M47877" s="13"/>
    </row>
    <row r="47878">
      <c r="F47878" s="13"/>
      <c r="M47878" s="13"/>
    </row>
    <row r="47879">
      <c r="F47879" s="13"/>
      <c r="M47879" s="13"/>
    </row>
    <row r="47880">
      <c r="F47880" s="13"/>
      <c r="M47880" s="13"/>
    </row>
    <row r="47881">
      <c r="F47881" s="13"/>
      <c r="M47881" s="13"/>
    </row>
    <row r="47882">
      <c r="F47882" s="13"/>
      <c r="M47882" s="13"/>
    </row>
    <row r="47883">
      <c r="F47883" s="13"/>
      <c r="M47883" s="13"/>
    </row>
    <row r="47884">
      <c r="F47884" s="13"/>
      <c r="M47884" s="13"/>
    </row>
    <row r="47885">
      <c r="F47885" s="13"/>
      <c r="M47885" s="13"/>
    </row>
    <row r="47886">
      <c r="F47886" s="13"/>
      <c r="M47886" s="13"/>
    </row>
    <row r="47887">
      <c r="F47887" s="13"/>
      <c r="M47887" s="13"/>
    </row>
    <row r="47888">
      <c r="F47888" s="13"/>
      <c r="M47888" s="13"/>
    </row>
    <row r="47889">
      <c r="F47889" s="13"/>
      <c r="M47889" s="13"/>
    </row>
    <row r="47890">
      <c r="F47890" s="13"/>
      <c r="M47890" s="13"/>
    </row>
    <row r="47891">
      <c r="F47891" s="13"/>
      <c r="M47891" s="13"/>
    </row>
    <row r="47892">
      <c r="F47892" s="13"/>
      <c r="M47892" s="13"/>
    </row>
    <row r="47893">
      <c r="F47893" s="13"/>
      <c r="M47893" s="13"/>
    </row>
    <row r="47894">
      <c r="F47894" s="13"/>
      <c r="M47894" s="13"/>
    </row>
    <row r="47895">
      <c r="F47895" s="13"/>
      <c r="M47895" s="13"/>
    </row>
    <row r="47896">
      <c r="F47896" s="13"/>
      <c r="M47896" s="13"/>
    </row>
    <row r="47897">
      <c r="F47897" s="13"/>
      <c r="M47897" s="13"/>
    </row>
    <row r="47898">
      <c r="F47898" s="13"/>
      <c r="M47898" s="13"/>
    </row>
    <row r="47899">
      <c r="F47899" s="13"/>
      <c r="M47899" s="13"/>
    </row>
    <row r="47900">
      <c r="F47900" s="13"/>
      <c r="M47900" s="13"/>
    </row>
    <row r="47901">
      <c r="F47901" s="13"/>
      <c r="M47901" s="13"/>
    </row>
    <row r="47902">
      <c r="F47902" s="13"/>
      <c r="M47902" s="13"/>
    </row>
    <row r="47903">
      <c r="F47903" s="13"/>
      <c r="M47903" s="13"/>
    </row>
    <row r="47904">
      <c r="F47904" s="13"/>
      <c r="M47904" s="13"/>
    </row>
    <row r="47905">
      <c r="F47905" s="13"/>
      <c r="M47905" s="13"/>
    </row>
    <row r="47906">
      <c r="F47906" s="13"/>
      <c r="M47906" s="13"/>
    </row>
    <row r="47907">
      <c r="F47907" s="13"/>
      <c r="M47907" s="13"/>
    </row>
    <row r="47908">
      <c r="F47908" s="13"/>
      <c r="M47908" s="13"/>
    </row>
    <row r="47909">
      <c r="F47909" s="13"/>
      <c r="M47909" s="13"/>
    </row>
    <row r="47910">
      <c r="F47910" s="13"/>
      <c r="M47910" s="13"/>
    </row>
    <row r="47911">
      <c r="F47911" s="13"/>
      <c r="M47911" s="13"/>
    </row>
    <row r="47912">
      <c r="F47912" s="13"/>
      <c r="M47912" s="13"/>
    </row>
    <row r="47913">
      <c r="F47913" s="13"/>
      <c r="M47913" s="13"/>
    </row>
    <row r="47914">
      <c r="F47914" s="13"/>
      <c r="M47914" s="13"/>
    </row>
    <row r="47915">
      <c r="F47915" s="13"/>
      <c r="M47915" s="13"/>
    </row>
    <row r="47916">
      <c r="F47916" s="13"/>
      <c r="M47916" s="13"/>
    </row>
    <row r="47917">
      <c r="F47917" s="13"/>
      <c r="M47917" s="13"/>
    </row>
    <row r="47918">
      <c r="F47918" s="13"/>
      <c r="M47918" s="13"/>
    </row>
    <row r="47919">
      <c r="F47919" s="13"/>
      <c r="M47919" s="13"/>
    </row>
    <row r="47920">
      <c r="F47920" s="13"/>
      <c r="M47920" s="13"/>
    </row>
    <row r="47921">
      <c r="F47921" s="13"/>
      <c r="M47921" s="13"/>
    </row>
    <row r="47922">
      <c r="F47922" s="13"/>
      <c r="M47922" s="13"/>
    </row>
    <row r="47923">
      <c r="F47923" s="13"/>
      <c r="M47923" s="13"/>
    </row>
    <row r="47924">
      <c r="F47924" s="13"/>
      <c r="M47924" s="13"/>
    </row>
    <row r="47925">
      <c r="F47925" s="13"/>
      <c r="M47925" s="13"/>
    </row>
    <row r="47926">
      <c r="F47926" s="13"/>
      <c r="M47926" s="13"/>
    </row>
    <row r="47927">
      <c r="F47927" s="13"/>
      <c r="M47927" s="13"/>
    </row>
    <row r="47928">
      <c r="F47928" s="13"/>
      <c r="M47928" s="13"/>
    </row>
    <row r="47929">
      <c r="F47929" s="13"/>
      <c r="M47929" s="13"/>
    </row>
    <row r="47930">
      <c r="F47930" s="13"/>
      <c r="M47930" s="13"/>
    </row>
    <row r="47931">
      <c r="F47931" s="13"/>
      <c r="M47931" s="13"/>
    </row>
    <row r="47932">
      <c r="F47932" s="13"/>
      <c r="M47932" s="13"/>
    </row>
    <row r="47933">
      <c r="F47933" s="13"/>
      <c r="M47933" s="13"/>
    </row>
    <row r="47934">
      <c r="F47934" s="13"/>
      <c r="M47934" s="13"/>
    </row>
    <row r="47935">
      <c r="F47935" s="13"/>
      <c r="M47935" s="13"/>
    </row>
    <row r="47936">
      <c r="F47936" s="13"/>
      <c r="M47936" s="13"/>
    </row>
    <row r="47937">
      <c r="F47937" s="13"/>
      <c r="M47937" s="13"/>
    </row>
    <row r="47938">
      <c r="F47938" s="13"/>
      <c r="M47938" s="13"/>
    </row>
    <row r="47939">
      <c r="F47939" s="13"/>
      <c r="M47939" s="13"/>
    </row>
    <row r="47940">
      <c r="F47940" s="13"/>
      <c r="M47940" s="13"/>
    </row>
    <row r="47941">
      <c r="F47941" s="13"/>
      <c r="M47941" s="13"/>
    </row>
    <row r="47942">
      <c r="F47942" s="13"/>
      <c r="M47942" s="13"/>
    </row>
    <row r="47943">
      <c r="F47943" s="13"/>
      <c r="M47943" s="13"/>
    </row>
    <row r="47944">
      <c r="F47944" s="13"/>
      <c r="M47944" s="13"/>
    </row>
    <row r="47945">
      <c r="F47945" s="13"/>
      <c r="M47945" s="13"/>
    </row>
    <row r="47946">
      <c r="F47946" s="13"/>
      <c r="M47946" s="13"/>
    </row>
    <row r="47947">
      <c r="F47947" s="13"/>
      <c r="M47947" s="13"/>
    </row>
    <row r="47948">
      <c r="F47948" s="13"/>
      <c r="M47948" s="13"/>
    </row>
    <row r="47949">
      <c r="F47949" s="13"/>
      <c r="M47949" s="13"/>
    </row>
    <row r="47950">
      <c r="F47950" s="13"/>
      <c r="M47950" s="13"/>
    </row>
    <row r="47951">
      <c r="F47951" s="13"/>
      <c r="M47951" s="13"/>
    </row>
    <row r="47952">
      <c r="F47952" s="13"/>
      <c r="M47952" s="13"/>
    </row>
    <row r="47953">
      <c r="F47953" s="13"/>
      <c r="M47953" s="13"/>
    </row>
    <row r="47954">
      <c r="F47954" s="13"/>
      <c r="M47954" s="13"/>
    </row>
    <row r="47955">
      <c r="F47955" s="13"/>
      <c r="M47955" s="13"/>
    </row>
    <row r="47956">
      <c r="F47956" s="13"/>
      <c r="M47956" s="13"/>
    </row>
    <row r="47957">
      <c r="F47957" s="13"/>
      <c r="M47957" s="13"/>
    </row>
    <row r="47958">
      <c r="F47958" s="13"/>
      <c r="M47958" s="13"/>
    </row>
    <row r="47959">
      <c r="F47959" s="13"/>
      <c r="M47959" s="13"/>
    </row>
    <row r="47960">
      <c r="F47960" s="13"/>
      <c r="M47960" s="13"/>
    </row>
    <row r="47961">
      <c r="F47961" s="13"/>
      <c r="M47961" s="13"/>
    </row>
    <row r="47962">
      <c r="F47962" s="13"/>
      <c r="M47962" s="13"/>
    </row>
    <row r="47963">
      <c r="F47963" s="13"/>
      <c r="M47963" s="13"/>
    </row>
    <row r="47964">
      <c r="F47964" s="13"/>
      <c r="M47964" s="13"/>
    </row>
    <row r="47965">
      <c r="F47965" s="13"/>
      <c r="M47965" s="13"/>
    </row>
    <row r="47966">
      <c r="F47966" s="13"/>
      <c r="M47966" s="13"/>
    </row>
    <row r="47967">
      <c r="F47967" s="13"/>
      <c r="M47967" s="13"/>
    </row>
    <row r="47968">
      <c r="F47968" s="13"/>
      <c r="M47968" s="13"/>
    </row>
    <row r="47969">
      <c r="F47969" s="13"/>
      <c r="M47969" s="13"/>
    </row>
    <row r="47970">
      <c r="F47970" s="13"/>
      <c r="M47970" s="13"/>
    </row>
    <row r="47971">
      <c r="F47971" s="13"/>
      <c r="M47971" s="13"/>
    </row>
    <row r="47972">
      <c r="F47972" s="13"/>
      <c r="M47972" s="13"/>
    </row>
    <row r="47973">
      <c r="F47973" s="13"/>
      <c r="M47973" s="13"/>
    </row>
    <row r="47974">
      <c r="F47974" s="13"/>
      <c r="M47974" s="13"/>
    </row>
    <row r="47975">
      <c r="F47975" s="13"/>
      <c r="M47975" s="13"/>
    </row>
    <row r="47976">
      <c r="F47976" s="13"/>
      <c r="M47976" s="13"/>
    </row>
    <row r="47977">
      <c r="F47977" s="13"/>
      <c r="M47977" s="13"/>
    </row>
    <row r="47978">
      <c r="F47978" s="13"/>
      <c r="M47978" s="13"/>
    </row>
    <row r="47979">
      <c r="F47979" s="13"/>
      <c r="M47979" s="13"/>
    </row>
    <row r="47980">
      <c r="F47980" s="13"/>
      <c r="M47980" s="13"/>
    </row>
    <row r="47981">
      <c r="F47981" s="13"/>
      <c r="M47981" s="13"/>
    </row>
    <row r="47982">
      <c r="F47982" s="13"/>
      <c r="M47982" s="13"/>
    </row>
    <row r="47983">
      <c r="F47983" s="13"/>
      <c r="M47983" s="13"/>
    </row>
    <row r="47984">
      <c r="F47984" s="13"/>
      <c r="M47984" s="13"/>
    </row>
    <row r="47985">
      <c r="F47985" s="13"/>
      <c r="M47985" s="13"/>
    </row>
    <row r="47986">
      <c r="F47986" s="13"/>
      <c r="M47986" s="13"/>
    </row>
    <row r="47987">
      <c r="F47987" s="13"/>
      <c r="M47987" s="13"/>
    </row>
    <row r="47988">
      <c r="F47988" s="13"/>
      <c r="M47988" s="13"/>
    </row>
    <row r="47989">
      <c r="F47989" s="13"/>
      <c r="M47989" s="13"/>
    </row>
    <row r="47990">
      <c r="F47990" s="13"/>
      <c r="M47990" s="13"/>
    </row>
    <row r="47991">
      <c r="F47991" s="13"/>
      <c r="M47991" s="13"/>
    </row>
    <row r="47992">
      <c r="F47992" s="13"/>
      <c r="M47992" s="13"/>
    </row>
    <row r="47993">
      <c r="F47993" s="13"/>
      <c r="M47993" s="13"/>
    </row>
    <row r="47994">
      <c r="F47994" s="13"/>
      <c r="M47994" s="13"/>
    </row>
    <row r="47995">
      <c r="F47995" s="13"/>
      <c r="M47995" s="13"/>
    </row>
    <row r="47996">
      <c r="F47996" s="13"/>
      <c r="M47996" s="13"/>
    </row>
    <row r="47997">
      <c r="F47997" s="13"/>
      <c r="M47997" s="13"/>
    </row>
    <row r="47998">
      <c r="F47998" s="13"/>
      <c r="M47998" s="13"/>
    </row>
    <row r="47999">
      <c r="F47999" s="13"/>
      <c r="M47999" s="13"/>
    </row>
    <row r="48000">
      <c r="F48000" s="13"/>
      <c r="M48000" s="13"/>
    </row>
    <row r="48001">
      <c r="F48001" s="13"/>
      <c r="M48001" s="13"/>
    </row>
    <row r="48002">
      <c r="F48002" s="13"/>
      <c r="M48002" s="13"/>
    </row>
    <row r="48003">
      <c r="F48003" s="13"/>
      <c r="M48003" s="13"/>
    </row>
    <row r="48004">
      <c r="F48004" s="13"/>
      <c r="M48004" s="13"/>
    </row>
    <row r="48005">
      <c r="F48005" s="13"/>
      <c r="M48005" s="13"/>
    </row>
    <row r="48006">
      <c r="F48006" s="13"/>
      <c r="M48006" s="13"/>
    </row>
    <row r="48007">
      <c r="F48007" s="13"/>
      <c r="M48007" s="13"/>
    </row>
    <row r="48008">
      <c r="F48008" s="13"/>
      <c r="M48008" s="13"/>
    </row>
    <row r="48009">
      <c r="F48009" s="13"/>
      <c r="M48009" s="13"/>
    </row>
    <row r="48010">
      <c r="F48010" s="13"/>
      <c r="M48010" s="13"/>
    </row>
    <row r="48011">
      <c r="F48011" s="13"/>
      <c r="M48011" s="13"/>
    </row>
    <row r="48012">
      <c r="F48012" s="13"/>
      <c r="M48012" s="13"/>
    </row>
    <row r="48013">
      <c r="F48013" s="13"/>
      <c r="M48013" s="13"/>
    </row>
    <row r="48014">
      <c r="F48014" s="13"/>
      <c r="M48014" s="13"/>
    </row>
    <row r="48015">
      <c r="F48015" s="13"/>
      <c r="M48015" s="13"/>
    </row>
    <row r="48016">
      <c r="F48016" s="13"/>
      <c r="M48016" s="13"/>
    </row>
    <row r="48017">
      <c r="F48017" s="13"/>
      <c r="M48017" s="13"/>
    </row>
    <row r="48018">
      <c r="F48018" s="13"/>
      <c r="M48018" s="13"/>
    </row>
    <row r="48019">
      <c r="F48019" s="13"/>
      <c r="M48019" s="13"/>
    </row>
    <row r="48020">
      <c r="F48020" s="13"/>
      <c r="M48020" s="13"/>
    </row>
    <row r="48021">
      <c r="F48021" s="13"/>
      <c r="M48021" s="13"/>
    </row>
    <row r="48022">
      <c r="F48022" s="13"/>
      <c r="M48022" s="13"/>
    </row>
    <row r="48023">
      <c r="F48023" s="13"/>
      <c r="M48023" s="13"/>
    </row>
    <row r="48024">
      <c r="F48024" s="13"/>
      <c r="M48024" s="13"/>
    </row>
    <row r="48025">
      <c r="F48025" s="13"/>
      <c r="M48025" s="13"/>
    </row>
    <row r="48026">
      <c r="F48026" s="13"/>
      <c r="M48026" s="13"/>
    </row>
    <row r="48027">
      <c r="F48027" s="13"/>
      <c r="M48027" s="13"/>
    </row>
    <row r="48028">
      <c r="F48028" s="13"/>
      <c r="M48028" s="13"/>
    </row>
    <row r="48029">
      <c r="F48029" s="13"/>
      <c r="M48029" s="13"/>
    </row>
    <row r="48030">
      <c r="F48030" s="13"/>
      <c r="M48030" s="13"/>
    </row>
    <row r="48031">
      <c r="F48031" s="13"/>
      <c r="M48031" s="13"/>
    </row>
    <row r="48032">
      <c r="F48032" s="13"/>
      <c r="M48032" s="13"/>
    </row>
    <row r="48033">
      <c r="F48033" s="13"/>
      <c r="M48033" s="13"/>
    </row>
    <row r="48034">
      <c r="F48034" s="13"/>
      <c r="M48034" s="13"/>
    </row>
    <row r="48035">
      <c r="F48035" s="13"/>
      <c r="M48035" s="13"/>
    </row>
    <row r="48036">
      <c r="F48036" s="13"/>
      <c r="M48036" s="13"/>
    </row>
    <row r="48037">
      <c r="F48037" s="13"/>
      <c r="M48037" s="13"/>
    </row>
    <row r="48038">
      <c r="F48038" s="13"/>
      <c r="M48038" s="13"/>
    </row>
    <row r="48039">
      <c r="F48039" s="13"/>
      <c r="M48039" s="13"/>
    </row>
    <row r="48040">
      <c r="F48040" s="13"/>
      <c r="M48040" s="13"/>
    </row>
    <row r="48041">
      <c r="F48041" s="13"/>
      <c r="M48041" s="13"/>
    </row>
    <row r="48042">
      <c r="F48042" s="13"/>
      <c r="M48042" s="13"/>
    </row>
    <row r="48043">
      <c r="F48043" s="13"/>
      <c r="M48043" s="13"/>
    </row>
    <row r="48044">
      <c r="F48044" s="13"/>
      <c r="M48044" s="13"/>
    </row>
    <row r="48045">
      <c r="F48045" s="13"/>
      <c r="M48045" s="13"/>
    </row>
    <row r="48046">
      <c r="F48046" s="13"/>
      <c r="M48046" s="13"/>
    </row>
    <row r="48047">
      <c r="F48047" s="13"/>
      <c r="M48047" s="13"/>
    </row>
    <row r="48048">
      <c r="F48048" s="13"/>
      <c r="M48048" s="13"/>
    </row>
    <row r="48049">
      <c r="F48049" s="13"/>
      <c r="M48049" s="13"/>
    </row>
    <row r="48050">
      <c r="F48050" s="13"/>
      <c r="M48050" s="13"/>
    </row>
    <row r="48051">
      <c r="F48051" s="13"/>
      <c r="M48051" s="13"/>
    </row>
    <row r="48052">
      <c r="F48052" s="13"/>
      <c r="M48052" s="13"/>
    </row>
    <row r="48053">
      <c r="F48053" s="13"/>
      <c r="M48053" s="13"/>
    </row>
    <row r="48054">
      <c r="F48054" s="13"/>
      <c r="M48054" s="13"/>
    </row>
    <row r="48055">
      <c r="F48055" s="13"/>
      <c r="M48055" s="13"/>
    </row>
    <row r="48056">
      <c r="F48056" s="13"/>
      <c r="M48056" s="13"/>
    </row>
    <row r="48057">
      <c r="F48057" s="13"/>
      <c r="M48057" s="13"/>
    </row>
    <row r="48058">
      <c r="F48058" s="13"/>
      <c r="M48058" s="13"/>
    </row>
    <row r="48059">
      <c r="F48059" s="13"/>
      <c r="M48059" s="13"/>
    </row>
    <row r="48060">
      <c r="F48060" s="13"/>
      <c r="M48060" s="13"/>
    </row>
    <row r="48061">
      <c r="F48061" s="13"/>
      <c r="M48061" s="13"/>
    </row>
    <row r="48062">
      <c r="F48062" s="13"/>
      <c r="M48062" s="13"/>
    </row>
    <row r="48063">
      <c r="F48063" s="13"/>
      <c r="M48063" s="13"/>
    </row>
    <row r="48064">
      <c r="F48064" s="13"/>
      <c r="M48064" s="13"/>
    </row>
    <row r="48065">
      <c r="F48065" s="13"/>
      <c r="M48065" s="13"/>
    </row>
    <row r="48066">
      <c r="F48066" s="13"/>
      <c r="M48066" s="13"/>
    </row>
    <row r="48067">
      <c r="F48067" s="13"/>
      <c r="M48067" s="13"/>
    </row>
    <row r="48068">
      <c r="F48068" s="13"/>
      <c r="M48068" s="13"/>
    </row>
    <row r="48069">
      <c r="F48069" s="13"/>
      <c r="M48069" s="13"/>
    </row>
    <row r="48070">
      <c r="F48070" s="13"/>
      <c r="M48070" s="13"/>
    </row>
    <row r="48071">
      <c r="F48071" s="13"/>
      <c r="M48071" s="13"/>
    </row>
    <row r="48072">
      <c r="F48072" s="13"/>
      <c r="M48072" s="13"/>
    </row>
    <row r="48073">
      <c r="F48073" s="13"/>
      <c r="M48073" s="13"/>
    </row>
    <row r="48074">
      <c r="F48074" s="13"/>
      <c r="M48074" s="13"/>
    </row>
    <row r="48075">
      <c r="F48075" s="13"/>
      <c r="M48075" s="13"/>
    </row>
    <row r="48076">
      <c r="F48076" s="13"/>
      <c r="M48076" s="13"/>
    </row>
    <row r="48077">
      <c r="F48077" s="13"/>
      <c r="M48077" s="13"/>
    </row>
    <row r="48078">
      <c r="F48078" s="13"/>
      <c r="M48078" s="13"/>
    </row>
    <row r="48079">
      <c r="F48079" s="13"/>
      <c r="M48079" s="13"/>
    </row>
    <row r="48080">
      <c r="F48080" s="13"/>
      <c r="M48080" s="13"/>
    </row>
    <row r="48081">
      <c r="F48081" s="13"/>
      <c r="M48081" s="13"/>
    </row>
    <row r="48082">
      <c r="F48082" s="13"/>
      <c r="M48082" s="13"/>
    </row>
    <row r="48083">
      <c r="F48083" s="13"/>
      <c r="M48083" s="13"/>
    </row>
    <row r="48084">
      <c r="F48084" s="13"/>
      <c r="M48084" s="13"/>
    </row>
    <row r="48085">
      <c r="F48085" s="13"/>
      <c r="M48085" s="13"/>
    </row>
    <row r="48086">
      <c r="F48086" s="13"/>
      <c r="M48086" s="13"/>
    </row>
    <row r="48087">
      <c r="F48087" s="13"/>
      <c r="M48087" s="13"/>
    </row>
    <row r="48088">
      <c r="F48088" s="13"/>
      <c r="M48088" s="13"/>
    </row>
    <row r="48089">
      <c r="F48089" s="13"/>
      <c r="M48089" s="13"/>
    </row>
    <row r="48090">
      <c r="F48090" s="13"/>
      <c r="M48090" s="13"/>
    </row>
    <row r="48091">
      <c r="F48091" s="13"/>
      <c r="M48091" s="13"/>
    </row>
    <row r="48092">
      <c r="F48092" s="13"/>
      <c r="M48092" s="13"/>
    </row>
    <row r="48093">
      <c r="F48093" s="13"/>
      <c r="M48093" s="13"/>
    </row>
    <row r="48094">
      <c r="F48094" s="13"/>
      <c r="M48094" s="13"/>
    </row>
    <row r="48095">
      <c r="F48095" s="13"/>
      <c r="M48095" s="13"/>
    </row>
    <row r="48096">
      <c r="F48096" s="13"/>
      <c r="M48096" s="13"/>
    </row>
    <row r="48097">
      <c r="F48097" s="13"/>
      <c r="M48097" s="13"/>
    </row>
    <row r="48098">
      <c r="F48098" s="13"/>
      <c r="M48098" s="13"/>
    </row>
    <row r="48099">
      <c r="F48099" s="13"/>
      <c r="M48099" s="13"/>
    </row>
    <row r="48100">
      <c r="F48100" s="13"/>
      <c r="M48100" s="13"/>
    </row>
    <row r="48101">
      <c r="F48101" s="13"/>
      <c r="M48101" s="13"/>
    </row>
    <row r="48102">
      <c r="F48102" s="13"/>
      <c r="M48102" s="13"/>
    </row>
    <row r="48103">
      <c r="F48103" s="13"/>
      <c r="M48103" s="13"/>
    </row>
    <row r="48104">
      <c r="F48104" s="13"/>
      <c r="M48104" s="13"/>
    </row>
    <row r="48105">
      <c r="F48105" s="13"/>
      <c r="M48105" s="13"/>
    </row>
    <row r="48106">
      <c r="F48106" s="13"/>
      <c r="M48106" s="13"/>
    </row>
    <row r="48107">
      <c r="F48107" s="13"/>
      <c r="M48107" s="13"/>
    </row>
    <row r="48108">
      <c r="F48108" s="13"/>
      <c r="M48108" s="13"/>
    </row>
    <row r="48109">
      <c r="F48109" s="13"/>
      <c r="M48109" s="13"/>
    </row>
    <row r="48110">
      <c r="F48110" s="13"/>
      <c r="M48110" s="13"/>
    </row>
    <row r="48111">
      <c r="F48111" s="13"/>
      <c r="M48111" s="13"/>
    </row>
    <row r="48112">
      <c r="F48112" s="13"/>
      <c r="M48112" s="13"/>
    </row>
    <row r="48113">
      <c r="F48113" s="13"/>
      <c r="M48113" s="13"/>
    </row>
    <row r="48114">
      <c r="F48114" s="13"/>
      <c r="M48114" s="13"/>
    </row>
    <row r="48115">
      <c r="F48115" s="13"/>
      <c r="M48115" s="13"/>
    </row>
    <row r="48116">
      <c r="F48116" s="13"/>
      <c r="M48116" s="13"/>
    </row>
    <row r="48117">
      <c r="F48117" s="13"/>
      <c r="M48117" s="13"/>
    </row>
    <row r="48118">
      <c r="F48118" s="13"/>
      <c r="M48118" s="13"/>
    </row>
    <row r="48119">
      <c r="F48119" s="13"/>
      <c r="M48119" s="13"/>
    </row>
    <row r="48120">
      <c r="F48120" s="13"/>
      <c r="M48120" s="13"/>
    </row>
    <row r="48121">
      <c r="F48121" s="13"/>
      <c r="M48121" s="13"/>
    </row>
    <row r="48122">
      <c r="F48122" s="13"/>
      <c r="M48122" s="13"/>
    </row>
    <row r="48123">
      <c r="F48123" s="13"/>
      <c r="M48123" s="13"/>
    </row>
    <row r="48124">
      <c r="F48124" s="13"/>
      <c r="M48124" s="13"/>
    </row>
    <row r="48125">
      <c r="F48125" s="13"/>
      <c r="M48125" s="13"/>
    </row>
    <row r="48126">
      <c r="F48126" s="13"/>
      <c r="M48126" s="13"/>
    </row>
    <row r="48127">
      <c r="F48127" s="13"/>
      <c r="M48127" s="13"/>
    </row>
    <row r="48128">
      <c r="F48128" s="13"/>
      <c r="M48128" s="13"/>
    </row>
    <row r="48129">
      <c r="F48129" s="13"/>
      <c r="M48129" s="13"/>
    </row>
    <row r="48130">
      <c r="F48130" s="13"/>
      <c r="M48130" s="13"/>
    </row>
    <row r="48131">
      <c r="F48131" s="13"/>
      <c r="M48131" s="13"/>
    </row>
    <row r="48132">
      <c r="F48132" s="13"/>
      <c r="M48132" s="13"/>
    </row>
    <row r="48133">
      <c r="F48133" s="13"/>
      <c r="M48133" s="13"/>
    </row>
    <row r="48134">
      <c r="F48134" s="13"/>
      <c r="M48134" s="13"/>
    </row>
    <row r="48135">
      <c r="F48135" s="13"/>
      <c r="M48135" s="13"/>
    </row>
    <row r="48136">
      <c r="F48136" s="13"/>
      <c r="M48136" s="13"/>
    </row>
    <row r="48137">
      <c r="F48137" s="13"/>
      <c r="M48137" s="13"/>
    </row>
    <row r="48138">
      <c r="F48138" s="13"/>
      <c r="M48138" s="13"/>
    </row>
    <row r="48139">
      <c r="F48139" s="13"/>
      <c r="M48139" s="13"/>
    </row>
    <row r="48140">
      <c r="F48140" s="13"/>
      <c r="M48140" s="13"/>
    </row>
    <row r="48141">
      <c r="F48141" s="13"/>
      <c r="M48141" s="13"/>
    </row>
    <row r="48142">
      <c r="F48142" s="13"/>
      <c r="M48142" s="13"/>
    </row>
    <row r="48143">
      <c r="F48143" s="13"/>
      <c r="M48143" s="13"/>
    </row>
    <row r="48144">
      <c r="F48144" s="13"/>
      <c r="M48144" s="13"/>
    </row>
    <row r="48145">
      <c r="F48145" s="13"/>
      <c r="M48145" s="13"/>
    </row>
    <row r="48146">
      <c r="F48146" s="13"/>
      <c r="M48146" s="13"/>
    </row>
    <row r="48147">
      <c r="F48147" s="13"/>
      <c r="M48147" s="13"/>
    </row>
    <row r="48148">
      <c r="F48148" s="13"/>
      <c r="M48148" s="13"/>
    </row>
    <row r="48149">
      <c r="F48149" s="13"/>
      <c r="M48149" s="13"/>
    </row>
    <row r="48150">
      <c r="F48150" s="13"/>
      <c r="M48150" s="13"/>
    </row>
    <row r="48151">
      <c r="F48151" s="13"/>
      <c r="M48151" s="13"/>
    </row>
    <row r="48152">
      <c r="F48152" s="13"/>
      <c r="M48152" s="13"/>
    </row>
    <row r="48153">
      <c r="F48153" s="13"/>
      <c r="M48153" s="13"/>
    </row>
    <row r="48154">
      <c r="F48154" s="13"/>
      <c r="M48154" s="13"/>
    </row>
    <row r="48155">
      <c r="F48155" s="13"/>
      <c r="M48155" s="13"/>
    </row>
    <row r="48156">
      <c r="F48156" s="13"/>
      <c r="M48156" s="13"/>
    </row>
    <row r="48157">
      <c r="F48157" s="13"/>
      <c r="M48157" s="13"/>
    </row>
    <row r="48158">
      <c r="F48158" s="13"/>
      <c r="M48158" s="13"/>
    </row>
    <row r="48159">
      <c r="F48159" s="13"/>
      <c r="M48159" s="13"/>
    </row>
    <row r="48160">
      <c r="F48160" s="13"/>
      <c r="M48160" s="13"/>
    </row>
    <row r="48161">
      <c r="F48161" s="13"/>
      <c r="M48161" s="13"/>
    </row>
    <row r="48162">
      <c r="F48162" s="13"/>
      <c r="M48162" s="13"/>
    </row>
    <row r="48163">
      <c r="F48163" s="13"/>
      <c r="M48163" s="13"/>
    </row>
    <row r="48164">
      <c r="F48164" s="13"/>
      <c r="M48164" s="13"/>
    </row>
    <row r="48165">
      <c r="F48165" s="13"/>
      <c r="M48165" s="13"/>
    </row>
    <row r="48166">
      <c r="F48166" s="13"/>
      <c r="M48166" s="13"/>
    </row>
    <row r="48167">
      <c r="F48167" s="13"/>
      <c r="M48167" s="13"/>
    </row>
    <row r="48168">
      <c r="F48168" s="13"/>
      <c r="M48168" s="13"/>
    </row>
    <row r="48169">
      <c r="F48169" s="13"/>
      <c r="M48169" s="13"/>
    </row>
    <row r="48170">
      <c r="F48170" s="13"/>
      <c r="M48170" s="13"/>
    </row>
    <row r="48171">
      <c r="F48171" s="13"/>
      <c r="M48171" s="13"/>
    </row>
    <row r="48172">
      <c r="F48172" s="13"/>
      <c r="M48172" s="13"/>
    </row>
    <row r="48173">
      <c r="F48173" s="13"/>
      <c r="M48173" s="13"/>
    </row>
    <row r="48174">
      <c r="F48174" s="13"/>
      <c r="M48174" s="13"/>
    </row>
    <row r="48175">
      <c r="F48175" s="13"/>
      <c r="M48175" s="13"/>
    </row>
    <row r="48176">
      <c r="F48176" s="13"/>
      <c r="M48176" s="13"/>
    </row>
    <row r="48177">
      <c r="F48177" s="13"/>
      <c r="M48177" s="13"/>
    </row>
    <row r="48178">
      <c r="F48178" s="13"/>
      <c r="M48178" s="13"/>
    </row>
    <row r="48179">
      <c r="F48179" s="13"/>
      <c r="M48179" s="13"/>
    </row>
    <row r="48180">
      <c r="F48180" s="13"/>
      <c r="M48180" s="13"/>
    </row>
    <row r="48181">
      <c r="F48181" s="13"/>
      <c r="M48181" s="13"/>
    </row>
    <row r="48182">
      <c r="F48182" s="13"/>
      <c r="M48182" s="13"/>
    </row>
    <row r="48183">
      <c r="F48183" s="13"/>
      <c r="M48183" s="13"/>
    </row>
    <row r="48184">
      <c r="F48184" s="13"/>
      <c r="M48184" s="13"/>
    </row>
    <row r="48185">
      <c r="F48185" s="13"/>
      <c r="M48185" s="13"/>
    </row>
    <row r="48186">
      <c r="F48186" s="13"/>
      <c r="M48186" s="13"/>
    </row>
    <row r="48187">
      <c r="F48187" s="13"/>
      <c r="M48187" s="13"/>
    </row>
    <row r="48188">
      <c r="F48188" s="13"/>
      <c r="M48188" s="13"/>
    </row>
    <row r="48189">
      <c r="F48189" s="13"/>
      <c r="M48189" s="13"/>
    </row>
    <row r="48190">
      <c r="F48190" s="13"/>
      <c r="M48190" s="13"/>
    </row>
    <row r="48191">
      <c r="F48191" s="13"/>
      <c r="M48191" s="13"/>
    </row>
    <row r="48192">
      <c r="F48192" s="13"/>
      <c r="M48192" s="13"/>
    </row>
    <row r="48193">
      <c r="F48193" s="13"/>
      <c r="M48193" s="13"/>
    </row>
    <row r="48194">
      <c r="F48194" s="13"/>
      <c r="M48194" s="13"/>
    </row>
    <row r="48195">
      <c r="F48195" s="13"/>
      <c r="M48195" s="13"/>
    </row>
    <row r="48196">
      <c r="F48196" s="13"/>
      <c r="M48196" s="13"/>
    </row>
    <row r="48197">
      <c r="F48197" s="13"/>
      <c r="M48197" s="13"/>
    </row>
    <row r="48198">
      <c r="F48198" s="13"/>
      <c r="M48198" s="13"/>
    </row>
    <row r="48199">
      <c r="F48199" s="13"/>
      <c r="M48199" s="13"/>
    </row>
    <row r="48200">
      <c r="F48200" s="13"/>
      <c r="M48200" s="13"/>
    </row>
    <row r="48201">
      <c r="F48201" s="13"/>
      <c r="M48201" s="13"/>
    </row>
    <row r="48202">
      <c r="F48202" s="13"/>
      <c r="M48202" s="13"/>
    </row>
    <row r="48203">
      <c r="F48203" s="13"/>
      <c r="M48203" s="13"/>
    </row>
    <row r="48204">
      <c r="F48204" s="13"/>
      <c r="M48204" s="13"/>
    </row>
    <row r="48205">
      <c r="F48205" s="13"/>
      <c r="M48205" s="13"/>
    </row>
    <row r="48206">
      <c r="F48206" s="13"/>
      <c r="M48206" s="13"/>
    </row>
    <row r="48207">
      <c r="F48207" s="13"/>
      <c r="M48207" s="13"/>
    </row>
    <row r="48208">
      <c r="F48208" s="13"/>
      <c r="M48208" s="13"/>
    </row>
    <row r="48209">
      <c r="F48209" s="13"/>
      <c r="M48209" s="13"/>
    </row>
    <row r="48210">
      <c r="F48210" s="13"/>
      <c r="M48210" s="13"/>
    </row>
    <row r="48211">
      <c r="F48211" s="13"/>
      <c r="M48211" s="13"/>
    </row>
    <row r="48212">
      <c r="F48212" s="13"/>
      <c r="M48212" s="13"/>
    </row>
    <row r="48213">
      <c r="F48213" s="13"/>
      <c r="M48213" s="13"/>
    </row>
    <row r="48214">
      <c r="F48214" s="13"/>
      <c r="M48214" s="13"/>
    </row>
    <row r="48215">
      <c r="F48215" s="13"/>
      <c r="M48215" s="13"/>
    </row>
    <row r="48216">
      <c r="F48216" s="13"/>
      <c r="M48216" s="13"/>
    </row>
    <row r="48217">
      <c r="F48217" s="13"/>
      <c r="M48217" s="13"/>
    </row>
    <row r="48218">
      <c r="F48218" s="13"/>
      <c r="M48218" s="13"/>
    </row>
    <row r="48219">
      <c r="F48219" s="13"/>
      <c r="M48219" s="13"/>
    </row>
    <row r="48220">
      <c r="F48220" s="13"/>
      <c r="M48220" s="13"/>
    </row>
    <row r="48221">
      <c r="F48221" s="13"/>
      <c r="M48221" s="13"/>
    </row>
    <row r="48222">
      <c r="F48222" s="13"/>
      <c r="M48222" s="13"/>
    </row>
    <row r="48223">
      <c r="F48223" s="13"/>
      <c r="M48223" s="13"/>
    </row>
    <row r="48224">
      <c r="F48224" s="13"/>
      <c r="M48224" s="13"/>
    </row>
    <row r="48225">
      <c r="F48225" s="13"/>
      <c r="M48225" s="13"/>
    </row>
    <row r="48226">
      <c r="F48226" s="13"/>
      <c r="M48226" s="13"/>
    </row>
    <row r="48227">
      <c r="F48227" s="13"/>
      <c r="M48227" s="13"/>
    </row>
    <row r="48228">
      <c r="F48228" s="13"/>
      <c r="M48228" s="13"/>
    </row>
    <row r="48229">
      <c r="F48229" s="13"/>
      <c r="M48229" s="13"/>
    </row>
    <row r="48230">
      <c r="F48230" s="13"/>
      <c r="M48230" s="13"/>
    </row>
    <row r="48231">
      <c r="F48231" s="13"/>
      <c r="M48231" s="13"/>
    </row>
    <row r="48232">
      <c r="F48232" s="13"/>
      <c r="M48232" s="13"/>
    </row>
    <row r="48233">
      <c r="F48233" s="13"/>
      <c r="M48233" s="13"/>
    </row>
    <row r="48234">
      <c r="F48234" s="13"/>
      <c r="M48234" s="13"/>
    </row>
    <row r="48235">
      <c r="F48235" s="13"/>
      <c r="M48235" s="13"/>
    </row>
    <row r="48236">
      <c r="F48236" s="13"/>
      <c r="M48236" s="13"/>
    </row>
    <row r="48237">
      <c r="F48237" s="13"/>
      <c r="M48237" s="13"/>
    </row>
    <row r="48238">
      <c r="F48238" s="13"/>
      <c r="M48238" s="13"/>
    </row>
    <row r="48239">
      <c r="F48239" s="13"/>
      <c r="M48239" s="13"/>
    </row>
    <row r="48240">
      <c r="F48240" s="13"/>
      <c r="M48240" s="13"/>
    </row>
    <row r="48241">
      <c r="F48241" s="13"/>
      <c r="M48241" s="13"/>
    </row>
    <row r="48242">
      <c r="F48242" s="13"/>
      <c r="M48242" s="13"/>
    </row>
    <row r="48243">
      <c r="F48243" s="13"/>
      <c r="M48243" s="13"/>
    </row>
    <row r="48244">
      <c r="F48244" s="13"/>
      <c r="M48244" s="13"/>
    </row>
    <row r="48245">
      <c r="F48245" s="13"/>
      <c r="M48245" s="13"/>
    </row>
    <row r="48246">
      <c r="F48246" s="13"/>
      <c r="M48246" s="13"/>
    </row>
    <row r="48247">
      <c r="F48247" s="13"/>
      <c r="M48247" s="13"/>
    </row>
    <row r="48248">
      <c r="F48248" s="13"/>
      <c r="M48248" s="13"/>
    </row>
    <row r="48249">
      <c r="F48249" s="13"/>
      <c r="M48249" s="13"/>
    </row>
    <row r="48250">
      <c r="F48250" s="13"/>
      <c r="M48250" s="13"/>
    </row>
    <row r="48251">
      <c r="F48251" s="13"/>
      <c r="M48251" s="13"/>
    </row>
    <row r="48252">
      <c r="F48252" s="13"/>
      <c r="M48252" s="13"/>
    </row>
    <row r="48253">
      <c r="F48253" s="13"/>
      <c r="M48253" s="13"/>
    </row>
    <row r="48254">
      <c r="F48254" s="13"/>
      <c r="M48254" s="13"/>
    </row>
    <row r="48255">
      <c r="F48255" s="13"/>
      <c r="M48255" s="13"/>
    </row>
    <row r="48256">
      <c r="F48256" s="13"/>
      <c r="M48256" s="13"/>
    </row>
    <row r="48257">
      <c r="F48257" s="13"/>
      <c r="M48257" s="13"/>
    </row>
    <row r="48258">
      <c r="F48258" s="13"/>
      <c r="M48258" s="13"/>
    </row>
    <row r="48259">
      <c r="F48259" s="13"/>
      <c r="M48259" s="13"/>
    </row>
    <row r="48260">
      <c r="F48260" s="13"/>
      <c r="M48260" s="13"/>
    </row>
    <row r="48261">
      <c r="F48261" s="13"/>
      <c r="M48261" s="13"/>
    </row>
    <row r="48262">
      <c r="F48262" s="13"/>
      <c r="M48262" s="13"/>
    </row>
    <row r="48263">
      <c r="F48263" s="13"/>
      <c r="M48263" s="13"/>
    </row>
    <row r="48264">
      <c r="F48264" s="13"/>
      <c r="M48264" s="13"/>
    </row>
    <row r="48265">
      <c r="F48265" s="13"/>
      <c r="M48265" s="13"/>
    </row>
    <row r="48266">
      <c r="F48266" s="13"/>
      <c r="M48266" s="13"/>
    </row>
    <row r="48267">
      <c r="F48267" s="13"/>
      <c r="M48267" s="13"/>
    </row>
    <row r="48268">
      <c r="F48268" s="13"/>
      <c r="M48268" s="13"/>
    </row>
    <row r="48269">
      <c r="F48269" s="13"/>
      <c r="M48269" s="13"/>
    </row>
    <row r="48270">
      <c r="F48270" s="13"/>
      <c r="M48270" s="13"/>
    </row>
    <row r="48271">
      <c r="F48271" s="13"/>
      <c r="M48271" s="13"/>
    </row>
    <row r="48272">
      <c r="F48272" s="13"/>
      <c r="M48272" s="13"/>
    </row>
    <row r="48273">
      <c r="F48273" s="13"/>
      <c r="M48273" s="13"/>
    </row>
    <row r="48274">
      <c r="F48274" s="13"/>
      <c r="M48274" s="13"/>
    </row>
    <row r="48275">
      <c r="F48275" s="13"/>
      <c r="M48275" s="13"/>
    </row>
    <row r="48276">
      <c r="F48276" s="13"/>
      <c r="M48276" s="13"/>
    </row>
    <row r="48277">
      <c r="F48277" s="13"/>
      <c r="M48277" s="13"/>
    </row>
    <row r="48278">
      <c r="F48278" s="13"/>
      <c r="M48278" s="13"/>
    </row>
    <row r="48279">
      <c r="F48279" s="13"/>
      <c r="M48279" s="13"/>
    </row>
    <row r="48280">
      <c r="F48280" s="13"/>
      <c r="M48280" s="13"/>
    </row>
    <row r="48281">
      <c r="F48281" s="13"/>
      <c r="M48281" s="13"/>
    </row>
    <row r="48282">
      <c r="F48282" s="13"/>
      <c r="M48282" s="13"/>
    </row>
    <row r="48283">
      <c r="F48283" s="13"/>
      <c r="M48283" s="13"/>
    </row>
    <row r="48284">
      <c r="F48284" s="13"/>
      <c r="M48284" s="13"/>
    </row>
    <row r="48285">
      <c r="F48285" s="13"/>
      <c r="M48285" s="13"/>
    </row>
    <row r="48286">
      <c r="F48286" s="13"/>
      <c r="M48286" s="13"/>
    </row>
    <row r="48287">
      <c r="F48287" s="13"/>
      <c r="M48287" s="13"/>
    </row>
    <row r="48288">
      <c r="F48288" s="13"/>
      <c r="M48288" s="13"/>
    </row>
    <row r="48289">
      <c r="F48289" s="13"/>
      <c r="M48289" s="13"/>
    </row>
    <row r="48290">
      <c r="F48290" s="13"/>
      <c r="M48290" s="13"/>
    </row>
    <row r="48291">
      <c r="F48291" s="13"/>
      <c r="M48291" s="13"/>
    </row>
    <row r="48292">
      <c r="F48292" s="13"/>
      <c r="M48292" s="13"/>
    </row>
    <row r="48293">
      <c r="F48293" s="13"/>
      <c r="M48293" s="13"/>
    </row>
    <row r="48294">
      <c r="F48294" s="13"/>
      <c r="M48294" s="13"/>
    </row>
    <row r="48295">
      <c r="F48295" s="13"/>
      <c r="M48295" s="13"/>
    </row>
    <row r="48296">
      <c r="F48296" s="13"/>
      <c r="M48296" s="13"/>
    </row>
    <row r="48297">
      <c r="F48297" s="13"/>
      <c r="M48297" s="13"/>
    </row>
    <row r="48298">
      <c r="F48298" s="13"/>
      <c r="M48298" s="13"/>
    </row>
    <row r="48299">
      <c r="F48299" s="13"/>
      <c r="M48299" s="13"/>
    </row>
    <row r="48300">
      <c r="F48300" s="13"/>
      <c r="M48300" s="13"/>
    </row>
    <row r="48301">
      <c r="F48301" s="13"/>
      <c r="M48301" s="13"/>
    </row>
    <row r="48302">
      <c r="F48302" s="13"/>
      <c r="M48302" s="13"/>
    </row>
    <row r="48303">
      <c r="F48303" s="13"/>
      <c r="M48303" s="13"/>
    </row>
    <row r="48304">
      <c r="F48304" s="13"/>
      <c r="M48304" s="13"/>
    </row>
    <row r="48305">
      <c r="F48305" s="13"/>
      <c r="M48305" s="13"/>
    </row>
    <row r="48306">
      <c r="F48306" s="13"/>
      <c r="M48306" s="13"/>
    </row>
    <row r="48307">
      <c r="F48307" s="13"/>
      <c r="M48307" s="13"/>
    </row>
    <row r="48308">
      <c r="F48308" s="13"/>
      <c r="M48308" s="13"/>
    </row>
    <row r="48309">
      <c r="F48309" s="13"/>
      <c r="M48309" s="13"/>
    </row>
    <row r="48310">
      <c r="F48310" s="13"/>
      <c r="M48310" s="13"/>
    </row>
    <row r="48311">
      <c r="F48311" s="13"/>
      <c r="M48311" s="13"/>
    </row>
    <row r="48312">
      <c r="F48312" s="13"/>
      <c r="M48312" s="13"/>
    </row>
    <row r="48313">
      <c r="F48313" s="13"/>
      <c r="M48313" s="13"/>
    </row>
    <row r="48314">
      <c r="F48314" s="13"/>
      <c r="M48314" s="13"/>
    </row>
    <row r="48315">
      <c r="F48315" s="13"/>
      <c r="M48315" s="13"/>
    </row>
    <row r="48316">
      <c r="F48316" s="13"/>
      <c r="M48316" s="13"/>
    </row>
    <row r="48317">
      <c r="F48317" s="13"/>
      <c r="M48317" s="13"/>
    </row>
    <row r="48318">
      <c r="F48318" s="13"/>
      <c r="M48318" s="13"/>
    </row>
    <row r="48319">
      <c r="F48319" s="13"/>
      <c r="M48319" s="13"/>
    </row>
    <row r="48320">
      <c r="F48320" s="13"/>
      <c r="M48320" s="13"/>
    </row>
    <row r="48321">
      <c r="F48321" s="13"/>
      <c r="M48321" s="13"/>
    </row>
    <row r="48322">
      <c r="F48322" s="13"/>
      <c r="M48322" s="13"/>
    </row>
    <row r="48323">
      <c r="F48323" s="13"/>
      <c r="M48323" s="13"/>
    </row>
    <row r="48324">
      <c r="F48324" s="13"/>
      <c r="M48324" s="13"/>
    </row>
    <row r="48325">
      <c r="F48325" s="13"/>
      <c r="M48325" s="13"/>
    </row>
    <row r="48326">
      <c r="F48326" s="13"/>
      <c r="M48326" s="13"/>
    </row>
    <row r="48327">
      <c r="F48327" s="13"/>
      <c r="M48327" s="13"/>
    </row>
    <row r="48328">
      <c r="F48328" s="13"/>
      <c r="M48328" s="13"/>
    </row>
    <row r="48329">
      <c r="F48329" s="13"/>
      <c r="M48329" s="13"/>
    </row>
    <row r="48330">
      <c r="F48330" s="13"/>
      <c r="M48330" s="13"/>
    </row>
    <row r="48331">
      <c r="F48331" s="13"/>
      <c r="M48331" s="13"/>
    </row>
    <row r="48332">
      <c r="F48332" s="13"/>
      <c r="M48332" s="13"/>
    </row>
    <row r="48333">
      <c r="F48333" s="13"/>
      <c r="M48333" s="13"/>
    </row>
    <row r="48334">
      <c r="F48334" s="13"/>
      <c r="M48334" s="13"/>
    </row>
    <row r="48335">
      <c r="F48335" s="13"/>
      <c r="M48335" s="13"/>
    </row>
    <row r="48336">
      <c r="F48336" s="13"/>
      <c r="M48336" s="13"/>
    </row>
    <row r="48337">
      <c r="F48337" s="13"/>
      <c r="M48337" s="13"/>
    </row>
    <row r="48338">
      <c r="F48338" s="13"/>
      <c r="M48338" s="13"/>
    </row>
    <row r="48339">
      <c r="F48339" s="13"/>
      <c r="M48339" s="13"/>
    </row>
    <row r="48340">
      <c r="F48340" s="13"/>
      <c r="M48340" s="13"/>
    </row>
    <row r="48341">
      <c r="F48341" s="13"/>
      <c r="M48341" s="13"/>
    </row>
    <row r="48342">
      <c r="F48342" s="13"/>
      <c r="M48342" s="13"/>
    </row>
    <row r="48343">
      <c r="F48343" s="13"/>
      <c r="M48343" s="13"/>
    </row>
    <row r="48344">
      <c r="F48344" s="13"/>
      <c r="M48344" s="13"/>
    </row>
    <row r="48345">
      <c r="F48345" s="13"/>
      <c r="M48345" s="13"/>
    </row>
    <row r="48346">
      <c r="F48346" s="13"/>
      <c r="M48346" s="13"/>
    </row>
    <row r="48347">
      <c r="F48347" s="13"/>
      <c r="M48347" s="13"/>
    </row>
    <row r="48348">
      <c r="F48348" s="13"/>
      <c r="M48348" s="13"/>
    </row>
    <row r="48349">
      <c r="F48349" s="13"/>
      <c r="M48349" s="13"/>
    </row>
    <row r="48350">
      <c r="F48350" s="13"/>
      <c r="M48350" s="13"/>
    </row>
    <row r="48351">
      <c r="F48351" s="13"/>
      <c r="M48351" s="13"/>
    </row>
    <row r="48352">
      <c r="F48352" s="13"/>
      <c r="M48352" s="13"/>
    </row>
    <row r="48353">
      <c r="F48353" s="13"/>
      <c r="M48353" s="13"/>
    </row>
    <row r="48354">
      <c r="F48354" s="13"/>
      <c r="M48354" s="13"/>
    </row>
    <row r="48355">
      <c r="F48355" s="13"/>
      <c r="M48355" s="13"/>
    </row>
    <row r="48356">
      <c r="F48356" s="13"/>
      <c r="M48356" s="13"/>
    </row>
    <row r="48357">
      <c r="F48357" s="13"/>
      <c r="M48357" s="13"/>
    </row>
    <row r="48358">
      <c r="F48358" s="13"/>
      <c r="M48358" s="13"/>
    </row>
    <row r="48359">
      <c r="F48359" s="13"/>
      <c r="M48359" s="13"/>
    </row>
    <row r="48360">
      <c r="F48360" s="13"/>
      <c r="M48360" s="13"/>
    </row>
    <row r="48361">
      <c r="F48361" s="13"/>
      <c r="M48361" s="13"/>
    </row>
    <row r="48362">
      <c r="F48362" s="13"/>
      <c r="M48362" s="13"/>
    </row>
    <row r="48363">
      <c r="F48363" s="13"/>
      <c r="M48363" s="13"/>
    </row>
    <row r="48364">
      <c r="F48364" s="13"/>
      <c r="M48364" s="13"/>
    </row>
    <row r="48365">
      <c r="F48365" s="13"/>
      <c r="M48365" s="13"/>
    </row>
    <row r="48366">
      <c r="F48366" s="13"/>
      <c r="M48366" s="13"/>
    </row>
    <row r="48367">
      <c r="F48367" s="13"/>
      <c r="M48367" s="13"/>
    </row>
    <row r="48368">
      <c r="F48368" s="13"/>
      <c r="M48368" s="13"/>
    </row>
    <row r="48369">
      <c r="F48369" s="13"/>
      <c r="M48369" s="13"/>
    </row>
    <row r="48370">
      <c r="F48370" s="13"/>
      <c r="M48370" s="13"/>
    </row>
    <row r="48371">
      <c r="F48371" s="13"/>
      <c r="M48371" s="13"/>
    </row>
    <row r="48372">
      <c r="F48372" s="13"/>
      <c r="M48372" s="13"/>
    </row>
    <row r="48373">
      <c r="F48373" s="13"/>
      <c r="M48373" s="13"/>
    </row>
    <row r="48374">
      <c r="F48374" s="13"/>
      <c r="M48374" s="13"/>
    </row>
    <row r="48375">
      <c r="F48375" s="13"/>
      <c r="M48375" s="13"/>
    </row>
    <row r="48376">
      <c r="F48376" s="13"/>
      <c r="M48376" s="13"/>
    </row>
    <row r="48377">
      <c r="F48377" s="13"/>
      <c r="M48377" s="13"/>
    </row>
    <row r="48378">
      <c r="F48378" s="13"/>
      <c r="M48378" s="13"/>
    </row>
    <row r="48379">
      <c r="F48379" s="13"/>
      <c r="M48379" s="13"/>
    </row>
    <row r="48380">
      <c r="F48380" s="13"/>
      <c r="M48380" s="13"/>
    </row>
    <row r="48381">
      <c r="F48381" s="13"/>
      <c r="M48381" s="13"/>
    </row>
    <row r="48382">
      <c r="F48382" s="13"/>
      <c r="M48382" s="13"/>
    </row>
    <row r="48383">
      <c r="F48383" s="13"/>
      <c r="M48383" s="13"/>
    </row>
    <row r="48384">
      <c r="F48384" s="13"/>
      <c r="M48384" s="13"/>
    </row>
    <row r="48385">
      <c r="F48385" s="13"/>
      <c r="M48385" s="13"/>
    </row>
    <row r="48386">
      <c r="F48386" s="13"/>
      <c r="M48386" s="13"/>
    </row>
    <row r="48387">
      <c r="F48387" s="13"/>
      <c r="M48387" s="13"/>
    </row>
    <row r="48388">
      <c r="F48388" s="13"/>
      <c r="M48388" s="13"/>
    </row>
    <row r="48389">
      <c r="F48389" s="13"/>
      <c r="M48389" s="13"/>
    </row>
    <row r="48390">
      <c r="F48390" s="13"/>
      <c r="M48390" s="13"/>
    </row>
    <row r="48391">
      <c r="F48391" s="13"/>
      <c r="M48391" s="13"/>
    </row>
    <row r="48392">
      <c r="F48392" s="13"/>
      <c r="M48392" s="13"/>
    </row>
    <row r="48393">
      <c r="F48393" s="13"/>
      <c r="M48393" s="13"/>
    </row>
    <row r="48394">
      <c r="F48394" s="13"/>
      <c r="M48394" s="13"/>
    </row>
    <row r="48395">
      <c r="F48395" s="13"/>
      <c r="M48395" s="13"/>
    </row>
    <row r="48396">
      <c r="F48396" s="13"/>
      <c r="M48396" s="13"/>
    </row>
    <row r="48397">
      <c r="F48397" s="13"/>
      <c r="M48397" s="13"/>
    </row>
    <row r="48398">
      <c r="F48398" s="13"/>
      <c r="M48398" s="13"/>
    </row>
    <row r="48399">
      <c r="F48399" s="13"/>
      <c r="M48399" s="13"/>
    </row>
    <row r="48400">
      <c r="F48400" s="13"/>
      <c r="M48400" s="13"/>
    </row>
    <row r="48401">
      <c r="F48401" s="13"/>
      <c r="M48401" s="13"/>
    </row>
    <row r="48402">
      <c r="F48402" s="13"/>
      <c r="M48402" s="13"/>
    </row>
    <row r="48403">
      <c r="F48403" s="13"/>
      <c r="M48403" s="13"/>
    </row>
    <row r="48404">
      <c r="F48404" s="13"/>
      <c r="M48404" s="13"/>
    </row>
    <row r="48405">
      <c r="F48405" s="13"/>
      <c r="M48405" s="13"/>
    </row>
    <row r="48406">
      <c r="F48406" s="13"/>
      <c r="M48406" s="13"/>
    </row>
    <row r="48407">
      <c r="F48407" s="13"/>
      <c r="M48407" s="13"/>
    </row>
    <row r="48408">
      <c r="F48408" s="13"/>
      <c r="M48408" s="13"/>
    </row>
    <row r="48409">
      <c r="F48409" s="13"/>
      <c r="M48409" s="13"/>
    </row>
    <row r="48410">
      <c r="F48410" s="13"/>
      <c r="M48410" s="13"/>
    </row>
    <row r="48411">
      <c r="F48411" s="13"/>
      <c r="M48411" s="13"/>
    </row>
    <row r="48412">
      <c r="F48412" s="13"/>
      <c r="M48412" s="13"/>
    </row>
    <row r="48413">
      <c r="F48413" s="13"/>
      <c r="M48413" s="13"/>
    </row>
    <row r="48414">
      <c r="F48414" s="13"/>
      <c r="M48414" s="13"/>
    </row>
    <row r="48415">
      <c r="F48415" s="13"/>
      <c r="M48415" s="13"/>
    </row>
    <row r="48416">
      <c r="F48416" s="13"/>
      <c r="M48416" s="13"/>
    </row>
    <row r="48417">
      <c r="F48417" s="13"/>
      <c r="M48417" s="13"/>
    </row>
    <row r="48418">
      <c r="F48418" s="13"/>
      <c r="M48418" s="13"/>
    </row>
    <row r="48419">
      <c r="F48419" s="13"/>
      <c r="M48419" s="13"/>
    </row>
    <row r="48420">
      <c r="F48420" s="13"/>
      <c r="M48420" s="13"/>
    </row>
    <row r="48421">
      <c r="F48421" s="13"/>
      <c r="M48421" s="13"/>
    </row>
    <row r="48422">
      <c r="F48422" s="13"/>
      <c r="M48422" s="13"/>
    </row>
    <row r="48423">
      <c r="F48423" s="13"/>
      <c r="M48423" s="13"/>
    </row>
    <row r="48424">
      <c r="F48424" s="13"/>
      <c r="M48424" s="13"/>
    </row>
    <row r="48425">
      <c r="F48425" s="13"/>
      <c r="M48425" s="13"/>
    </row>
    <row r="48426">
      <c r="F48426" s="13"/>
      <c r="M48426" s="13"/>
    </row>
    <row r="48427">
      <c r="F48427" s="13"/>
      <c r="M48427" s="13"/>
    </row>
    <row r="48428">
      <c r="F48428" s="13"/>
      <c r="M48428" s="13"/>
    </row>
    <row r="48429">
      <c r="F48429" s="13"/>
      <c r="M48429" s="13"/>
    </row>
    <row r="48430">
      <c r="F48430" s="13"/>
      <c r="M48430" s="13"/>
    </row>
    <row r="48431">
      <c r="F48431" s="13"/>
      <c r="M48431" s="13"/>
    </row>
    <row r="48432">
      <c r="F48432" s="13"/>
      <c r="M48432" s="13"/>
    </row>
    <row r="48433">
      <c r="F48433" s="13"/>
      <c r="M48433" s="13"/>
    </row>
    <row r="48434">
      <c r="F48434" s="13"/>
      <c r="M48434" s="13"/>
    </row>
    <row r="48435">
      <c r="F48435" s="13"/>
      <c r="M48435" s="13"/>
    </row>
    <row r="48436">
      <c r="F48436" s="13"/>
      <c r="M48436" s="13"/>
    </row>
    <row r="48437">
      <c r="F48437" s="13"/>
      <c r="M48437" s="13"/>
    </row>
    <row r="48438">
      <c r="F48438" s="13"/>
      <c r="M48438" s="13"/>
    </row>
    <row r="48439">
      <c r="F48439" s="13"/>
      <c r="M48439" s="13"/>
    </row>
    <row r="48440">
      <c r="F48440" s="13"/>
      <c r="M48440" s="13"/>
    </row>
    <row r="48441">
      <c r="F48441" s="13"/>
      <c r="M48441" s="13"/>
    </row>
    <row r="48442">
      <c r="F48442" s="13"/>
      <c r="M48442" s="13"/>
    </row>
    <row r="48443">
      <c r="F48443" s="13"/>
      <c r="M48443" s="13"/>
    </row>
    <row r="48444">
      <c r="F48444" s="13"/>
      <c r="M48444" s="13"/>
    </row>
    <row r="48445">
      <c r="F48445" s="13"/>
      <c r="M48445" s="13"/>
    </row>
    <row r="48446">
      <c r="F48446" s="13"/>
      <c r="M48446" s="13"/>
    </row>
    <row r="48447">
      <c r="F48447" s="13"/>
      <c r="M48447" s="13"/>
    </row>
    <row r="48448">
      <c r="F48448" s="13"/>
      <c r="M48448" s="13"/>
    </row>
    <row r="48449">
      <c r="F48449" s="13"/>
      <c r="M48449" s="13"/>
    </row>
    <row r="48450">
      <c r="F48450" s="13"/>
      <c r="M48450" s="13"/>
    </row>
    <row r="48451">
      <c r="F48451" s="13"/>
      <c r="M48451" s="13"/>
    </row>
    <row r="48452">
      <c r="F48452" s="13"/>
      <c r="M48452" s="13"/>
    </row>
    <row r="48453">
      <c r="F48453" s="13"/>
      <c r="M48453" s="13"/>
    </row>
    <row r="48454">
      <c r="F48454" s="13"/>
      <c r="M48454" s="13"/>
    </row>
    <row r="48455">
      <c r="F48455" s="13"/>
      <c r="M48455" s="13"/>
    </row>
    <row r="48456">
      <c r="F48456" s="13"/>
      <c r="M48456" s="13"/>
    </row>
    <row r="48457">
      <c r="F48457" s="13"/>
      <c r="M48457" s="13"/>
    </row>
    <row r="48458">
      <c r="F48458" s="13"/>
      <c r="M48458" s="13"/>
    </row>
    <row r="48459">
      <c r="F48459" s="13"/>
      <c r="M48459" s="13"/>
    </row>
    <row r="48460">
      <c r="F48460" s="13"/>
      <c r="M48460" s="13"/>
    </row>
    <row r="48461">
      <c r="F48461" s="13"/>
      <c r="M48461" s="13"/>
    </row>
    <row r="48462">
      <c r="F48462" s="13"/>
      <c r="M48462" s="13"/>
    </row>
    <row r="48463">
      <c r="F48463" s="13"/>
      <c r="M48463" s="13"/>
    </row>
    <row r="48464">
      <c r="F48464" s="13"/>
      <c r="M48464" s="13"/>
    </row>
    <row r="48465">
      <c r="F48465" s="13"/>
      <c r="M48465" s="13"/>
    </row>
    <row r="48466">
      <c r="F48466" s="13"/>
      <c r="M48466" s="13"/>
    </row>
    <row r="48467">
      <c r="F48467" s="13"/>
      <c r="M48467" s="13"/>
    </row>
    <row r="48468">
      <c r="F48468" s="13"/>
      <c r="M48468" s="13"/>
    </row>
    <row r="48469">
      <c r="F48469" s="13"/>
      <c r="M48469" s="13"/>
    </row>
    <row r="48470">
      <c r="F48470" s="13"/>
      <c r="M48470" s="13"/>
    </row>
    <row r="48471">
      <c r="F48471" s="13"/>
      <c r="M48471" s="13"/>
    </row>
    <row r="48472">
      <c r="F48472" s="13"/>
      <c r="M48472" s="13"/>
    </row>
    <row r="48473">
      <c r="F48473" s="13"/>
      <c r="M48473" s="13"/>
    </row>
    <row r="48474">
      <c r="F48474" s="13"/>
      <c r="M48474" s="13"/>
    </row>
    <row r="48475">
      <c r="F48475" s="13"/>
      <c r="M48475" s="13"/>
    </row>
    <row r="48476">
      <c r="F48476" s="13"/>
      <c r="M48476" s="13"/>
    </row>
    <row r="48477">
      <c r="F48477" s="13"/>
      <c r="M48477" s="13"/>
    </row>
    <row r="48478">
      <c r="F48478" s="13"/>
      <c r="M48478" s="13"/>
    </row>
    <row r="48479">
      <c r="F48479" s="13"/>
      <c r="M48479" s="13"/>
    </row>
    <row r="48480">
      <c r="F48480" s="13"/>
      <c r="M48480" s="13"/>
    </row>
    <row r="48481">
      <c r="F48481" s="13"/>
      <c r="M48481" s="13"/>
    </row>
    <row r="48482">
      <c r="F48482" s="13"/>
      <c r="M48482" s="13"/>
    </row>
    <row r="48483">
      <c r="F48483" s="13"/>
      <c r="M48483" s="13"/>
    </row>
    <row r="48484">
      <c r="F48484" s="13"/>
      <c r="M48484" s="13"/>
    </row>
    <row r="48485">
      <c r="F48485" s="13"/>
      <c r="M48485" s="13"/>
    </row>
    <row r="48486">
      <c r="F48486" s="13"/>
      <c r="M48486" s="13"/>
    </row>
    <row r="48487">
      <c r="F48487" s="13"/>
      <c r="M48487" s="13"/>
    </row>
    <row r="48488">
      <c r="F48488" s="13"/>
      <c r="M48488" s="13"/>
    </row>
    <row r="48489">
      <c r="F48489" s="13"/>
      <c r="M48489" s="13"/>
    </row>
    <row r="48490">
      <c r="F48490" s="13"/>
      <c r="M48490" s="13"/>
    </row>
    <row r="48491">
      <c r="F48491" s="13"/>
      <c r="M48491" s="13"/>
    </row>
    <row r="48492">
      <c r="F48492" s="13"/>
      <c r="M48492" s="13"/>
    </row>
    <row r="48493">
      <c r="F48493" s="13"/>
      <c r="M48493" s="13"/>
    </row>
    <row r="48494">
      <c r="F48494" s="13"/>
      <c r="M48494" s="13"/>
    </row>
    <row r="48495">
      <c r="F48495" s="13"/>
      <c r="M48495" s="13"/>
    </row>
    <row r="48496">
      <c r="F48496" s="13"/>
      <c r="M48496" s="13"/>
    </row>
    <row r="48497">
      <c r="F48497" s="13"/>
      <c r="M48497" s="13"/>
    </row>
    <row r="48498">
      <c r="F48498" s="13"/>
      <c r="M48498" s="13"/>
    </row>
    <row r="48499">
      <c r="F48499" s="13"/>
      <c r="M48499" s="13"/>
    </row>
    <row r="48500">
      <c r="F48500" s="13"/>
      <c r="M48500" s="13"/>
    </row>
    <row r="48501">
      <c r="F48501" s="13"/>
      <c r="M48501" s="13"/>
    </row>
    <row r="48502">
      <c r="F48502" s="13"/>
      <c r="M48502" s="13"/>
    </row>
    <row r="48503">
      <c r="F48503" s="13"/>
      <c r="M48503" s="13"/>
    </row>
    <row r="48504">
      <c r="F48504" s="13"/>
      <c r="M48504" s="13"/>
    </row>
    <row r="48505">
      <c r="F48505" s="13"/>
      <c r="M48505" s="13"/>
    </row>
    <row r="48506">
      <c r="F48506" s="13"/>
      <c r="M48506" s="13"/>
    </row>
    <row r="48507">
      <c r="F48507" s="13"/>
      <c r="M48507" s="13"/>
    </row>
    <row r="48508">
      <c r="F48508" s="13"/>
      <c r="M48508" s="13"/>
    </row>
    <row r="48509">
      <c r="F48509" s="13"/>
      <c r="M48509" s="13"/>
    </row>
    <row r="48510">
      <c r="F48510" s="13"/>
      <c r="M48510" s="13"/>
    </row>
    <row r="48511">
      <c r="F48511" s="13"/>
      <c r="M48511" s="13"/>
    </row>
    <row r="48512">
      <c r="F48512" s="13"/>
      <c r="M48512" s="13"/>
    </row>
    <row r="48513">
      <c r="F48513" s="13"/>
      <c r="M48513" s="13"/>
    </row>
    <row r="48514">
      <c r="F48514" s="13"/>
      <c r="M48514" s="13"/>
    </row>
    <row r="48515">
      <c r="F48515" s="13"/>
      <c r="M48515" s="13"/>
    </row>
    <row r="48516">
      <c r="F48516" s="13"/>
      <c r="M48516" s="13"/>
    </row>
    <row r="48517">
      <c r="F48517" s="13"/>
      <c r="M48517" s="13"/>
    </row>
    <row r="48518">
      <c r="F48518" s="13"/>
      <c r="M48518" s="13"/>
    </row>
    <row r="48519">
      <c r="F48519" s="13"/>
      <c r="M48519" s="13"/>
    </row>
    <row r="48520">
      <c r="F48520" s="13"/>
      <c r="M48520" s="13"/>
    </row>
    <row r="48521">
      <c r="F48521" s="13"/>
      <c r="M48521" s="13"/>
    </row>
    <row r="48522">
      <c r="F48522" s="13"/>
      <c r="M48522" s="13"/>
    </row>
    <row r="48523">
      <c r="F48523" s="13"/>
      <c r="M48523" s="13"/>
    </row>
    <row r="48524">
      <c r="F48524" s="13"/>
      <c r="M48524" s="13"/>
    </row>
    <row r="48525">
      <c r="F48525" s="13"/>
      <c r="M48525" s="13"/>
    </row>
    <row r="48526">
      <c r="F48526" s="13"/>
      <c r="M48526" s="13"/>
    </row>
    <row r="48527">
      <c r="F48527" s="13"/>
      <c r="M48527" s="13"/>
    </row>
    <row r="48528">
      <c r="F48528" s="13"/>
      <c r="M48528" s="13"/>
    </row>
    <row r="48529">
      <c r="F48529" s="13"/>
      <c r="M48529" s="13"/>
    </row>
    <row r="48530">
      <c r="F48530" s="13"/>
      <c r="M48530" s="13"/>
    </row>
    <row r="48531">
      <c r="F48531" s="13"/>
      <c r="M48531" s="13"/>
    </row>
    <row r="48532">
      <c r="F48532" s="13"/>
      <c r="M48532" s="13"/>
    </row>
    <row r="48533">
      <c r="F48533" s="13"/>
      <c r="M48533" s="13"/>
    </row>
    <row r="48534">
      <c r="F48534" s="13"/>
      <c r="M48534" s="13"/>
    </row>
    <row r="48535">
      <c r="F48535" s="13"/>
      <c r="M48535" s="13"/>
    </row>
    <row r="48536">
      <c r="F48536" s="13"/>
      <c r="M48536" s="13"/>
    </row>
    <row r="48537">
      <c r="F48537" s="13"/>
      <c r="M48537" s="13"/>
    </row>
    <row r="48538">
      <c r="F48538" s="13"/>
      <c r="M48538" s="13"/>
    </row>
    <row r="48539">
      <c r="F48539" s="13"/>
      <c r="M48539" s="13"/>
    </row>
    <row r="48540">
      <c r="F48540" s="13"/>
      <c r="M48540" s="13"/>
    </row>
    <row r="48541">
      <c r="F48541" s="13"/>
      <c r="M48541" s="13"/>
    </row>
    <row r="48542">
      <c r="F48542" s="13"/>
      <c r="M48542" s="13"/>
    </row>
    <row r="48543">
      <c r="F48543" s="13"/>
      <c r="M48543" s="13"/>
    </row>
    <row r="48544">
      <c r="F48544" s="13"/>
      <c r="M48544" s="13"/>
    </row>
    <row r="48545">
      <c r="F48545" s="13"/>
      <c r="M48545" s="13"/>
    </row>
    <row r="48546">
      <c r="F48546" s="13"/>
      <c r="M48546" s="13"/>
    </row>
    <row r="48547">
      <c r="F48547" s="13"/>
      <c r="M48547" s="13"/>
    </row>
    <row r="48548">
      <c r="F48548" s="13"/>
      <c r="M48548" s="13"/>
    </row>
    <row r="48549">
      <c r="F48549" s="13"/>
      <c r="M48549" s="13"/>
    </row>
    <row r="48550">
      <c r="F48550" s="13"/>
      <c r="M48550" s="13"/>
    </row>
    <row r="48551">
      <c r="F48551" s="13"/>
      <c r="M48551" s="13"/>
    </row>
    <row r="48552">
      <c r="F48552" s="13"/>
      <c r="M48552" s="13"/>
    </row>
    <row r="48553">
      <c r="F48553" s="13"/>
      <c r="M48553" s="13"/>
    </row>
    <row r="48554">
      <c r="F48554" s="13"/>
      <c r="M48554" s="13"/>
    </row>
    <row r="48555">
      <c r="F48555" s="13"/>
      <c r="M48555" s="13"/>
    </row>
    <row r="48556">
      <c r="F48556" s="13"/>
      <c r="M48556" s="13"/>
    </row>
    <row r="48557">
      <c r="F48557" s="13"/>
      <c r="M48557" s="13"/>
    </row>
    <row r="48558">
      <c r="F48558" s="13"/>
      <c r="M48558" s="13"/>
    </row>
    <row r="48559">
      <c r="F48559" s="13"/>
      <c r="M48559" s="13"/>
    </row>
    <row r="48560">
      <c r="F48560" s="13"/>
      <c r="M48560" s="13"/>
    </row>
    <row r="48561">
      <c r="F48561" s="13"/>
      <c r="M48561" s="13"/>
    </row>
    <row r="48562">
      <c r="F48562" s="13"/>
      <c r="M48562" s="13"/>
    </row>
    <row r="48563">
      <c r="F48563" s="13"/>
      <c r="M48563" s="13"/>
    </row>
    <row r="48564">
      <c r="F48564" s="13"/>
      <c r="M48564" s="13"/>
    </row>
    <row r="48565">
      <c r="F48565" s="13"/>
      <c r="M48565" s="13"/>
    </row>
    <row r="48566">
      <c r="F48566" s="13"/>
      <c r="M48566" s="13"/>
    </row>
    <row r="48567">
      <c r="F48567" s="13"/>
      <c r="M48567" s="13"/>
    </row>
    <row r="48568">
      <c r="F48568" s="13"/>
      <c r="M48568" s="13"/>
    </row>
    <row r="48569">
      <c r="F48569" s="13"/>
      <c r="M48569" s="13"/>
    </row>
    <row r="48570">
      <c r="F48570" s="13"/>
      <c r="M48570" s="13"/>
    </row>
    <row r="48571">
      <c r="F48571" s="13"/>
      <c r="M48571" s="13"/>
    </row>
    <row r="48572">
      <c r="F48572" s="13"/>
      <c r="M48572" s="13"/>
    </row>
    <row r="48573">
      <c r="F48573" s="13"/>
      <c r="M48573" s="13"/>
    </row>
    <row r="48574">
      <c r="F48574" s="13"/>
      <c r="M48574" s="13"/>
    </row>
    <row r="48575">
      <c r="F48575" s="13"/>
      <c r="M48575" s="13"/>
    </row>
    <row r="48576">
      <c r="F48576" s="13"/>
      <c r="M48576" s="13"/>
    </row>
    <row r="48577">
      <c r="F48577" s="13"/>
      <c r="M48577" s="13"/>
    </row>
    <row r="48578">
      <c r="F48578" s="13"/>
      <c r="M48578" s="13"/>
    </row>
    <row r="48579">
      <c r="F48579" s="13"/>
      <c r="M48579" s="13"/>
    </row>
    <row r="48580">
      <c r="F48580" s="13"/>
      <c r="M48580" s="13"/>
    </row>
    <row r="48581">
      <c r="F48581" s="13"/>
      <c r="M48581" s="13"/>
    </row>
    <row r="48582">
      <c r="F48582" s="13"/>
      <c r="M48582" s="13"/>
    </row>
    <row r="48583">
      <c r="F48583" s="13"/>
      <c r="M48583" s="13"/>
    </row>
    <row r="48584">
      <c r="F48584" s="13"/>
      <c r="M48584" s="13"/>
    </row>
    <row r="48585">
      <c r="F48585" s="13"/>
      <c r="M48585" s="13"/>
    </row>
    <row r="48586">
      <c r="F48586" s="13"/>
      <c r="M48586" s="13"/>
    </row>
    <row r="48587">
      <c r="F48587" s="13"/>
      <c r="M48587" s="13"/>
    </row>
    <row r="48588">
      <c r="F48588" s="13"/>
      <c r="M48588" s="13"/>
    </row>
    <row r="48589">
      <c r="F48589" s="13"/>
      <c r="M48589" s="13"/>
    </row>
    <row r="48590">
      <c r="F48590" s="13"/>
      <c r="M48590" s="13"/>
    </row>
    <row r="48591">
      <c r="F48591" s="13"/>
      <c r="M48591" s="13"/>
    </row>
    <row r="48592">
      <c r="F48592" s="13"/>
      <c r="M48592" s="13"/>
    </row>
    <row r="48593">
      <c r="F48593" s="13"/>
      <c r="M48593" s="13"/>
    </row>
    <row r="48594">
      <c r="F48594" s="13"/>
      <c r="M48594" s="13"/>
    </row>
    <row r="48595">
      <c r="F48595" s="13"/>
      <c r="M48595" s="13"/>
    </row>
    <row r="48596">
      <c r="F48596" s="13"/>
      <c r="M48596" s="13"/>
    </row>
    <row r="48597">
      <c r="F48597" s="13"/>
      <c r="M48597" s="13"/>
    </row>
    <row r="48598">
      <c r="F48598" s="13"/>
      <c r="M48598" s="13"/>
    </row>
    <row r="48599">
      <c r="F48599" s="13"/>
      <c r="M48599" s="13"/>
    </row>
    <row r="48600">
      <c r="F48600" s="13"/>
      <c r="M48600" s="13"/>
    </row>
    <row r="48601">
      <c r="F48601" s="13"/>
      <c r="M48601" s="13"/>
    </row>
    <row r="48602">
      <c r="F48602" s="13"/>
      <c r="M48602" s="13"/>
    </row>
    <row r="48603">
      <c r="F48603" s="13"/>
      <c r="M48603" s="13"/>
    </row>
    <row r="48604">
      <c r="F48604" s="13"/>
      <c r="M48604" s="13"/>
    </row>
    <row r="48605">
      <c r="F48605" s="13"/>
      <c r="M48605" s="13"/>
    </row>
    <row r="48606">
      <c r="F48606" s="13"/>
      <c r="M48606" s="13"/>
    </row>
    <row r="48607">
      <c r="F48607" s="13"/>
      <c r="M48607" s="13"/>
    </row>
    <row r="48608">
      <c r="F48608" s="13"/>
      <c r="M48608" s="13"/>
    </row>
    <row r="48609">
      <c r="F48609" s="13"/>
      <c r="M48609" s="13"/>
    </row>
    <row r="48610">
      <c r="F48610" s="13"/>
      <c r="M48610" s="13"/>
    </row>
    <row r="48611">
      <c r="F48611" s="13"/>
      <c r="M48611" s="13"/>
    </row>
    <row r="48612">
      <c r="F48612" s="13"/>
      <c r="M48612" s="13"/>
    </row>
    <row r="48613">
      <c r="F48613" s="13"/>
      <c r="M48613" s="13"/>
    </row>
    <row r="48614">
      <c r="F48614" s="13"/>
      <c r="M48614" s="13"/>
    </row>
    <row r="48615">
      <c r="F48615" s="13"/>
      <c r="M48615" s="13"/>
    </row>
    <row r="48616">
      <c r="F48616" s="13"/>
      <c r="M48616" s="13"/>
    </row>
    <row r="48617">
      <c r="F48617" s="13"/>
      <c r="M48617" s="13"/>
    </row>
    <row r="48618">
      <c r="F48618" s="13"/>
      <c r="M48618" s="13"/>
    </row>
    <row r="48619">
      <c r="F48619" s="13"/>
      <c r="M48619" s="13"/>
    </row>
    <row r="48620">
      <c r="F48620" s="13"/>
      <c r="M48620" s="13"/>
    </row>
    <row r="48621">
      <c r="F48621" s="13"/>
      <c r="M48621" s="13"/>
    </row>
    <row r="48622">
      <c r="F48622" s="13"/>
      <c r="M48622" s="13"/>
    </row>
    <row r="48623">
      <c r="F48623" s="13"/>
      <c r="M48623" s="13"/>
    </row>
    <row r="48624">
      <c r="F48624" s="13"/>
      <c r="M48624" s="13"/>
    </row>
    <row r="48625">
      <c r="F48625" s="13"/>
      <c r="M48625" s="13"/>
    </row>
    <row r="48626">
      <c r="F48626" s="13"/>
      <c r="M48626" s="13"/>
    </row>
    <row r="48627">
      <c r="F48627" s="13"/>
      <c r="M48627" s="13"/>
    </row>
    <row r="48628">
      <c r="F48628" s="13"/>
      <c r="M48628" s="13"/>
    </row>
    <row r="48629">
      <c r="F48629" s="13"/>
      <c r="M48629" s="13"/>
    </row>
    <row r="48630">
      <c r="F48630" s="13"/>
      <c r="M48630" s="13"/>
    </row>
    <row r="48631">
      <c r="F48631" s="13"/>
      <c r="M48631" s="13"/>
    </row>
    <row r="48632">
      <c r="F48632" s="13"/>
      <c r="M48632" s="13"/>
    </row>
    <row r="48633">
      <c r="F48633" s="13"/>
      <c r="M48633" s="13"/>
    </row>
    <row r="48634">
      <c r="F48634" s="13"/>
      <c r="M48634" s="13"/>
    </row>
    <row r="48635">
      <c r="F48635" s="13"/>
      <c r="M48635" s="13"/>
    </row>
    <row r="48636">
      <c r="F48636" s="13"/>
      <c r="M48636" s="13"/>
    </row>
    <row r="48637">
      <c r="F48637" s="13"/>
      <c r="M48637" s="13"/>
    </row>
    <row r="48638">
      <c r="F48638" s="13"/>
      <c r="M48638" s="13"/>
    </row>
    <row r="48639">
      <c r="F48639" s="13"/>
      <c r="M48639" s="13"/>
    </row>
    <row r="48640">
      <c r="F48640" s="13"/>
      <c r="M48640" s="13"/>
    </row>
    <row r="48641">
      <c r="F48641" s="13"/>
      <c r="M48641" s="13"/>
    </row>
    <row r="48642">
      <c r="F48642" s="13"/>
      <c r="M48642" s="13"/>
    </row>
    <row r="48643">
      <c r="F48643" s="13"/>
      <c r="M48643" s="13"/>
    </row>
    <row r="48644">
      <c r="F48644" s="13"/>
      <c r="M48644" s="13"/>
    </row>
    <row r="48645">
      <c r="F48645" s="13"/>
      <c r="M48645" s="13"/>
    </row>
    <row r="48646">
      <c r="F48646" s="13"/>
      <c r="M48646" s="13"/>
    </row>
    <row r="48647">
      <c r="F48647" s="13"/>
      <c r="M48647" s="13"/>
    </row>
    <row r="48648">
      <c r="F48648" s="13"/>
      <c r="M48648" s="13"/>
    </row>
    <row r="48649">
      <c r="F48649" s="13"/>
      <c r="M48649" s="13"/>
    </row>
    <row r="48650">
      <c r="F48650" s="13"/>
      <c r="M48650" s="13"/>
    </row>
    <row r="48651">
      <c r="F48651" s="13"/>
      <c r="M48651" s="13"/>
    </row>
    <row r="48652">
      <c r="F48652" s="13"/>
      <c r="M48652" s="13"/>
    </row>
    <row r="48653">
      <c r="F48653" s="13"/>
      <c r="M48653" s="13"/>
    </row>
    <row r="48654">
      <c r="F48654" s="13"/>
      <c r="M48654" s="13"/>
    </row>
    <row r="48655">
      <c r="F48655" s="13"/>
      <c r="M48655" s="13"/>
    </row>
    <row r="48656">
      <c r="F48656" s="13"/>
      <c r="M48656" s="13"/>
    </row>
    <row r="48657">
      <c r="F48657" s="13"/>
      <c r="M48657" s="13"/>
    </row>
    <row r="48658">
      <c r="F48658" s="13"/>
      <c r="M48658" s="13"/>
    </row>
    <row r="48659">
      <c r="F48659" s="13"/>
      <c r="M48659" s="13"/>
    </row>
    <row r="48660">
      <c r="F48660" s="13"/>
      <c r="M48660" s="13"/>
    </row>
    <row r="48661">
      <c r="F48661" s="13"/>
      <c r="M48661" s="13"/>
    </row>
    <row r="48662">
      <c r="F48662" s="13"/>
      <c r="M48662" s="13"/>
    </row>
    <row r="48663">
      <c r="F48663" s="13"/>
      <c r="M48663" s="13"/>
    </row>
    <row r="48664">
      <c r="F48664" s="13"/>
      <c r="M48664" s="13"/>
    </row>
    <row r="48665">
      <c r="F48665" s="13"/>
      <c r="M48665" s="13"/>
    </row>
    <row r="48666">
      <c r="F48666" s="13"/>
      <c r="M48666" s="13"/>
    </row>
    <row r="48667">
      <c r="F48667" s="13"/>
      <c r="M48667" s="13"/>
    </row>
    <row r="48668">
      <c r="F48668" s="13"/>
      <c r="M48668" s="13"/>
    </row>
    <row r="48669">
      <c r="F48669" s="13"/>
      <c r="M48669" s="13"/>
    </row>
    <row r="48670">
      <c r="F48670" s="13"/>
      <c r="M48670" s="13"/>
    </row>
    <row r="48671">
      <c r="F48671" s="13"/>
      <c r="M48671" s="13"/>
    </row>
    <row r="48672">
      <c r="F48672" s="13"/>
      <c r="M48672" s="13"/>
    </row>
    <row r="48673">
      <c r="F48673" s="13"/>
      <c r="M48673" s="13"/>
    </row>
    <row r="48674">
      <c r="F48674" s="13"/>
      <c r="M48674" s="13"/>
    </row>
    <row r="48675">
      <c r="F48675" s="13"/>
      <c r="M48675" s="13"/>
    </row>
    <row r="48676">
      <c r="F48676" s="13"/>
      <c r="M48676" s="13"/>
    </row>
    <row r="48677">
      <c r="F48677" s="13"/>
      <c r="M48677" s="13"/>
    </row>
    <row r="48678">
      <c r="F48678" s="13"/>
      <c r="M48678" s="13"/>
    </row>
    <row r="48679">
      <c r="F48679" s="13"/>
      <c r="M48679" s="13"/>
    </row>
    <row r="48680">
      <c r="F48680" s="13"/>
      <c r="M48680" s="13"/>
    </row>
    <row r="48681">
      <c r="F48681" s="13"/>
      <c r="M48681" s="13"/>
    </row>
    <row r="48682">
      <c r="F48682" s="13"/>
      <c r="M48682" s="13"/>
    </row>
    <row r="48683">
      <c r="F48683" s="13"/>
      <c r="M48683" s="13"/>
    </row>
    <row r="48684">
      <c r="F48684" s="13"/>
      <c r="M48684" s="13"/>
    </row>
    <row r="48685">
      <c r="F48685" s="13"/>
      <c r="M48685" s="13"/>
    </row>
    <row r="48686">
      <c r="F48686" s="13"/>
      <c r="M48686" s="13"/>
    </row>
    <row r="48687">
      <c r="F48687" s="13"/>
      <c r="M48687" s="13"/>
    </row>
    <row r="48688">
      <c r="F48688" s="13"/>
      <c r="M48688" s="13"/>
    </row>
    <row r="48689">
      <c r="F48689" s="13"/>
      <c r="M48689" s="13"/>
    </row>
    <row r="48690">
      <c r="F48690" s="13"/>
      <c r="M48690" s="13"/>
    </row>
    <row r="48691">
      <c r="F48691" s="13"/>
      <c r="M48691" s="13"/>
    </row>
    <row r="48692">
      <c r="F48692" s="13"/>
      <c r="M48692" s="13"/>
    </row>
    <row r="48693">
      <c r="F48693" s="13"/>
      <c r="M48693" s="13"/>
    </row>
    <row r="48694">
      <c r="F48694" s="13"/>
      <c r="M48694" s="13"/>
    </row>
    <row r="48695">
      <c r="F48695" s="13"/>
      <c r="M48695" s="13"/>
    </row>
    <row r="48696">
      <c r="F48696" s="13"/>
      <c r="M48696" s="13"/>
    </row>
    <row r="48697">
      <c r="F48697" s="13"/>
      <c r="M48697" s="13"/>
    </row>
    <row r="48698">
      <c r="F48698" s="13"/>
      <c r="M48698" s="13"/>
    </row>
    <row r="48699">
      <c r="F48699" s="13"/>
      <c r="M48699" s="13"/>
    </row>
    <row r="48700">
      <c r="F48700" s="13"/>
      <c r="M48700" s="13"/>
    </row>
    <row r="48701">
      <c r="F48701" s="13"/>
      <c r="M48701" s="13"/>
    </row>
    <row r="48702">
      <c r="F48702" s="13"/>
      <c r="M48702" s="13"/>
    </row>
    <row r="48703">
      <c r="F48703" s="13"/>
      <c r="M48703" s="13"/>
    </row>
    <row r="48704">
      <c r="F48704" s="13"/>
      <c r="M48704" s="13"/>
    </row>
    <row r="48705">
      <c r="F48705" s="13"/>
      <c r="M48705" s="13"/>
    </row>
    <row r="48706">
      <c r="F48706" s="13"/>
      <c r="M48706" s="13"/>
    </row>
    <row r="48707">
      <c r="F48707" s="13"/>
      <c r="M48707" s="13"/>
    </row>
    <row r="48708">
      <c r="F48708" s="13"/>
      <c r="M48708" s="13"/>
    </row>
    <row r="48709">
      <c r="F48709" s="13"/>
      <c r="M48709" s="13"/>
    </row>
    <row r="48710">
      <c r="F48710" s="13"/>
      <c r="M48710" s="13"/>
    </row>
    <row r="48711">
      <c r="F48711" s="13"/>
      <c r="M48711" s="13"/>
    </row>
    <row r="48712">
      <c r="F48712" s="13"/>
      <c r="M48712" s="13"/>
    </row>
    <row r="48713">
      <c r="F48713" s="13"/>
      <c r="M48713" s="13"/>
    </row>
    <row r="48714">
      <c r="F48714" s="13"/>
      <c r="M48714" s="13"/>
    </row>
    <row r="48715">
      <c r="F48715" s="13"/>
      <c r="M48715" s="13"/>
    </row>
    <row r="48716">
      <c r="F48716" s="13"/>
      <c r="M48716" s="13"/>
    </row>
    <row r="48717">
      <c r="F48717" s="13"/>
      <c r="M48717" s="13"/>
    </row>
    <row r="48718">
      <c r="F48718" s="13"/>
      <c r="M48718" s="13"/>
    </row>
    <row r="48719">
      <c r="F48719" s="13"/>
      <c r="M48719" s="13"/>
    </row>
    <row r="48720">
      <c r="F48720" s="13"/>
      <c r="M48720" s="13"/>
    </row>
    <row r="48721">
      <c r="F48721" s="13"/>
      <c r="M48721" s="13"/>
    </row>
    <row r="48722">
      <c r="F48722" s="13"/>
      <c r="M48722" s="13"/>
    </row>
    <row r="48723">
      <c r="F48723" s="13"/>
      <c r="M48723" s="13"/>
    </row>
    <row r="48724">
      <c r="F48724" s="13"/>
      <c r="M48724" s="13"/>
    </row>
    <row r="48725">
      <c r="F48725" s="13"/>
      <c r="M48725" s="13"/>
    </row>
    <row r="48726">
      <c r="F48726" s="13"/>
      <c r="M48726" s="13"/>
    </row>
    <row r="48727">
      <c r="F48727" s="13"/>
      <c r="M48727" s="13"/>
    </row>
    <row r="48728">
      <c r="F48728" s="13"/>
      <c r="M48728" s="13"/>
    </row>
    <row r="48729">
      <c r="F48729" s="13"/>
      <c r="M48729" s="13"/>
    </row>
    <row r="48730">
      <c r="F48730" s="13"/>
      <c r="M48730" s="13"/>
    </row>
    <row r="48731">
      <c r="F48731" s="13"/>
      <c r="M48731" s="13"/>
    </row>
    <row r="48732">
      <c r="F48732" s="13"/>
      <c r="M48732" s="13"/>
    </row>
    <row r="48733">
      <c r="F48733" s="13"/>
      <c r="M48733" s="13"/>
    </row>
    <row r="48734">
      <c r="F48734" s="13"/>
      <c r="M48734" s="13"/>
    </row>
    <row r="48735">
      <c r="F48735" s="13"/>
      <c r="M48735" s="13"/>
    </row>
    <row r="48736">
      <c r="F48736" s="13"/>
      <c r="M48736" s="13"/>
    </row>
    <row r="48737">
      <c r="F48737" s="13"/>
      <c r="M48737" s="13"/>
    </row>
    <row r="48738">
      <c r="F48738" s="13"/>
      <c r="M48738" s="13"/>
    </row>
    <row r="48739">
      <c r="F48739" s="13"/>
      <c r="M48739" s="13"/>
    </row>
    <row r="48740">
      <c r="F48740" s="13"/>
      <c r="M48740" s="13"/>
    </row>
    <row r="48741">
      <c r="F48741" s="13"/>
      <c r="M48741" s="13"/>
    </row>
    <row r="48742">
      <c r="F48742" s="13"/>
      <c r="M48742" s="13"/>
    </row>
    <row r="48743">
      <c r="F48743" s="13"/>
      <c r="M48743" s="13"/>
    </row>
    <row r="48744">
      <c r="F48744" s="13"/>
      <c r="M48744" s="13"/>
    </row>
    <row r="48745">
      <c r="F48745" s="13"/>
      <c r="M48745" s="13"/>
    </row>
    <row r="48746">
      <c r="F48746" s="13"/>
      <c r="M48746" s="13"/>
    </row>
    <row r="48747">
      <c r="F48747" s="13"/>
      <c r="M48747" s="13"/>
    </row>
    <row r="48748">
      <c r="F48748" s="13"/>
      <c r="M48748" s="13"/>
    </row>
    <row r="48749">
      <c r="F48749" s="13"/>
      <c r="M48749" s="13"/>
    </row>
    <row r="48750">
      <c r="F48750" s="13"/>
      <c r="M48750" s="13"/>
    </row>
    <row r="48751">
      <c r="F48751" s="13"/>
      <c r="M48751" s="13"/>
    </row>
    <row r="48752">
      <c r="F48752" s="13"/>
      <c r="M48752" s="13"/>
    </row>
    <row r="48753">
      <c r="F48753" s="13"/>
      <c r="M48753" s="13"/>
    </row>
    <row r="48754">
      <c r="F48754" s="13"/>
      <c r="M48754" s="13"/>
    </row>
    <row r="48755">
      <c r="F48755" s="13"/>
      <c r="M48755" s="13"/>
    </row>
    <row r="48756">
      <c r="F48756" s="13"/>
      <c r="M48756" s="13"/>
    </row>
    <row r="48757">
      <c r="F48757" s="13"/>
      <c r="M48757" s="13"/>
    </row>
    <row r="48758">
      <c r="F48758" s="13"/>
      <c r="M48758" s="13"/>
    </row>
    <row r="48759">
      <c r="F48759" s="13"/>
      <c r="M48759" s="13"/>
    </row>
    <row r="48760">
      <c r="F48760" s="13"/>
      <c r="M48760" s="13"/>
    </row>
    <row r="48761">
      <c r="F48761" s="13"/>
      <c r="M48761" s="13"/>
    </row>
    <row r="48762">
      <c r="F48762" s="13"/>
      <c r="M48762" s="13"/>
    </row>
    <row r="48763">
      <c r="F48763" s="13"/>
      <c r="M48763" s="13"/>
    </row>
    <row r="48764">
      <c r="F48764" s="13"/>
      <c r="M48764" s="13"/>
    </row>
    <row r="48765">
      <c r="F48765" s="13"/>
      <c r="M48765" s="13"/>
    </row>
    <row r="48766">
      <c r="F48766" s="13"/>
      <c r="M48766" s="13"/>
    </row>
    <row r="48767">
      <c r="F48767" s="13"/>
      <c r="M48767" s="13"/>
    </row>
    <row r="48768">
      <c r="F48768" s="13"/>
      <c r="M48768" s="13"/>
    </row>
    <row r="48769">
      <c r="F48769" s="13"/>
      <c r="M48769" s="13"/>
    </row>
    <row r="48770">
      <c r="F48770" s="13"/>
      <c r="M48770" s="13"/>
    </row>
    <row r="48771">
      <c r="F48771" s="13"/>
      <c r="M48771" s="13"/>
    </row>
    <row r="48772">
      <c r="F48772" s="13"/>
      <c r="M48772" s="13"/>
    </row>
    <row r="48773">
      <c r="F48773" s="13"/>
      <c r="M48773" s="13"/>
    </row>
    <row r="48774">
      <c r="F48774" s="13"/>
      <c r="M48774" s="13"/>
    </row>
    <row r="48775">
      <c r="F48775" s="13"/>
      <c r="M48775" s="13"/>
    </row>
    <row r="48776">
      <c r="F48776" s="13"/>
      <c r="M48776" s="13"/>
    </row>
    <row r="48777">
      <c r="F48777" s="13"/>
      <c r="M48777" s="13"/>
    </row>
    <row r="48778">
      <c r="F48778" s="13"/>
      <c r="M48778" s="13"/>
    </row>
    <row r="48779">
      <c r="F48779" s="13"/>
      <c r="M48779" s="13"/>
    </row>
    <row r="48780">
      <c r="F48780" s="13"/>
      <c r="M48780" s="13"/>
    </row>
    <row r="48781">
      <c r="F48781" s="13"/>
      <c r="M48781" s="13"/>
    </row>
    <row r="48782">
      <c r="F48782" s="13"/>
      <c r="M48782" s="13"/>
    </row>
    <row r="48783">
      <c r="F48783" s="13"/>
      <c r="M48783" s="13"/>
    </row>
    <row r="48784">
      <c r="F48784" s="13"/>
      <c r="M48784" s="13"/>
    </row>
    <row r="48785">
      <c r="F48785" s="13"/>
      <c r="M48785" s="13"/>
    </row>
    <row r="48786">
      <c r="F48786" s="13"/>
      <c r="M48786" s="13"/>
    </row>
    <row r="48787">
      <c r="F48787" s="13"/>
      <c r="M48787" s="13"/>
    </row>
    <row r="48788">
      <c r="F48788" s="13"/>
      <c r="M48788" s="13"/>
    </row>
    <row r="48789">
      <c r="F48789" s="13"/>
      <c r="M48789" s="13"/>
    </row>
    <row r="48790">
      <c r="F48790" s="13"/>
      <c r="M48790" s="13"/>
    </row>
    <row r="48791">
      <c r="F48791" s="13"/>
      <c r="M48791" s="13"/>
    </row>
    <row r="48792">
      <c r="F48792" s="13"/>
      <c r="M48792" s="13"/>
    </row>
    <row r="48793">
      <c r="F48793" s="13"/>
      <c r="M48793" s="13"/>
    </row>
    <row r="48794">
      <c r="F48794" s="13"/>
      <c r="M48794" s="13"/>
    </row>
    <row r="48795">
      <c r="F48795" s="13"/>
      <c r="M48795" s="13"/>
    </row>
    <row r="48796">
      <c r="F48796" s="13"/>
      <c r="M48796" s="13"/>
    </row>
    <row r="48797">
      <c r="F48797" s="13"/>
      <c r="M48797" s="13"/>
    </row>
    <row r="48798">
      <c r="F48798" s="13"/>
      <c r="M48798" s="13"/>
    </row>
    <row r="48799">
      <c r="F48799" s="13"/>
      <c r="M48799" s="13"/>
    </row>
    <row r="48800">
      <c r="F48800" s="13"/>
      <c r="M48800" s="13"/>
    </row>
    <row r="48801">
      <c r="F48801" s="13"/>
      <c r="M48801" s="13"/>
    </row>
    <row r="48802">
      <c r="F48802" s="13"/>
      <c r="M48802" s="13"/>
    </row>
    <row r="48803">
      <c r="F48803" s="13"/>
      <c r="M48803" s="13"/>
    </row>
    <row r="48804">
      <c r="F48804" s="13"/>
      <c r="M48804" s="13"/>
    </row>
    <row r="48805">
      <c r="F48805" s="13"/>
      <c r="M48805" s="13"/>
    </row>
    <row r="48806">
      <c r="F48806" s="13"/>
      <c r="M48806" s="13"/>
    </row>
    <row r="48807">
      <c r="F48807" s="13"/>
      <c r="M48807" s="13"/>
    </row>
    <row r="48808">
      <c r="F48808" s="13"/>
      <c r="M48808" s="13"/>
    </row>
    <row r="48809">
      <c r="F48809" s="13"/>
      <c r="M48809" s="13"/>
    </row>
    <row r="48810">
      <c r="F48810" s="13"/>
      <c r="M48810" s="13"/>
    </row>
    <row r="48811">
      <c r="F48811" s="13"/>
      <c r="M48811" s="13"/>
    </row>
    <row r="48812">
      <c r="F48812" s="13"/>
      <c r="M48812" s="13"/>
    </row>
    <row r="48813">
      <c r="F48813" s="13"/>
      <c r="M48813" s="13"/>
    </row>
    <row r="48814">
      <c r="F48814" s="13"/>
      <c r="M48814" s="13"/>
    </row>
    <row r="48815">
      <c r="F48815" s="13"/>
      <c r="M48815" s="13"/>
    </row>
    <row r="48816">
      <c r="F48816" s="13"/>
      <c r="M48816" s="13"/>
    </row>
    <row r="48817">
      <c r="F48817" s="13"/>
      <c r="M48817" s="13"/>
    </row>
    <row r="48818">
      <c r="F48818" s="13"/>
      <c r="M48818" s="13"/>
    </row>
    <row r="48819">
      <c r="F48819" s="13"/>
      <c r="M48819" s="13"/>
    </row>
    <row r="48820">
      <c r="F48820" s="13"/>
      <c r="M48820" s="13"/>
    </row>
    <row r="48821">
      <c r="F48821" s="13"/>
      <c r="M48821" s="13"/>
    </row>
    <row r="48822">
      <c r="F48822" s="13"/>
      <c r="M48822" s="13"/>
    </row>
    <row r="48823">
      <c r="F48823" s="13"/>
      <c r="M48823" s="13"/>
    </row>
    <row r="48824">
      <c r="F48824" s="13"/>
      <c r="M48824" s="13"/>
    </row>
    <row r="48825">
      <c r="F48825" s="13"/>
      <c r="M48825" s="13"/>
    </row>
    <row r="48826">
      <c r="F48826" s="13"/>
      <c r="M48826" s="13"/>
    </row>
    <row r="48827">
      <c r="F48827" s="13"/>
      <c r="M48827" s="13"/>
    </row>
    <row r="48828">
      <c r="F48828" s="13"/>
      <c r="M48828" s="13"/>
    </row>
    <row r="48829">
      <c r="F48829" s="13"/>
      <c r="M48829" s="13"/>
    </row>
    <row r="48830">
      <c r="F48830" s="13"/>
      <c r="M48830" s="13"/>
    </row>
    <row r="48831">
      <c r="F48831" s="13"/>
      <c r="M48831" s="13"/>
    </row>
    <row r="48832">
      <c r="F48832" s="13"/>
      <c r="M48832" s="13"/>
    </row>
    <row r="48833">
      <c r="F48833" s="13"/>
      <c r="M48833" s="13"/>
    </row>
    <row r="48834">
      <c r="F48834" s="13"/>
      <c r="M48834" s="13"/>
    </row>
    <row r="48835">
      <c r="F48835" s="13"/>
      <c r="M48835" s="13"/>
    </row>
    <row r="48836">
      <c r="F48836" s="13"/>
      <c r="M48836" s="13"/>
    </row>
    <row r="48837">
      <c r="F48837" s="13"/>
      <c r="M48837" s="13"/>
    </row>
    <row r="48838">
      <c r="F48838" s="13"/>
      <c r="M48838" s="13"/>
    </row>
    <row r="48839">
      <c r="F48839" s="13"/>
      <c r="M48839" s="13"/>
    </row>
    <row r="48840">
      <c r="F48840" s="13"/>
      <c r="M48840" s="13"/>
    </row>
    <row r="48841">
      <c r="F48841" s="13"/>
      <c r="M48841" s="13"/>
    </row>
    <row r="48842">
      <c r="F48842" s="13"/>
      <c r="M48842" s="13"/>
    </row>
    <row r="48843">
      <c r="F48843" s="13"/>
      <c r="M48843" s="13"/>
    </row>
    <row r="48844">
      <c r="F48844" s="13"/>
      <c r="M48844" s="13"/>
    </row>
    <row r="48845">
      <c r="F48845" s="13"/>
      <c r="M48845" s="13"/>
    </row>
    <row r="48846">
      <c r="F48846" s="13"/>
      <c r="M48846" s="13"/>
    </row>
    <row r="48847">
      <c r="F48847" s="13"/>
      <c r="M48847" s="13"/>
    </row>
    <row r="48848">
      <c r="F48848" s="13"/>
      <c r="M48848" s="13"/>
    </row>
    <row r="48849">
      <c r="F48849" s="13"/>
      <c r="M48849" s="13"/>
    </row>
    <row r="48850">
      <c r="F48850" s="13"/>
      <c r="M48850" s="13"/>
    </row>
    <row r="48851">
      <c r="F48851" s="13"/>
      <c r="M48851" s="13"/>
    </row>
    <row r="48852">
      <c r="F48852" s="13"/>
      <c r="M48852" s="13"/>
    </row>
    <row r="48853">
      <c r="F48853" s="13"/>
      <c r="M48853" s="13"/>
    </row>
    <row r="48854">
      <c r="F48854" s="13"/>
      <c r="M48854" s="13"/>
    </row>
    <row r="48855">
      <c r="F48855" s="13"/>
      <c r="M48855" s="13"/>
    </row>
    <row r="48856">
      <c r="F48856" s="13"/>
      <c r="M48856" s="13"/>
    </row>
    <row r="48857">
      <c r="F48857" s="13"/>
      <c r="M48857" s="13"/>
    </row>
    <row r="48858">
      <c r="F48858" s="13"/>
      <c r="M48858" s="13"/>
    </row>
    <row r="48859">
      <c r="F48859" s="13"/>
      <c r="M48859" s="13"/>
    </row>
    <row r="48860">
      <c r="F48860" s="13"/>
      <c r="M48860" s="13"/>
    </row>
    <row r="48861">
      <c r="F48861" s="13"/>
      <c r="M48861" s="13"/>
    </row>
    <row r="48862">
      <c r="F48862" s="13"/>
      <c r="M48862" s="13"/>
    </row>
    <row r="48863">
      <c r="F48863" s="13"/>
      <c r="M48863" s="13"/>
    </row>
    <row r="48864">
      <c r="F48864" s="13"/>
      <c r="M48864" s="13"/>
    </row>
    <row r="48865">
      <c r="F48865" s="13"/>
      <c r="M48865" s="13"/>
    </row>
    <row r="48866">
      <c r="F48866" s="13"/>
      <c r="M48866" s="13"/>
    </row>
    <row r="48867">
      <c r="F48867" s="13"/>
      <c r="M48867" s="13"/>
    </row>
    <row r="48868">
      <c r="F48868" s="13"/>
      <c r="M48868" s="13"/>
    </row>
    <row r="48869">
      <c r="F48869" s="13"/>
      <c r="M48869" s="13"/>
    </row>
    <row r="48870">
      <c r="F48870" s="13"/>
      <c r="M48870" s="13"/>
    </row>
    <row r="48871">
      <c r="F48871" s="13"/>
      <c r="M48871" s="13"/>
    </row>
    <row r="48872">
      <c r="F48872" s="13"/>
      <c r="M48872" s="13"/>
    </row>
    <row r="48873">
      <c r="F48873" s="13"/>
      <c r="M48873" s="13"/>
    </row>
    <row r="48874">
      <c r="F48874" s="13"/>
      <c r="M48874" s="13"/>
    </row>
    <row r="48875">
      <c r="F48875" s="13"/>
      <c r="M48875" s="13"/>
    </row>
    <row r="48876">
      <c r="F48876" s="13"/>
      <c r="M48876" s="13"/>
    </row>
    <row r="48877">
      <c r="F48877" s="13"/>
      <c r="M48877" s="13"/>
    </row>
    <row r="48878">
      <c r="F48878" s="13"/>
      <c r="M48878" s="13"/>
    </row>
    <row r="48879">
      <c r="F48879" s="13"/>
      <c r="M48879" s="13"/>
    </row>
    <row r="48880">
      <c r="F48880" s="13"/>
      <c r="M48880" s="13"/>
    </row>
    <row r="48881">
      <c r="F48881" s="13"/>
      <c r="M48881" s="13"/>
    </row>
    <row r="48882">
      <c r="F48882" s="13"/>
      <c r="M48882" s="13"/>
    </row>
    <row r="48883">
      <c r="F48883" s="13"/>
      <c r="M48883" s="13"/>
    </row>
    <row r="48884">
      <c r="F48884" s="13"/>
      <c r="M48884" s="13"/>
    </row>
    <row r="48885">
      <c r="F48885" s="13"/>
      <c r="M48885" s="13"/>
    </row>
    <row r="48886">
      <c r="F48886" s="13"/>
      <c r="M48886" s="13"/>
    </row>
    <row r="48887">
      <c r="F48887" s="13"/>
      <c r="M48887" s="13"/>
    </row>
    <row r="48888">
      <c r="F48888" s="13"/>
      <c r="M48888" s="13"/>
    </row>
    <row r="48889">
      <c r="F48889" s="13"/>
      <c r="M48889" s="13"/>
    </row>
    <row r="48890">
      <c r="F48890" s="13"/>
      <c r="M48890" s="13"/>
    </row>
    <row r="48891">
      <c r="F48891" s="13"/>
      <c r="M48891" s="13"/>
    </row>
    <row r="48892">
      <c r="F48892" s="13"/>
      <c r="M48892" s="13"/>
    </row>
    <row r="48893">
      <c r="F48893" s="13"/>
      <c r="M48893" s="13"/>
    </row>
    <row r="48894">
      <c r="F48894" s="13"/>
      <c r="M48894" s="13"/>
    </row>
    <row r="48895">
      <c r="F48895" s="13"/>
      <c r="M48895" s="13"/>
    </row>
    <row r="48896">
      <c r="F48896" s="13"/>
      <c r="M48896" s="13"/>
    </row>
    <row r="48897">
      <c r="F48897" s="13"/>
      <c r="M48897" s="13"/>
    </row>
    <row r="48898">
      <c r="F48898" s="13"/>
      <c r="M48898" s="13"/>
    </row>
    <row r="48899">
      <c r="F48899" s="13"/>
      <c r="M48899" s="13"/>
    </row>
    <row r="48900">
      <c r="F48900" s="13"/>
      <c r="M48900" s="13"/>
    </row>
    <row r="48901">
      <c r="F48901" s="13"/>
      <c r="M48901" s="13"/>
    </row>
    <row r="48902">
      <c r="F48902" s="13"/>
      <c r="M48902" s="13"/>
    </row>
    <row r="48903">
      <c r="F48903" s="13"/>
      <c r="M48903" s="13"/>
    </row>
    <row r="48904">
      <c r="F48904" s="13"/>
      <c r="M48904" s="13"/>
    </row>
    <row r="48905">
      <c r="F48905" s="13"/>
      <c r="M48905" s="13"/>
    </row>
    <row r="48906">
      <c r="F48906" s="13"/>
      <c r="M48906" s="13"/>
    </row>
    <row r="48907">
      <c r="F48907" s="13"/>
      <c r="M48907" s="13"/>
    </row>
    <row r="48908">
      <c r="F48908" s="13"/>
      <c r="M48908" s="13"/>
    </row>
    <row r="48909">
      <c r="F48909" s="13"/>
      <c r="M48909" s="13"/>
    </row>
    <row r="48910">
      <c r="F48910" s="13"/>
      <c r="M48910" s="13"/>
    </row>
    <row r="48911">
      <c r="F48911" s="13"/>
      <c r="M48911" s="13"/>
    </row>
    <row r="48912">
      <c r="F48912" s="13"/>
      <c r="M48912" s="13"/>
    </row>
    <row r="48913">
      <c r="F48913" s="13"/>
      <c r="M48913" s="13"/>
    </row>
    <row r="48914">
      <c r="F48914" s="13"/>
      <c r="M48914" s="13"/>
    </row>
    <row r="48915">
      <c r="F48915" s="13"/>
      <c r="M48915" s="13"/>
    </row>
    <row r="48916">
      <c r="F48916" s="13"/>
      <c r="M48916" s="13"/>
    </row>
    <row r="48917">
      <c r="F48917" s="13"/>
      <c r="M48917" s="13"/>
    </row>
    <row r="48918">
      <c r="F48918" s="13"/>
      <c r="M48918" s="13"/>
    </row>
    <row r="48919">
      <c r="F48919" s="13"/>
      <c r="M48919" s="13"/>
    </row>
    <row r="48920">
      <c r="F48920" s="13"/>
      <c r="M48920" s="13"/>
    </row>
    <row r="48921">
      <c r="F48921" s="13"/>
      <c r="M48921" s="13"/>
    </row>
    <row r="48922">
      <c r="F48922" s="13"/>
      <c r="M48922" s="13"/>
    </row>
    <row r="48923">
      <c r="F48923" s="13"/>
      <c r="M48923" s="13"/>
    </row>
    <row r="48924">
      <c r="F48924" s="13"/>
      <c r="M48924" s="13"/>
    </row>
    <row r="48925">
      <c r="F48925" s="13"/>
      <c r="M48925" s="13"/>
    </row>
    <row r="48926">
      <c r="F48926" s="13"/>
      <c r="M48926" s="13"/>
    </row>
    <row r="48927">
      <c r="F48927" s="13"/>
      <c r="M48927" s="13"/>
    </row>
    <row r="48928">
      <c r="F48928" s="13"/>
      <c r="M48928" s="13"/>
    </row>
    <row r="48929">
      <c r="F48929" s="13"/>
      <c r="M48929" s="13"/>
    </row>
    <row r="48930">
      <c r="F48930" s="13"/>
      <c r="M48930" s="13"/>
    </row>
    <row r="48931">
      <c r="F48931" s="13"/>
      <c r="M48931" s="13"/>
    </row>
    <row r="48932">
      <c r="F48932" s="13"/>
      <c r="M48932" s="13"/>
    </row>
    <row r="48933">
      <c r="F48933" s="13"/>
      <c r="M48933" s="13"/>
    </row>
    <row r="48934">
      <c r="F48934" s="13"/>
      <c r="M48934" s="13"/>
    </row>
    <row r="48935">
      <c r="F48935" s="13"/>
      <c r="M48935" s="13"/>
    </row>
    <row r="48936">
      <c r="F48936" s="13"/>
      <c r="M48936" s="13"/>
    </row>
    <row r="48937">
      <c r="F48937" s="13"/>
      <c r="M48937" s="13"/>
    </row>
    <row r="48938">
      <c r="F48938" s="13"/>
      <c r="M48938" s="13"/>
    </row>
    <row r="48939">
      <c r="F48939" s="13"/>
      <c r="M48939" s="13"/>
    </row>
    <row r="48940">
      <c r="F48940" s="13"/>
      <c r="M48940" s="13"/>
    </row>
    <row r="48941">
      <c r="F48941" s="13"/>
      <c r="M48941" s="13"/>
    </row>
    <row r="48942">
      <c r="F48942" s="13"/>
      <c r="M48942" s="13"/>
    </row>
    <row r="48943">
      <c r="F48943" s="13"/>
      <c r="M48943" s="13"/>
    </row>
    <row r="48944">
      <c r="F48944" s="13"/>
      <c r="M48944" s="13"/>
    </row>
    <row r="48945">
      <c r="F48945" s="13"/>
      <c r="M48945" s="13"/>
    </row>
    <row r="48946">
      <c r="F48946" s="13"/>
      <c r="M48946" s="13"/>
    </row>
    <row r="48947">
      <c r="F48947" s="13"/>
      <c r="M48947" s="13"/>
    </row>
    <row r="48948">
      <c r="F48948" s="13"/>
      <c r="M48948" s="13"/>
    </row>
    <row r="48949">
      <c r="F48949" s="13"/>
      <c r="M48949" s="13"/>
    </row>
    <row r="48950">
      <c r="F48950" s="13"/>
      <c r="M48950" s="13"/>
    </row>
    <row r="48951">
      <c r="F48951" s="13"/>
      <c r="M48951" s="13"/>
    </row>
    <row r="48952">
      <c r="F48952" s="13"/>
      <c r="M48952" s="13"/>
    </row>
    <row r="48953">
      <c r="F48953" s="13"/>
      <c r="M48953" s="13"/>
    </row>
    <row r="48954">
      <c r="F48954" s="13"/>
      <c r="M48954" s="13"/>
    </row>
    <row r="48955">
      <c r="F48955" s="13"/>
      <c r="M48955" s="13"/>
    </row>
    <row r="48956">
      <c r="F48956" s="13"/>
      <c r="M48956" s="13"/>
    </row>
    <row r="48957">
      <c r="F48957" s="13"/>
      <c r="M48957" s="13"/>
    </row>
    <row r="48958">
      <c r="F48958" s="13"/>
      <c r="M48958" s="13"/>
    </row>
    <row r="48959">
      <c r="F48959" s="13"/>
      <c r="M48959" s="13"/>
    </row>
    <row r="48960">
      <c r="F48960" s="13"/>
      <c r="M48960" s="13"/>
    </row>
    <row r="48961">
      <c r="F48961" s="13"/>
      <c r="M48961" s="13"/>
    </row>
    <row r="48962">
      <c r="F48962" s="13"/>
      <c r="M48962" s="13"/>
    </row>
    <row r="48963">
      <c r="F48963" s="13"/>
      <c r="M48963" s="13"/>
    </row>
    <row r="48964">
      <c r="F48964" s="13"/>
      <c r="M48964" s="13"/>
    </row>
    <row r="48965">
      <c r="F48965" s="13"/>
      <c r="M48965" s="13"/>
    </row>
    <row r="48966">
      <c r="F48966" s="13"/>
      <c r="M48966" s="13"/>
    </row>
    <row r="48967">
      <c r="F48967" s="13"/>
      <c r="M48967" s="13"/>
    </row>
    <row r="48968">
      <c r="F48968" s="13"/>
      <c r="M48968" s="13"/>
    </row>
    <row r="48969">
      <c r="F48969" s="13"/>
      <c r="M48969" s="13"/>
    </row>
    <row r="48970">
      <c r="F48970" s="13"/>
      <c r="M48970" s="13"/>
    </row>
    <row r="48971">
      <c r="F48971" s="13"/>
      <c r="M48971" s="13"/>
    </row>
    <row r="48972">
      <c r="F48972" s="13"/>
      <c r="M48972" s="13"/>
    </row>
    <row r="48973">
      <c r="F48973" s="13"/>
      <c r="M48973" s="13"/>
    </row>
    <row r="48974">
      <c r="F48974" s="13"/>
      <c r="M48974" s="13"/>
    </row>
    <row r="48975">
      <c r="F48975" s="13"/>
      <c r="M48975" s="13"/>
    </row>
    <row r="48976">
      <c r="F48976" s="13"/>
      <c r="M48976" s="13"/>
    </row>
    <row r="48977">
      <c r="F48977" s="13"/>
      <c r="M48977" s="13"/>
    </row>
    <row r="48978">
      <c r="F48978" s="13"/>
      <c r="M48978" s="13"/>
    </row>
    <row r="48979">
      <c r="F48979" s="13"/>
      <c r="M48979" s="13"/>
    </row>
    <row r="48980">
      <c r="F48980" s="13"/>
      <c r="M48980" s="13"/>
    </row>
    <row r="48981">
      <c r="F48981" s="13"/>
      <c r="M48981" s="13"/>
    </row>
    <row r="48982">
      <c r="F48982" s="13"/>
      <c r="M48982" s="13"/>
    </row>
    <row r="48983">
      <c r="F48983" s="13"/>
      <c r="M48983" s="13"/>
    </row>
    <row r="48984">
      <c r="F48984" s="13"/>
      <c r="M48984" s="13"/>
    </row>
    <row r="48985">
      <c r="F48985" s="13"/>
      <c r="M48985" s="13"/>
    </row>
    <row r="48986">
      <c r="F48986" s="13"/>
      <c r="M48986" s="13"/>
    </row>
    <row r="48987">
      <c r="F48987" s="13"/>
      <c r="M48987" s="13"/>
    </row>
    <row r="48988">
      <c r="F48988" s="13"/>
      <c r="M48988" s="13"/>
    </row>
    <row r="48989">
      <c r="F48989" s="13"/>
      <c r="M48989" s="13"/>
    </row>
    <row r="48990">
      <c r="F48990" s="13"/>
      <c r="M48990" s="13"/>
    </row>
    <row r="48991">
      <c r="F48991" s="13"/>
      <c r="M48991" s="13"/>
    </row>
    <row r="48992">
      <c r="F48992" s="13"/>
      <c r="M48992" s="13"/>
    </row>
    <row r="48993">
      <c r="F48993" s="13"/>
      <c r="M48993" s="13"/>
    </row>
    <row r="48994">
      <c r="F48994" s="13"/>
      <c r="M48994" s="13"/>
    </row>
    <row r="48995">
      <c r="F48995" s="13"/>
      <c r="M48995" s="13"/>
    </row>
    <row r="48996">
      <c r="F48996" s="13"/>
      <c r="M48996" s="13"/>
    </row>
    <row r="48997">
      <c r="F48997" s="13"/>
      <c r="M48997" s="13"/>
    </row>
    <row r="48998">
      <c r="F48998" s="13"/>
      <c r="M48998" s="13"/>
    </row>
    <row r="48999">
      <c r="F48999" s="13"/>
      <c r="M48999" s="13"/>
    </row>
    <row r="49000">
      <c r="F49000" s="13"/>
      <c r="M49000" s="13"/>
    </row>
    <row r="49001">
      <c r="F49001" s="13"/>
      <c r="M49001" s="13"/>
    </row>
    <row r="49002">
      <c r="F49002" s="13"/>
      <c r="M49002" s="13"/>
    </row>
    <row r="49003">
      <c r="F49003" s="13"/>
      <c r="M49003" s="13"/>
    </row>
    <row r="49004">
      <c r="F49004" s="13"/>
      <c r="M49004" s="13"/>
    </row>
    <row r="49005">
      <c r="F49005" s="13"/>
      <c r="M49005" s="13"/>
    </row>
    <row r="49006">
      <c r="F49006" s="13"/>
      <c r="M49006" s="13"/>
    </row>
    <row r="49007">
      <c r="F49007" s="13"/>
      <c r="M49007" s="13"/>
    </row>
    <row r="49008">
      <c r="F49008" s="13"/>
      <c r="M49008" s="13"/>
    </row>
    <row r="49009">
      <c r="F49009" s="13"/>
      <c r="M49009" s="13"/>
    </row>
    <row r="49010">
      <c r="F49010" s="13"/>
      <c r="M49010" s="13"/>
    </row>
    <row r="49011">
      <c r="F49011" s="13"/>
      <c r="M49011" s="13"/>
    </row>
    <row r="49012">
      <c r="F49012" s="13"/>
      <c r="M49012" s="13"/>
    </row>
    <row r="49013">
      <c r="F49013" s="13"/>
      <c r="M49013" s="13"/>
    </row>
    <row r="49014">
      <c r="F49014" s="13"/>
      <c r="M49014" s="13"/>
    </row>
    <row r="49015">
      <c r="F49015" s="13"/>
      <c r="M49015" s="13"/>
    </row>
    <row r="49016">
      <c r="F49016" s="13"/>
      <c r="M49016" s="13"/>
    </row>
    <row r="49017">
      <c r="F49017" s="13"/>
      <c r="M49017" s="13"/>
    </row>
    <row r="49018">
      <c r="F49018" s="13"/>
      <c r="M49018" s="13"/>
    </row>
    <row r="49019">
      <c r="F49019" s="13"/>
      <c r="M49019" s="13"/>
    </row>
    <row r="49020">
      <c r="F49020" s="13"/>
      <c r="M49020" s="13"/>
    </row>
    <row r="49021">
      <c r="F49021" s="13"/>
      <c r="M49021" s="13"/>
    </row>
    <row r="49022">
      <c r="F49022" s="13"/>
      <c r="M49022" s="13"/>
    </row>
    <row r="49023">
      <c r="F49023" s="13"/>
      <c r="M49023" s="13"/>
    </row>
    <row r="49024">
      <c r="F49024" s="13"/>
      <c r="M49024" s="13"/>
    </row>
    <row r="49025">
      <c r="F49025" s="13"/>
      <c r="M49025" s="13"/>
    </row>
    <row r="49026">
      <c r="F49026" s="13"/>
      <c r="M49026" s="13"/>
    </row>
    <row r="49027">
      <c r="F49027" s="13"/>
      <c r="M49027" s="13"/>
    </row>
    <row r="49028">
      <c r="F49028" s="13"/>
      <c r="M49028" s="13"/>
    </row>
    <row r="49029">
      <c r="F49029" s="13"/>
      <c r="M49029" s="13"/>
    </row>
    <row r="49030">
      <c r="F49030" s="13"/>
      <c r="M49030" s="13"/>
    </row>
    <row r="49031">
      <c r="F49031" s="13"/>
      <c r="M49031" s="13"/>
    </row>
    <row r="49032">
      <c r="F49032" s="13"/>
      <c r="M49032" s="13"/>
    </row>
    <row r="49033">
      <c r="F49033" s="13"/>
      <c r="M49033" s="13"/>
    </row>
    <row r="49034">
      <c r="F49034" s="13"/>
      <c r="M49034" s="13"/>
    </row>
    <row r="49035">
      <c r="F49035" s="13"/>
      <c r="M49035" s="13"/>
    </row>
    <row r="49036">
      <c r="F49036" s="13"/>
      <c r="M49036" s="13"/>
    </row>
    <row r="49037">
      <c r="F49037" s="13"/>
      <c r="M49037" s="13"/>
    </row>
    <row r="49038">
      <c r="F49038" s="13"/>
      <c r="M49038" s="13"/>
    </row>
    <row r="49039">
      <c r="F49039" s="13"/>
      <c r="M49039" s="13"/>
    </row>
    <row r="49040">
      <c r="F49040" s="13"/>
      <c r="M49040" s="13"/>
    </row>
    <row r="49041">
      <c r="F49041" s="13"/>
      <c r="M49041" s="13"/>
    </row>
    <row r="49042">
      <c r="F49042" s="13"/>
      <c r="M49042" s="13"/>
    </row>
    <row r="49043">
      <c r="F49043" s="13"/>
      <c r="M49043" s="13"/>
    </row>
    <row r="49044">
      <c r="F49044" s="13"/>
      <c r="M49044" s="13"/>
    </row>
    <row r="49045">
      <c r="F49045" s="13"/>
      <c r="M49045" s="13"/>
    </row>
    <row r="49046">
      <c r="F49046" s="13"/>
      <c r="M49046" s="13"/>
    </row>
    <row r="49047">
      <c r="F49047" s="13"/>
      <c r="M49047" s="13"/>
    </row>
    <row r="49048">
      <c r="F49048" s="13"/>
      <c r="M49048" s="13"/>
    </row>
    <row r="49049">
      <c r="F49049" s="13"/>
      <c r="M49049" s="13"/>
    </row>
    <row r="49050">
      <c r="F49050" s="13"/>
      <c r="M49050" s="13"/>
    </row>
    <row r="49051">
      <c r="F49051" s="13"/>
      <c r="M49051" s="13"/>
    </row>
    <row r="49052">
      <c r="F49052" s="13"/>
      <c r="M49052" s="13"/>
    </row>
    <row r="49053">
      <c r="F49053" s="13"/>
      <c r="M49053" s="13"/>
    </row>
    <row r="49054">
      <c r="F49054" s="13"/>
      <c r="M49054" s="13"/>
    </row>
    <row r="49055">
      <c r="F49055" s="13"/>
      <c r="M49055" s="13"/>
    </row>
    <row r="49056">
      <c r="F49056" s="13"/>
      <c r="M49056" s="13"/>
    </row>
    <row r="49057">
      <c r="F49057" s="13"/>
      <c r="M49057" s="13"/>
    </row>
    <row r="49058">
      <c r="F49058" s="13"/>
      <c r="M49058" s="13"/>
    </row>
    <row r="49059">
      <c r="F49059" s="13"/>
      <c r="M49059" s="13"/>
    </row>
    <row r="49060">
      <c r="F49060" s="13"/>
      <c r="M49060" s="13"/>
    </row>
    <row r="49061">
      <c r="F49061" s="13"/>
      <c r="M49061" s="13"/>
    </row>
    <row r="49062">
      <c r="F49062" s="13"/>
      <c r="M49062" s="13"/>
    </row>
    <row r="49063">
      <c r="F49063" s="13"/>
      <c r="M49063" s="13"/>
    </row>
    <row r="49064">
      <c r="F49064" s="13"/>
      <c r="M49064" s="13"/>
    </row>
    <row r="49065">
      <c r="F49065" s="13"/>
      <c r="M49065" s="13"/>
    </row>
    <row r="49066">
      <c r="F49066" s="13"/>
      <c r="M49066" s="13"/>
    </row>
    <row r="49067">
      <c r="F49067" s="13"/>
      <c r="M49067" s="13"/>
    </row>
    <row r="49068">
      <c r="F49068" s="13"/>
      <c r="M49068" s="13"/>
    </row>
    <row r="49069">
      <c r="F49069" s="13"/>
      <c r="M49069" s="13"/>
    </row>
    <row r="49070">
      <c r="F49070" s="13"/>
      <c r="M49070" s="13"/>
    </row>
    <row r="49071">
      <c r="F49071" s="13"/>
      <c r="M49071" s="13"/>
    </row>
    <row r="49072">
      <c r="F49072" s="13"/>
      <c r="M49072" s="13"/>
    </row>
    <row r="49073">
      <c r="F49073" s="13"/>
      <c r="M49073" s="13"/>
    </row>
    <row r="49074">
      <c r="F49074" s="13"/>
      <c r="M49074" s="13"/>
    </row>
    <row r="49075">
      <c r="F49075" s="13"/>
      <c r="M49075" s="13"/>
    </row>
    <row r="49076">
      <c r="F49076" s="13"/>
      <c r="M49076" s="13"/>
    </row>
    <row r="49077">
      <c r="F49077" s="13"/>
      <c r="M49077" s="13"/>
    </row>
    <row r="49078">
      <c r="F49078" s="13"/>
      <c r="M49078" s="13"/>
    </row>
    <row r="49079">
      <c r="F49079" s="13"/>
      <c r="M49079" s="13"/>
    </row>
    <row r="49080">
      <c r="F49080" s="13"/>
      <c r="M49080" s="13"/>
    </row>
    <row r="49081">
      <c r="F49081" s="13"/>
      <c r="M49081" s="13"/>
    </row>
    <row r="49082">
      <c r="F49082" s="13"/>
      <c r="M49082" s="13"/>
    </row>
    <row r="49083">
      <c r="F49083" s="13"/>
      <c r="M49083" s="13"/>
    </row>
    <row r="49084">
      <c r="F49084" s="13"/>
      <c r="M49084" s="13"/>
    </row>
    <row r="49085">
      <c r="F49085" s="13"/>
      <c r="M49085" s="13"/>
    </row>
    <row r="49086">
      <c r="F49086" s="13"/>
      <c r="M49086" s="13"/>
    </row>
    <row r="49087">
      <c r="F49087" s="13"/>
      <c r="M49087" s="13"/>
    </row>
    <row r="49088">
      <c r="F49088" s="13"/>
      <c r="M49088" s="13"/>
    </row>
    <row r="49089">
      <c r="F49089" s="13"/>
      <c r="M49089" s="13"/>
    </row>
    <row r="49090">
      <c r="F49090" s="13"/>
      <c r="M49090" s="13"/>
    </row>
    <row r="49091">
      <c r="F49091" s="13"/>
      <c r="M49091" s="13"/>
    </row>
    <row r="49092">
      <c r="F49092" s="13"/>
      <c r="M49092" s="13"/>
    </row>
    <row r="49093">
      <c r="F49093" s="13"/>
      <c r="M49093" s="13"/>
    </row>
    <row r="49094">
      <c r="F49094" s="13"/>
      <c r="M49094" s="13"/>
    </row>
    <row r="49095">
      <c r="F49095" s="13"/>
      <c r="M49095" s="13"/>
    </row>
    <row r="49096">
      <c r="F49096" s="13"/>
      <c r="M49096" s="13"/>
    </row>
    <row r="49097">
      <c r="F49097" s="13"/>
      <c r="M49097" s="13"/>
    </row>
    <row r="49098">
      <c r="F49098" s="13"/>
      <c r="M49098" s="13"/>
    </row>
    <row r="49099">
      <c r="F49099" s="13"/>
      <c r="M49099" s="13"/>
    </row>
    <row r="49100">
      <c r="F49100" s="13"/>
      <c r="M49100" s="13"/>
    </row>
    <row r="49101">
      <c r="F49101" s="13"/>
      <c r="M49101" s="13"/>
    </row>
    <row r="49102">
      <c r="F49102" s="13"/>
      <c r="M49102" s="13"/>
    </row>
    <row r="49103">
      <c r="F49103" s="13"/>
      <c r="M49103" s="13"/>
    </row>
    <row r="49104">
      <c r="F49104" s="13"/>
      <c r="M49104" s="13"/>
    </row>
    <row r="49105">
      <c r="F49105" s="13"/>
      <c r="M49105" s="13"/>
    </row>
    <row r="49106">
      <c r="F49106" s="13"/>
      <c r="M49106" s="13"/>
    </row>
    <row r="49107">
      <c r="F49107" s="13"/>
      <c r="M49107" s="13"/>
    </row>
    <row r="49108">
      <c r="F49108" s="13"/>
      <c r="M49108" s="13"/>
    </row>
    <row r="49109">
      <c r="F49109" s="13"/>
      <c r="M49109" s="13"/>
    </row>
    <row r="49110">
      <c r="F49110" s="13"/>
      <c r="M49110" s="13"/>
    </row>
    <row r="49111">
      <c r="F49111" s="13"/>
      <c r="M49111" s="13"/>
    </row>
    <row r="49112">
      <c r="F49112" s="13"/>
      <c r="M49112" s="13"/>
    </row>
    <row r="49113">
      <c r="F49113" s="13"/>
      <c r="M49113" s="13"/>
    </row>
    <row r="49114">
      <c r="F49114" s="13"/>
      <c r="M49114" s="13"/>
    </row>
    <row r="49115">
      <c r="F49115" s="13"/>
      <c r="M49115" s="13"/>
    </row>
    <row r="49116">
      <c r="F49116" s="13"/>
      <c r="M49116" s="13"/>
    </row>
    <row r="49117">
      <c r="F49117" s="13"/>
      <c r="M49117" s="13"/>
    </row>
    <row r="49118">
      <c r="F49118" s="13"/>
      <c r="M49118" s="13"/>
    </row>
    <row r="49119">
      <c r="F49119" s="13"/>
      <c r="M49119" s="13"/>
    </row>
    <row r="49120">
      <c r="F49120" s="13"/>
      <c r="M49120" s="13"/>
    </row>
    <row r="49121">
      <c r="F49121" s="13"/>
      <c r="M49121" s="13"/>
    </row>
    <row r="49122">
      <c r="F49122" s="13"/>
      <c r="M49122" s="13"/>
    </row>
    <row r="49123">
      <c r="F49123" s="13"/>
      <c r="M49123" s="13"/>
    </row>
    <row r="49124">
      <c r="F49124" s="13"/>
      <c r="M49124" s="13"/>
    </row>
    <row r="49125">
      <c r="F49125" s="13"/>
      <c r="M49125" s="13"/>
    </row>
    <row r="49126">
      <c r="F49126" s="13"/>
      <c r="M49126" s="13"/>
    </row>
    <row r="49127">
      <c r="F49127" s="13"/>
      <c r="M49127" s="13"/>
    </row>
    <row r="49128">
      <c r="F49128" s="13"/>
      <c r="M49128" s="13"/>
    </row>
    <row r="49129">
      <c r="F49129" s="13"/>
      <c r="M49129" s="13"/>
    </row>
    <row r="49130">
      <c r="F49130" s="13"/>
      <c r="M49130" s="13"/>
    </row>
    <row r="49131">
      <c r="F49131" s="13"/>
      <c r="M49131" s="13"/>
    </row>
    <row r="49132">
      <c r="F49132" s="13"/>
      <c r="M49132" s="13"/>
    </row>
    <row r="49133">
      <c r="F49133" s="13"/>
      <c r="M49133" s="13"/>
    </row>
    <row r="49134">
      <c r="F49134" s="13"/>
      <c r="M49134" s="13"/>
    </row>
    <row r="49135">
      <c r="F49135" s="13"/>
      <c r="M49135" s="13"/>
    </row>
    <row r="49136">
      <c r="F49136" s="13"/>
      <c r="M49136" s="13"/>
    </row>
    <row r="49137">
      <c r="F49137" s="13"/>
      <c r="M49137" s="13"/>
    </row>
    <row r="49138">
      <c r="F49138" s="13"/>
      <c r="M49138" s="13"/>
    </row>
    <row r="49139">
      <c r="F49139" s="13"/>
      <c r="M49139" s="13"/>
    </row>
    <row r="49140">
      <c r="F49140" s="13"/>
      <c r="M49140" s="13"/>
    </row>
    <row r="49141">
      <c r="F49141" s="13"/>
      <c r="M49141" s="13"/>
    </row>
    <row r="49142">
      <c r="F49142" s="13"/>
      <c r="M49142" s="13"/>
    </row>
    <row r="49143">
      <c r="F49143" s="13"/>
      <c r="M49143" s="13"/>
    </row>
    <row r="49144">
      <c r="F49144" s="13"/>
      <c r="M49144" s="13"/>
    </row>
    <row r="49145">
      <c r="F49145" s="13"/>
      <c r="M49145" s="13"/>
    </row>
    <row r="49146">
      <c r="F49146" s="13"/>
      <c r="M49146" s="13"/>
    </row>
    <row r="49147">
      <c r="F49147" s="13"/>
      <c r="M49147" s="13"/>
    </row>
    <row r="49148">
      <c r="F49148" s="13"/>
      <c r="M49148" s="13"/>
    </row>
    <row r="49149">
      <c r="F49149" s="13"/>
      <c r="M49149" s="13"/>
    </row>
    <row r="49150">
      <c r="F49150" s="13"/>
      <c r="M49150" s="13"/>
    </row>
    <row r="49151">
      <c r="F49151" s="13"/>
      <c r="M49151" s="13"/>
    </row>
    <row r="49152">
      <c r="F49152" s="13"/>
      <c r="M49152" s="13"/>
    </row>
    <row r="49153">
      <c r="F49153" s="13"/>
      <c r="M49153" s="13"/>
    </row>
    <row r="49154">
      <c r="F49154" s="13"/>
      <c r="M49154" s="13"/>
    </row>
    <row r="49155">
      <c r="F49155" s="13"/>
      <c r="M49155" s="13"/>
    </row>
    <row r="49156">
      <c r="F49156" s="13"/>
      <c r="M49156" s="13"/>
    </row>
    <row r="49157">
      <c r="F49157" s="13"/>
      <c r="M49157" s="13"/>
    </row>
    <row r="49158">
      <c r="F49158" s="13"/>
      <c r="M49158" s="13"/>
    </row>
    <row r="49159">
      <c r="F49159" s="13"/>
      <c r="M49159" s="13"/>
    </row>
    <row r="49160">
      <c r="F49160" s="13"/>
      <c r="M49160" s="13"/>
    </row>
    <row r="49161">
      <c r="F49161" s="13"/>
      <c r="M49161" s="13"/>
    </row>
    <row r="49162">
      <c r="F49162" s="13"/>
      <c r="M49162" s="13"/>
    </row>
    <row r="49163">
      <c r="F49163" s="13"/>
      <c r="M49163" s="13"/>
    </row>
    <row r="49164">
      <c r="F49164" s="13"/>
      <c r="M49164" s="13"/>
    </row>
    <row r="49165">
      <c r="F49165" s="13"/>
      <c r="M49165" s="13"/>
    </row>
    <row r="49166">
      <c r="F49166" s="13"/>
      <c r="M49166" s="13"/>
    </row>
    <row r="49167">
      <c r="F49167" s="13"/>
      <c r="M49167" s="13"/>
    </row>
    <row r="49168">
      <c r="F49168" s="13"/>
      <c r="M49168" s="13"/>
    </row>
    <row r="49169">
      <c r="F49169" s="13"/>
      <c r="M49169" s="13"/>
    </row>
    <row r="49170">
      <c r="F49170" s="13"/>
      <c r="M49170" s="13"/>
    </row>
    <row r="49171">
      <c r="F49171" s="13"/>
      <c r="M49171" s="13"/>
    </row>
    <row r="49172">
      <c r="F49172" s="13"/>
      <c r="M49172" s="13"/>
    </row>
    <row r="49173">
      <c r="F49173" s="13"/>
      <c r="M49173" s="13"/>
    </row>
    <row r="49174">
      <c r="F49174" s="13"/>
      <c r="M49174" s="13"/>
    </row>
    <row r="49175">
      <c r="F49175" s="13"/>
      <c r="M49175" s="13"/>
    </row>
    <row r="49176">
      <c r="F49176" s="13"/>
      <c r="M49176" s="13"/>
    </row>
    <row r="49177">
      <c r="F49177" s="13"/>
      <c r="M49177" s="13"/>
    </row>
    <row r="49178">
      <c r="F49178" s="13"/>
      <c r="M49178" s="13"/>
    </row>
    <row r="49179">
      <c r="F49179" s="13"/>
      <c r="M49179" s="13"/>
    </row>
    <row r="49180">
      <c r="F49180" s="13"/>
      <c r="M49180" s="13"/>
    </row>
    <row r="49181">
      <c r="F49181" s="13"/>
      <c r="M49181" s="13"/>
    </row>
    <row r="49182">
      <c r="F49182" s="13"/>
      <c r="M49182" s="13"/>
    </row>
    <row r="49183">
      <c r="F49183" s="13"/>
      <c r="M49183" s="13"/>
    </row>
    <row r="49184">
      <c r="F49184" s="13"/>
      <c r="M49184" s="13"/>
    </row>
    <row r="49185">
      <c r="F49185" s="13"/>
      <c r="M49185" s="13"/>
    </row>
    <row r="49186">
      <c r="F49186" s="13"/>
      <c r="M49186" s="13"/>
    </row>
    <row r="49187">
      <c r="F49187" s="13"/>
      <c r="M49187" s="13"/>
    </row>
    <row r="49188">
      <c r="F49188" s="13"/>
      <c r="M49188" s="13"/>
    </row>
    <row r="49189">
      <c r="F49189" s="13"/>
      <c r="M49189" s="13"/>
    </row>
    <row r="49190">
      <c r="F49190" s="13"/>
      <c r="M49190" s="13"/>
    </row>
    <row r="49191">
      <c r="F49191" s="13"/>
      <c r="M49191" s="13"/>
    </row>
    <row r="49192">
      <c r="F49192" s="13"/>
      <c r="M49192" s="13"/>
    </row>
    <row r="49193">
      <c r="F49193" s="13"/>
      <c r="M49193" s="13"/>
    </row>
    <row r="49194">
      <c r="F49194" s="13"/>
      <c r="M49194" s="13"/>
    </row>
    <row r="49195">
      <c r="F49195" s="13"/>
      <c r="M49195" s="13"/>
    </row>
    <row r="49196">
      <c r="F49196" s="13"/>
      <c r="M49196" s="13"/>
    </row>
    <row r="49197">
      <c r="F49197" s="13"/>
      <c r="M49197" s="13"/>
    </row>
    <row r="49198">
      <c r="F49198" s="13"/>
      <c r="M49198" s="13"/>
    </row>
    <row r="49199">
      <c r="F49199" s="13"/>
      <c r="M49199" s="13"/>
    </row>
    <row r="49200">
      <c r="F49200" s="13"/>
      <c r="M49200" s="13"/>
    </row>
    <row r="49201">
      <c r="F49201" s="13"/>
      <c r="M49201" s="13"/>
    </row>
    <row r="49202">
      <c r="F49202" s="13"/>
      <c r="M49202" s="13"/>
    </row>
    <row r="49203">
      <c r="F49203" s="13"/>
      <c r="M49203" s="13"/>
    </row>
    <row r="49204">
      <c r="F49204" s="13"/>
      <c r="M49204" s="13"/>
    </row>
    <row r="49205">
      <c r="F49205" s="13"/>
      <c r="M49205" s="13"/>
    </row>
    <row r="49206">
      <c r="F49206" s="13"/>
      <c r="M49206" s="13"/>
    </row>
    <row r="49207">
      <c r="F49207" s="13"/>
      <c r="M49207" s="13"/>
    </row>
    <row r="49208">
      <c r="F49208" s="13"/>
      <c r="M49208" s="13"/>
    </row>
    <row r="49209">
      <c r="F49209" s="13"/>
      <c r="M49209" s="13"/>
    </row>
    <row r="49210">
      <c r="F49210" s="13"/>
      <c r="M49210" s="13"/>
    </row>
    <row r="49211">
      <c r="F49211" s="13"/>
      <c r="M49211" s="13"/>
    </row>
    <row r="49212">
      <c r="F49212" s="13"/>
      <c r="M49212" s="13"/>
    </row>
    <row r="49213">
      <c r="F49213" s="13"/>
      <c r="M49213" s="13"/>
    </row>
    <row r="49214">
      <c r="F49214" s="13"/>
      <c r="M49214" s="13"/>
    </row>
    <row r="49215">
      <c r="F49215" s="13"/>
      <c r="M49215" s="13"/>
    </row>
    <row r="49216">
      <c r="F49216" s="13"/>
      <c r="M49216" s="13"/>
    </row>
    <row r="49217">
      <c r="F49217" s="13"/>
      <c r="M49217" s="13"/>
    </row>
    <row r="49218">
      <c r="F49218" s="13"/>
      <c r="M49218" s="13"/>
    </row>
    <row r="49219">
      <c r="F49219" s="13"/>
      <c r="M49219" s="13"/>
    </row>
    <row r="49220">
      <c r="F49220" s="13"/>
      <c r="M49220" s="13"/>
    </row>
    <row r="49221">
      <c r="F49221" s="13"/>
      <c r="M49221" s="13"/>
    </row>
    <row r="49222">
      <c r="F49222" s="13"/>
      <c r="M49222" s="13"/>
    </row>
    <row r="49223">
      <c r="F49223" s="13"/>
      <c r="M49223" s="13"/>
    </row>
    <row r="49224">
      <c r="F49224" s="13"/>
      <c r="M49224" s="13"/>
    </row>
    <row r="49225">
      <c r="F49225" s="13"/>
      <c r="M49225" s="13"/>
    </row>
    <row r="49226">
      <c r="F49226" s="13"/>
      <c r="M49226" s="13"/>
    </row>
    <row r="49227">
      <c r="F49227" s="13"/>
      <c r="M49227" s="13"/>
    </row>
    <row r="49228">
      <c r="F49228" s="13"/>
      <c r="M49228" s="13"/>
    </row>
    <row r="49229">
      <c r="F49229" s="13"/>
      <c r="M49229" s="13"/>
    </row>
    <row r="49230">
      <c r="F49230" s="13"/>
      <c r="M49230" s="13"/>
    </row>
    <row r="49231">
      <c r="F49231" s="13"/>
      <c r="M49231" s="13"/>
    </row>
    <row r="49232">
      <c r="F49232" s="13"/>
      <c r="M49232" s="13"/>
    </row>
    <row r="49233">
      <c r="F49233" s="13"/>
      <c r="M49233" s="13"/>
    </row>
    <row r="49234">
      <c r="F49234" s="13"/>
      <c r="M49234" s="13"/>
    </row>
    <row r="49235">
      <c r="F49235" s="13"/>
      <c r="M49235" s="13"/>
    </row>
    <row r="49236">
      <c r="F49236" s="13"/>
      <c r="M49236" s="13"/>
    </row>
    <row r="49237">
      <c r="F49237" s="13"/>
      <c r="M49237" s="13"/>
    </row>
    <row r="49238">
      <c r="F49238" s="13"/>
      <c r="M49238" s="13"/>
    </row>
    <row r="49239">
      <c r="F49239" s="13"/>
      <c r="M49239" s="13"/>
    </row>
    <row r="49240">
      <c r="F49240" s="13"/>
      <c r="M49240" s="13"/>
    </row>
    <row r="49241">
      <c r="F49241" s="13"/>
      <c r="M49241" s="13"/>
    </row>
    <row r="49242">
      <c r="F49242" s="13"/>
      <c r="M49242" s="13"/>
    </row>
    <row r="49243">
      <c r="F49243" s="13"/>
      <c r="M49243" s="13"/>
    </row>
    <row r="49244">
      <c r="F49244" s="13"/>
      <c r="M49244" s="13"/>
    </row>
    <row r="49245">
      <c r="F49245" s="13"/>
      <c r="M49245" s="13"/>
    </row>
    <row r="49246">
      <c r="F49246" s="13"/>
      <c r="M49246" s="13"/>
    </row>
    <row r="49247">
      <c r="F49247" s="13"/>
      <c r="M49247" s="13"/>
    </row>
    <row r="49248">
      <c r="F49248" s="13"/>
      <c r="M49248" s="13"/>
    </row>
    <row r="49249">
      <c r="F49249" s="13"/>
      <c r="M49249" s="13"/>
    </row>
    <row r="49250">
      <c r="F49250" s="13"/>
      <c r="M49250" s="13"/>
    </row>
    <row r="49251">
      <c r="F49251" s="13"/>
      <c r="M49251" s="13"/>
    </row>
    <row r="49252">
      <c r="F49252" s="13"/>
      <c r="M49252" s="13"/>
    </row>
    <row r="49253">
      <c r="F49253" s="13"/>
      <c r="M49253" s="13"/>
    </row>
    <row r="49254">
      <c r="F49254" s="13"/>
      <c r="M49254" s="13"/>
    </row>
    <row r="49255">
      <c r="F49255" s="13"/>
      <c r="M49255" s="13"/>
    </row>
    <row r="49256">
      <c r="F49256" s="13"/>
      <c r="M49256" s="13"/>
    </row>
    <row r="49257">
      <c r="F49257" s="13"/>
      <c r="M49257" s="13"/>
    </row>
    <row r="49258">
      <c r="F49258" s="13"/>
      <c r="M49258" s="13"/>
    </row>
    <row r="49259">
      <c r="F49259" s="13"/>
      <c r="M49259" s="13"/>
    </row>
    <row r="49260">
      <c r="F49260" s="13"/>
      <c r="M49260" s="13"/>
    </row>
    <row r="49261">
      <c r="F49261" s="13"/>
      <c r="M49261" s="13"/>
    </row>
    <row r="49262">
      <c r="F49262" s="13"/>
      <c r="M49262" s="13"/>
    </row>
    <row r="49263">
      <c r="F49263" s="13"/>
      <c r="M49263" s="13"/>
    </row>
    <row r="49264">
      <c r="F49264" s="13"/>
      <c r="M49264" s="13"/>
    </row>
    <row r="49265">
      <c r="F49265" s="13"/>
      <c r="M49265" s="13"/>
    </row>
    <row r="49266">
      <c r="F49266" s="13"/>
      <c r="M49266" s="13"/>
    </row>
    <row r="49267">
      <c r="F49267" s="13"/>
      <c r="M49267" s="13"/>
    </row>
    <row r="49268">
      <c r="F49268" s="13"/>
      <c r="M49268" s="13"/>
    </row>
    <row r="49269">
      <c r="F49269" s="13"/>
      <c r="M49269" s="13"/>
    </row>
    <row r="49270">
      <c r="F49270" s="13"/>
      <c r="M49270" s="13"/>
    </row>
    <row r="49271">
      <c r="F49271" s="13"/>
      <c r="M49271" s="13"/>
    </row>
    <row r="49272">
      <c r="F49272" s="13"/>
      <c r="M49272" s="13"/>
    </row>
    <row r="49273">
      <c r="F49273" s="13"/>
      <c r="M49273" s="13"/>
    </row>
    <row r="49274">
      <c r="F49274" s="13"/>
      <c r="M49274" s="13"/>
    </row>
    <row r="49275">
      <c r="F49275" s="13"/>
      <c r="M49275" s="13"/>
    </row>
    <row r="49276">
      <c r="F49276" s="13"/>
      <c r="M49276" s="13"/>
    </row>
    <row r="49277">
      <c r="F49277" s="13"/>
      <c r="M49277" s="13"/>
    </row>
    <row r="49278">
      <c r="F49278" s="13"/>
      <c r="M49278" s="13"/>
    </row>
    <row r="49279">
      <c r="F49279" s="13"/>
      <c r="M49279" s="13"/>
    </row>
    <row r="49280">
      <c r="F49280" s="13"/>
      <c r="M49280" s="13"/>
    </row>
    <row r="49281">
      <c r="F49281" s="13"/>
      <c r="M49281" s="13"/>
    </row>
    <row r="49282">
      <c r="F49282" s="13"/>
      <c r="M49282" s="13"/>
    </row>
    <row r="49283">
      <c r="F49283" s="13"/>
      <c r="M49283" s="13"/>
    </row>
    <row r="49284">
      <c r="F49284" s="13"/>
      <c r="M49284" s="13"/>
    </row>
    <row r="49285">
      <c r="F49285" s="13"/>
      <c r="M49285" s="13"/>
    </row>
    <row r="49286">
      <c r="F49286" s="13"/>
      <c r="M49286" s="13"/>
    </row>
    <row r="49287">
      <c r="F49287" s="13"/>
      <c r="M49287" s="13"/>
    </row>
    <row r="49288">
      <c r="F49288" s="13"/>
      <c r="M49288" s="13"/>
    </row>
    <row r="49289">
      <c r="F49289" s="13"/>
      <c r="M49289" s="13"/>
    </row>
    <row r="49290">
      <c r="F49290" s="13"/>
      <c r="M49290" s="13"/>
    </row>
    <row r="49291">
      <c r="F49291" s="13"/>
      <c r="M49291" s="13"/>
    </row>
    <row r="49292">
      <c r="F49292" s="13"/>
      <c r="M49292" s="13"/>
    </row>
    <row r="49293">
      <c r="F49293" s="13"/>
      <c r="M49293" s="13"/>
    </row>
    <row r="49294">
      <c r="F49294" s="13"/>
      <c r="M49294" s="13"/>
    </row>
    <row r="49295">
      <c r="F49295" s="13"/>
      <c r="M49295" s="13"/>
    </row>
    <row r="49296">
      <c r="F49296" s="13"/>
      <c r="M49296" s="13"/>
    </row>
    <row r="49297">
      <c r="F49297" s="13"/>
      <c r="M49297" s="13"/>
    </row>
    <row r="49298">
      <c r="F49298" s="13"/>
      <c r="M49298" s="13"/>
    </row>
    <row r="49299">
      <c r="F49299" s="13"/>
      <c r="M49299" s="13"/>
    </row>
    <row r="49300">
      <c r="F49300" s="13"/>
      <c r="M49300" s="13"/>
    </row>
    <row r="49301">
      <c r="F49301" s="13"/>
      <c r="M49301" s="13"/>
    </row>
    <row r="49302">
      <c r="F49302" s="13"/>
      <c r="M49302" s="13"/>
    </row>
    <row r="49303">
      <c r="F49303" s="13"/>
      <c r="M49303" s="13"/>
    </row>
    <row r="49304">
      <c r="F49304" s="13"/>
      <c r="M49304" s="13"/>
    </row>
    <row r="49305">
      <c r="F49305" s="13"/>
      <c r="M49305" s="13"/>
    </row>
    <row r="49306">
      <c r="F49306" s="13"/>
      <c r="M49306" s="13"/>
    </row>
    <row r="49307">
      <c r="F49307" s="13"/>
      <c r="M49307" s="13"/>
    </row>
    <row r="49308">
      <c r="F49308" s="13"/>
      <c r="M49308" s="13"/>
    </row>
    <row r="49309">
      <c r="F49309" s="13"/>
      <c r="M49309" s="13"/>
    </row>
    <row r="49310">
      <c r="F49310" s="13"/>
      <c r="M49310" s="13"/>
    </row>
    <row r="49311">
      <c r="F49311" s="13"/>
      <c r="M49311" s="13"/>
    </row>
    <row r="49312">
      <c r="F49312" s="13"/>
      <c r="M49312" s="13"/>
    </row>
    <row r="49313">
      <c r="F49313" s="13"/>
      <c r="M49313" s="13"/>
    </row>
    <row r="49314">
      <c r="F49314" s="13"/>
      <c r="M49314" s="13"/>
    </row>
    <row r="49315">
      <c r="F49315" s="13"/>
      <c r="M49315" s="13"/>
    </row>
    <row r="49316">
      <c r="F49316" s="13"/>
      <c r="M49316" s="13"/>
    </row>
    <row r="49317">
      <c r="F49317" s="13"/>
      <c r="M49317" s="13"/>
    </row>
    <row r="49318">
      <c r="F49318" s="13"/>
      <c r="M49318" s="13"/>
    </row>
    <row r="49319">
      <c r="F49319" s="13"/>
      <c r="M49319" s="13"/>
    </row>
    <row r="49320">
      <c r="F49320" s="13"/>
      <c r="M49320" s="13"/>
    </row>
    <row r="49321">
      <c r="F49321" s="13"/>
      <c r="M49321" s="13"/>
    </row>
    <row r="49322">
      <c r="F49322" s="13"/>
      <c r="M49322" s="13"/>
    </row>
    <row r="49323">
      <c r="F49323" s="13"/>
      <c r="M49323" s="13"/>
    </row>
    <row r="49324">
      <c r="F49324" s="13"/>
      <c r="M49324" s="13"/>
    </row>
    <row r="49325">
      <c r="F49325" s="13"/>
      <c r="M49325" s="13"/>
    </row>
    <row r="49326">
      <c r="F49326" s="13"/>
      <c r="M49326" s="13"/>
    </row>
    <row r="49327">
      <c r="F49327" s="13"/>
      <c r="M49327" s="13"/>
    </row>
    <row r="49328">
      <c r="F49328" s="13"/>
      <c r="M49328" s="13"/>
    </row>
    <row r="49329">
      <c r="F49329" s="13"/>
      <c r="M49329" s="13"/>
    </row>
    <row r="49330">
      <c r="F49330" s="13"/>
      <c r="M49330" s="13"/>
    </row>
    <row r="49331">
      <c r="F49331" s="13"/>
      <c r="M49331" s="13"/>
    </row>
    <row r="49332">
      <c r="F49332" s="13"/>
      <c r="M49332" s="13"/>
    </row>
    <row r="49333">
      <c r="F49333" s="13"/>
      <c r="M49333" s="13"/>
    </row>
    <row r="49334">
      <c r="F49334" s="13"/>
      <c r="M49334" s="13"/>
    </row>
    <row r="49335">
      <c r="F49335" s="13"/>
      <c r="M49335" s="13"/>
    </row>
    <row r="49336">
      <c r="F49336" s="13"/>
      <c r="M49336" s="13"/>
    </row>
    <row r="49337">
      <c r="F49337" s="13"/>
      <c r="M49337" s="13"/>
    </row>
    <row r="49338">
      <c r="F49338" s="13"/>
      <c r="M49338" s="13"/>
    </row>
    <row r="49339">
      <c r="F49339" s="13"/>
      <c r="M49339" s="13"/>
    </row>
    <row r="49340">
      <c r="F49340" s="13"/>
      <c r="M49340" s="13"/>
    </row>
    <row r="49341">
      <c r="F49341" s="13"/>
      <c r="M49341" s="13"/>
    </row>
    <row r="49342">
      <c r="F49342" s="13"/>
      <c r="M49342" s="13"/>
    </row>
    <row r="49343">
      <c r="F49343" s="13"/>
      <c r="M49343" s="13"/>
    </row>
    <row r="49344">
      <c r="F49344" s="13"/>
      <c r="M49344" s="13"/>
    </row>
    <row r="49345">
      <c r="F49345" s="13"/>
      <c r="M49345" s="13"/>
    </row>
    <row r="49346">
      <c r="F49346" s="13"/>
      <c r="M49346" s="13"/>
    </row>
    <row r="49347">
      <c r="F49347" s="13"/>
      <c r="M49347" s="13"/>
    </row>
    <row r="49348">
      <c r="F49348" s="13"/>
      <c r="M49348" s="13"/>
    </row>
    <row r="49349">
      <c r="F49349" s="13"/>
      <c r="M49349" s="13"/>
    </row>
    <row r="49350">
      <c r="F49350" s="13"/>
      <c r="M49350" s="13"/>
    </row>
    <row r="49351">
      <c r="F49351" s="13"/>
      <c r="M49351" s="13"/>
    </row>
    <row r="49352">
      <c r="F49352" s="13"/>
      <c r="M49352" s="13"/>
    </row>
    <row r="49353">
      <c r="F49353" s="13"/>
      <c r="M49353" s="13"/>
    </row>
    <row r="49354">
      <c r="F49354" s="13"/>
      <c r="M49354" s="13"/>
    </row>
    <row r="49355">
      <c r="F49355" s="13"/>
      <c r="M49355" s="13"/>
    </row>
    <row r="49356">
      <c r="F49356" s="13"/>
      <c r="M49356" s="13"/>
    </row>
    <row r="49357">
      <c r="F49357" s="13"/>
      <c r="M49357" s="13"/>
    </row>
    <row r="49358">
      <c r="F49358" s="13"/>
      <c r="M49358" s="13"/>
    </row>
    <row r="49359">
      <c r="F49359" s="13"/>
      <c r="M49359" s="13"/>
    </row>
    <row r="49360">
      <c r="F49360" s="13"/>
      <c r="M49360" s="13"/>
    </row>
    <row r="49361">
      <c r="F49361" s="13"/>
      <c r="M49361" s="13"/>
    </row>
    <row r="49362">
      <c r="F49362" s="13"/>
      <c r="M49362" s="13"/>
    </row>
    <row r="49363">
      <c r="F49363" s="13"/>
      <c r="M49363" s="13"/>
    </row>
    <row r="49364">
      <c r="F49364" s="13"/>
      <c r="M49364" s="13"/>
    </row>
    <row r="49365">
      <c r="F49365" s="13"/>
      <c r="M49365" s="13"/>
    </row>
    <row r="49366">
      <c r="F49366" s="13"/>
      <c r="M49366" s="13"/>
    </row>
    <row r="49367">
      <c r="F49367" s="13"/>
      <c r="M49367" s="13"/>
    </row>
    <row r="49368">
      <c r="F49368" s="13"/>
      <c r="M49368" s="13"/>
    </row>
    <row r="49369">
      <c r="F49369" s="13"/>
      <c r="M49369" s="13"/>
    </row>
    <row r="49370">
      <c r="F49370" s="13"/>
      <c r="M49370" s="13"/>
    </row>
    <row r="49371">
      <c r="F49371" s="13"/>
      <c r="M49371" s="13"/>
    </row>
    <row r="49372">
      <c r="F49372" s="13"/>
      <c r="M49372" s="13"/>
    </row>
    <row r="49373">
      <c r="F49373" s="13"/>
      <c r="M49373" s="13"/>
    </row>
    <row r="49374">
      <c r="F49374" s="13"/>
      <c r="M49374" s="13"/>
    </row>
    <row r="49375">
      <c r="F49375" s="13"/>
      <c r="M49375" s="13"/>
    </row>
    <row r="49376">
      <c r="F49376" s="13"/>
      <c r="M49376" s="13"/>
    </row>
    <row r="49377">
      <c r="F49377" s="13"/>
      <c r="M49377" s="13"/>
    </row>
    <row r="49378">
      <c r="F49378" s="13"/>
      <c r="M49378" s="13"/>
    </row>
    <row r="49379">
      <c r="F49379" s="13"/>
      <c r="M49379" s="13"/>
    </row>
    <row r="49380">
      <c r="F49380" s="13"/>
      <c r="M49380" s="13"/>
    </row>
    <row r="49381">
      <c r="F49381" s="13"/>
      <c r="M49381" s="13"/>
    </row>
    <row r="49382">
      <c r="F49382" s="13"/>
      <c r="M49382" s="13"/>
    </row>
    <row r="49383">
      <c r="F49383" s="13"/>
      <c r="M49383" s="13"/>
    </row>
    <row r="49384">
      <c r="F49384" s="13"/>
      <c r="M49384" s="13"/>
    </row>
    <row r="49385">
      <c r="F49385" s="13"/>
      <c r="M49385" s="13"/>
    </row>
    <row r="49386">
      <c r="F49386" s="13"/>
      <c r="M49386" s="13"/>
    </row>
    <row r="49387">
      <c r="F49387" s="13"/>
      <c r="M49387" s="13"/>
    </row>
    <row r="49388">
      <c r="F49388" s="13"/>
      <c r="M49388" s="13"/>
    </row>
    <row r="49389">
      <c r="F49389" s="13"/>
      <c r="M49389" s="13"/>
    </row>
    <row r="49390">
      <c r="F49390" s="13"/>
      <c r="M49390" s="13"/>
    </row>
    <row r="49391">
      <c r="F49391" s="13"/>
      <c r="M49391" s="13"/>
    </row>
    <row r="49392">
      <c r="F49392" s="13"/>
      <c r="M49392" s="13"/>
    </row>
    <row r="49393">
      <c r="F49393" s="13"/>
      <c r="M49393" s="13"/>
    </row>
    <row r="49394">
      <c r="F49394" s="13"/>
      <c r="M49394" s="13"/>
    </row>
    <row r="49395">
      <c r="F49395" s="13"/>
      <c r="M49395" s="13"/>
    </row>
    <row r="49396">
      <c r="F49396" s="13"/>
      <c r="M49396" s="13"/>
    </row>
    <row r="49397">
      <c r="F49397" s="13"/>
      <c r="M49397" s="13"/>
    </row>
    <row r="49398">
      <c r="F49398" s="13"/>
      <c r="M49398" s="13"/>
    </row>
    <row r="49399">
      <c r="F49399" s="13"/>
      <c r="M49399" s="13"/>
    </row>
    <row r="49400">
      <c r="F49400" s="13"/>
      <c r="M49400" s="13"/>
    </row>
    <row r="49401">
      <c r="F49401" s="13"/>
      <c r="M49401" s="13"/>
    </row>
    <row r="49402">
      <c r="F49402" s="13"/>
      <c r="M49402" s="13"/>
    </row>
    <row r="49403">
      <c r="F49403" s="13"/>
      <c r="M49403" s="13"/>
    </row>
    <row r="49404">
      <c r="F49404" s="13"/>
      <c r="M49404" s="13"/>
    </row>
    <row r="49405">
      <c r="F49405" s="13"/>
      <c r="M49405" s="13"/>
    </row>
    <row r="49406">
      <c r="F49406" s="13"/>
      <c r="M49406" s="13"/>
    </row>
    <row r="49407">
      <c r="F49407" s="13"/>
      <c r="M49407" s="13"/>
    </row>
    <row r="49408">
      <c r="F49408" s="13"/>
      <c r="M49408" s="13"/>
    </row>
    <row r="49409">
      <c r="F49409" s="13"/>
      <c r="M49409" s="13"/>
    </row>
    <row r="49410">
      <c r="F49410" s="13"/>
      <c r="M49410" s="13"/>
    </row>
    <row r="49411">
      <c r="F49411" s="13"/>
      <c r="M49411" s="13"/>
    </row>
    <row r="49412">
      <c r="F49412" s="13"/>
      <c r="M49412" s="13"/>
    </row>
    <row r="49413">
      <c r="F49413" s="13"/>
      <c r="M49413" s="13"/>
    </row>
    <row r="49414">
      <c r="F49414" s="13"/>
      <c r="M49414" s="13"/>
    </row>
    <row r="49415">
      <c r="F49415" s="13"/>
      <c r="M49415" s="13"/>
    </row>
    <row r="49416">
      <c r="F49416" s="13"/>
      <c r="M49416" s="13"/>
    </row>
    <row r="49417">
      <c r="F49417" s="13"/>
      <c r="M49417" s="13"/>
    </row>
    <row r="49418">
      <c r="F49418" s="13"/>
      <c r="M49418" s="13"/>
    </row>
    <row r="49419">
      <c r="F49419" s="13"/>
      <c r="M49419" s="13"/>
    </row>
    <row r="49420">
      <c r="F49420" s="13"/>
      <c r="M49420" s="13"/>
    </row>
    <row r="49421">
      <c r="F49421" s="13"/>
      <c r="M49421" s="13"/>
    </row>
    <row r="49422">
      <c r="F49422" s="13"/>
      <c r="M49422" s="13"/>
    </row>
    <row r="49423">
      <c r="F49423" s="13"/>
      <c r="M49423" s="13"/>
    </row>
    <row r="49424">
      <c r="F49424" s="13"/>
      <c r="M49424" s="13"/>
    </row>
    <row r="49425">
      <c r="F49425" s="13"/>
      <c r="M49425" s="13"/>
    </row>
    <row r="49426">
      <c r="F49426" s="13"/>
      <c r="M49426" s="13"/>
    </row>
    <row r="49427">
      <c r="F49427" s="13"/>
      <c r="M49427" s="13"/>
    </row>
    <row r="49428">
      <c r="F49428" s="13"/>
      <c r="M49428" s="13"/>
    </row>
    <row r="49429">
      <c r="F49429" s="13"/>
      <c r="M49429" s="13"/>
    </row>
    <row r="49430">
      <c r="F49430" s="13"/>
      <c r="M49430" s="13"/>
    </row>
    <row r="49431">
      <c r="F49431" s="13"/>
      <c r="M49431" s="13"/>
    </row>
    <row r="49432">
      <c r="F49432" s="13"/>
      <c r="M49432" s="13"/>
    </row>
    <row r="49433">
      <c r="F49433" s="13"/>
      <c r="M49433" s="13"/>
    </row>
    <row r="49434">
      <c r="F49434" s="13"/>
      <c r="M49434" s="13"/>
    </row>
    <row r="49435">
      <c r="F49435" s="13"/>
      <c r="M49435" s="13"/>
    </row>
    <row r="49436">
      <c r="F49436" s="13"/>
      <c r="M49436" s="13"/>
    </row>
    <row r="49437">
      <c r="F49437" s="13"/>
      <c r="M49437" s="13"/>
    </row>
    <row r="49438">
      <c r="F49438" s="13"/>
      <c r="M49438" s="13"/>
    </row>
    <row r="49439">
      <c r="F49439" s="13"/>
      <c r="M49439" s="13"/>
    </row>
    <row r="49440">
      <c r="F49440" s="13"/>
      <c r="M49440" s="13"/>
    </row>
    <row r="49441">
      <c r="F49441" s="13"/>
      <c r="M49441" s="13"/>
    </row>
    <row r="49442">
      <c r="F49442" s="13"/>
      <c r="M49442" s="13"/>
    </row>
    <row r="49443">
      <c r="F49443" s="13"/>
      <c r="M49443" s="13"/>
    </row>
    <row r="49444">
      <c r="F49444" s="13"/>
      <c r="M49444" s="13"/>
    </row>
    <row r="49445">
      <c r="F49445" s="13"/>
      <c r="M49445" s="13"/>
    </row>
    <row r="49446">
      <c r="F49446" s="13"/>
      <c r="M49446" s="13"/>
    </row>
    <row r="49447">
      <c r="F49447" s="13"/>
      <c r="M49447" s="13"/>
    </row>
    <row r="49448">
      <c r="F49448" s="13"/>
      <c r="M49448" s="13"/>
    </row>
    <row r="49449">
      <c r="F49449" s="13"/>
      <c r="M49449" s="13"/>
    </row>
    <row r="49450">
      <c r="F49450" s="13"/>
      <c r="M49450" s="13"/>
    </row>
    <row r="49451">
      <c r="F49451" s="13"/>
      <c r="M49451" s="13"/>
    </row>
    <row r="49452">
      <c r="F49452" s="13"/>
      <c r="M49452" s="13"/>
    </row>
    <row r="49453">
      <c r="F49453" s="13"/>
      <c r="M49453" s="13"/>
    </row>
    <row r="49454">
      <c r="F49454" s="13"/>
      <c r="M49454" s="13"/>
    </row>
    <row r="49455">
      <c r="F49455" s="13"/>
      <c r="M49455" s="13"/>
    </row>
    <row r="49456">
      <c r="F49456" s="13"/>
      <c r="M49456" s="13"/>
    </row>
    <row r="49457">
      <c r="F49457" s="13"/>
      <c r="M49457" s="13"/>
    </row>
    <row r="49458">
      <c r="F49458" s="13"/>
      <c r="M49458" s="13"/>
    </row>
    <row r="49459">
      <c r="F49459" s="13"/>
      <c r="M49459" s="13"/>
    </row>
    <row r="49460">
      <c r="F49460" s="13"/>
      <c r="M49460" s="13"/>
    </row>
    <row r="49461">
      <c r="F49461" s="13"/>
      <c r="M49461" s="13"/>
    </row>
    <row r="49462">
      <c r="F49462" s="13"/>
      <c r="M49462" s="13"/>
    </row>
    <row r="49463">
      <c r="F49463" s="13"/>
      <c r="M49463" s="13"/>
    </row>
    <row r="49464">
      <c r="F49464" s="13"/>
      <c r="M49464" s="13"/>
    </row>
    <row r="49465">
      <c r="F49465" s="13"/>
      <c r="M49465" s="13"/>
    </row>
    <row r="49466">
      <c r="F49466" s="13"/>
      <c r="M49466" s="13"/>
    </row>
    <row r="49467">
      <c r="F49467" s="13"/>
      <c r="M49467" s="13"/>
    </row>
    <row r="49468">
      <c r="F49468" s="13"/>
      <c r="M49468" s="13"/>
    </row>
    <row r="49469">
      <c r="F49469" s="13"/>
      <c r="M49469" s="13"/>
    </row>
    <row r="49470">
      <c r="F49470" s="13"/>
      <c r="M49470" s="13"/>
    </row>
    <row r="49471">
      <c r="F49471" s="13"/>
      <c r="M49471" s="13"/>
    </row>
    <row r="49472">
      <c r="F49472" s="13"/>
      <c r="M49472" s="13"/>
    </row>
    <row r="49473">
      <c r="F49473" s="13"/>
      <c r="M49473" s="13"/>
    </row>
    <row r="49474">
      <c r="F49474" s="13"/>
      <c r="M49474" s="13"/>
    </row>
    <row r="49475">
      <c r="F49475" s="13"/>
      <c r="M49475" s="13"/>
    </row>
    <row r="49476">
      <c r="F49476" s="13"/>
      <c r="M49476" s="13"/>
    </row>
    <row r="49477">
      <c r="F49477" s="13"/>
      <c r="M49477" s="13"/>
    </row>
    <row r="49478">
      <c r="F49478" s="13"/>
      <c r="M49478" s="13"/>
    </row>
    <row r="49479">
      <c r="F49479" s="13"/>
      <c r="M49479" s="13"/>
    </row>
    <row r="49480">
      <c r="F49480" s="13"/>
      <c r="M49480" s="13"/>
    </row>
    <row r="49481">
      <c r="F49481" s="13"/>
      <c r="M49481" s="13"/>
    </row>
    <row r="49482">
      <c r="F49482" s="13"/>
      <c r="M49482" s="13"/>
    </row>
    <row r="49483">
      <c r="F49483" s="13"/>
      <c r="M49483" s="13"/>
    </row>
    <row r="49484">
      <c r="F49484" s="13"/>
      <c r="M49484" s="13"/>
    </row>
    <row r="49485">
      <c r="F49485" s="13"/>
      <c r="M49485" s="13"/>
    </row>
    <row r="49486">
      <c r="F49486" s="13"/>
      <c r="M49486" s="13"/>
    </row>
    <row r="49487">
      <c r="F49487" s="13"/>
      <c r="M49487" s="13"/>
    </row>
    <row r="49488">
      <c r="F49488" s="13"/>
      <c r="M49488" s="13"/>
    </row>
    <row r="49489">
      <c r="F49489" s="13"/>
      <c r="M49489" s="13"/>
    </row>
    <row r="49490">
      <c r="F49490" s="13"/>
      <c r="M49490" s="13"/>
    </row>
    <row r="49491">
      <c r="F49491" s="13"/>
      <c r="M49491" s="13"/>
    </row>
    <row r="49492">
      <c r="F49492" s="13"/>
      <c r="M49492" s="13"/>
    </row>
    <row r="49493">
      <c r="F49493" s="13"/>
      <c r="M49493" s="13"/>
    </row>
    <row r="49494">
      <c r="F49494" s="13"/>
      <c r="M49494" s="13"/>
    </row>
    <row r="49495">
      <c r="F49495" s="13"/>
      <c r="M49495" s="13"/>
    </row>
    <row r="49496">
      <c r="F49496" s="13"/>
      <c r="M49496" s="13"/>
    </row>
    <row r="49497">
      <c r="F49497" s="13"/>
      <c r="M49497" s="13"/>
    </row>
    <row r="49498">
      <c r="F49498" s="13"/>
      <c r="M49498" s="13"/>
    </row>
    <row r="49499">
      <c r="F49499" s="13"/>
      <c r="M49499" s="13"/>
    </row>
    <row r="49500">
      <c r="F49500" s="13"/>
      <c r="M49500" s="13"/>
    </row>
    <row r="49501">
      <c r="F49501" s="13"/>
      <c r="M49501" s="13"/>
    </row>
    <row r="49502">
      <c r="F49502" s="13"/>
      <c r="M49502" s="13"/>
    </row>
    <row r="49503">
      <c r="F49503" s="13"/>
      <c r="M49503" s="13"/>
    </row>
    <row r="49504">
      <c r="F49504" s="13"/>
      <c r="M49504" s="13"/>
    </row>
    <row r="49505">
      <c r="F49505" s="13"/>
      <c r="M49505" s="13"/>
    </row>
    <row r="49506">
      <c r="F49506" s="13"/>
      <c r="M49506" s="13"/>
    </row>
    <row r="49507">
      <c r="F49507" s="13"/>
      <c r="M49507" s="13"/>
    </row>
    <row r="49508">
      <c r="F49508" s="13"/>
      <c r="M49508" s="13"/>
    </row>
    <row r="49509">
      <c r="F49509" s="13"/>
      <c r="M49509" s="13"/>
    </row>
    <row r="49510">
      <c r="F49510" s="13"/>
      <c r="M49510" s="13"/>
    </row>
    <row r="49511">
      <c r="F49511" s="13"/>
      <c r="M49511" s="13"/>
    </row>
    <row r="49512">
      <c r="F49512" s="13"/>
      <c r="M49512" s="13"/>
    </row>
    <row r="49513">
      <c r="F49513" s="13"/>
      <c r="M49513" s="13"/>
    </row>
    <row r="49514">
      <c r="F49514" s="13"/>
      <c r="M49514" s="13"/>
    </row>
    <row r="49515">
      <c r="F49515" s="13"/>
      <c r="M49515" s="13"/>
    </row>
    <row r="49516">
      <c r="F49516" s="13"/>
      <c r="M49516" s="13"/>
    </row>
    <row r="49517">
      <c r="F49517" s="13"/>
      <c r="M49517" s="13"/>
    </row>
    <row r="49518">
      <c r="F49518" s="13"/>
      <c r="M49518" s="13"/>
    </row>
    <row r="49519">
      <c r="F49519" s="13"/>
      <c r="M49519" s="13"/>
    </row>
    <row r="49520">
      <c r="F49520" s="13"/>
      <c r="M49520" s="13"/>
    </row>
    <row r="49521">
      <c r="F49521" s="13"/>
      <c r="M49521" s="13"/>
    </row>
    <row r="49522">
      <c r="F49522" s="13"/>
      <c r="M49522" s="13"/>
    </row>
    <row r="49523">
      <c r="F49523" s="13"/>
      <c r="M49523" s="13"/>
    </row>
    <row r="49524">
      <c r="F49524" s="13"/>
      <c r="M49524" s="13"/>
    </row>
    <row r="49525">
      <c r="F49525" s="13"/>
      <c r="M49525" s="13"/>
    </row>
    <row r="49526">
      <c r="F49526" s="13"/>
      <c r="M49526" s="13"/>
    </row>
    <row r="49527">
      <c r="F49527" s="13"/>
      <c r="M49527" s="13"/>
    </row>
    <row r="49528">
      <c r="F49528" s="13"/>
      <c r="M49528" s="13"/>
    </row>
    <row r="49529">
      <c r="F49529" s="13"/>
      <c r="M49529" s="13"/>
    </row>
    <row r="49530">
      <c r="F49530" s="13"/>
      <c r="M49530" s="13"/>
    </row>
    <row r="49531">
      <c r="F49531" s="13"/>
      <c r="M49531" s="13"/>
    </row>
    <row r="49532">
      <c r="F49532" s="13"/>
      <c r="M49532" s="13"/>
    </row>
    <row r="49533">
      <c r="F49533" s="13"/>
      <c r="M49533" s="13"/>
    </row>
    <row r="49534">
      <c r="F49534" s="13"/>
      <c r="M49534" s="13"/>
    </row>
    <row r="49535">
      <c r="F49535" s="13"/>
      <c r="M49535" s="13"/>
    </row>
    <row r="49536">
      <c r="F49536" s="13"/>
      <c r="M49536" s="13"/>
    </row>
    <row r="49537">
      <c r="F49537" s="13"/>
      <c r="M49537" s="13"/>
    </row>
    <row r="49538">
      <c r="F49538" s="13"/>
      <c r="M49538" s="13"/>
    </row>
    <row r="49539">
      <c r="F49539" s="13"/>
      <c r="M49539" s="13"/>
    </row>
    <row r="49540">
      <c r="F49540" s="13"/>
      <c r="M49540" s="13"/>
    </row>
    <row r="49541">
      <c r="F49541" s="13"/>
      <c r="M49541" s="13"/>
    </row>
    <row r="49542">
      <c r="F49542" s="13"/>
      <c r="M49542" s="13"/>
    </row>
    <row r="49543">
      <c r="F49543" s="13"/>
      <c r="M49543" s="13"/>
    </row>
    <row r="49544">
      <c r="F49544" s="13"/>
      <c r="M49544" s="13"/>
    </row>
    <row r="49545">
      <c r="F49545" s="13"/>
      <c r="M49545" s="13"/>
    </row>
    <row r="49546">
      <c r="F49546" s="13"/>
      <c r="M49546" s="13"/>
    </row>
    <row r="49547">
      <c r="F49547" s="13"/>
      <c r="M49547" s="13"/>
    </row>
    <row r="49548">
      <c r="F49548" s="13"/>
      <c r="M49548" s="13"/>
    </row>
    <row r="49549">
      <c r="F49549" s="13"/>
      <c r="M49549" s="13"/>
    </row>
    <row r="49550">
      <c r="F49550" s="13"/>
      <c r="M49550" s="13"/>
    </row>
    <row r="49551">
      <c r="F49551" s="13"/>
      <c r="M49551" s="13"/>
    </row>
    <row r="49552">
      <c r="F49552" s="13"/>
      <c r="M49552" s="13"/>
    </row>
    <row r="49553">
      <c r="F49553" s="13"/>
      <c r="M49553" s="13"/>
    </row>
    <row r="49554">
      <c r="F49554" s="13"/>
      <c r="M49554" s="13"/>
    </row>
    <row r="49555">
      <c r="F49555" s="13"/>
      <c r="M49555" s="13"/>
    </row>
    <row r="49556">
      <c r="F49556" s="13"/>
      <c r="M49556" s="13"/>
    </row>
    <row r="49557">
      <c r="F49557" s="13"/>
      <c r="M49557" s="13"/>
    </row>
    <row r="49558">
      <c r="F49558" s="13"/>
      <c r="M49558" s="13"/>
    </row>
    <row r="49559">
      <c r="F49559" s="13"/>
      <c r="M49559" s="13"/>
    </row>
    <row r="49560">
      <c r="F49560" s="13"/>
      <c r="M49560" s="13"/>
    </row>
    <row r="49561">
      <c r="F49561" s="13"/>
      <c r="M49561" s="13"/>
    </row>
    <row r="49562">
      <c r="F49562" s="13"/>
      <c r="M49562" s="13"/>
    </row>
    <row r="49563">
      <c r="F49563" s="13"/>
      <c r="M49563" s="13"/>
    </row>
    <row r="49564">
      <c r="F49564" s="13"/>
      <c r="M49564" s="13"/>
    </row>
    <row r="49565">
      <c r="F49565" s="13"/>
      <c r="M49565" s="13"/>
    </row>
    <row r="49566">
      <c r="F49566" s="13"/>
      <c r="M49566" s="13"/>
    </row>
    <row r="49567">
      <c r="F49567" s="13"/>
      <c r="M49567" s="13"/>
    </row>
    <row r="49568">
      <c r="F49568" s="13"/>
      <c r="M49568" s="13"/>
    </row>
    <row r="49569">
      <c r="F49569" s="13"/>
      <c r="M49569" s="13"/>
    </row>
    <row r="49570">
      <c r="F49570" s="13"/>
      <c r="M49570" s="13"/>
    </row>
    <row r="49571">
      <c r="F49571" s="13"/>
      <c r="M49571" s="13"/>
    </row>
    <row r="49572">
      <c r="F49572" s="13"/>
      <c r="M49572" s="13"/>
    </row>
    <row r="49573">
      <c r="F49573" s="13"/>
      <c r="M49573" s="13"/>
    </row>
    <row r="49574">
      <c r="F49574" s="13"/>
      <c r="M49574" s="13"/>
    </row>
    <row r="49575">
      <c r="F49575" s="13"/>
      <c r="M49575" s="13"/>
    </row>
    <row r="49576">
      <c r="F49576" s="13"/>
      <c r="M49576" s="13"/>
    </row>
    <row r="49577">
      <c r="F49577" s="13"/>
      <c r="M49577" s="13"/>
    </row>
    <row r="49578">
      <c r="F49578" s="13"/>
      <c r="M49578" s="13"/>
    </row>
    <row r="49579">
      <c r="F49579" s="13"/>
      <c r="M49579" s="13"/>
    </row>
    <row r="49580">
      <c r="F49580" s="13"/>
      <c r="M49580" s="13"/>
    </row>
    <row r="49581">
      <c r="F49581" s="13"/>
      <c r="M49581" s="13"/>
    </row>
    <row r="49582">
      <c r="F49582" s="13"/>
      <c r="M49582" s="13"/>
    </row>
    <row r="49583">
      <c r="F49583" s="13"/>
      <c r="M49583" s="13"/>
    </row>
    <row r="49584">
      <c r="F49584" s="13"/>
      <c r="M49584" s="13"/>
    </row>
    <row r="49585">
      <c r="F49585" s="13"/>
      <c r="M49585" s="13"/>
    </row>
    <row r="49586">
      <c r="F49586" s="13"/>
      <c r="M49586" s="13"/>
    </row>
    <row r="49587">
      <c r="F49587" s="13"/>
      <c r="M49587" s="13"/>
    </row>
    <row r="49588">
      <c r="F49588" s="13"/>
      <c r="M49588" s="13"/>
    </row>
    <row r="49589">
      <c r="F49589" s="13"/>
      <c r="M49589" s="13"/>
    </row>
    <row r="49590">
      <c r="F49590" s="13"/>
      <c r="M49590" s="13"/>
    </row>
    <row r="49591">
      <c r="F49591" s="13"/>
      <c r="M49591" s="13"/>
    </row>
    <row r="49592">
      <c r="F49592" s="13"/>
      <c r="M49592" s="13"/>
    </row>
    <row r="49593">
      <c r="F49593" s="13"/>
      <c r="M49593" s="13"/>
    </row>
    <row r="49594">
      <c r="F49594" s="13"/>
      <c r="M49594" s="13"/>
    </row>
    <row r="49595">
      <c r="F49595" s="13"/>
      <c r="M49595" s="13"/>
    </row>
    <row r="49596">
      <c r="F49596" s="13"/>
      <c r="M49596" s="13"/>
    </row>
    <row r="49597">
      <c r="F49597" s="13"/>
      <c r="M49597" s="13"/>
    </row>
    <row r="49598">
      <c r="F49598" s="13"/>
      <c r="M49598" s="13"/>
    </row>
    <row r="49599">
      <c r="F49599" s="13"/>
      <c r="M49599" s="13"/>
    </row>
    <row r="49600">
      <c r="F49600" s="13"/>
      <c r="M49600" s="13"/>
    </row>
    <row r="49601">
      <c r="F49601" s="13"/>
      <c r="M49601" s="13"/>
    </row>
    <row r="49602">
      <c r="F49602" s="13"/>
      <c r="M49602" s="13"/>
    </row>
    <row r="49603">
      <c r="F49603" s="13"/>
      <c r="M49603" s="13"/>
    </row>
    <row r="49604">
      <c r="F49604" s="13"/>
      <c r="M49604" s="13"/>
    </row>
    <row r="49605">
      <c r="F49605" s="13"/>
      <c r="M49605" s="13"/>
    </row>
    <row r="49606">
      <c r="F49606" s="13"/>
      <c r="M49606" s="13"/>
    </row>
    <row r="49607">
      <c r="F49607" s="13"/>
      <c r="M49607" s="13"/>
    </row>
    <row r="49608">
      <c r="F49608" s="13"/>
      <c r="M49608" s="13"/>
    </row>
    <row r="49609">
      <c r="F49609" s="13"/>
      <c r="M49609" s="13"/>
    </row>
    <row r="49610">
      <c r="F49610" s="13"/>
      <c r="M49610" s="13"/>
    </row>
    <row r="49611">
      <c r="F49611" s="13"/>
      <c r="M49611" s="13"/>
    </row>
    <row r="49612">
      <c r="F49612" s="13"/>
      <c r="M49612" s="13"/>
    </row>
    <row r="49613">
      <c r="F49613" s="13"/>
      <c r="M49613" s="13"/>
    </row>
    <row r="49614">
      <c r="F49614" s="13"/>
      <c r="M49614" s="13"/>
    </row>
    <row r="49615">
      <c r="F49615" s="13"/>
      <c r="M49615" s="13"/>
    </row>
    <row r="49616">
      <c r="F49616" s="13"/>
      <c r="M49616" s="13"/>
    </row>
    <row r="49617">
      <c r="F49617" s="13"/>
      <c r="M49617" s="13"/>
    </row>
    <row r="49618">
      <c r="F49618" s="13"/>
      <c r="M49618" s="13"/>
    </row>
    <row r="49619">
      <c r="F49619" s="13"/>
      <c r="M49619" s="13"/>
    </row>
    <row r="49620">
      <c r="F49620" s="13"/>
      <c r="M49620" s="13"/>
    </row>
    <row r="49621">
      <c r="F49621" s="13"/>
      <c r="M49621" s="13"/>
    </row>
    <row r="49622">
      <c r="F49622" s="13"/>
      <c r="M49622" s="13"/>
    </row>
    <row r="49623">
      <c r="F49623" s="13"/>
      <c r="M49623" s="13"/>
    </row>
    <row r="49624">
      <c r="F49624" s="13"/>
      <c r="M49624" s="13"/>
    </row>
    <row r="49625">
      <c r="F49625" s="13"/>
      <c r="M49625" s="13"/>
    </row>
    <row r="49626">
      <c r="F49626" s="13"/>
      <c r="M49626" s="13"/>
    </row>
    <row r="49627">
      <c r="F49627" s="13"/>
      <c r="M49627" s="13"/>
    </row>
    <row r="49628">
      <c r="F49628" s="13"/>
      <c r="M49628" s="13"/>
    </row>
    <row r="49629">
      <c r="F49629" s="13"/>
      <c r="M49629" s="13"/>
    </row>
    <row r="49630">
      <c r="F49630" s="13"/>
      <c r="M49630" s="13"/>
    </row>
    <row r="49631">
      <c r="F49631" s="13"/>
      <c r="M49631" s="13"/>
    </row>
    <row r="49632">
      <c r="F49632" s="13"/>
      <c r="M49632" s="13"/>
    </row>
    <row r="49633">
      <c r="F49633" s="13"/>
      <c r="M49633" s="13"/>
    </row>
    <row r="49634">
      <c r="F49634" s="13"/>
      <c r="M49634" s="13"/>
    </row>
    <row r="49635">
      <c r="F49635" s="13"/>
      <c r="M49635" s="13"/>
    </row>
    <row r="49636">
      <c r="F49636" s="13"/>
      <c r="M49636" s="13"/>
    </row>
    <row r="49637">
      <c r="F49637" s="13"/>
      <c r="M49637" s="13"/>
    </row>
    <row r="49638">
      <c r="F49638" s="13"/>
      <c r="M49638" s="13"/>
    </row>
    <row r="49639">
      <c r="F49639" s="13"/>
      <c r="M49639" s="13"/>
    </row>
    <row r="49640">
      <c r="F49640" s="13"/>
      <c r="M49640" s="13"/>
    </row>
    <row r="49641">
      <c r="F49641" s="13"/>
      <c r="M49641" s="13"/>
    </row>
    <row r="49642">
      <c r="F49642" s="13"/>
      <c r="M49642" s="13"/>
    </row>
    <row r="49643">
      <c r="F49643" s="13"/>
      <c r="M49643" s="13"/>
    </row>
    <row r="49644">
      <c r="F49644" s="13"/>
      <c r="M49644" s="13"/>
    </row>
    <row r="49645">
      <c r="F49645" s="13"/>
      <c r="M49645" s="13"/>
    </row>
    <row r="49646">
      <c r="F49646" s="13"/>
      <c r="M49646" s="13"/>
    </row>
    <row r="49647">
      <c r="F49647" s="13"/>
      <c r="M49647" s="13"/>
    </row>
    <row r="49648">
      <c r="F49648" s="13"/>
      <c r="M49648" s="13"/>
    </row>
    <row r="49649">
      <c r="F49649" s="13"/>
      <c r="M49649" s="13"/>
    </row>
    <row r="49650">
      <c r="F49650" s="13"/>
      <c r="M49650" s="13"/>
    </row>
    <row r="49651">
      <c r="F49651" s="13"/>
      <c r="M49651" s="13"/>
    </row>
    <row r="49652">
      <c r="F49652" s="13"/>
      <c r="M49652" s="13"/>
    </row>
    <row r="49653">
      <c r="F49653" s="13"/>
      <c r="M49653" s="13"/>
    </row>
    <row r="49654">
      <c r="F49654" s="13"/>
      <c r="M49654" s="13"/>
    </row>
    <row r="49655">
      <c r="F49655" s="13"/>
      <c r="M49655" s="13"/>
    </row>
    <row r="49656">
      <c r="F49656" s="13"/>
      <c r="M49656" s="13"/>
    </row>
    <row r="49657">
      <c r="F49657" s="13"/>
      <c r="M49657" s="13"/>
    </row>
    <row r="49658">
      <c r="F49658" s="13"/>
      <c r="M49658" s="13"/>
    </row>
    <row r="49659">
      <c r="F49659" s="13"/>
      <c r="M49659" s="13"/>
    </row>
    <row r="49660">
      <c r="F49660" s="13"/>
      <c r="M49660" s="13"/>
    </row>
    <row r="49661">
      <c r="F49661" s="13"/>
      <c r="M49661" s="13"/>
    </row>
    <row r="49662">
      <c r="F49662" s="13"/>
      <c r="M49662" s="13"/>
    </row>
    <row r="49663">
      <c r="F49663" s="13"/>
      <c r="M49663" s="13"/>
    </row>
    <row r="49664">
      <c r="F49664" s="13"/>
      <c r="M49664" s="13"/>
    </row>
    <row r="49665">
      <c r="F49665" s="13"/>
      <c r="M49665" s="13"/>
    </row>
    <row r="49666">
      <c r="F49666" s="13"/>
      <c r="M49666" s="13"/>
    </row>
    <row r="49667">
      <c r="F49667" s="13"/>
      <c r="M49667" s="13"/>
    </row>
    <row r="49668">
      <c r="F49668" s="13"/>
      <c r="M49668" s="13"/>
    </row>
    <row r="49669">
      <c r="F49669" s="13"/>
      <c r="M49669" s="13"/>
    </row>
    <row r="49670">
      <c r="F49670" s="13"/>
      <c r="M49670" s="13"/>
    </row>
    <row r="49671">
      <c r="F49671" s="13"/>
      <c r="M49671" s="13"/>
    </row>
    <row r="49672">
      <c r="F49672" s="13"/>
      <c r="M49672" s="13"/>
    </row>
    <row r="49673">
      <c r="F49673" s="13"/>
      <c r="M49673" s="13"/>
    </row>
    <row r="49674">
      <c r="F49674" s="13"/>
      <c r="M49674" s="13"/>
    </row>
    <row r="49675">
      <c r="F49675" s="13"/>
      <c r="M49675" s="13"/>
    </row>
    <row r="49676">
      <c r="F49676" s="13"/>
      <c r="M49676" s="13"/>
    </row>
    <row r="49677">
      <c r="F49677" s="13"/>
      <c r="M49677" s="13"/>
    </row>
    <row r="49678">
      <c r="F49678" s="13"/>
      <c r="M49678" s="13"/>
    </row>
    <row r="49679">
      <c r="F49679" s="13"/>
      <c r="M49679" s="13"/>
    </row>
    <row r="49680">
      <c r="F49680" s="13"/>
      <c r="M49680" s="13"/>
    </row>
    <row r="49681">
      <c r="F49681" s="13"/>
      <c r="M49681" s="13"/>
    </row>
    <row r="49682">
      <c r="F49682" s="13"/>
      <c r="M49682" s="13"/>
    </row>
    <row r="49683">
      <c r="F49683" s="13"/>
      <c r="M49683" s="13"/>
    </row>
    <row r="49684">
      <c r="F49684" s="13"/>
      <c r="M49684" s="13"/>
    </row>
    <row r="49685">
      <c r="F49685" s="13"/>
      <c r="M49685" s="13"/>
    </row>
    <row r="49686">
      <c r="F49686" s="13"/>
      <c r="M49686" s="13"/>
    </row>
    <row r="49687">
      <c r="F49687" s="13"/>
      <c r="M49687" s="13"/>
    </row>
    <row r="49688">
      <c r="F49688" s="13"/>
      <c r="M49688" s="13"/>
    </row>
    <row r="49689">
      <c r="F49689" s="13"/>
      <c r="M49689" s="13"/>
    </row>
    <row r="49690">
      <c r="F49690" s="13"/>
      <c r="M49690" s="13"/>
    </row>
    <row r="49691">
      <c r="F49691" s="13"/>
      <c r="M49691" s="13"/>
    </row>
    <row r="49692">
      <c r="F49692" s="13"/>
      <c r="M49692" s="13"/>
    </row>
    <row r="49693">
      <c r="F49693" s="13"/>
      <c r="M49693" s="13"/>
    </row>
    <row r="49694">
      <c r="F49694" s="13"/>
      <c r="M49694" s="13"/>
    </row>
    <row r="49695">
      <c r="F49695" s="13"/>
      <c r="M49695" s="13"/>
    </row>
    <row r="49696">
      <c r="F49696" s="13"/>
      <c r="M49696" s="13"/>
    </row>
    <row r="49697">
      <c r="F49697" s="13"/>
      <c r="M49697" s="13"/>
    </row>
    <row r="49698">
      <c r="F49698" s="13"/>
      <c r="M49698" s="13"/>
    </row>
    <row r="49699">
      <c r="F49699" s="13"/>
      <c r="M49699" s="13"/>
    </row>
    <row r="49700">
      <c r="F49700" s="13"/>
      <c r="M49700" s="13"/>
    </row>
    <row r="49701">
      <c r="F49701" s="13"/>
      <c r="M49701" s="13"/>
    </row>
    <row r="49702">
      <c r="F49702" s="13"/>
      <c r="M49702" s="13"/>
    </row>
    <row r="49703">
      <c r="F49703" s="13"/>
      <c r="M49703" s="13"/>
    </row>
    <row r="49704">
      <c r="F49704" s="13"/>
      <c r="M49704" s="13"/>
    </row>
    <row r="49705">
      <c r="F49705" s="13"/>
      <c r="M49705" s="13"/>
    </row>
    <row r="49706">
      <c r="F49706" s="13"/>
      <c r="M49706" s="13"/>
    </row>
    <row r="49707">
      <c r="F49707" s="13"/>
      <c r="M49707" s="13"/>
    </row>
    <row r="49708">
      <c r="F49708" s="13"/>
      <c r="M49708" s="13"/>
    </row>
    <row r="49709">
      <c r="F49709" s="13"/>
      <c r="M49709" s="13"/>
    </row>
    <row r="49710">
      <c r="F49710" s="13"/>
      <c r="M49710" s="13"/>
    </row>
    <row r="49711">
      <c r="F49711" s="13"/>
      <c r="M49711" s="13"/>
    </row>
    <row r="49712">
      <c r="F49712" s="13"/>
      <c r="M49712" s="13"/>
    </row>
    <row r="49713">
      <c r="F49713" s="13"/>
      <c r="M49713" s="13"/>
    </row>
    <row r="49714">
      <c r="F49714" s="13"/>
      <c r="M49714" s="13"/>
    </row>
    <row r="49715">
      <c r="F49715" s="13"/>
      <c r="M49715" s="13"/>
    </row>
    <row r="49716">
      <c r="F49716" s="13"/>
      <c r="M49716" s="13"/>
    </row>
    <row r="49717">
      <c r="F49717" s="13"/>
      <c r="M49717" s="13"/>
    </row>
    <row r="49718">
      <c r="F49718" s="13"/>
      <c r="M49718" s="13"/>
    </row>
    <row r="49719">
      <c r="F49719" s="13"/>
      <c r="M49719" s="13"/>
    </row>
    <row r="49720">
      <c r="F49720" s="13"/>
      <c r="M49720" s="13"/>
    </row>
    <row r="49721">
      <c r="F49721" s="13"/>
      <c r="M49721" s="13"/>
    </row>
    <row r="49722">
      <c r="F49722" s="13"/>
      <c r="M49722" s="13"/>
    </row>
    <row r="49723">
      <c r="F49723" s="13"/>
      <c r="M49723" s="13"/>
    </row>
    <row r="49724">
      <c r="F49724" s="13"/>
      <c r="M49724" s="13"/>
    </row>
    <row r="49725">
      <c r="F49725" s="13"/>
      <c r="M49725" s="13"/>
    </row>
    <row r="49726">
      <c r="F49726" s="13"/>
      <c r="M49726" s="13"/>
    </row>
    <row r="49727">
      <c r="F49727" s="13"/>
      <c r="M49727" s="13"/>
    </row>
    <row r="49728">
      <c r="F49728" s="13"/>
      <c r="M49728" s="13"/>
    </row>
    <row r="49729">
      <c r="F49729" s="13"/>
      <c r="M49729" s="13"/>
    </row>
    <row r="49730">
      <c r="F49730" s="13"/>
      <c r="M49730" s="13"/>
    </row>
    <row r="49731">
      <c r="F49731" s="13"/>
      <c r="M49731" s="13"/>
    </row>
    <row r="49732">
      <c r="F49732" s="13"/>
      <c r="M49732" s="13"/>
    </row>
    <row r="49733">
      <c r="F49733" s="13"/>
      <c r="M49733" s="13"/>
    </row>
    <row r="49734">
      <c r="F49734" s="13"/>
      <c r="M49734" s="13"/>
    </row>
    <row r="49735">
      <c r="F49735" s="13"/>
      <c r="M49735" s="13"/>
    </row>
    <row r="49736">
      <c r="F49736" s="13"/>
      <c r="M49736" s="13"/>
    </row>
    <row r="49737">
      <c r="F49737" s="13"/>
      <c r="M49737" s="13"/>
    </row>
    <row r="49738">
      <c r="F49738" s="13"/>
      <c r="M49738" s="13"/>
    </row>
    <row r="49739">
      <c r="F49739" s="13"/>
      <c r="M49739" s="13"/>
    </row>
    <row r="49740">
      <c r="F49740" s="13"/>
      <c r="M49740" s="13"/>
    </row>
    <row r="49741">
      <c r="F49741" s="13"/>
      <c r="M49741" s="13"/>
    </row>
    <row r="49742">
      <c r="F49742" s="13"/>
      <c r="M49742" s="13"/>
    </row>
    <row r="49743">
      <c r="F49743" s="13"/>
      <c r="M49743" s="13"/>
    </row>
    <row r="49744">
      <c r="F49744" s="13"/>
      <c r="M49744" s="13"/>
    </row>
    <row r="49745">
      <c r="F49745" s="13"/>
      <c r="M49745" s="13"/>
    </row>
    <row r="49746">
      <c r="F49746" s="13"/>
      <c r="M49746" s="13"/>
    </row>
    <row r="49747">
      <c r="F49747" s="13"/>
      <c r="M49747" s="13"/>
    </row>
    <row r="49748">
      <c r="F49748" s="13"/>
      <c r="M49748" s="13"/>
    </row>
    <row r="49749">
      <c r="F49749" s="13"/>
      <c r="M49749" s="13"/>
    </row>
    <row r="49750">
      <c r="F49750" s="13"/>
      <c r="M49750" s="13"/>
    </row>
    <row r="49751">
      <c r="F49751" s="13"/>
      <c r="M49751" s="13"/>
    </row>
    <row r="49752">
      <c r="F49752" s="13"/>
      <c r="M49752" s="13"/>
    </row>
    <row r="49753">
      <c r="F49753" s="13"/>
      <c r="M49753" s="13"/>
    </row>
    <row r="49754">
      <c r="F49754" s="13"/>
      <c r="M49754" s="13"/>
    </row>
    <row r="49755">
      <c r="F49755" s="13"/>
      <c r="M49755" s="13"/>
    </row>
    <row r="49756">
      <c r="F49756" s="13"/>
      <c r="M49756" s="13"/>
    </row>
    <row r="49757">
      <c r="F49757" s="13"/>
      <c r="M49757" s="13"/>
    </row>
    <row r="49758">
      <c r="F49758" s="13"/>
      <c r="M49758" s="13"/>
    </row>
    <row r="49759">
      <c r="F49759" s="13"/>
      <c r="M49759" s="13"/>
    </row>
    <row r="49760">
      <c r="F49760" s="13"/>
      <c r="M49760" s="13"/>
    </row>
    <row r="49761">
      <c r="F49761" s="13"/>
      <c r="M49761" s="13"/>
    </row>
    <row r="49762">
      <c r="F49762" s="13"/>
      <c r="M49762" s="13"/>
    </row>
    <row r="49763">
      <c r="F49763" s="13"/>
      <c r="M49763" s="13"/>
    </row>
    <row r="49764">
      <c r="F49764" s="13"/>
      <c r="M49764" s="13"/>
    </row>
    <row r="49765">
      <c r="F49765" s="13"/>
      <c r="M49765" s="13"/>
    </row>
    <row r="49766">
      <c r="F49766" s="13"/>
      <c r="M49766" s="13"/>
    </row>
    <row r="49767">
      <c r="F49767" s="13"/>
      <c r="M49767" s="13"/>
    </row>
    <row r="49768">
      <c r="F49768" s="13"/>
      <c r="M49768" s="13"/>
    </row>
    <row r="49769">
      <c r="F49769" s="13"/>
      <c r="M49769" s="13"/>
    </row>
    <row r="49770">
      <c r="F49770" s="13"/>
      <c r="M49770" s="13"/>
    </row>
    <row r="49771">
      <c r="F49771" s="13"/>
      <c r="M49771" s="13"/>
    </row>
    <row r="49772">
      <c r="F49772" s="13"/>
      <c r="M49772" s="13"/>
    </row>
    <row r="49773">
      <c r="F49773" s="13"/>
      <c r="M49773" s="13"/>
    </row>
    <row r="49774">
      <c r="F49774" s="13"/>
      <c r="M49774" s="13"/>
    </row>
    <row r="49775">
      <c r="F49775" s="13"/>
      <c r="M49775" s="13"/>
    </row>
    <row r="49776">
      <c r="F49776" s="13"/>
      <c r="M49776" s="13"/>
    </row>
    <row r="49777">
      <c r="F49777" s="13"/>
      <c r="M49777" s="13"/>
    </row>
    <row r="49778">
      <c r="F49778" s="13"/>
      <c r="M49778" s="13"/>
    </row>
    <row r="49779">
      <c r="F49779" s="13"/>
      <c r="M49779" s="13"/>
    </row>
    <row r="49780">
      <c r="F49780" s="13"/>
      <c r="M49780" s="13"/>
    </row>
    <row r="49781">
      <c r="F49781" s="13"/>
      <c r="M49781" s="13"/>
    </row>
    <row r="49782">
      <c r="F49782" s="13"/>
      <c r="M49782" s="13"/>
    </row>
    <row r="49783">
      <c r="F49783" s="13"/>
      <c r="M49783" s="13"/>
    </row>
    <row r="49784">
      <c r="F49784" s="13"/>
      <c r="M49784" s="13"/>
    </row>
    <row r="49785">
      <c r="F49785" s="13"/>
      <c r="M49785" s="13"/>
    </row>
    <row r="49786">
      <c r="F49786" s="13"/>
      <c r="M49786" s="13"/>
    </row>
    <row r="49787">
      <c r="F49787" s="13"/>
      <c r="M49787" s="13"/>
    </row>
    <row r="49788">
      <c r="F49788" s="13"/>
      <c r="M49788" s="13"/>
    </row>
    <row r="49789">
      <c r="F49789" s="13"/>
      <c r="M49789" s="13"/>
    </row>
    <row r="49790">
      <c r="F49790" s="13"/>
      <c r="M49790" s="13"/>
    </row>
    <row r="49791">
      <c r="F49791" s="13"/>
      <c r="M49791" s="13"/>
    </row>
    <row r="49792">
      <c r="F49792" s="13"/>
      <c r="M49792" s="13"/>
    </row>
    <row r="49793">
      <c r="F49793" s="13"/>
      <c r="M49793" s="13"/>
    </row>
    <row r="49794">
      <c r="F49794" s="13"/>
      <c r="M49794" s="13"/>
    </row>
    <row r="49795">
      <c r="F49795" s="13"/>
      <c r="M49795" s="13"/>
    </row>
    <row r="49796">
      <c r="F49796" s="13"/>
      <c r="M49796" s="13"/>
    </row>
    <row r="49797">
      <c r="F49797" s="13"/>
      <c r="M49797" s="13"/>
    </row>
    <row r="49798">
      <c r="F49798" s="13"/>
      <c r="M49798" s="13"/>
    </row>
    <row r="49799">
      <c r="F49799" s="13"/>
      <c r="M49799" s="13"/>
    </row>
    <row r="49800">
      <c r="F49800" s="13"/>
      <c r="M49800" s="13"/>
    </row>
    <row r="49801">
      <c r="F49801" s="13"/>
      <c r="M49801" s="13"/>
    </row>
    <row r="49802">
      <c r="F49802" s="13"/>
      <c r="M49802" s="13"/>
    </row>
    <row r="49803">
      <c r="F49803" s="13"/>
      <c r="M49803" s="13"/>
    </row>
    <row r="49804">
      <c r="F49804" s="13"/>
      <c r="M49804" s="13"/>
    </row>
    <row r="49805">
      <c r="F49805" s="13"/>
      <c r="M49805" s="13"/>
    </row>
    <row r="49806">
      <c r="F49806" s="13"/>
      <c r="M49806" s="13"/>
    </row>
    <row r="49807">
      <c r="F49807" s="13"/>
      <c r="M49807" s="13"/>
    </row>
    <row r="49808">
      <c r="F49808" s="13"/>
      <c r="M49808" s="13"/>
    </row>
    <row r="49809">
      <c r="F49809" s="13"/>
      <c r="M49809" s="13"/>
    </row>
    <row r="49810">
      <c r="F49810" s="13"/>
      <c r="M49810" s="13"/>
    </row>
    <row r="49811">
      <c r="F49811" s="13"/>
      <c r="M49811" s="13"/>
    </row>
    <row r="49812">
      <c r="F49812" s="13"/>
      <c r="M49812" s="13"/>
    </row>
    <row r="49813">
      <c r="F49813" s="13"/>
      <c r="M49813" s="13"/>
    </row>
    <row r="49814">
      <c r="F49814" s="13"/>
      <c r="M49814" s="13"/>
    </row>
    <row r="49815">
      <c r="F49815" s="13"/>
      <c r="M49815" s="13"/>
    </row>
    <row r="49816">
      <c r="F49816" s="13"/>
      <c r="M49816" s="13"/>
    </row>
    <row r="49817">
      <c r="F49817" s="13"/>
      <c r="M49817" s="13"/>
    </row>
    <row r="49818">
      <c r="F49818" s="13"/>
      <c r="M49818" s="13"/>
    </row>
    <row r="49819">
      <c r="F49819" s="13"/>
      <c r="M49819" s="13"/>
    </row>
    <row r="49820">
      <c r="F49820" s="13"/>
      <c r="M49820" s="13"/>
    </row>
    <row r="49821">
      <c r="F49821" s="13"/>
      <c r="M49821" s="13"/>
    </row>
    <row r="49822">
      <c r="F49822" s="13"/>
      <c r="M49822" s="13"/>
    </row>
    <row r="49823">
      <c r="F49823" s="13"/>
      <c r="M49823" s="13"/>
    </row>
    <row r="49824">
      <c r="F49824" s="13"/>
      <c r="M49824" s="13"/>
    </row>
    <row r="49825">
      <c r="F49825" s="13"/>
      <c r="M49825" s="13"/>
    </row>
    <row r="49826">
      <c r="F49826" s="13"/>
      <c r="M49826" s="13"/>
    </row>
    <row r="49827">
      <c r="F49827" s="13"/>
      <c r="M49827" s="13"/>
    </row>
    <row r="49828">
      <c r="F49828" s="13"/>
      <c r="M49828" s="13"/>
    </row>
    <row r="49829">
      <c r="F49829" s="13"/>
      <c r="M49829" s="13"/>
    </row>
    <row r="49830">
      <c r="F49830" s="13"/>
      <c r="M49830" s="13"/>
    </row>
    <row r="49831">
      <c r="F49831" s="13"/>
      <c r="M49831" s="13"/>
    </row>
    <row r="49832">
      <c r="F49832" s="13"/>
      <c r="M49832" s="13"/>
    </row>
    <row r="49833">
      <c r="F49833" s="13"/>
      <c r="M49833" s="13"/>
    </row>
    <row r="49834">
      <c r="F49834" s="13"/>
      <c r="M49834" s="13"/>
    </row>
    <row r="49835">
      <c r="F49835" s="13"/>
      <c r="M49835" s="13"/>
    </row>
    <row r="49836">
      <c r="F49836" s="13"/>
      <c r="M49836" s="13"/>
    </row>
    <row r="49837">
      <c r="F49837" s="13"/>
      <c r="M49837" s="13"/>
    </row>
    <row r="49838">
      <c r="F49838" s="13"/>
      <c r="M49838" s="13"/>
    </row>
    <row r="49839">
      <c r="F49839" s="13"/>
      <c r="M49839" s="13"/>
    </row>
    <row r="49840">
      <c r="F49840" s="13"/>
      <c r="M49840" s="13"/>
    </row>
    <row r="49841">
      <c r="F49841" s="13"/>
      <c r="M49841" s="13"/>
    </row>
    <row r="49842">
      <c r="F49842" s="13"/>
      <c r="M49842" s="13"/>
    </row>
    <row r="49843">
      <c r="F49843" s="13"/>
      <c r="M49843" s="13"/>
    </row>
    <row r="49844">
      <c r="F49844" s="13"/>
      <c r="M49844" s="13"/>
    </row>
    <row r="49845">
      <c r="F49845" s="13"/>
      <c r="M49845" s="13"/>
    </row>
    <row r="49846">
      <c r="F49846" s="13"/>
      <c r="M49846" s="13"/>
    </row>
    <row r="49847">
      <c r="F49847" s="13"/>
      <c r="M49847" s="13"/>
    </row>
    <row r="49848">
      <c r="F49848" s="13"/>
      <c r="M49848" s="13"/>
    </row>
    <row r="49849">
      <c r="F49849" s="13"/>
      <c r="M49849" s="13"/>
    </row>
    <row r="49850">
      <c r="F49850" s="13"/>
      <c r="M49850" s="13"/>
    </row>
    <row r="49851">
      <c r="F49851" s="13"/>
      <c r="M49851" s="13"/>
    </row>
    <row r="49852">
      <c r="F49852" s="13"/>
      <c r="M49852" s="13"/>
    </row>
    <row r="49853">
      <c r="F49853" s="13"/>
      <c r="M49853" s="13"/>
    </row>
    <row r="49854">
      <c r="F49854" s="13"/>
      <c r="M49854" s="13"/>
    </row>
    <row r="49855">
      <c r="F49855" s="13"/>
      <c r="M49855" s="13"/>
    </row>
    <row r="49856">
      <c r="F49856" s="13"/>
      <c r="M49856" s="13"/>
    </row>
    <row r="49857">
      <c r="F49857" s="13"/>
      <c r="M49857" s="13"/>
    </row>
    <row r="49858">
      <c r="F49858" s="13"/>
      <c r="M49858" s="13"/>
    </row>
    <row r="49859">
      <c r="F49859" s="13"/>
      <c r="M49859" s="13"/>
    </row>
    <row r="49860">
      <c r="F49860" s="13"/>
      <c r="M49860" s="13"/>
    </row>
    <row r="49861">
      <c r="F49861" s="13"/>
      <c r="M49861" s="13"/>
    </row>
    <row r="49862">
      <c r="F49862" s="13"/>
      <c r="M49862" s="13"/>
    </row>
    <row r="49863">
      <c r="F49863" s="13"/>
      <c r="M49863" s="13"/>
    </row>
    <row r="49864">
      <c r="F49864" s="13"/>
      <c r="M49864" s="13"/>
    </row>
    <row r="49865">
      <c r="F49865" s="13"/>
      <c r="M49865" s="13"/>
    </row>
    <row r="49866">
      <c r="F49866" s="13"/>
      <c r="M49866" s="13"/>
    </row>
    <row r="49867">
      <c r="F49867" s="13"/>
      <c r="M49867" s="13"/>
    </row>
    <row r="49868">
      <c r="F49868" s="13"/>
      <c r="M49868" s="13"/>
    </row>
    <row r="49869">
      <c r="F49869" s="13"/>
      <c r="M49869" s="13"/>
    </row>
    <row r="49870">
      <c r="F49870" s="13"/>
      <c r="M49870" s="13"/>
    </row>
    <row r="49871">
      <c r="F49871" s="13"/>
      <c r="M49871" s="13"/>
    </row>
    <row r="49872">
      <c r="F49872" s="13"/>
      <c r="M49872" s="13"/>
    </row>
    <row r="49873">
      <c r="F49873" s="13"/>
      <c r="M49873" s="13"/>
    </row>
    <row r="49874">
      <c r="F49874" s="13"/>
      <c r="M49874" s="13"/>
    </row>
    <row r="49875">
      <c r="F49875" s="13"/>
      <c r="M49875" s="13"/>
    </row>
    <row r="49876">
      <c r="F49876" s="13"/>
      <c r="M49876" s="13"/>
    </row>
    <row r="49877">
      <c r="F49877" s="13"/>
      <c r="M49877" s="13"/>
    </row>
    <row r="49878">
      <c r="F49878" s="13"/>
      <c r="M49878" s="13"/>
    </row>
    <row r="49879">
      <c r="F49879" s="13"/>
      <c r="M49879" s="13"/>
    </row>
    <row r="49880">
      <c r="F49880" s="13"/>
      <c r="M49880" s="13"/>
    </row>
    <row r="49881">
      <c r="F49881" s="13"/>
      <c r="M49881" s="13"/>
    </row>
    <row r="49882">
      <c r="F49882" s="13"/>
      <c r="M49882" s="13"/>
    </row>
    <row r="49883">
      <c r="F49883" s="13"/>
      <c r="M49883" s="13"/>
    </row>
    <row r="49884">
      <c r="F49884" s="13"/>
      <c r="M49884" s="13"/>
    </row>
    <row r="49885">
      <c r="F49885" s="13"/>
      <c r="M49885" s="13"/>
    </row>
    <row r="49886">
      <c r="F49886" s="13"/>
      <c r="M49886" s="13"/>
    </row>
    <row r="49887">
      <c r="F49887" s="13"/>
      <c r="M49887" s="13"/>
    </row>
    <row r="49888">
      <c r="F49888" s="13"/>
      <c r="M49888" s="13"/>
    </row>
    <row r="49889">
      <c r="F49889" s="13"/>
      <c r="M49889" s="13"/>
    </row>
    <row r="49890">
      <c r="F49890" s="13"/>
      <c r="M49890" s="13"/>
    </row>
    <row r="49891">
      <c r="F49891" s="13"/>
      <c r="M49891" s="13"/>
    </row>
    <row r="49892">
      <c r="F49892" s="13"/>
      <c r="M49892" s="13"/>
    </row>
    <row r="49893">
      <c r="F49893" s="13"/>
      <c r="M49893" s="13"/>
    </row>
    <row r="49894">
      <c r="F49894" s="13"/>
      <c r="M49894" s="13"/>
    </row>
    <row r="49895">
      <c r="F49895" s="13"/>
      <c r="M49895" s="13"/>
    </row>
    <row r="49896">
      <c r="F49896" s="13"/>
      <c r="M49896" s="13"/>
    </row>
    <row r="49897">
      <c r="F49897" s="13"/>
      <c r="M49897" s="13"/>
    </row>
    <row r="49898">
      <c r="F49898" s="13"/>
      <c r="M49898" s="13"/>
    </row>
    <row r="49899">
      <c r="F49899" s="13"/>
      <c r="M49899" s="13"/>
    </row>
    <row r="49900">
      <c r="F49900" s="13"/>
      <c r="M49900" s="13"/>
    </row>
    <row r="49901">
      <c r="F49901" s="13"/>
      <c r="M49901" s="13"/>
    </row>
    <row r="49902">
      <c r="F49902" s="13"/>
      <c r="M49902" s="13"/>
    </row>
    <row r="49903">
      <c r="F49903" s="13"/>
      <c r="M49903" s="13"/>
    </row>
    <row r="49904">
      <c r="F49904" s="13"/>
      <c r="M49904" s="13"/>
    </row>
    <row r="49905">
      <c r="F49905" s="13"/>
      <c r="M49905" s="13"/>
    </row>
    <row r="49906">
      <c r="F49906" s="13"/>
      <c r="M49906" s="13"/>
    </row>
    <row r="49907">
      <c r="F49907" s="13"/>
      <c r="M49907" s="13"/>
    </row>
    <row r="49908">
      <c r="F49908" s="13"/>
      <c r="M49908" s="13"/>
    </row>
    <row r="49909">
      <c r="F49909" s="13"/>
      <c r="M49909" s="13"/>
    </row>
    <row r="49910">
      <c r="F49910" s="13"/>
      <c r="M49910" s="13"/>
    </row>
    <row r="49911">
      <c r="F49911" s="13"/>
      <c r="M49911" s="13"/>
    </row>
    <row r="49912">
      <c r="F49912" s="13"/>
      <c r="M49912" s="13"/>
    </row>
    <row r="49913">
      <c r="F49913" s="13"/>
      <c r="M49913" s="13"/>
    </row>
    <row r="49914">
      <c r="F49914" s="13"/>
      <c r="M49914" s="13"/>
    </row>
    <row r="49915">
      <c r="F49915" s="13"/>
      <c r="M49915" s="13"/>
    </row>
    <row r="49916">
      <c r="F49916" s="13"/>
      <c r="M49916" s="13"/>
    </row>
    <row r="49917">
      <c r="F49917" s="13"/>
      <c r="M49917" s="13"/>
    </row>
    <row r="49918">
      <c r="F49918" s="13"/>
      <c r="M49918" s="13"/>
    </row>
    <row r="49919">
      <c r="F49919" s="13"/>
      <c r="M49919" s="13"/>
    </row>
    <row r="49920">
      <c r="F49920" s="13"/>
      <c r="M49920" s="13"/>
    </row>
    <row r="49921">
      <c r="F49921" s="13"/>
      <c r="M49921" s="13"/>
    </row>
    <row r="49922">
      <c r="F49922" s="13"/>
      <c r="M49922" s="13"/>
    </row>
    <row r="49923">
      <c r="F49923" s="13"/>
      <c r="M49923" s="13"/>
    </row>
    <row r="49924">
      <c r="F49924" s="13"/>
      <c r="M49924" s="13"/>
    </row>
    <row r="49925">
      <c r="F49925" s="13"/>
      <c r="M49925" s="13"/>
    </row>
    <row r="49926">
      <c r="F49926" s="13"/>
      <c r="M49926" s="13"/>
    </row>
    <row r="49927">
      <c r="F49927" s="13"/>
      <c r="M49927" s="13"/>
    </row>
    <row r="49928">
      <c r="F49928" s="13"/>
      <c r="M49928" s="13"/>
    </row>
    <row r="49929">
      <c r="F49929" s="13"/>
      <c r="M49929" s="13"/>
    </row>
    <row r="49930">
      <c r="F49930" s="13"/>
      <c r="M49930" s="13"/>
    </row>
    <row r="49931">
      <c r="F49931" s="13"/>
      <c r="M49931" s="13"/>
    </row>
    <row r="49932">
      <c r="F49932" s="13"/>
      <c r="M49932" s="13"/>
    </row>
    <row r="49933">
      <c r="F49933" s="13"/>
      <c r="M49933" s="13"/>
    </row>
    <row r="49934">
      <c r="F49934" s="13"/>
      <c r="M49934" s="13"/>
    </row>
    <row r="49935">
      <c r="F49935" s="13"/>
      <c r="M49935" s="13"/>
    </row>
    <row r="49936">
      <c r="F49936" s="13"/>
      <c r="M49936" s="13"/>
    </row>
    <row r="49937">
      <c r="F49937" s="13"/>
      <c r="M49937" s="13"/>
    </row>
    <row r="49938">
      <c r="F49938" s="13"/>
      <c r="M49938" s="13"/>
    </row>
    <row r="49939">
      <c r="F49939" s="13"/>
      <c r="M49939" s="13"/>
    </row>
    <row r="49940">
      <c r="F49940" s="13"/>
      <c r="M49940" s="13"/>
    </row>
    <row r="49941">
      <c r="F49941" s="13"/>
      <c r="M49941" s="13"/>
    </row>
    <row r="49942">
      <c r="F49942" s="13"/>
      <c r="M49942" s="13"/>
    </row>
    <row r="49943">
      <c r="F49943" s="13"/>
      <c r="M49943" s="13"/>
    </row>
    <row r="49944">
      <c r="F49944" s="13"/>
      <c r="M49944" s="13"/>
    </row>
    <row r="49945">
      <c r="F49945" s="13"/>
      <c r="M49945" s="13"/>
    </row>
    <row r="49946">
      <c r="F49946" s="13"/>
      <c r="M49946" s="13"/>
    </row>
    <row r="49947">
      <c r="F49947" s="13"/>
      <c r="M49947" s="13"/>
    </row>
    <row r="49948">
      <c r="F49948" s="13"/>
      <c r="M49948" s="13"/>
    </row>
    <row r="49949">
      <c r="F49949" s="13"/>
      <c r="M49949" s="13"/>
    </row>
    <row r="49950">
      <c r="F49950" s="13"/>
      <c r="M49950" s="13"/>
    </row>
    <row r="49951">
      <c r="F49951" s="13"/>
      <c r="M49951" s="13"/>
    </row>
    <row r="49952">
      <c r="F49952" s="13"/>
      <c r="M49952" s="13"/>
    </row>
    <row r="49953">
      <c r="F49953" s="13"/>
      <c r="M49953" s="13"/>
    </row>
    <row r="49954">
      <c r="F49954" s="13"/>
      <c r="M49954" s="13"/>
    </row>
    <row r="49955">
      <c r="F49955" s="13"/>
      <c r="M49955" s="13"/>
    </row>
    <row r="49956">
      <c r="F49956" s="13"/>
      <c r="M49956" s="13"/>
    </row>
    <row r="49957">
      <c r="F49957" s="13"/>
      <c r="M49957" s="13"/>
    </row>
    <row r="49958">
      <c r="F49958" s="13"/>
      <c r="M49958" s="13"/>
    </row>
    <row r="49959">
      <c r="F49959" s="13"/>
      <c r="M49959" s="13"/>
    </row>
    <row r="49960">
      <c r="F49960" s="13"/>
      <c r="M49960" s="13"/>
    </row>
    <row r="49961">
      <c r="F49961" s="13"/>
      <c r="M49961" s="13"/>
    </row>
    <row r="49962">
      <c r="F49962" s="13"/>
      <c r="M49962" s="13"/>
    </row>
    <row r="49963">
      <c r="F49963" s="13"/>
      <c r="M49963" s="13"/>
    </row>
    <row r="49964">
      <c r="F49964" s="13"/>
      <c r="M49964" s="13"/>
    </row>
    <row r="49965">
      <c r="F49965" s="13"/>
      <c r="M49965" s="13"/>
    </row>
    <row r="49966">
      <c r="F49966" s="13"/>
      <c r="M49966" s="13"/>
    </row>
    <row r="49967">
      <c r="F49967" s="13"/>
      <c r="M49967" s="13"/>
    </row>
    <row r="49968">
      <c r="F49968" s="13"/>
      <c r="M49968" s="13"/>
    </row>
    <row r="49969">
      <c r="F49969" s="13"/>
      <c r="M49969" s="13"/>
    </row>
    <row r="49970">
      <c r="F49970" s="13"/>
      <c r="M49970" s="13"/>
    </row>
    <row r="49971">
      <c r="F49971" s="13"/>
      <c r="M49971" s="13"/>
    </row>
    <row r="49972">
      <c r="F49972" s="13"/>
      <c r="M49972" s="13"/>
    </row>
    <row r="49973">
      <c r="F49973" s="13"/>
      <c r="M49973" s="13"/>
    </row>
    <row r="49974">
      <c r="F49974" s="13"/>
      <c r="M49974" s="13"/>
    </row>
    <row r="49975">
      <c r="F49975" s="13"/>
      <c r="M49975" s="13"/>
    </row>
    <row r="49976">
      <c r="F49976" s="13"/>
      <c r="M49976" s="13"/>
    </row>
    <row r="49977">
      <c r="F49977" s="13"/>
      <c r="M49977" s="13"/>
    </row>
    <row r="49978">
      <c r="F49978" s="13"/>
      <c r="M49978" s="13"/>
    </row>
    <row r="49979">
      <c r="F49979" s="13"/>
      <c r="M49979" s="13"/>
    </row>
    <row r="49980">
      <c r="F49980" s="13"/>
      <c r="M49980" s="13"/>
    </row>
    <row r="49981">
      <c r="F49981" s="13"/>
      <c r="M49981" s="13"/>
    </row>
    <row r="49982">
      <c r="F49982" s="13"/>
      <c r="M49982" s="13"/>
    </row>
    <row r="49983">
      <c r="F49983" s="13"/>
      <c r="M49983" s="13"/>
    </row>
    <row r="49984">
      <c r="F49984" s="13"/>
      <c r="M49984" s="13"/>
    </row>
    <row r="49985">
      <c r="F49985" s="13"/>
      <c r="M49985" s="13"/>
    </row>
    <row r="49986">
      <c r="F49986" s="13"/>
      <c r="M49986" s="13"/>
    </row>
    <row r="49987">
      <c r="F49987" s="13"/>
      <c r="M49987" s="13"/>
    </row>
    <row r="49988">
      <c r="F49988" s="13"/>
      <c r="M49988" s="13"/>
    </row>
    <row r="49989">
      <c r="F49989" s="13"/>
      <c r="M49989" s="13"/>
    </row>
    <row r="49990">
      <c r="F49990" s="13"/>
      <c r="M49990" s="13"/>
    </row>
    <row r="49991">
      <c r="F49991" s="13"/>
      <c r="M49991" s="13"/>
    </row>
    <row r="49992">
      <c r="F49992" s="13"/>
      <c r="M49992" s="13"/>
    </row>
    <row r="49993">
      <c r="F49993" s="13"/>
      <c r="M49993" s="13"/>
    </row>
    <row r="49994">
      <c r="F49994" s="13"/>
      <c r="M49994" s="13"/>
    </row>
    <row r="49995">
      <c r="F49995" s="13"/>
      <c r="M49995" s="13"/>
    </row>
    <row r="49996">
      <c r="F49996" s="13"/>
      <c r="M49996" s="13"/>
    </row>
    <row r="49997">
      <c r="F49997" s="13"/>
      <c r="M49997" s="13"/>
    </row>
    <row r="49998">
      <c r="F49998" s="13"/>
      <c r="M49998" s="13"/>
    </row>
    <row r="49999">
      <c r="F49999" s="13"/>
      <c r="M49999" s="13"/>
    </row>
    <row r="50000">
      <c r="F50000" s="13"/>
      <c r="M50000" s="13"/>
    </row>
    <row r="50001">
      <c r="F50001" s="13"/>
      <c r="M50001" s="13"/>
    </row>
    <row r="50002">
      <c r="F50002" s="13"/>
      <c r="M50002" s="13"/>
    </row>
    <row r="50003">
      <c r="F50003" s="13"/>
      <c r="M50003" s="13"/>
    </row>
    <row r="50004">
      <c r="F50004" s="13"/>
      <c r="M50004" s="13"/>
    </row>
    <row r="50005">
      <c r="F50005" s="13"/>
      <c r="M50005" s="13"/>
    </row>
    <row r="50006">
      <c r="F50006" s="13"/>
      <c r="M50006" s="13"/>
    </row>
    <row r="50007">
      <c r="F50007" s="13"/>
      <c r="M50007" s="13"/>
    </row>
    <row r="50008">
      <c r="F50008" s="13"/>
      <c r="M50008" s="13"/>
    </row>
    <row r="50009">
      <c r="F50009" s="13"/>
      <c r="M50009" s="13"/>
    </row>
    <row r="50010">
      <c r="F50010" s="13"/>
      <c r="M50010" s="13"/>
    </row>
    <row r="50011">
      <c r="F50011" s="13"/>
      <c r="M50011" s="13"/>
    </row>
    <row r="50012">
      <c r="F50012" s="13"/>
      <c r="M50012" s="13"/>
    </row>
    <row r="50013">
      <c r="F50013" s="13"/>
      <c r="M50013" s="13"/>
    </row>
    <row r="50014">
      <c r="F50014" s="13"/>
      <c r="M50014" s="13"/>
    </row>
    <row r="50015">
      <c r="F50015" s="13"/>
      <c r="M50015" s="13"/>
    </row>
    <row r="50016">
      <c r="F50016" s="13"/>
      <c r="M50016" s="13"/>
    </row>
    <row r="50017">
      <c r="F50017" s="13"/>
      <c r="M50017" s="13"/>
    </row>
    <row r="50018">
      <c r="F50018" s="13"/>
      <c r="M50018" s="13"/>
    </row>
    <row r="50019">
      <c r="F50019" s="13"/>
      <c r="M50019" s="13"/>
    </row>
    <row r="50020">
      <c r="F50020" s="13"/>
      <c r="M50020" s="13"/>
    </row>
    <row r="50021">
      <c r="F50021" s="13"/>
      <c r="M50021" s="13"/>
    </row>
    <row r="50022">
      <c r="F50022" s="13"/>
      <c r="M50022" s="13"/>
    </row>
    <row r="50023">
      <c r="F50023" s="13"/>
      <c r="M50023" s="13"/>
    </row>
    <row r="50024">
      <c r="F50024" s="13"/>
      <c r="M50024" s="13"/>
    </row>
    <row r="50025">
      <c r="F50025" s="13"/>
      <c r="M50025" s="13"/>
    </row>
    <row r="50026">
      <c r="F50026" s="13"/>
      <c r="M50026" s="13"/>
    </row>
    <row r="50027">
      <c r="F50027" s="13"/>
      <c r="M50027" s="13"/>
    </row>
    <row r="50028">
      <c r="F50028" s="13"/>
      <c r="M50028" s="13"/>
    </row>
    <row r="50029">
      <c r="F50029" s="13"/>
      <c r="M50029" s="13"/>
    </row>
    <row r="50030">
      <c r="F50030" s="13"/>
      <c r="M50030" s="13"/>
    </row>
    <row r="50031">
      <c r="F50031" s="13"/>
      <c r="M50031" s="13"/>
    </row>
    <row r="50032">
      <c r="F50032" s="13"/>
      <c r="M50032" s="13"/>
    </row>
    <row r="50033">
      <c r="F50033" s="13"/>
      <c r="M50033" s="13"/>
    </row>
    <row r="50034">
      <c r="F50034" s="13"/>
      <c r="M50034" s="13"/>
    </row>
    <row r="50035">
      <c r="F50035" s="13"/>
      <c r="M50035" s="13"/>
    </row>
    <row r="50036">
      <c r="F50036" s="13"/>
      <c r="M50036" s="13"/>
    </row>
    <row r="50037">
      <c r="F50037" s="13"/>
      <c r="M50037" s="13"/>
    </row>
    <row r="50038">
      <c r="F50038" s="13"/>
      <c r="M50038" s="13"/>
    </row>
    <row r="50039">
      <c r="F50039" s="13"/>
      <c r="M50039" s="13"/>
    </row>
    <row r="50040">
      <c r="F50040" s="13"/>
      <c r="M50040" s="13"/>
    </row>
    <row r="50041">
      <c r="F50041" s="13"/>
      <c r="M50041" s="13"/>
    </row>
    <row r="50042">
      <c r="F50042" s="13"/>
      <c r="M50042" s="13"/>
    </row>
    <row r="50043">
      <c r="F50043" s="13"/>
      <c r="M50043" s="13"/>
    </row>
    <row r="50044">
      <c r="F50044" s="13"/>
      <c r="M50044" s="13"/>
    </row>
    <row r="50045">
      <c r="F50045" s="13"/>
      <c r="M50045" s="13"/>
    </row>
    <row r="50046">
      <c r="F50046" s="13"/>
      <c r="M50046" s="13"/>
    </row>
    <row r="50047">
      <c r="F50047" s="13"/>
      <c r="M50047" s="13"/>
    </row>
    <row r="50048">
      <c r="F50048" s="13"/>
      <c r="M50048" s="13"/>
    </row>
    <row r="50049">
      <c r="F50049" s="13"/>
      <c r="M50049" s="13"/>
    </row>
    <row r="50050">
      <c r="F50050" s="13"/>
      <c r="M50050" s="13"/>
    </row>
    <row r="50051">
      <c r="F50051" s="13"/>
      <c r="M50051" s="13"/>
    </row>
    <row r="50052">
      <c r="F50052" s="13"/>
      <c r="M50052" s="13"/>
    </row>
    <row r="50053">
      <c r="F50053" s="13"/>
      <c r="M50053" s="13"/>
    </row>
    <row r="50054">
      <c r="F50054" s="13"/>
      <c r="M50054" s="13"/>
    </row>
    <row r="50055">
      <c r="F50055" s="13"/>
      <c r="M50055" s="13"/>
    </row>
    <row r="50056">
      <c r="F50056" s="13"/>
      <c r="M50056" s="13"/>
    </row>
    <row r="50057">
      <c r="F50057" s="13"/>
      <c r="M50057" s="13"/>
    </row>
    <row r="50058">
      <c r="F50058" s="13"/>
      <c r="M50058" s="13"/>
    </row>
    <row r="50059">
      <c r="F50059" s="13"/>
      <c r="M50059" s="13"/>
    </row>
    <row r="50060">
      <c r="F50060" s="13"/>
      <c r="M50060" s="13"/>
    </row>
    <row r="50061">
      <c r="F50061" s="13"/>
      <c r="M50061" s="13"/>
    </row>
    <row r="50062">
      <c r="F50062" s="13"/>
      <c r="M50062" s="13"/>
    </row>
    <row r="50063">
      <c r="F50063" s="13"/>
      <c r="M50063" s="13"/>
    </row>
    <row r="50064">
      <c r="F50064" s="13"/>
      <c r="M50064" s="13"/>
    </row>
    <row r="50065">
      <c r="F50065" s="13"/>
      <c r="M50065" s="13"/>
    </row>
    <row r="50066">
      <c r="F50066" s="13"/>
      <c r="M50066" s="13"/>
    </row>
    <row r="50067">
      <c r="F50067" s="13"/>
      <c r="M50067" s="13"/>
    </row>
    <row r="50068">
      <c r="F50068" s="13"/>
      <c r="M50068" s="13"/>
    </row>
    <row r="50069">
      <c r="F50069" s="13"/>
      <c r="M50069" s="13"/>
    </row>
    <row r="50070">
      <c r="F50070" s="13"/>
      <c r="M50070" s="13"/>
    </row>
    <row r="50071">
      <c r="F50071" s="13"/>
      <c r="M50071" s="13"/>
    </row>
    <row r="50072">
      <c r="F50072" s="13"/>
      <c r="M50072" s="13"/>
    </row>
    <row r="50073">
      <c r="F50073" s="13"/>
      <c r="M50073" s="13"/>
    </row>
    <row r="50074">
      <c r="F50074" s="13"/>
      <c r="M50074" s="13"/>
    </row>
    <row r="50075">
      <c r="F50075" s="13"/>
      <c r="M50075" s="13"/>
    </row>
    <row r="50076">
      <c r="F50076" s="13"/>
      <c r="M50076" s="13"/>
    </row>
    <row r="50077">
      <c r="F50077" s="13"/>
      <c r="M50077" s="13"/>
    </row>
    <row r="50078">
      <c r="F50078" s="13"/>
      <c r="M50078" s="13"/>
    </row>
    <row r="50079">
      <c r="F50079" s="13"/>
      <c r="M50079" s="13"/>
    </row>
    <row r="50080">
      <c r="F50080" s="13"/>
      <c r="M50080" s="13"/>
    </row>
    <row r="50081">
      <c r="F50081" s="13"/>
      <c r="M50081" s="13"/>
    </row>
    <row r="50082">
      <c r="F50082" s="13"/>
      <c r="M50082" s="13"/>
    </row>
    <row r="50083">
      <c r="F50083" s="13"/>
      <c r="M50083" s="13"/>
    </row>
    <row r="50084">
      <c r="F50084" s="13"/>
      <c r="M50084" s="13"/>
    </row>
    <row r="50085">
      <c r="F50085" s="13"/>
      <c r="M50085" s="13"/>
    </row>
    <row r="50086">
      <c r="F50086" s="13"/>
      <c r="M50086" s="13"/>
    </row>
    <row r="50087">
      <c r="F50087" s="13"/>
      <c r="M50087" s="13"/>
    </row>
    <row r="50088">
      <c r="F50088" s="13"/>
      <c r="M50088" s="13"/>
    </row>
    <row r="50089">
      <c r="F50089" s="13"/>
      <c r="M50089" s="13"/>
    </row>
    <row r="50090">
      <c r="F50090" s="13"/>
      <c r="M50090" s="13"/>
    </row>
    <row r="50091">
      <c r="F50091" s="13"/>
      <c r="M50091" s="13"/>
    </row>
    <row r="50092">
      <c r="F50092" s="13"/>
      <c r="M50092" s="13"/>
    </row>
    <row r="50093">
      <c r="F50093" s="13"/>
      <c r="M50093" s="13"/>
    </row>
    <row r="50094">
      <c r="F50094" s="13"/>
      <c r="M50094" s="13"/>
    </row>
    <row r="50095">
      <c r="F50095" s="13"/>
      <c r="M50095" s="13"/>
    </row>
    <row r="50096">
      <c r="F50096" s="13"/>
      <c r="M50096" s="13"/>
    </row>
    <row r="50097">
      <c r="F50097" s="13"/>
      <c r="M50097" s="13"/>
    </row>
    <row r="50098">
      <c r="F50098" s="13"/>
      <c r="M50098" s="13"/>
    </row>
    <row r="50099">
      <c r="F50099" s="13"/>
      <c r="M50099" s="13"/>
    </row>
    <row r="50100">
      <c r="F50100" s="13"/>
      <c r="M50100" s="13"/>
    </row>
    <row r="50101">
      <c r="F50101" s="13"/>
      <c r="M50101" s="13"/>
    </row>
    <row r="50102">
      <c r="F50102" s="13"/>
      <c r="M50102" s="13"/>
    </row>
    <row r="50103">
      <c r="F50103" s="13"/>
      <c r="M50103" s="13"/>
    </row>
    <row r="50104">
      <c r="F50104" s="13"/>
      <c r="M50104" s="13"/>
    </row>
    <row r="50105">
      <c r="F50105" s="13"/>
      <c r="M50105" s="13"/>
    </row>
    <row r="50106">
      <c r="F50106" s="13"/>
      <c r="M50106" s="13"/>
    </row>
    <row r="50107">
      <c r="F50107" s="13"/>
      <c r="M50107" s="13"/>
    </row>
    <row r="50108">
      <c r="F50108" s="13"/>
      <c r="M50108" s="13"/>
    </row>
    <row r="50109">
      <c r="F50109" s="13"/>
      <c r="M50109" s="13"/>
    </row>
    <row r="50110">
      <c r="F50110" s="13"/>
      <c r="M50110" s="13"/>
    </row>
    <row r="50111">
      <c r="F50111" s="13"/>
      <c r="M50111" s="13"/>
    </row>
    <row r="50112">
      <c r="F50112" s="13"/>
      <c r="M50112" s="13"/>
    </row>
    <row r="50113">
      <c r="F50113" s="13"/>
      <c r="M50113" s="13"/>
    </row>
    <row r="50114">
      <c r="F50114" s="13"/>
      <c r="M50114" s="13"/>
    </row>
    <row r="50115">
      <c r="F50115" s="13"/>
      <c r="M50115" s="13"/>
    </row>
    <row r="50116">
      <c r="F50116" s="13"/>
      <c r="M50116" s="13"/>
    </row>
    <row r="50117">
      <c r="F50117" s="13"/>
      <c r="M50117" s="13"/>
    </row>
    <row r="50118">
      <c r="F50118" s="13"/>
      <c r="M50118" s="13"/>
    </row>
    <row r="50119">
      <c r="F50119" s="13"/>
      <c r="M50119" s="13"/>
    </row>
    <row r="50120">
      <c r="F50120" s="13"/>
      <c r="M50120" s="13"/>
    </row>
    <row r="50121">
      <c r="F50121" s="13"/>
      <c r="M50121" s="13"/>
    </row>
    <row r="50122">
      <c r="F50122" s="13"/>
      <c r="M50122" s="13"/>
    </row>
    <row r="50123">
      <c r="F50123" s="13"/>
      <c r="M50123" s="13"/>
    </row>
    <row r="50124">
      <c r="F50124" s="13"/>
      <c r="M50124" s="13"/>
    </row>
    <row r="50125">
      <c r="F50125" s="13"/>
      <c r="M50125" s="13"/>
    </row>
    <row r="50126">
      <c r="F50126" s="13"/>
      <c r="M50126" s="13"/>
    </row>
    <row r="50127">
      <c r="F50127" s="13"/>
      <c r="M50127" s="13"/>
    </row>
    <row r="50128">
      <c r="F50128" s="13"/>
      <c r="M50128" s="13"/>
    </row>
    <row r="50129">
      <c r="F50129" s="13"/>
      <c r="M50129" s="13"/>
    </row>
    <row r="50130">
      <c r="F50130" s="13"/>
      <c r="M50130" s="13"/>
    </row>
    <row r="50131">
      <c r="F50131" s="13"/>
      <c r="M50131" s="13"/>
    </row>
    <row r="50132">
      <c r="F50132" s="13"/>
      <c r="M50132" s="13"/>
    </row>
    <row r="50133">
      <c r="F50133" s="13"/>
      <c r="M50133" s="13"/>
    </row>
    <row r="50134">
      <c r="F50134" s="13"/>
      <c r="M50134" s="13"/>
    </row>
    <row r="50135">
      <c r="F50135" s="13"/>
      <c r="M50135" s="13"/>
    </row>
    <row r="50136">
      <c r="F50136" s="13"/>
      <c r="M50136" s="13"/>
    </row>
    <row r="50137">
      <c r="F50137" s="13"/>
      <c r="M50137" s="13"/>
    </row>
    <row r="50138">
      <c r="F50138" s="13"/>
      <c r="M50138" s="13"/>
    </row>
    <row r="50139">
      <c r="F50139" s="13"/>
      <c r="M50139" s="13"/>
    </row>
    <row r="50140">
      <c r="F50140" s="13"/>
      <c r="M50140" s="13"/>
    </row>
    <row r="50141">
      <c r="F50141" s="13"/>
      <c r="M50141" s="13"/>
    </row>
    <row r="50142">
      <c r="F50142" s="13"/>
      <c r="M50142" s="13"/>
    </row>
    <row r="50143">
      <c r="F50143" s="13"/>
      <c r="M50143" s="13"/>
    </row>
    <row r="50144">
      <c r="F50144" s="13"/>
      <c r="M50144" s="13"/>
    </row>
    <row r="50145">
      <c r="F50145" s="13"/>
      <c r="M50145" s="13"/>
    </row>
    <row r="50146">
      <c r="F50146" s="13"/>
      <c r="M50146" s="13"/>
    </row>
    <row r="50147">
      <c r="F50147" s="13"/>
      <c r="M50147" s="13"/>
    </row>
    <row r="50148">
      <c r="F50148" s="13"/>
      <c r="M50148" s="13"/>
    </row>
    <row r="50149">
      <c r="F50149" s="13"/>
      <c r="M50149" s="13"/>
    </row>
    <row r="50150">
      <c r="F50150" s="13"/>
      <c r="M50150" s="13"/>
    </row>
    <row r="50151">
      <c r="F50151" s="13"/>
      <c r="M50151" s="13"/>
    </row>
    <row r="50152">
      <c r="F50152" s="13"/>
      <c r="M50152" s="13"/>
    </row>
    <row r="50153">
      <c r="F50153" s="13"/>
      <c r="M50153" s="13"/>
    </row>
    <row r="50154">
      <c r="F50154" s="13"/>
      <c r="M50154" s="13"/>
    </row>
    <row r="50155">
      <c r="F50155" s="13"/>
      <c r="M50155" s="13"/>
    </row>
    <row r="50156">
      <c r="F50156" s="13"/>
      <c r="M50156" s="13"/>
    </row>
    <row r="50157">
      <c r="F50157" s="13"/>
      <c r="M50157" s="13"/>
    </row>
    <row r="50158">
      <c r="F50158" s="13"/>
      <c r="M50158" s="13"/>
    </row>
    <row r="50159">
      <c r="F50159" s="13"/>
      <c r="M50159" s="13"/>
    </row>
    <row r="50160">
      <c r="F50160" s="13"/>
      <c r="M50160" s="13"/>
    </row>
    <row r="50161">
      <c r="F50161" s="13"/>
      <c r="M50161" s="13"/>
    </row>
    <row r="50162">
      <c r="F50162" s="13"/>
      <c r="M50162" s="13"/>
    </row>
    <row r="50163">
      <c r="F50163" s="13"/>
      <c r="M50163" s="13"/>
    </row>
    <row r="50164">
      <c r="F50164" s="13"/>
      <c r="M50164" s="13"/>
    </row>
    <row r="50165">
      <c r="F50165" s="13"/>
      <c r="M50165" s="13"/>
    </row>
    <row r="50166">
      <c r="F50166" s="13"/>
      <c r="M50166" s="13"/>
    </row>
    <row r="50167">
      <c r="F50167" s="13"/>
      <c r="M50167" s="13"/>
    </row>
    <row r="50168">
      <c r="F50168" s="13"/>
      <c r="M50168" s="13"/>
    </row>
    <row r="50169">
      <c r="F50169" s="13"/>
      <c r="M50169" s="13"/>
    </row>
    <row r="50170">
      <c r="F50170" s="13"/>
      <c r="M50170" s="13"/>
    </row>
    <row r="50171">
      <c r="F50171" s="13"/>
      <c r="M50171" s="13"/>
    </row>
    <row r="50172">
      <c r="F50172" s="13"/>
      <c r="M50172" s="13"/>
    </row>
    <row r="50173">
      <c r="F50173" s="13"/>
      <c r="M50173" s="13"/>
    </row>
    <row r="50174">
      <c r="F50174" s="13"/>
      <c r="M50174" s="13"/>
    </row>
    <row r="50175">
      <c r="F50175" s="13"/>
      <c r="M50175" s="13"/>
    </row>
    <row r="50176">
      <c r="F50176" s="13"/>
      <c r="M50176" s="13"/>
    </row>
    <row r="50177">
      <c r="F50177" s="13"/>
      <c r="M50177" s="13"/>
    </row>
    <row r="50178">
      <c r="F50178" s="13"/>
      <c r="M50178" s="13"/>
    </row>
    <row r="50179">
      <c r="F50179" s="13"/>
      <c r="M50179" s="13"/>
    </row>
    <row r="50180">
      <c r="F50180" s="13"/>
      <c r="M50180" s="13"/>
    </row>
    <row r="50181">
      <c r="F50181" s="13"/>
      <c r="M50181" s="13"/>
    </row>
    <row r="50182">
      <c r="F50182" s="13"/>
      <c r="M50182" s="13"/>
    </row>
    <row r="50183">
      <c r="F50183" s="13"/>
      <c r="M50183" s="13"/>
    </row>
    <row r="50184">
      <c r="F50184" s="13"/>
      <c r="M50184" s="13"/>
    </row>
    <row r="50185">
      <c r="F50185" s="13"/>
      <c r="M50185" s="13"/>
    </row>
    <row r="50186">
      <c r="F50186" s="13"/>
      <c r="M50186" s="13"/>
    </row>
    <row r="50187">
      <c r="F50187" s="13"/>
      <c r="M50187" s="13"/>
    </row>
    <row r="50188">
      <c r="F50188" s="13"/>
      <c r="M50188" s="13"/>
    </row>
    <row r="50189">
      <c r="F50189" s="13"/>
      <c r="M50189" s="13"/>
    </row>
    <row r="50190">
      <c r="F50190" s="13"/>
      <c r="M50190" s="13"/>
    </row>
    <row r="50191">
      <c r="F50191" s="13"/>
      <c r="M50191" s="13"/>
    </row>
    <row r="50192">
      <c r="F50192" s="13"/>
      <c r="M50192" s="13"/>
    </row>
    <row r="50193">
      <c r="F50193" s="13"/>
      <c r="M50193" s="13"/>
    </row>
    <row r="50194">
      <c r="F50194" s="13"/>
      <c r="M50194" s="13"/>
    </row>
    <row r="50195">
      <c r="F50195" s="13"/>
      <c r="M50195" s="13"/>
    </row>
    <row r="50196">
      <c r="F50196" s="13"/>
      <c r="M50196" s="13"/>
    </row>
    <row r="50197">
      <c r="F50197" s="13"/>
      <c r="M50197" s="13"/>
    </row>
    <row r="50198">
      <c r="F50198" s="13"/>
      <c r="M50198" s="13"/>
    </row>
    <row r="50199">
      <c r="F50199" s="13"/>
      <c r="M50199" s="13"/>
    </row>
    <row r="50200">
      <c r="F50200" s="13"/>
      <c r="M50200" s="13"/>
    </row>
    <row r="50201">
      <c r="F50201" s="13"/>
      <c r="M50201" s="13"/>
    </row>
    <row r="50202">
      <c r="F50202" s="13"/>
      <c r="M50202" s="13"/>
    </row>
    <row r="50203">
      <c r="F50203" s="13"/>
      <c r="M50203" s="13"/>
    </row>
    <row r="50204">
      <c r="F50204" s="13"/>
      <c r="M50204" s="13"/>
    </row>
    <row r="50205">
      <c r="F50205" s="13"/>
      <c r="M50205" s="13"/>
    </row>
    <row r="50206">
      <c r="F50206" s="13"/>
      <c r="M50206" s="13"/>
    </row>
    <row r="50207">
      <c r="F50207" s="13"/>
      <c r="M50207" s="13"/>
    </row>
    <row r="50208">
      <c r="F50208" s="13"/>
      <c r="M50208" s="13"/>
    </row>
    <row r="50209">
      <c r="F50209" s="13"/>
      <c r="M50209" s="13"/>
    </row>
    <row r="50210">
      <c r="F50210" s="13"/>
      <c r="M50210" s="13"/>
    </row>
    <row r="50211">
      <c r="F50211" s="13"/>
      <c r="M50211" s="13"/>
    </row>
    <row r="50212">
      <c r="F50212" s="13"/>
      <c r="M50212" s="13"/>
    </row>
    <row r="50213">
      <c r="F50213" s="13"/>
      <c r="M50213" s="13"/>
    </row>
    <row r="50214">
      <c r="F50214" s="13"/>
      <c r="M50214" s="13"/>
    </row>
    <row r="50215">
      <c r="F50215" s="13"/>
      <c r="M50215" s="13"/>
    </row>
    <row r="50216">
      <c r="F50216" s="13"/>
      <c r="M50216" s="13"/>
    </row>
    <row r="50217">
      <c r="F50217" s="13"/>
      <c r="M50217" s="13"/>
    </row>
    <row r="50218">
      <c r="F50218" s="13"/>
      <c r="M50218" s="13"/>
    </row>
    <row r="50219">
      <c r="F50219" s="13"/>
      <c r="M50219" s="13"/>
    </row>
    <row r="50220">
      <c r="F50220" s="13"/>
      <c r="M50220" s="13"/>
    </row>
    <row r="50221">
      <c r="F50221" s="13"/>
      <c r="M50221" s="13"/>
    </row>
    <row r="50222">
      <c r="F50222" s="13"/>
      <c r="M50222" s="13"/>
    </row>
    <row r="50223">
      <c r="F50223" s="13"/>
      <c r="M50223" s="13"/>
    </row>
    <row r="50224">
      <c r="F50224" s="13"/>
      <c r="M50224" s="13"/>
    </row>
    <row r="50225">
      <c r="F50225" s="13"/>
      <c r="M50225" s="13"/>
    </row>
    <row r="50226">
      <c r="F50226" s="13"/>
      <c r="M50226" s="13"/>
    </row>
    <row r="50227">
      <c r="F50227" s="13"/>
      <c r="M50227" s="13"/>
    </row>
    <row r="50228">
      <c r="F50228" s="13"/>
      <c r="M50228" s="13"/>
    </row>
    <row r="50229">
      <c r="F50229" s="13"/>
      <c r="M50229" s="13"/>
    </row>
    <row r="50230">
      <c r="F50230" s="13"/>
      <c r="M50230" s="13"/>
    </row>
    <row r="50231">
      <c r="F50231" s="13"/>
      <c r="M50231" s="13"/>
    </row>
    <row r="50232">
      <c r="F50232" s="13"/>
      <c r="M50232" s="13"/>
    </row>
    <row r="50233">
      <c r="F50233" s="13"/>
      <c r="M50233" s="13"/>
    </row>
    <row r="50234">
      <c r="F50234" s="13"/>
      <c r="M50234" s="13"/>
    </row>
    <row r="50235">
      <c r="F50235" s="13"/>
      <c r="M50235" s="13"/>
    </row>
    <row r="50236">
      <c r="F50236" s="13"/>
      <c r="M50236" s="13"/>
    </row>
    <row r="50237">
      <c r="F50237" s="13"/>
      <c r="M50237" s="13"/>
    </row>
    <row r="50238">
      <c r="F50238" s="13"/>
      <c r="M50238" s="13"/>
    </row>
    <row r="50239">
      <c r="F50239" s="13"/>
      <c r="M50239" s="13"/>
    </row>
    <row r="50240">
      <c r="F50240" s="13"/>
      <c r="M50240" s="13"/>
    </row>
    <row r="50241">
      <c r="F50241" s="13"/>
      <c r="M50241" s="13"/>
    </row>
    <row r="50242">
      <c r="F50242" s="13"/>
      <c r="M50242" s="13"/>
    </row>
    <row r="50243">
      <c r="F50243" s="13"/>
      <c r="M50243" s="13"/>
    </row>
    <row r="50244">
      <c r="F50244" s="13"/>
      <c r="M50244" s="13"/>
    </row>
    <row r="50245">
      <c r="F50245" s="13"/>
      <c r="M50245" s="13"/>
    </row>
    <row r="50246">
      <c r="F50246" s="13"/>
      <c r="M50246" s="13"/>
    </row>
    <row r="50247">
      <c r="F50247" s="13"/>
      <c r="M50247" s="13"/>
    </row>
    <row r="50248">
      <c r="F50248" s="13"/>
      <c r="M50248" s="13"/>
    </row>
    <row r="50249">
      <c r="F50249" s="13"/>
      <c r="M50249" s="13"/>
    </row>
    <row r="50250">
      <c r="F50250" s="13"/>
      <c r="M50250" s="13"/>
    </row>
    <row r="50251">
      <c r="F50251" s="13"/>
      <c r="M50251" s="13"/>
    </row>
    <row r="50252">
      <c r="F50252" s="13"/>
      <c r="M50252" s="13"/>
    </row>
    <row r="50253">
      <c r="F50253" s="13"/>
      <c r="M50253" s="13"/>
    </row>
    <row r="50254">
      <c r="F50254" s="13"/>
      <c r="M50254" s="13"/>
    </row>
    <row r="50255">
      <c r="F50255" s="13"/>
      <c r="M50255" s="13"/>
    </row>
    <row r="50256">
      <c r="F50256" s="13"/>
      <c r="M50256" s="13"/>
    </row>
    <row r="50257">
      <c r="F50257" s="13"/>
      <c r="M50257" s="13"/>
    </row>
    <row r="50258">
      <c r="F50258" s="13"/>
      <c r="M50258" s="13"/>
    </row>
    <row r="50259">
      <c r="F50259" s="13"/>
      <c r="M50259" s="13"/>
    </row>
    <row r="50260">
      <c r="F50260" s="13"/>
      <c r="M50260" s="13"/>
    </row>
    <row r="50261">
      <c r="F50261" s="13"/>
      <c r="M50261" s="13"/>
    </row>
    <row r="50262">
      <c r="F50262" s="13"/>
      <c r="M50262" s="13"/>
    </row>
    <row r="50263">
      <c r="F50263" s="13"/>
      <c r="M50263" s="13"/>
    </row>
    <row r="50264">
      <c r="F50264" s="13"/>
      <c r="M50264" s="13"/>
    </row>
    <row r="50265">
      <c r="F50265" s="13"/>
      <c r="M50265" s="13"/>
    </row>
    <row r="50266">
      <c r="F50266" s="13"/>
      <c r="M50266" s="13"/>
    </row>
    <row r="50267">
      <c r="F50267" s="13"/>
      <c r="M50267" s="13"/>
    </row>
    <row r="50268">
      <c r="F50268" s="13"/>
      <c r="M50268" s="13"/>
    </row>
    <row r="50269">
      <c r="F50269" s="13"/>
      <c r="M50269" s="13"/>
    </row>
    <row r="50270">
      <c r="F50270" s="13"/>
      <c r="M50270" s="13"/>
    </row>
    <row r="50271">
      <c r="F50271" s="13"/>
      <c r="M50271" s="13"/>
    </row>
    <row r="50272">
      <c r="F50272" s="13"/>
      <c r="M50272" s="13"/>
    </row>
    <row r="50273">
      <c r="F50273" s="13"/>
      <c r="M50273" s="13"/>
    </row>
    <row r="50274">
      <c r="F50274" s="13"/>
      <c r="M50274" s="13"/>
    </row>
    <row r="50275">
      <c r="F50275" s="13"/>
      <c r="M50275" s="13"/>
    </row>
    <row r="50276">
      <c r="F50276" s="13"/>
      <c r="M50276" s="13"/>
    </row>
    <row r="50277">
      <c r="F50277" s="13"/>
      <c r="M50277" s="13"/>
    </row>
    <row r="50278">
      <c r="F50278" s="13"/>
      <c r="M50278" s="13"/>
    </row>
    <row r="50279">
      <c r="F50279" s="13"/>
      <c r="M50279" s="13"/>
    </row>
    <row r="50280">
      <c r="F50280" s="13"/>
      <c r="M50280" s="13"/>
    </row>
    <row r="50281">
      <c r="F50281" s="13"/>
      <c r="M50281" s="13"/>
    </row>
    <row r="50282">
      <c r="F50282" s="13"/>
      <c r="M50282" s="13"/>
    </row>
    <row r="50283">
      <c r="F50283" s="13"/>
      <c r="M50283" s="13"/>
    </row>
    <row r="50284">
      <c r="F50284" s="13"/>
      <c r="M50284" s="13"/>
    </row>
    <row r="50285">
      <c r="F50285" s="13"/>
      <c r="M50285" s="13"/>
    </row>
    <row r="50286">
      <c r="F50286" s="13"/>
      <c r="M50286" s="13"/>
    </row>
    <row r="50287">
      <c r="F50287" s="13"/>
      <c r="M50287" s="13"/>
    </row>
    <row r="50288">
      <c r="F50288" s="13"/>
      <c r="M50288" s="13"/>
    </row>
    <row r="50289">
      <c r="F50289" s="13"/>
      <c r="M50289" s="13"/>
    </row>
    <row r="50290">
      <c r="F50290" s="13"/>
      <c r="M50290" s="13"/>
    </row>
    <row r="50291">
      <c r="F50291" s="13"/>
      <c r="M50291" s="13"/>
    </row>
    <row r="50292">
      <c r="F50292" s="13"/>
      <c r="M50292" s="13"/>
    </row>
    <row r="50293">
      <c r="F50293" s="13"/>
      <c r="M50293" s="13"/>
    </row>
    <row r="50294">
      <c r="F50294" s="13"/>
      <c r="M50294" s="13"/>
    </row>
    <row r="50295">
      <c r="F50295" s="13"/>
      <c r="M50295" s="13"/>
    </row>
    <row r="50296">
      <c r="F50296" s="13"/>
      <c r="M50296" s="13"/>
    </row>
    <row r="50297">
      <c r="F50297" s="13"/>
      <c r="M50297" s="13"/>
    </row>
    <row r="50298">
      <c r="F50298" s="13"/>
      <c r="M50298" s="13"/>
    </row>
    <row r="50299">
      <c r="F50299" s="13"/>
      <c r="M50299" s="13"/>
    </row>
    <row r="50300">
      <c r="F50300" s="13"/>
      <c r="M50300" s="13"/>
    </row>
    <row r="50301">
      <c r="F50301" s="13"/>
      <c r="M50301" s="13"/>
    </row>
    <row r="50302">
      <c r="F50302" s="13"/>
      <c r="M50302" s="13"/>
    </row>
    <row r="50303">
      <c r="F50303" s="13"/>
      <c r="M50303" s="13"/>
    </row>
    <row r="50304">
      <c r="F50304" s="13"/>
      <c r="M50304" s="13"/>
    </row>
    <row r="50305">
      <c r="F50305" s="13"/>
      <c r="M50305" s="13"/>
    </row>
    <row r="50306">
      <c r="F50306" s="13"/>
      <c r="M50306" s="13"/>
    </row>
    <row r="50307">
      <c r="F50307" s="13"/>
      <c r="M50307" s="13"/>
    </row>
    <row r="50308">
      <c r="F50308" s="13"/>
      <c r="M50308" s="13"/>
    </row>
    <row r="50309">
      <c r="F50309" s="13"/>
      <c r="M50309" s="13"/>
    </row>
    <row r="50310">
      <c r="F50310" s="13"/>
      <c r="M50310" s="13"/>
    </row>
    <row r="50311">
      <c r="F50311" s="13"/>
      <c r="M50311" s="13"/>
    </row>
    <row r="50312">
      <c r="F50312" s="13"/>
      <c r="M50312" s="13"/>
    </row>
    <row r="50313">
      <c r="F50313" s="13"/>
      <c r="M50313" s="13"/>
    </row>
    <row r="50314">
      <c r="F50314" s="13"/>
      <c r="M50314" s="13"/>
    </row>
    <row r="50315">
      <c r="F50315" s="13"/>
      <c r="M50315" s="13"/>
    </row>
    <row r="50316">
      <c r="F50316" s="13"/>
      <c r="M50316" s="13"/>
    </row>
    <row r="50317">
      <c r="F50317" s="13"/>
      <c r="M50317" s="13"/>
    </row>
    <row r="50318">
      <c r="F50318" s="13"/>
      <c r="M50318" s="13"/>
    </row>
    <row r="50319">
      <c r="F50319" s="13"/>
      <c r="M50319" s="13"/>
    </row>
    <row r="50320">
      <c r="F50320" s="13"/>
      <c r="M50320" s="13"/>
    </row>
    <row r="50321">
      <c r="F50321" s="13"/>
      <c r="M50321" s="13"/>
    </row>
    <row r="50322">
      <c r="F50322" s="13"/>
      <c r="M50322" s="13"/>
    </row>
    <row r="50323">
      <c r="F50323" s="13"/>
      <c r="M50323" s="13"/>
    </row>
    <row r="50324">
      <c r="F50324" s="13"/>
      <c r="M50324" s="13"/>
    </row>
    <row r="50325">
      <c r="F50325" s="13"/>
      <c r="M50325" s="13"/>
    </row>
    <row r="50326">
      <c r="F50326" s="13"/>
      <c r="M50326" s="13"/>
    </row>
    <row r="50327">
      <c r="F50327" s="13"/>
      <c r="M50327" s="13"/>
    </row>
    <row r="50328">
      <c r="F50328" s="13"/>
      <c r="M50328" s="13"/>
    </row>
    <row r="50329">
      <c r="F50329" s="13"/>
      <c r="M50329" s="13"/>
    </row>
    <row r="50330">
      <c r="F50330" s="13"/>
      <c r="M50330" s="13"/>
    </row>
    <row r="50331">
      <c r="F50331" s="13"/>
      <c r="M50331" s="13"/>
    </row>
    <row r="50332">
      <c r="F50332" s="13"/>
      <c r="M50332" s="13"/>
    </row>
    <row r="50333">
      <c r="F50333" s="13"/>
      <c r="M50333" s="13"/>
    </row>
    <row r="50334">
      <c r="F50334" s="13"/>
      <c r="M50334" s="13"/>
    </row>
    <row r="50335">
      <c r="F50335" s="13"/>
      <c r="M50335" s="13"/>
    </row>
    <row r="50336">
      <c r="F50336" s="13"/>
      <c r="M50336" s="13"/>
    </row>
    <row r="50337">
      <c r="F50337" s="13"/>
      <c r="M50337" s="13"/>
    </row>
    <row r="50338">
      <c r="F50338" s="13"/>
      <c r="M50338" s="13"/>
    </row>
    <row r="50339">
      <c r="F50339" s="13"/>
      <c r="M50339" s="13"/>
    </row>
    <row r="50340">
      <c r="F50340" s="13"/>
      <c r="M50340" s="13"/>
    </row>
    <row r="50341">
      <c r="F50341" s="13"/>
      <c r="M50341" s="13"/>
    </row>
    <row r="50342">
      <c r="F50342" s="13"/>
      <c r="M50342" s="13"/>
    </row>
    <row r="50343">
      <c r="F50343" s="13"/>
      <c r="M50343" s="13"/>
    </row>
    <row r="50344">
      <c r="F50344" s="13"/>
      <c r="M50344" s="13"/>
    </row>
    <row r="50345">
      <c r="F50345" s="13"/>
      <c r="M50345" s="13"/>
    </row>
    <row r="50346">
      <c r="F50346" s="13"/>
      <c r="M50346" s="13"/>
    </row>
    <row r="50347">
      <c r="F50347" s="13"/>
      <c r="M50347" s="13"/>
    </row>
    <row r="50348">
      <c r="F50348" s="13"/>
      <c r="M50348" s="13"/>
    </row>
    <row r="50349">
      <c r="F50349" s="13"/>
      <c r="M50349" s="13"/>
    </row>
    <row r="50350">
      <c r="F50350" s="13"/>
      <c r="M50350" s="13"/>
    </row>
    <row r="50351">
      <c r="F50351" s="13"/>
      <c r="M50351" s="13"/>
    </row>
    <row r="50352">
      <c r="F50352" s="13"/>
      <c r="M50352" s="13"/>
    </row>
    <row r="50353">
      <c r="F50353" s="13"/>
      <c r="M50353" s="13"/>
    </row>
    <row r="50354">
      <c r="F50354" s="13"/>
      <c r="M50354" s="13"/>
    </row>
    <row r="50355">
      <c r="F50355" s="13"/>
      <c r="M50355" s="13"/>
    </row>
    <row r="50356">
      <c r="F50356" s="13"/>
      <c r="M50356" s="13"/>
    </row>
    <row r="50357">
      <c r="F50357" s="13"/>
      <c r="M50357" s="13"/>
    </row>
    <row r="50358">
      <c r="F50358" s="13"/>
      <c r="M50358" s="13"/>
    </row>
    <row r="50359">
      <c r="F50359" s="13"/>
      <c r="M50359" s="13"/>
    </row>
    <row r="50360">
      <c r="F50360" s="13"/>
      <c r="M50360" s="13"/>
    </row>
    <row r="50361">
      <c r="F50361" s="13"/>
      <c r="M50361" s="13"/>
    </row>
    <row r="50362">
      <c r="F50362" s="13"/>
      <c r="M50362" s="13"/>
    </row>
    <row r="50363">
      <c r="F50363" s="13"/>
      <c r="M50363" s="13"/>
    </row>
    <row r="50364">
      <c r="F50364" s="13"/>
      <c r="M50364" s="13"/>
    </row>
    <row r="50365">
      <c r="F50365" s="13"/>
      <c r="M50365" s="13"/>
    </row>
    <row r="50366">
      <c r="F50366" s="13"/>
      <c r="M50366" s="13"/>
    </row>
    <row r="50367">
      <c r="F50367" s="13"/>
      <c r="M50367" s="13"/>
    </row>
    <row r="50368">
      <c r="F50368" s="13"/>
      <c r="M50368" s="13"/>
    </row>
    <row r="50369">
      <c r="F50369" s="13"/>
      <c r="M50369" s="13"/>
    </row>
    <row r="50370">
      <c r="F50370" s="13"/>
      <c r="M50370" s="13"/>
    </row>
    <row r="50371">
      <c r="F50371" s="13"/>
      <c r="M50371" s="13"/>
    </row>
    <row r="50372">
      <c r="F50372" s="13"/>
      <c r="M50372" s="13"/>
    </row>
    <row r="50373">
      <c r="F50373" s="13"/>
      <c r="M50373" s="13"/>
    </row>
    <row r="50374">
      <c r="F50374" s="13"/>
      <c r="M50374" s="13"/>
    </row>
    <row r="50375">
      <c r="F50375" s="13"/>
      <c r="M50375" s="13"/>
    </row>
    <row r="50376">
      <c r="F50376" s="13"/>
      <c r="M50376" s="13"/>
    </row>
    <row r="50377">
      <c r="F50377" s="13"/>
      <c r="M50377" s="13"/>
    </row>
    <row r="50378">
      <c r="F50378" s="13"/>
      <c r="M50378" s="13"/>
    </row>
    <row r="50379">
      <c r="F50379" s="13"/>
      <c r="M50379" s="13"/>
    </row>
    <row r="50380">
      <c r="F50380" s="13"/>
      <c r="M50380" s="13"/>
    </row>
    <row r="50381">
      <c r="F50381" s="13"/>
      <c r="M50381" s="13"/>
    </row>
    <row r="50382">
      <c r="F50382" s="13"/>
      <c r="M50382" s="13"/>
    </row>
    <row r="50383">
      <c r="F50383" s="13"/>
      <c r="M50383" s="13"/>
    </row>
    <row r="50384">
      <c r="F50384" s="13"/>
      <c r="M50384" s="13"/>
    </row>
    <row r="50385">
      <c r="F50385" s="13"/>
      <c r="M50385" s="13"/>
    </row>
    <row r="50386">
      <c r="F50386" s="13"/>
      <c r="M50386" s="13"/>
    </row>
    <row r="50387">
      <c r="F50387" s="13"/>
      <c r="M50387" s="13"/>
    </row>
    <row r="50388">
      <c r="F50388" s="13"/>
      <c r="M50388" s="13"/>
    </row>
    <row r="50389">
      <c r="F50389" s="13"/>
      <c r="M50389" s="13"/>
    </row>
    <row r="50390">
      <c r="F50390" s="13"/>
      <c r="M50390" s="13"/>
    </row>
    <row r="50391">
      <c r="F50391" s="13"/>
      <c r="M50391" s="13"/>
    </row>
    <row r="50392">
      <c r="F50392" s="13"/>
      <c r="M50392" s="13"/>
    </row>
    <row r="50393">
      <c r="F50393" s="13"/>
      <c r="M50393" s="13"/>
    </row>
    <row r="50394">
      <c r="F50394" s="13"/>
      <c r="M50394" s="13"/>
    </row>
    <row r="50395">
      <c r="F50395" s="13"/>
      <c r="M50395" s="13"/>
    </row>
    <row r="50396">
      <c r="F50396" s="13"/>
      <c r="M50396" s="13"/>
    </row>
    <row r="50397">
      <c r="F50397" s="13"/>
      <c r="M50397" s="13"/>
    </row>
    <row r="50398">
      <c r="F50398" s="13"/>
      <c r="M50398" s="13"/>
    </row>
    <row r="50399">
      <c r="F50399" s="13"/>
      <c r="M50399" s="13"/>
    </row>
    <row r="50400">
      <c r="F50400" s="13"/>
      <c r="M50400" s="13"/>
    </row>
    <row r="50401">
      <c r="F50401" s="13"/>
      <c r="M50401" s="13"/>
    </row>
    <row r="50402">
      <c r="F50402" s="13"/>
      <c r="M50402" s="13"/>
    </row>
    <row r="50403">
      <c r="F50403" s="13"/>
      <c r="M50403" s="13"/>
    </row>
    <row r="50404">
      <c r="F50404" s="13"/>
      <c r="M50404" s="13"/>
    </row>
    <row r="50405">
      <c r="F50405" s="13"/>
      <c r="M50405" s="13"/>
    </row>
    <row r="50406">
      <c r="F50406" s="13"/>
      <c r="M50406" s="13"/>
    </row>
    <row r="50407">
      <c r="F50407" s="13"/>
      <c r="M50407" s="13"/>
    </row>
    <row r="50408">
      <c r="F50408" s="13"/>
      <c r="M50408" s="13"/>
    </row>
    <row r="50409">
      <c r="F50409" s="13"/>
      <c r="M50409" s="13"/>
    </row>
    <row r="50410">
      <c r="F50410" s="13"/>
      <c r="M50410" s="13"/>
    </row>
    <row r="50411">
      <c r="F50411" s="13"/>
      <c r="M50411" s="13"/>
    </row>
    <row r="50412">
      <c r="F50412" s="13"/>
      <c r="M50412" s="13"/>
    </row>
    <row r="50413">
      <c r="F50413" s="13"/>
      <c r="M50413" s="13"/>
    </row>
    <row r="50414">
      <c r="F50414" s="13"/>
      <c r="M50414" s="13"/>
    </row>
    <row r="50415">
      <c r="F50415" s="13"/>
      <c r="M50415" s="13"/>
    </row>
    <row r="50416">
      <c r="F50416" s="13"/>
      <c r="M50416" s="13"/>
    </row>
    <row r="50417">
      <c r="F50417" s="13"/>
      <c r="M50417" s="13"/>
    </row>
    <row r="50418">
      <c r="F50418" s="13"/>
      <c r="M50418" s="13"/>
    </row>
    <row r="50419">
      <c r="F50419" s="13"/>
      <c r="M50419" s="13"/>
    </row>
    <row r="50420">
      <c r="F50420" s="13"/>
      <c r="M50420" s="13"/>
    </row>
    <row r="50421">
      <c r="F50421" s="13"/>
      <c r="M50421" s="13"/>
    </row>
    <row r="50422">
      <c r="F50422" s="13"/>
      <c r="M50422" s="13"/>
    </row>
    <row r="50423">
      <c r="F50423" s="13"/>
      <c r="M50423" s="13"/>
    </row>
    <row r="50424">
      <c r="F50424" s="13"/>
      <c r="M50424" s="13"/>
    </row>
    <row r="50425">
      <c r="F50425" s="13"/>
      <c r="M50425" s="13"/>
    </row>
    <row r="50426">
      <c r="F50426" s="13"/>
      <c r="M50426" s="13"/>
    </row>
    <row r="50427">
      <c r="F50427" s="13"/>
      <c r="M50427" s="13"/>
    </row>
    <row r="50428">
      <c r="F50428" s="13"/>
      <c r="M50428" s="13"/>
    </row>
    <row r="50429">
      <c r="F50429" s="13"/>
      <c r="M50429" s="13"/>
    </row>
    <row r="50430">
      <c r="F50430" s="13"/>
      <c r="M50430" s="13"/>
    </row>
    <row r="50431">
      <c r="F50431" s="13"/>
      <c r="M50431" s="13"/>
    </row>
    <row r="50432">
      <c r="F50432" s="13"/>
      <c r="M50432" s="13"/>
    </row>
    <row r="50433">
      <c r="F50433" s="13"/>
      <c r="M50433" s="13"/>
    </row>
    <row r="50434">
      <c r="F50434" s="13"/>
      <c r="M50434" s="13"/>
    </row>
    <row r="50435">
      <c r="F50435" s="13"/>
      <c r="M50435" s="13"/>
    </row>
    <row r="50436">
      <c r="F50436" s="13"/>
      <c r="M50436" s="13"/>
    </row>
    <row r="50437">
      <c r="F50437" s="13"/>
      <c r="M50437" s="13"/>
    </row>
    <row r="50438">
      <c r="F50438" s="13"/>
      <c r="M50438" s="13"/>
    </row>
    <row r="50439">
      <c r="F50439" s="13"/>
      <c r="M50439" s="13"/>
    </row>
    <row r="50440">
      <c r="F50440" s="13"/>
      <c r="M50440" s="13"/>
    </row>
    <row r="50441">
      <c r="F50441" s="13"/>
      <c r="M50441" s="13"/>
    </row>
    <row r="50442">
      <c r="F50442" s="13"/>
      <c r="M50442" s="13"/>
    </row>
    <row r="50443">
      <c r="F50443" s="13"/>
      <c r="M50443" s="13"/>
    </row>
    <row r="50444">
      <c r="F50444" s="13"/>
      <c r="M50444" s="13"/>
    </row>
    <row r="50445">
      <c r="F50445" s="13"/>
      <c r="M50445" s="13"/>
    </row>
    <row r="50446">
      <c r="F50446" s="13"/>
      <c r="M50446" s="13"/>
    </row>
    <row r="50447">
      <c r="F50447" s="13"/>
      <c r="M50447" s="13"/>
    </row>
    <row r="50448">
      <c r="F50448" s="13"/>
      <c r="M50448" s="13"/>
    </row>
    <row r="50449">
      <c r="F50449" s="13"/>
      <c r="M50449" s="13"/>
    </row>
    <row r="50450">
      <c r="F50450" s="13"/>
      <c r="M50450" s="13"/>
    </row>
    <row r="50451">
      <c r="F50451" s="13"/>
      <c r="M50451" s="13"/>
    </row>
    <row r="50452">
      <c r="F50452" s="13"/>
      <c r="M50452" s="13"/>
    </row>
    <row r="50453">
      <c r="F50453" s="13"/>
      <c r="M50453" s="13"/>
    </row>
    <row r="50454">
      <c r="F50454" s="13"/>
      <c r="M50454" s="13"/>
    </row>
    <row r="50455">
      <c r="F50455" s="13"/>
      <c r="M50455" s="13"/>
    </row>
    <row r="50456">
      <c r="F50456" s="13"/>
      <c r="M50456" s="13"/>
    </row>
    <row r="50457">
      <c r="F50457" s="13"/>
      <c r="M50457" s="13"/>
    </row>
    <row r="50458">
      <c r="F50458" s="13"/>
      <c r="M50458" s="13"/>
    </row>
    <row r="50459">
      <c r="F50459" s="13"/>
      <c r="M50459" s="13"/>
    </row>
    <row r="50460">
      <c r="F50460" s="13"/>
      <c r="M50460" s="13"/>
    </row>
    <row r="50461">
      <c r="F50461" s="13"/>
      <c r="M50461" s="13"/>
    </row>
    <row r="50462">
      <c r="F50462" s="13"/>
      <c r="M50462" s="13"/>
    </row>
    <row r="50463">
      <c r="F50463" s="13"/>
      <c r="M50463" s="13"/>
    </row>
    <row r="50464">
      <c r="F50464" s="13"/>
      <c r="M50464" s="13"/>
    </row>
    <row r="50465">
      <c r="F50465" s="13"/>
      <c r="M50465" s="13"/>
    </row>
    <row r="50466">
      <c r="F50466" s="13"/>
      <c r="M50466" s="13"/>
    </row>
    <row r="50467">
      <c r="F50467" s="13"/>
      <c r="M50467" s="13"/>
    </row>
    <row r="50468">
      <c r="F50468" s="13"/>
      <c r="M50468" s="13"/>
    </row>
    <row r="50469">
      <c r="F50469" s="13"/>
      <c r="M50469" s="13"/>
    </row>
    <row r="50470">
      <c r="F50470" s="13"/>
      <c r="M50470" s="13"/>
    </row>
    <row r="50471">
      <c r="F50471" s="13"/>
      <c r="M50471" s="13"/>
    </row>
    <row r="50472">
      <c r="F50472" s="13"/>
      <c r="M50472" s="13"/>
    </row>
    <row r="50473">
      <c r="F50473" s="13"/>
      <c r="M50473" s="13"/>
    </row>
    <row r="50474">
      <c r="F50474" s="13"/>
      <c r="M50474" s="13"/>
    </row>
    <row r="50475">
      <c r="F50475" s="13"/>
      <c r="M50475" s="13"/>
    </row>
    <row r="50476">
      <c r="F50476" s="13"/>
      <c r="M50476" s="13"/>
    </row>
    <row r="50477">
      <c r="F50477" s="13"/>
      <c r="M50477" s="13"/>
    </row>
    <row r="50478">
      <c r="F50478" s="13"/>
      <c r="M50478" s="13"/>
    </row>
    <row r="50479">
      <c r="F50479" s="13"/>
      <c r="M50479" s="13"/>
    </row>
    <row r="50480">
      <c r="F50480" s="13"/>
      <c r="M50480" s="13"/>
    </row>
    <row r="50481">
      <c r="F50481" s="13"/>
      <c r="M50481" s="13"/>
    </row>
    <row r="50482">
      <c r="F50482" s="13"/>
      <c r="M50482" s="13"/>
    </row>
    <row r="50483">
      <c r="F50483" s="13"/>
      <c r="M50483" s="13"/>
    </row>
    <row r="50484">
      <c r="F50484" s="13"/>
      <c r="M50484" s="13"/>
    </row>
    <row r="50485">
      <c r="F50485" s="13"/>
      <c r="M50485" s="13"/>
    </row>
    <row r="50486">
      <c r="F50486" s="13"/>
      <c r="M50486" s="13"/>
    </row>
    <row r="50487">
      <c r="F50487" s="13"/>
      <c r="M50487" s="13"/>
    </row>
    <row r="50488">
      <c r="F50488" s="13"/>
      <c r="M50488" s="13"/>
    </row>
    <row r="50489">
      <c r="F50489" s="13"/>
      <c r="M50489" s="13"/>
    </row>
    <row r="50490">
      <c r="F50490" s="13"/>
      <c r="M50490" s="13"/>
    </row>
    <row r="50491">
      <c r="F50491" s="13"/>
      <c r="M50491" s="13"/>
    </row>
    <row r="50492">
      <c r="F50492" s="13"/>
      <c r="M50492" s="13"/>
    </row>
    <row r="50493">
      <c r="F50493" s="13"/>
      <c r="M50493" s="13"/>
    </row>
    <row r="50494">
      <c r="F50494" s="13"/>
      <c r="M50494" s="13"/>
    </row>
    <row r="50495">
      <c r="F50495" s="13"/>
      <c r="M50495" s="13"/>
    </row>
    <row r="50496">
      <c r="F50496" s="13"/>
      <c r="M50496" s="13"/>
    </row>
    <row r="50497">
      <c r="F50497" s="13"/>
      <c r="M50497" s="13"/>
    </row>
    <row r="50498">
      <c r="F50498" s="13"/>
      <c r="M50498" s="13"/>
    </row>
    <row r="50499">
      <c r="F50499" s="13"/>
      <c r="M50499" s="13"/>
    </row>
    <row r="50500">
      <c r="F50500" s="13"/>
      <c r="M50500" s="13"/>
    </row>
    <row r="50501">
      <c r="F50501" s="13"/>
      <c r="M50501" s="13"/>
    </row>
    <row r="50502">
      <c r="F50502" s="13"/>
      <c r="M50502" s="13"/>
    </row>
    <row r="50503">
      <c r="F50503" s="13"/>
      <c r="M50503" s="13"/>
    </row>
    <row r="50504">
      <c r="F50504" s="13"/>
      <c r="M50504" s="13"/>
    </row>
    <row r="50505">
      <c r="F50505" s="13"/>
      <c r="M50505" s="13"/>
    </row>
    <row r="50506">
      <c r="F50506" s="13"/>
      <c r="M50506" s="13"/>
    </row>
    <row r="50507">
      <c r="F50507" s="13"/>
      <c r="M50507" s="13"/>
    </row>
    <row r="50508">
      <c r="F50508" s="13"/>
      <c r="M50508" s="13"/>
    </row>
    <row r="50509">
      <c r="F50509" s="13"/>
      <c r="M50509" s="13"/>
    </row>
    <row r="50510">
      <c r="F50510" s="13"/>
      <c r="M50510" s="13"/>
    </row>
    <row r="50511">
      <c r="F50511" s="13"/>
      <c r="M50511" s="13"/>
    </row>
    <row r="50512">
      <c r="F50512" s="13"/>
      <c r="M50512" s="13"/>
    </row>
    <row r="50513">
      <c r="F50513" s="13"/>
      <c r="M50513" s="13"/>
    </row>
    <row r="50514">
      <c r="F50514" s="13"/>
      <c r="M50514" s="13"/>
    </row>
    <row r="50515">
      <c r="F50515" s="13"/>
      <c r="M50515" s="13"/>
    </row>
    <row r="50516">
      <c r="F50516" s="13"/>
      <c r="M50516" s="13"/>
    </row>
    <row r="50517">
      <c r="F50517" s="13"/>
      <c r="M50517" s="13"/>
    </row>
    <row r="50518">
      <c r="F50518" s="13"/>
      <c r="M50518" s="13"/>
    </row>
    <row r="50519">
      <c r="F50519" s="13"/>
      <c r="M50519" s="13"/>
    </row>
    <row r="50520">
      <c r="F50520" s="13"/>
      <c r="M50520" s="13"/>
    </row>
    <row r="50521">
      <c r="F50521" s="13"/>
      <c r="M50521" s="13"/>
    </row>
    <row r="50522">
      <c r="F50522" s="13"/>
      <c r="M50522" s="13"/>
    </row>
    <row r="50523">
      <c r="F50523" s="13"/>
      <c r="M50523" s="13"/>
    </row>
    <row r="50524">
      <c r="F50524" s="13"/>
      <c r="M50524" s="13"/>
    </row>
    <row r="50525">
      <c r="F50525" s="13"/>
      <c r="M50525" s="13"/>
    </row>
    <row r="50526">
      <c r="F50526" s="13"/>
      <c r="M50526" s="13"/>
    </row>
    <row r="50527">
      <c r="F50527" s="13"/>
      <c r="M50527" s="13"/>
    </row>
    <row r="50528">
      <c r="F50528" s="13"/>
      <c r="M50528" s="13"/>
    </row>
    <row r="50529">
      <c r="F50529" s="13"/>
      <c r="M50529" s="13"/>
    </row>
    <row r="50530">
      <c r="F50530" s="13"/>
      <c r="M50530" s="13"/>
    </row>
    <row r="50531">
      <c r="F50531" s="13"/>
      <c r="M50531" s="13"/>
    </row>
    <row r="50532">
      <c r="F50532" s="13"/>
      <c r="M50532" s="13"/>
    </row>
    <row r="50533">
      <c r="F50533" s="13"/>
      <c r="M50533" s="13"/>
    </row>
    <row r="50534">
      <c r="F50534" s="13"/>
      <c r="M50534" s="13"/>
    </row>
    <row r="50535">
      <c r="F50535" s="13"/>
      <c r="M50535" s="13"/>
    </row>
    <row r="50536">
      <c r="F50536" s="13"/>
      <c r="M50536" s="13"/>
    </row>
    <row r="50537">
      <c r="F50537" s="13"/>
      <c r="M50537" s="13"/>
    </row>
    <row r="50538">
      <c r="F50538" s="13"/>
      <c r="M50538" s="13"/>
    </row>
    <row r="50539">
      <c r="F50539" s="13"/>
      <c r="M50539" s="13"/>
    </row>
    <row r="50540">
      <c r="F50540" s="13"/>
      <c r="M50540" s="13"/>
    </row>
    <row r="50541">
      <c r="F50541" s="13"/>
      <c r="M50541" s="13"/>
    </row>
    <row r="50542">
      <c r="F50542" s="13"/>
      <c r="M50542" s="13"/>
    </row>
    <row r="50543">
      <c r="F50543" s="13"/>
      <c r="M50543" s="13"/>
    </row>
    <row r="50544">
      <c r="F50544" s="13"/>
      <c r="M50544" s="13"/>
    </row>
    <row r="50545">
      <c r="F50545" s="13"/>
      <c r="M50545" s="13"/>
    </row>
    <row r="50546">
      <c r="F50546" s="13"/>
      <c r="M50546" s="13"/>
    </row>
    <row r="50547">
      <c r="F50547" s="13"/>
      <c r="M50547" s="13"/>
    </row>
    <row r="50548">
      <c r="F50548" s="13"/>
      <c r="M50548" s="13"/>
    </row>
    <row r="50549">
      <c r="F50549" s="13"/>
      <c r="M50549" s="13"/>
    </row>
    <row r="50550">
      <c r="F50550" s="13"/>
      <c r="M50550" s="13"/>
    </row>
    <row r="50551">
      <c r="F50551" s="13"/>
      <c r="M50551" s="13"/>
    </row>
    <row r="50552">
      <c r="F50552" s="13"/>
      <c r="M50552" s="13"/>
    </row>
    <row r="50553">
      <c r="F50553" s="13"/>
      <c r="M50553" s="13"/>
    </row>
    <row r="50554">
      <c r="F50554" s="13"/>
      <c r="M50554" s="13"/>
    </row>
    <row r="50555">
      <c r="F50555" s="13"/>
      <c r="M50555" s="13"/>
    </row>
    <row r="50556">
      <c r="F50556" s="13"/>
      <c r="M50556" s="13"/>
    </row>
    <row r="50557">
      <c r="F50557" s="13"/>
      <c r="M50557" s="13"/>
    </row>
    <row r="50558">
      <c r="F50558" s="13"/>
      <c r="M50558" s="13"/>
    </row>
    <row r="50559">
      <c r="F50559" s="13"/>
      <c r="M50559" s="13"/>
    </row>
    <row r="50560">
      <c r="F50560" s="13"/>
      <c r="M50560" s="13"/>
    </row>
    <row r="50561">
      <c r="F50561" s="13"/>
      <c r="M50561" s="13"/>
    </row>
    <row r="50562">
      <c r="F50562" s="13"/>
      <c r="M50562" s="13"/>
    </row>
    <row r="50563">
      <c r="F50563" s="13"/>
      <c r="M50563" s="13"/>
    </row>
    <row r="50564">
      <c r="F50564" s="13"/>
      <c r="M50564" s="13"/>
    </row>
    <row r="50565">
      <c r="F50565" s="13"/>
      <c r="M50565" s="13"/>
    </row>
    <row r="50566">
      <c r="F50566" s="13"/>
      <c r="M50566" s="13"/>
    </row>
    <row r="50567">
      <c r="F50567" s="13"/>
      <c r="M50567" s="13"/>
    </row>
    <row r="50568">
      <c r="F50568" s="13"/>
      <c r="M50568" s="13"/>
    </row>
    <row r="50569">
      <c r="F50569" s="13"/>
      <c r="M50569" s="13"/>
    </row>
    <row r="50570">
      <c r="F50570" s="13"/>
      <c r="M50570" s="13"/>
    </row>
    <row r="50571">
      <c r="F50571" s="13"/>
      <c r="M50571" s="13"/>
    </row>
    <row r="50572">
      <c r="F50572" s="13"/>
      <c r="M50572" s="13"/>
    </row>
    <row r="50573">
      <c r="F50573" s="13"/>
      <c r="M50573" s="13"/>
    </row>
    <row r="50574">
      <c r="F50574" s="13"/>
      <c r="M50574" s="13"/>
    </row>
    <row r="50575">
      <c r="F50575" s="13"/>
      <c r="M50575" s="13"/>
    </row>
    <row r="50576">
      <c r="F50576" s="13"/>
      <c r="M50576" s="13"/>
    </row>
    <row r="50577">
      <c r="F50577" s="13"/>
      <c r="M50577" s="13"/>
    </row>
    <row r="50578">
      <c r="F50578" s="13"/>
      <c r="M50578" s="13"/>
    </row>
    <row r="50579">
      <c r="F50579" s="13"/>
      <c r="M50579" s="13"/>
    </row>
    <row r="50580">
      <c r="F50580" s="13"/>
      <c r="M50580" s="13"/>
    </row>
    <row r="50581">
      <c r="F50581" s="13"/>
      <c r="M50581" s="13"/>
    </row>
    <row r="50582">
      <c r="F50582" s="13"/>
      <c r="M50582" s="13"/>
    </row>
    <row r="50583">
      <c r="F50583" s="13"/>
      <c r="M50583" s="13"/>
    </row>
    <row r="50584">
      <c r="F50584" s="13"/>
      <c r="M50584" s="13"/>
    </row>
    <row r="50585">
      <c r="F50585" s="13"/>
      <c r="M50585" s="13"/>
    </row>
    <row r="50586">
      <c r="F50586" s="13"/>
      <c r="M50586" s="13"/>
    </row>
    <row r="50587">
      <c r="F50587" s="13"/>
      <c r="M50587" s="13"/>
    </row>
    <row r="50588">
      <c r="F50588" s="13"/>
      <c r="M50588" s="13"/>
    </row>
    <row r="50589">
      <c r="F50589" s="13"/>
      <c r="M50589" s="13"/>
    </row>
    <row r="50590">
      <c r="F50590" s="13"/>
      <c r="M50590" s="13"/>
    </row>
    <row r="50591">
      <c r="F50591" s="13"/>
      <c r="M50591" s="13"/>
    </row>
    <row r="50592">
      <c r="F50592" s="13"/>
      <c r="M50592" s="13"/>
    </row>
    <row r="50593">
      <c r="F50593" s="13"/>
      <c r="M50593" s="13"/>
    </row>
    <row r="50594">
      <c r="F50594" s="13"/>
      <c r="M50594" s="13"/>
    </row>
    <row r="50595">
      <c r="F50595" s="13"/>
      <c r="M50595" s="13"/>
    </row>
    <row r="50596">
      <c r="F50596" s="13"/>
      <c r="M50596" s="13"/>
    </row>
    <row r="50597">
      <c r="F50597" s="13"/>
      <c r="M50597" s="13"/>
    </row>
    <row r="50598">
      <c r="F50598" s="13"/>
      <c r="M50598" s="13"/>
    </row>
    <row r="50599">
      <c r="F50599" s="13"/>
      <c r="M50599" s="13"/>
    </row>
    <row r="50600">
      <c r="F50600" s="13"/>
      <c r="M50600" s="13"/>
    </row>
    <row r="50601">
      <c r="F50601" s="13"/>
      <c r="M50601" s="13"/>
    </row>
    <row r="50602">
      <c r="F50602" s="13"/>
      <c r="M50602" s="13"/>
    </row>
    <row r="50603">
      <c r="F50603" s="13"/>
      <c r="M50603" s="13"/>
    </row>
    <row r="50604">
      <c r="F50604" s="13"/>
      <c r="M50604" s="13"/>
    </row>
    <row r="50605">
      <c r="F50605" s="13"/>
      <c r="M50605" s="13"/>
    </row>
    <row r="50606">
      <c r="F50606" s="13"/>
      <c r="M50606" s="13"/>
    </row>
    <row r="50607">
      <c r="F50607" s="13"/>
      <c r="M50607" s="13"/>
    </row>
    <row r="50608">
      <c r="F50608" s="13"/>
      <c r="M50608" s="13"/>
    </row>
    <row r="50609">
      <c r="F50609" s="13"/>
      <c r="M50609" s="13"/>
    </row>
    <row r="50610">
      <c r="F50610" s="13"/>
      <c r="M50610" s="13"/>
    </row>
    <row r="50611">
      <c r="F50611" s="13"/>
      <c r="M50611" s="13"/>
    </row>
    <row r="50612">
      <c r="F50612" s="13"/>
      <c r="M50612" s="13"/>
    </row>
    <row r="50613">
      <c r="F50613" s="13"/>
      <c r="M50613" s="13"/>
    </row>
    <row r="50614">
      <c r="F50614" s="13"/>
      <c r="M50614" s="13"/>
    </row>
    <row r="50615">
      <c r="F50615" s="13"/>
      <c r="M50615" s="13"/>
    </row>
    <row r="50616">
      <c r="F50616" s="13"/>
      <c r="M50616" s="13"/>
    </row>
    <row r="50617">
      <c r="F50617" s="13"/>
      <c r="M50617" s="13"/>
    </row>
    <row r="50618">
      <c r="F50618" s="13"/>
      <c r="M50618" s="13"/>
    </row>
    <row r="50619">
      <c r="F50619" s="13"/>
      <c r="M50619" s="13"/>
    </row>
    <row r="50620">
      <c r="F50620" s="13"/>
      <c r="M50620" s="13"/>
    </row>
    <row r="50621">
      <c r="F50621" s="13"/>
      <c r="M50621" s="13"/>
    </row>
    <row r="50622">
      <c r="F50622" s="13"/>
      <c r="M50622" s="13"/>
    </row>
    <row r="50623">
      <c r="F50623" s="13"/>
      <c r="M50623" s="13"/>
    </row>
    <row r="50624">
      <c r="F50624" s="13"/>
      <c r="M50624" s="13"/>
    </row>
    <row r="50625">
      <c r="F50625" s="13"/>
      <c r="M50625" s="13"/>
    </row>
    <row r="50626">
      <c r="F50626" s="13"/>
      <c r="M50626" s="13"/>
    </row>
    <row r="50627">
      <c r="F50627" s="13"/>
      <c r="M50627" s="13"/>
    </row>
    <row r="50628">
      <c r="F50628" s="13"/>
      <c r="M50628" s="13"/>
    </row>
    <row r="50629">
      <c r="F50629" s="13"/>
      <c r="M50629" s="13"/>
    </row>
    <row r="50630">
      <c r="F50630" s="13"/>
      <c r="M50630" s="13"/>
    </row>
    <row r="50631">
      <c r="F50631" s="13"/>
      <c r="M50631" s="13"/>
    </row>
    <row r="50632">
      <c r="F50632" s="13"/>
      <c r="M50632" s="13"/>
    </row>
    <row r="50633">
      <c r="F50633" s="13"/>
      <c r="M50633" s="13"/>
    </row>
    <row r="50634">
      <c r="F50634" s="13"/>
      <c r="M50634" s="13"/>
    </row>
    <row r="50635">
      <c r="F50635" s="13"/>
      <c r="M50635" s="13"/>
    </row>
    <row r="50636">
      <c r="F50636" s="13"/>
      <c r="M50636" s="13"/>
    </row>
    <row r="50637">
      <c r="F50637" s="13"/>
      <c r="M50637" s="13"/>
    </row>
    <row r="50638">
      <c r="F50638" s="13"/>
      <c r="M50638" s="13"/>
    </row>
    <row r="50639">
      <c r="F50639" s="13"/>
      <c r="M50639" s="13"/>
    </row>
    <row r="50640">
      <c r="F50640" s="13"/>
      <c r="M50640" s="13"/>
    </row>
    <row r="50641">
      <c r="F50641" s="13"/>
      <c r="M50641" s="13"/>
    </row>
    <row r="50642">
      <c r="F50642" s="13"/>
      <c r="M50642" s="13"/>
    </row>
    <row r="50643">
      <c r="F50643" s="13"/>
      <c r="M50643" s="13"/>
    </row>
    <row r="50644">
      <c r="F50644" s="13"/>
      <c r="M50644" s="13"/>
    </row>
    <row r="50645">
      <c r="F50645" s="13"/>
      <c r="M50645" s="13"/>
    </row>
    <row r="50646">
      <c r="F50646" s="13"/>
      <c r="M50646" s="13"/>
    </row>
    <row r="50647">
      <c r="F50647" s="13"/>
      <c r="M50647" s="13"/>
    </row>
    <row r="50648">
      <c r="F50648" s="13"/>
      <c r="M50648" s="13"/>
    </row>
    <row r="50649">
      <c r="F50649" s="13"/>
      <c r="M50649" s="13"/>
    </row>
    <row r="50650">
      <c r="F50650" s="13"/>
      <c r="M50650" s="13"/>
    </row>
    <row r="50651">
      <c r="F50651" s="13"/>
      <c r="M50651" s="13"/>
    </row>
    <row r="50652">
      <c r="F50652" s="13"/>
      <c r="M50652" s="13"/>
    </row>
    <row r="50653">
      <c r="F50653" s="13"/>
      <c r="M50653" s="13"/>
    </row>
    <row r="50654">
      <c r="F50654" s="13"/>
      <c r="M50654" s="13"/>
    </row>
    <row r="50655">
      <c r="F50655" s="13"/>
      <c r="M50655" s="13"/>
    </row>
    <row r="50656">
      <c r="F50656" s="13"/>
      <c r="M50656" s="13"/>
    </row>
    <row r="50657">
      <c r="F50657" s="13"/>
      <c r="M50657" s="13"/>
    </row>
    <row r="50658">
      <c r="F50658" s="13"/>
      <c r="M50658" s="13"/>
    </row>
    <row r="50659">
      <c r="F50659" s="13"/>
      <c r="M50659" s="13"/>
    </row>
    <row r="50660">
      <c r="F50660" s="13"/>
      <c r="M50660" s="13"/>
    </row>
    <row r="50661">
      <c r="F50661" s="13"/>
      <c r="M50661" s="13"/>
    </row>
    <row r="50662">
      <c r="F50662" s="13"/>
      <c r="M50662" s="13"/>
    </row>
    <row r="50663">
      <c r="F50663" s="13"/>
      <c r="M50663" s="13"/>
    </row>
    <row r="50664">
      <c r="F50664" s="13"/>
      <c r="M50664" s="13"/>
    </row>
    <row r="50665">
      <c r="F50665" s="13"/>
      <c r="M50665" s="13"/>
    </row>
    <row r="50666">
      <c r="F50666" s="13"/>
      <c r="M50666" s="13"/>
    </row>
    <row r="50667">
      <c r="F50667" s="13"/>
      <c r="M50667" s="13"/>
    </row>
    <row r="50668">
      <c r="F50668" s="13"/>
      <c r="M50668" s="13"/>
    </row>
    <row r="50669">
      <c r="F50669" s="13"/>
      <c r="M50669" s="13"/>
    </row>
    <row r="50670">
      <c r="F50670" s="13"/>
      <c r="M50670" s="13"/>
    </row>
    <row r="50671">
      <c r="F50671" s="13"/>
      <c r="M50671" s="13"/>
    </row>
    <row r="50672">
      <c r="F50672" s="13"/>
      <c r="M50672" s="13"/>
    </row>
    <row r="50673">
      <c r="F50673" s="13"/>
      <c r="M50673" s="13"/>
    </row>
    <row r="50674">
      <c r="F50674" s="13"/>
      <c r="M50674" s="13"/>
    </row>
    <row r="50675">
      <c r="F50675" s="13"/>
      <c r="M50675" s="13"/>
    </row>
    <row r="50676">
      <c r="F50676" s="13"/>
      <c r="M50676" s="13"/>
    </row>
    <row r="50677">
      <c r="F50677" s="13"/>
      <c r="M50677" s="13"/>
    </row>
    <row r="50678">
      <c r="F50678" s="13"/>
      <c r="M50678" s="13"/>
    </row>
    <row r="50679">
      <c r="F50679" s="13"/>
      <c r="M50679" s="13"/>
    </row>
    <row r="50680">
      <c r="F50680" s="13"/>
      <c r="M50680" s="13"/>
    </row>
    <row r="50681">
      <c r="F50681" s="13"/>
      <c r="M50681" s="13"/>
    </row>
    <row r="50682">
      <c r="F50682" s="13"/>
      <c r="M50682" s="13"/>
    </row>
    <row r="50683">
      <c r="F50683" s="13"/>
      <c r="M50683" s="13"/>
    </row>
    <row r="50684">
      <c r="F50684" s="13"/>
      <c r="M50684" s="13"/>
    </row>
    <row r="50685">
      <c r="F50685" s="13"/>
      <c r="M50685" s="13"/>
    </row>
    <row r="50686">
      <c r="F50686" s="13"/>
      <c r="M50686" s="13"/>
    </row>
    <row r="50687">
      <c r="F50687" s="13"/>
      <c r="M50687" s="13"/>
    </row>
    <row r="50688">
      <c r="F50688" s="13"/>
      <c r="M50688" s="13"/>
    </row>
    <row r="50689">
      <c r="F50689" s="13"/>
      <c r="M50689" s="13"/>
    </row>
    <row r="50690">
      <c r="F50690" s="13"/>
      <c r="M50690" s="13"/>
    </row>
    <row r="50691">
      <c r="F50691" s="13"/>
      <c r="M50691" s="13"/>
    </row>
    <row r="50692">
      <c r="F50692" s="13"/>
      <c r="M50692" s="13"/>
    </row>
    <row r="50693">
      <c r="F50693" s="13"/>
      <c r="M50693" s="13"/>
    </row>
    <row r="50694">
      <c r="F50694" s="13"/>
      <c r="M50694" s="13"/>
    </row>
    <row r="50695">
      <c r="F50695" s="13"/>
      <c r="M50695" s="13"/>
    </row>
    <row r="50696">
      <c r="F50696" s="13"/>
      <c r="M50696" s="13"/>
    </row>
    <row r="50697">
      <c r="F50697" s="13"/>
      <c r="M50697" s="13"/>
    </row>
    <row r="50698">
      <c r="F50698" s="13"/>
      <c r="M50698" s="13"/>
    </row>
    <row r="50699">
      <c r="F50699" s="13"/>
      <c r="M50699" s="13"/>
    </row>
    <row r="50700">
      <c r="F50700" s="13"/>
      <c r="M50700" s="13"/>
    </row>
    <row r="50701">
      <c r="F50701" s="13"/>
      <c r="M50701" s="13"/>
    </row>
    <row r="50702">
      <c r="F50702" s="13"/>
      <c r="M50702" s="13"/>
    </row>
    <row r="50703">
      <c r="F50703" s="13"/>
      <c r="M50703" s="13"/>
    </row>
    <row r="50704">
      <c r="F50704" s="13"/>
      <c r="M50704" s="13"/>
    </row>
    <row r="50705">
      <c r="F50705" s="13"/>
      <c r="M50705" s="13"/>
    </row>
    <row r="50706">
      <c r="F50706" s="13"/>
      <c r="M50706" s="13"/>
    </row>
    <row r="50707">
      <c r="F50707" s="13"/>
      <c r="M50707" s="13"/>
    </row>
    <row r="50708">
      <c r="F50708" s="13"/>
      <c r="M50708" s="13"/>
    </row>
    <row r="50709">
      <c r="F50709" s="13"/>
      <c r="M50709" s="13"/>
    </row>
    <row r="50710">
      <c r="F50710" s="13"/>
      <c r="M50710" s="13"/>
    </row>
    <row r="50711">
      <c r="F50711" s="13"/>
      <c r="M50711" s="13"/>
    </row>
    <row r="50712">
      <c r="F50712" s="13"/>
      <c r="M50712" s="13"/>
    </row>
    <row r="50713">
      <c r="F50713" s="13"/>
      <c r="M50713" s="13"/>
    </row>
    <row r="50714">
      <c r="F50714" s="13"/>
      <c r="M50714" s="13"/>
    </row>
    <row r="50715">
      <c r="F50715" s="13"/>
      <c r="M50715" s="13"/>
    </row>
    <row r="50716">
      <c r="F50716" s="13"/>
      <c r="M50716" s="13"/>
    </row>
    <row r="50717">
      <c r="F50717" s="13"/>
      <c r="M50717" s="13"/>
    </row>
    <row r="50718">
      <c r="F50718" s="13"/>
      <c r="M50718" s="13"/>
    </row>
    <row r="50719">
      <c r="F50719" s="13"/>
      <c r="M50719" s="13"/>
    </row>
    <row r="50720">
      <c r="F50720" s="13"/>
      <c r="M50720" s="13"/>
    </row>
    <row r="50721">
      <c r="F50721" s="13"/>
      <c r="M50721" s="13"/>
    </row>
    <row r="50722">
      <c r="F50722" s="13"/>
      <c r="M50722" s="13"/>
    </row>
    <row r="50723">
      <c r="F50723" s="13"/>
      <c r="M50723" s="13"/>
    </row>
    <row r="50724">
      <c r="F50724" s="13"/>
      <c r="M50724" s="13"/>
    </row>
    <row r="50725">
      <c r="F50725" s="13"/>
      <c r="M50725" s="13"/>
    </row>
    <row r="50726">
      <c r="F50726" s="13"/>
      <c r="M50726" s="13"/>
    </row>
    <row r="50727">
      <c r="F50727" s="13"/>
      <c r="M50727" s="13"/>
    </row>
    <row r="50728">
      <c r="F50728" s="13"/>
      <c r="M50728" s="13"/>
    </row>
    <row r="50729">
      <c r="F50729" s="13"/>
      <c r="M50729" s="13"/>
    </row>
    <row r="50730">
      <c r="F50730" s="13"/>
      <c r="M50730" s="13"/>
    </row>
    <row r="50731">
      <c r="F50731" s="13"/>
      <c r="M50731" s="13"/>
    </row>
    <row r="50732">
      <c r="F50732" s="13"/>
      <c r="M50732" s="13"/>
    </row>
    <row r="50733">
      <c r="F50733" s="13"/>
      <c r="M50733" s="13"/>
    </row>
    <row r="50734">
      <c r="F50734" s="13"/>
      <c r="M50734" s="13"/>
    </row>
    <row r="50735">
      <c r="F50735" s="13"/>
      <c r="M50735" s="13"/>
    </row>
    <row r="50736">
      <c r="F50736" s="13"/>
      <c r="M50736" s="13"/>
    </row>
    <row r="50737">
      <c r="F50737" s="13"/>
      <c r="M50737" s="13"/>
    </row>
    <row r="50738">
      <c r="F50738" s="13"/>
      <c r="M50738" s="13"/>
    </row>
    <row r="50739">
      <c r="F50739" s="13"/>
      <c r="M50739" s="13"/>
    </row>
    <row r="50740">
      <c r="F50740" s="13"/>
      <c r="M50740" s="13"/>
    </row>
    <row r="50741">
      <c r="F50741" s="13"/>
      <c r="M50741" s="13"/>
    </row>
    <row r="50742">
      <c r="F50742" s="13"/>
      <c r="M50742" s="13"/>
    </row>
    <row r="50743">
      <c r="F50743" s="13"/>
      <c r="M50743" s="13"/>
    </row>
    <row r="50744">
      <c r="F50744" s="13"/>
      <c r="M50744" s="13"/>
    </row>
    <row r="50745">
      <c r="F50745" s="13"/>
      <c r="M50745" s="13"/>
    </row>
    <row r="50746">
      <c r="F50746" s="13"/>
      <c r="M50746" s="13"/>
    </row>
    <row r="50747">
      <c r="F50747" s="13"/>
      <c r="M50747" s="13"/>
    </row>
    <row r="50748">
      <c r="F50748" s="13"/>
      <c r="M50748" s="13"/>
    </row>
    <row r="50749">
      <c r="F50749" s="13"/>
      <c r="M50749" s="13"/>
    </row>
    <row r="50750">
      <c r="F50750" s="13"/>
      <c r="M50750" s="13"/>
    </row>
    <row r="50751">
      <c r="F50751" s="13"/>
      <c r="M50751" s="13"/>
    </row>
    <row r="50752">
      <c r="F50752" s="13"/>
      <c r="M50752" s="13"/>
    </row>
    <row r="50753">
      <c r="F50753" s="13"/>
      <c r="M50753" s="13"/>
    </row>
    <row r="50754">
      <c r="F50754" s="13"/>
      <c r="M50754" s="13"/>
    </row>
    <row r="50755">
      <c r="F50755" s="13"/>
      <c r="M50755" s="13"/>
    </row>
    <row r="50756">
      <c r="F50756" s="13"/>
      <c r="M50756" s="13"/>
    </row>
    <row r="50757">
      <c r="F50757" s="13"/>
      <c r="M50757" s="13"/>
    </row>
    <row r="50758">
      <c r="F50758" s="13"/>
      <c r="M50758" s="13"/>
    </row>
    <row r="50759">
      <c r="F50759" s="13"/>
      <c r="M50759" s="13"/>
    </row>
    <row r="50760">
      <c r="F50760" s="13"/>
      <c r="M50760" s="13"/>
    </row>
    <row r="50761">
      <c r="F50761" s="13"/>
      <c r="M50761" s="13"/>
    </row>
    <row r="50762">
      <c r="F50762" s="13"/>
      <c r="M50762" s="13"/>
    </row>
    <row r="50763">
      <c r="F50763" s="13"/>
      <c r="M50763" s="13"/>
    </row>
    <row r="50764">
      <c r="F50764" s="13"/>
      <c r="M50764" s="13"/>
    </row>
    <row r="50765">
      <c r="F50765" s="13"/>
      <c r="M50765" s="13"/>
    </row>
    <row r="50766">
      <c r="F50766" s="13"/>
      <c r="M50766" s="13"/>
    </row>
    <row r="50767">
      <c r="F50767" s="13"/>
      <c r="M50767" s="13"/>
    </row>
    <row r="50768">
      <c r="F50768" s="13"/>
      <c r="M50768" s="13"/>
    </row>
    <row r="50769">
      <c r="F50769" s="13"/>
      <c r="M50769" s="13"/>
    </row>
    <row r="50770">
      <c r="F50770" s="13"/>
      <c r="M50770" s="13"/>
    </row>
    <row r="50771">
      <c r="F50771" s="13"/>
      <c r="M50771" s="13"/>
    </row>
    <row r="50772">
      <c r="F50772" s="13"/>
      <c r="M50772" s="13"/>
    </row>
    <row r="50773">
      <c r="F50773" s="13"/>
      <c r="M50773" s="13"/>
    </row>
    <row r="50774">
      <c r="F50774" s="13"/>
      <c r="M50774" s="13"/>
    </row>
    <row r="50775">
      <c r="F50775" s="13"/>
      <c r="M50775" s="13"/>
    </row>
    <row r="50776">
      <c r="F50776" s="13"/>
      <c r="M50776" s="13"/>
    </row>
    <row r="50777">
      <c r="F50777" s="13"/>
      <c r="M50777" s="13"/>
    </row>
    <row r="50778">
      <c r="F50778" s="13"/>
      <c r="M50778" s="13"/>
    </row>
    <row r="50779">
      <c r="F50779" s="13"/>
      <c r="M50779" s="13"/>
    </row>
    <row r="50780">
      <c r="F50780" s="13"/>
      <c r="M50780" s="13"/>
    </row>
    <row r="50781">
      <c r="F50781" s="13"/>
      <c r="M50781" s="13"/>
    </row>
    <row r="50782">
      <c r="F50782" s="13"/>
      <c r="M50782" s="13"/>
    </row>
    <row r="50783">
      <c r="F50783" s="13"/>
      <c r="M50783" s="13"/>
    </row>
    <row r="50784">
      <c r="F50784" s="13"/>
      <c r="M50784" s="13"/>
    </row>
    <row r="50785">
      <c r="F50785" s="13"/>
      <c r="M50785" s="13"/>
    </row>
    <row r="50786">
      <c r="F50786" s="13"/>
      <c r="M50786" s="13"/>
    </row>
    <row r="50787">
      <c r="F50787" s="13"/>
      <c r="M50787" s="13"/>
    </row>
    <row r="50788">
      <c r="F50788" s="13"/>
      <c r="M50788" s="13"/>
    </row>
    <row r="50789">
      <c r="F50789" s="13"/>
      <c r="M50789" s="13"/>
    </row>
    <row r="50790">
      <c r="F50790" s="13"/>
      <c r="M50790" s="13"/>
    </row>
    <row r="50791">
      <c r="F50791" s="13"/>
      <c r="M50791" s="13"/>
    </row>
    <row r="50792">
      <c r="F50792" s="13"/>
      <c r="M50792" s="13"/>
    </row>
    <row r="50793">
      <c r="F50793" s="13"/>
      <c r="M50793" s="13"/>
    </row>
    <row r="50794">
      <c r="F50794" s="13"/>
      <c r="M50794" s="13"/>
    </row>
    <row r="50795">
      <c r="F50795" s="13"/>
      <c r="M50795" s="13"/>
    </row>
    <row r="50796">
      <c r="F50796" s="13"/>
      <c r="M50796" s="13"/>
    </row>
    <row r="50797">
      <c r="F50797" s="13"/>
      <c r="M50797" s="13"/>
    </row>
    <row r="50798">
      <c r="F50798" s="13"/>
      <c r="M50798" s="13"/>
    </row>
    <row r="50799">
      <c r="F50799" s="13"/>
      <c r="M50799" s="13"/>
    </row>
    <row r="50800">
      <c r="F50800" s="13"/>
      <c r="M50800" s="13"/>
    </row>
    <row r="50801">
      <c r="F50801" s="13"/>
      <c r="M50801" s="13"/>
    </row>
    <row r="50802">
      <c r="F50802" s="13"/>
      <c r="M50802" s="13"/>
    </row>
    <row r="50803">
      <c r="F50803" s="13"/>
      <c r="M50803" s="13"/>
    </row>
    <row r="50804">
      <c r="F50804" s="13"/>
      <c r="M50804" s="13"/>
    </row>
    <row r="50805">
      <c r="F50805" s="13"/>
      <c r="M50805" s="13"/>
    </row>
    <row r="50806">
      <c r="F50806" s="13"/>
      <c r="M50806" s="13"/>
    </row>
    <row r="50807">
      <c r="F50807" s="13"/>
      <c r="M50807" s="13"/>
    </row>
    <row r="50808">
      <c r="F50808" s="13"/>
      <c r="M50808" s="13"/>
    </row>
    <row r="50809">
      <c r="F50809" s="13"/>
      <c r="M50809" s="13"/>
    </row>
    <row r="50810">
      <c r="F50810" s="13"/>
      <c r="M50810" s="13"/>
    </row>
    <row r="50811">
      <c r="F50811" s="13"/>
      <c r="M50811" s="13"/>
    </row>
    <row r="50812">
      <c r="F50812" s="13"/>
      <c r="M50812" s="13"/>
    </row>
    <row r="50813">
      <c r="F50813" s="13"/>
      <c r="M50813" s="13"/>
    </row>
    <row r="50814">
      <c r="F50814" s="13"/>
      <c r="M50814" s="13"/>
    </row>
    <row r="50815">
      <c r="F50815" s="13"/>
      <c r="M50815" s="13"/>
    </row>
    <row r="50816">
      <c r="F50816" s="13"/>
      <c r="M50816" s="13"/>
    </row>
    <row r="50817">
      <c r="F50817" s="13"/>
      <c r="M50817" s="13"/>
    </row>
    <row r="50818">
      <c r="F50818" s="13"/>
      <c r="M50818" s="13"/>
    </row>
    <row r="50819">
      <c r="F50819" s="13"/>
      <c r="M50819" s="13"/>
    </row>
    <row r="50820">
      <c r="F50820" s="13"/>
      <c r="M50820" s="13"/>
    </row>
    <row r="50821">
      <c r="F50821" s="13"/>
      <c r="M50821" s="13"/>
    </row>
    <row r="50822">
      <c r="F50822" s="13"/>
      <c r="M50822" s="13"/>
    </row>
    <row r="50823">
      <c r="F50823" s="13"/>
      <c r="M50823" s="13"/>
    </row>
    <row r="50824">
      <c r="F50824" s="13"/>
      <c r="M50824" s="13"/>
    </row>
    <row r="50825">
      <c r="F50825" s="13"/>
      <c r="M50825" s="13"/>
    </row>
    <row r="50826">
      <c r="F50826" s="13"/>
      <c r="M50826" s="13"/>
    </row>
    <row r="50827">
      <c r="F50827" s="13"/>
      <c r="M50827" s="13"/>
    </row>
    <row r="50828">
      <c r="F50828" s="13"/>
      <c r="M50828" s="13"/>
    </row>
    <row r="50829">
      <c r="F50829" s="13"/>
      <c r="M50829" s="13"/>
    </row>
    <row r="50830">
      <c r="F50830" s="13"/>
      <c r="M50830" s="13"/>
    </row>
    <row r="50831">
      <c r="F50831" s="13"/>
      <c r="M50831" s="13"/>
    </row>
    <row r="50832">
      <c r="F50832" s="13"/>
      <c r="M50832" s="13"/>
    </row>
    <row r="50833">
      <c r="F50833" s="13"/>
      <c r="M50833" s="13"/>
    </row>
    <row r="50834">
      <c r="F50834" s="13"/>
      <c r="M50834" s="13"/>
    </row>
    <row r="50835">
      <c r="F50835" s="13"/>
      <c r="M50835" s="13"/>
    </row>
    <row r="50836">
      <c r="F50836" s="13"/>
      <c r="M50836" s="13"/>
    </row>
    <row r="50837">
      <c r="F50837" s="13"/>
      <c r="M50837" s="13"/>
    </row>
    <row r="50838">
      <c r="F50838" s="13"/>
      <c r="M50838" s="13"/>
    </row>
    <row r="50839">
      <c r="F50839" s="13"/>
      <c r="M50839" s="13"/>
    </row>
    <row r="50840">
      <c r="F50840" s="13"/>
      <c r="M50840" s="13"/>
    </row>
    <row r="50841">
      <c r="F50841" s="13"/>
      <c r="M50841" s="13"/>
    </row>
    <row r="50842">
      <c r="F50842" s="13"/>
      <c r="M50842" s="13"/>
    </row>
    <row r="50843">
      <c r="F50843" s="13"/>
      <c r="M50843" s="13"/>
    </row>
    <row r="50844">
      <c r="F50844" s="13"/>
      <c r="M50844" s="13"/>
    </row>
    <row r="50845">
      <c r="F50845" s="13"/>
      <c r="M50845" s="13"/>
    </row>
    <row r="50846">
      <c r="F50846" s="13"/>
      <c r="M50846" s="13"/>
    </row>
    <row r="50847">
      <c r="F50847" s="13"/>
      <c r="M50847" s="13"/>
    </row>
    <row r="50848">
      <c r="F50848" s="13"/>
      <c r="M50848" s="13"/>
    </row>
    <row r="50849">
      <c r="F50849" s="13"/>
      <c r="M50849" s="13"/>
    </row>
    <row r="50850">
      <c r="F50850" s="13"/>
      <c r="M50850" s="13"/>
    </row>
    <row r="50851">
      <c r="F50851" s="13"/>
      <c r="M50851" s="13"/>
    </row>
    <row r="50852">
      <c r="F50852" s="13"/>
      <c r="M50852" s="13"/>
    </row>
    <row r="50853">
      <c r="F50853" s="13"/>
      <c r="M50853" s="13"/>
    </row>
    <row r="50854">
      <c r="F50854" s="13"/>
      <c r="M50854" s="13"/>
    </row>
    <row r="50855">
      <c r="F50855" s="13"/>
      <c r="M50855" s="13"/>
    </row>
    <row r="50856">
      <c r="F50856" s="13"/>
      <c r="M50856" s="13"/>
    </row>
    <row r="50857">
      <c r="F50857" s="13"/>
      <c r="M50857" s="13"/>
    </row>
    <row r="50858">
      <c r="F50858" s="13"/>
      <c r="M50858" s="13"/>
    </row>
    <row r="50859">
      <c r="F50859" s="13"/>
      <c r="M50859" s="13"/>
    </row>
    <row r="50860">
      <c r="F50860" s="13"/>
      <c r="M50860" s="13"/>
    </row>
    <row r="50861">
      <c r="F50861" s="13"/>
      <c r="M50861" s="13"/>
    </row>
    <row r="50862">
      <c r="F50862" s="13"/>
      <c r="M50862" s="13"/>
    </row>
    <row r="50863">
      <c r="F50863" s="13"/>
      <c r="M50863" s="13"/>
    </row>
    <row r="50864">
      <c r="F50864" s="13"/>
      <c r="M50864" s="13"/>
    </row>
    <row r="50865">
      <c r="F50865" s="13"/>
      <c r="M50865" s="13"/>
    </row>
    <row r="50866">
      <c r="F50866" s="13"/>
      <c r="M50866" s="13"/>
    </row>
    <row r="50867">
      <c r="F50867" s="13"/>
      <c r="M50867" s="13"/>
    </row>
    <row r="50868">
      <c r="F50868" s="13"/>
      <c r="M50868" s="13"/>
    </row>
    <row r="50869">
      <c r="F50869" s="13"/>
      <c r="M50869" s="13"/>
    </row>
    <row r="50870">
      <c r="F50870" s="13"/>
      <c r="M50870" s="13"/>
    </row>
    <row r="50871">
      <c r="F50871" s="13"/>
      <c r="M50871" s="13"/>
    </row>
    <row r="50872">
      <c r="F50872" s="13"/>
      <c r="M50872" s="13"/>
    </row>
    <row r="50873">
      <c r="F50873" s="13"/>
      <c r="M50873" s="13"/>
    </row>
    <row r="50874">
      <c r="F50874" s="13"/>
      <c r="M50874" s="13"/>
    </row>
    <row r="50875">
      <c r="F50875" s="13"/>
      <c r="M50875" s="13"/>
    </row>
    <row r="50876">
      <c r="F50876" s="13"/>
      <c r="M50876" s="13"/>
    </row>
    <row r="50877">
      <c r="F50877" s="13"/>
      <c r="M50877" s="13"/>
    </row>
    <row r="50878">
      <c r="F50878" s="13"/>
      <c r="M50878" s="13"/>
    </row>
    <row r="50879">
      <c r="F50879" s="13"/>
      <c r="M50879" s="13"/>
    </row>
    <row r="50880">
      <c r="F50880" s="13"/>
      <c r="M50880" s="13"/>
    </row>
    <row r="50881">
      <c r="F50881" s="13"/>
      <c r="M50881" s="13"/>
    </row>
    <row r="50882">
      <c r="F50882" s="13"/>
      <c r="M50882" s="13"/>
    </row>
    <row r="50883">
      <c r="F50883" s="13"/>
      <c r="M50883" s="13"/>
    </row>
    <row r="50884">
      <c r="F50884" s="13"/>
      <c r="M50884" s="13"/>
    </row>
    <row r="50885">
      <c r="F50885" s="13"/>
      <c r="M50885" s="13"/>
    </row>
    <row r="50886">
      <c r="F50886" s="13"/>
      <c r="M50886" s="13"/>
    </row>
    <row r="50887">
      <c r="F50887" s="13"/>
      <c r="M50887" s="13"/>
    </row>
    <row r="50888">
      <c r="F50888" s="13"/>
      <c r="M50888" s="13"/>
    </row>
    <row r="50889">
      <c r="F50889" s="13"/>
      <c r="M50889" s="13"/>
    </row>
    <row r="50890">
      <c r="F50890" s="13"/>
      <c r="M50890" s="13"/>
    </row>
    <row r="50891">
      <c r="F50891" s="13"/>
      <c r="M50891" s="13"/>
    </row>
    <row r="50892">
      <c r="F50892" s="13"/>
      <c r="M50892" s="13"/>
    </row>
    <row r="50893">
      <c r="F50893" s="13"/>
      <c r="M50893" s="13"/>
    </row>
    <row r="50894">
      <c r="F50894" s="13"/>
      <c r="M50894" s="13"/>
    </row>
    <row r="50895">
      <c r="F50895" s="13"/>
      <c r="M50895" s="13"/>
    </row>
    <row r="50896">
      <c r="F50896" s="13"/>
      <c r="M50896" s="13"/>
    </row>
    <row r="50897">
      <c r="F50897" s="13"/>
      <c r="M50897" s="13"/>
    </row>
    <row r="50898">
      <c r="F50898" s="13"/>
      <c r="M50898" s="13"/>
    </row>
    <row r="50899">
      <c r="F50899" s="13"/>
      <c r="M50899" s="13"/>
    </row>
    <row r="50900">
      <c r="F50900" s="13"/>
      <c r="M50900" s="13"/>
    </row>
    <row r="50901">
      <c r="F50901" s="13"/>
      <c r="M50901" s="13"/>
    </row>
    <row r="50902">
      <c r="F50902" s="13"/>
      <c r="M50902" s="13"/>
    </row>
    <row r="50903">
      <c r="F50903" s="13"/>
      <c r="M50903" s="13"/>
    </row>
    <row r="50904">
      <c r="F50904" s="13"/>
      <c r="M50904" s="13"/>
    </row>
    <row r="50905">
      <c r="F50905" s="13"/>
      <c r="M50905" s="13"/>
    </row>
    <row r="50906">
      <c r="F50906" s="13"/>
      <c r="M50906" s="13"/>
    </row>
    <row r="50907">
      <c r="F50907" s="13"/>
      <c r="M50907" s="13"/>
    </row>
    <row r="50908">
      <c r="F50908" s="13"/>
      <c r="M50908" s="13"/>
    </row>
    <row r="50909">
      <c r="F50909" s="13"/>
      <c r="M50909" s="13"/>
    </row>
    <row r="50910">
      <c r="F50910" s="13"/>
      <c r="M50910" s="13"/>
    </row>
    <row r="50911">
      <c r="F50911" s="13"/>
      <c r="M50911" s="13"/>
    </row>
    <row r="50912">
      <c r="F50912" s="13"/>
      <c r="M50912" s="13"/>
    </row>
    <row r="50913">
      <c r="F50913" s="13"/>
      <c r="M50913" s="13"/>
    </row>
    <row r="50914">
      <c r="F50914" s="13"/>
      <c r="M50914" s="13"/>
    </row>
    <row r="50915">
      <c r="F50915" s="13"/>
      <c r="M50915" s="13"/>
    </row>
    <row r="50916">
      <c r="F50916" s="13"/>
      <c r="M50916" s="13"/>
    </row>
    <row r="50917">
      <c r="F50917" s="13"/>
      <c r="M50917" s="13"/>
    </row>
    <row r="50918">
      <c r="F50918" s="13"/>
      <c r="M50918" s="13"/>
    </row>
    <row r="50919">
      <c r="F50919" s="13"/>
      <c r="M50919" s="13"/>
    </row>
    <row r="50920">
      <c r="F50920" s="13"/>
      <c r="M50920" s="13"/>
    </row>
    <row r="50921">
      <c r="F50921" s="13"/>
      <c r="M50921" s="13"/>
    </row>
    <row r="50922">
      <c r="F50922" s="13"/>
      <c r="M50922" s="13"/>
    </row>
    <row r="50923">
      <c r="F50923" s="13"/>
      <c r="M50923" s="13"/>
    </row>
    <row r="50924">
      <c r="F50924" s="13"/>
      <c r="M50924" s="13"/>
    </row>
    <row r="50925">
      <c r="F50925" s="13"/>
      <c r="M50925" s="13"/>
    </row>
    <row r="50926">
      <c r="F50926" s="13"/>
      <c r="M50926" s="13"/>
    </row>
    <row r="50927">
      <c r="F50927" s="13"/>
      <c r="M50927" s="13"/>
    </row>
    <row r="50928">
      <c r="F50928" s="13"/>
      <c r="M50928" s="13"/>
    </row>
    <row r="50929">
      <c r="F50929" s="13"/>
      <c r="M50929" s="13"/>
    </row>
    <row r="50930">
      <c r="F50930" s="13"/>
      <c r="M50930" s="13"/>
    </row>
    <row r="50931">
      <c r="F50931" s="13"/>
      <c r="M50931" s="13"/>
    </row>
    <row r="50932">
      <c r="F50932" s="13"/>
      <c r="M50932" s="13"/>
    </row>
    <row r="50933">
      <c r="F50933" s="13"/>
      <c r="M50933" s="13"/>
    </row>
    <row r="50934">
      <c r="F50934" s="13"/>
      <c r="M50934" s="13"/>
    </row>
    <row r="50935">
      <c r="F50935" s="13"/>
      <c r="M50935" s="13"/>
    </row>
    <row r="50936">
      <c r="F50936" s="13"/>
      <c r="M50936" s="13"/>
    </row>
    <row r="50937">
      <c r="F50937" s="13"/>
      <c r="M50937" s="13"/>
    </row>
    <row r="50938">
      <c r="F50938" s="13"/>
      <c r="M50938" s="13"/>
    </row>
    <row r="50939">
      <c r="F50939" s="13"/>
      <c r="M50939" s="13"/>
    </row>
    <row r="50940">
      <c r="F50940" s="13"/>
      <c r="M50940" s="13"/>
    </row>
    <row r="50941">
      <c r="F50941" s="13"/>
      <c r="M50941" s="13"/>
    </row>
    <row r="50942">
      <c r="F50942" s="13"/>
      <c r="M50942" s="13"/>
    </row>
    <row r="50943">
      <c r="F50943" s="13"/>
      <c r="M50943" s="13"/>
    </row>
    <row r="50944">
      <c r="F50944" s="13"/>
      <c r="M50944" s="13"/>
    </row>
    <row r="50945">
      <c r="F50945" s="13"/>
      <c r="M50945" s="13"/>
    </row>
    <row r="50946">
      <c r="F50946" s="13"/>
      <c r="M50946" s="13"/>
    </row>
    <row r="50947">
      <c r="F50947" s="13"/>
      <c r="M50947" s="13"/>
    </row>
    <row r="50948">
      <c r="F50948" s="13"/>
      <c r="M50948" s="13"/>
    </row>
    <row r="50949">
      <c r="F50949" s="13"/>
      <c r="M50949" s="13"/>
    </row>
    <row r="50950">
      <c r="F50950" s="13"/>
      <c r="M50950" s="13"/>
    </row>
    <row r="50951">
      <c r="F50951" s="13"/>
      <c r="M50951" s="13"/>
    </row>
    <row r="50952">
      <c r="F50952" s="13"/>
      <c r="M50952" s="13"/>
    </row>
    <row r="50953">
      <c r="F50953" s="13"/>
      <c r="M50953" s="13"/>
    </row>
    <row r="50954">
      <c r="F50954" s="13"/>
      <c r="M50954" s="13"/>
    </row>
    <row r="50955">
      <c r="F50955" s="13"/>
      <c r="M50955" s="13"/>
    </row>
    <row r="50956">
      <c r="F50956" s="13"/>
      <c r="M50956" s="13"/>
    </row>
    <row r="50957">
      <c r="F50957" s="13"/>
      <c r="M50957" s="13"/>
    </row>
    <row r="50958">
      <c r="F50958" s="13"/>
      <c r="M50958" s="13"/>
    </row>
    <row r="50959">
      <c r="F50959" s="13"/>
      <c r="M50959" s="13"/>
    </row>
    <row r="50960">
      <c r="F50960" s="13"/>
      <c r="M50960" s="13"/>
    </row>
    <row r="50961">
      <c r="F50961" s="13"/>
      <c r="M50961" s="13"/>
    </row>
    <row r="50962">
      <c r="F50962" s="13"/>
      <c r="M50962" s="13"/>
    </row>
    <row r="50963">
      <c r="F50963" s="13"/>
      <c r="M50963" s="13"/>
    </row>
    <row r="50964">
      <c r="F50964" s="13"/>
      <c r="M50964" s="13"/>
    </row>
    <row r="50965">
      <c r="F50965" s="13"/>
      <c r="M50965" s="13"/>
    </row>
    <row r="50966">
      <c r="F50966" s="13"/>
      <c r="M50966" s="13"/>
    </row>
    <row r="50967">
      <c r="F50967" s="13"/>
      <c r="M50967" s="13"/>
    </row>
    <row r="50968">
      <c r="F50968" s="13"/>
      <c r="M50968" s="13"/>
    </row>
    <row r="50969">
      <c r="F50969" s="13"/>
      <c r="M50969" s="13"/>
    </row>
    <row r="50970">
      <c r="F50970" s="13"/>
      <c r="M50970" s="13"/>
    </row>
    <row r="50971">
      <c r="F50971" s="13"/>
      <c r="M50971" s="13"/>
    </row>
    <row r="50972">
      <c r="F50972" s="13"/>
      <c r="M50972" s="13"/>
    </row>
    <row r="50973">
      <c r="F50973" s="13"/>
      <c r="M50973" s="13"/>
    </row>
    <row r="50974">
      <c r="F50974" s="13"/>
      <c r="M50974" s="13"/>
    </row>
    <row r="50975">
      <c r="F50975" s="13"/>
      <c r="M50975" s="13"/>
    </row>
    <row r="50976">
      <c r="F50976" s="13"/>
      <c r="M50976" s="13"/>
    </row>
    <row r="50977">
      <c r="F50977" s="13"/>
      <c r="M50977" s="13"/>
    </row>
    <row r="50978">
      <c r="F50978" s="13"/>
      <c r="M50978" s="13"/>
    </row>
    <row r="50979">
      <c r="F50979" s="13"/>
      <c r="M50979" s="13"/>
    </row>
    <row r="50980">
      <c r="F50980" s="13"/>
      <c r="M50980" s="13"/>
    </row>
    <row r="50981">
      <c r="F50981" s="13"/>
      <c r="M50981" s="13"/>
    </row>
    <row r="50982">
      <c r="F50982" s="13"/>
      <c r="M50982" s="13"/>
    </row>
    <row r="50983">
      <c r="F50983" s="13"/>
      <c r="M50983" s="13"/>
    </row>
    <row r="50984">
      <c r="F50984" s="13"/>
      <c r="M50984" s="13"/>
    </row>
    <row r="50985">
      <c r="F50985" s="13"/>
      <c r="M50985" s="13"/>
    </row>
    <row r="50986">
      <c r="F50986" s="13"/>
      <c r="M50986" s="13"/>
    </row>
    <row r="50987">
      <c r="F50987" s="13"/>
      <c r="M50987" s="13"/>
    </row>
    <row r="50988">
      <c r="F50988" s="13"/>
      <c r="M50988" s="13"/>
    </row>
    <row r="50989">
      <c r="F50989" s="13"/>
      <c r="M50989" s="13"/>
    </row>
    <row r="50990">
      <c r="F50990" s="13"/>
      <c r="M50990" s="13"/>
    </row>
    <row r="50991">
      <c r="F50991" s="13"/>
      <c r="M50991" s="13"/>
    </row>
    <row r="50992">
      <c r="F50992" s="13"/>
      <c r="M50992" s="13"/>
    </row>
    <row r="50993">
      <c r="F50993" s="13"/>
      <c r="M50993" s="13"/>
    </row>
    <row r="50994">
      <c r="F50994" s="13"/>
      <c r="M50994" s="13"/>
    </row>
    <row r="50995">
      <c r="F50995" s="13"/>
      <c r="M50995" s="13"/>
    </row>
    <row r="50996">
      <c r="F50996" s="13"/>
      <c r="M50996" s="13"/>
    </row>
    <row r="50997">
      <c r="F50997" s="13"/>
      <c r="M50997" s="13"/>
    </row>
    <row r="50998">
      <c r="F50998" s="13"/>
      <c r="M50998" s="13"/>
    </row>
    <row r="50999">
      <c r="F50999" s="13"/>
      <c r="M50999" s="13"/>
    </row>
    <row r="51000">
      <c r="F51000" s="13"/>
      <c r="M51000" s="13"/>
    </row>
    <row r="51001">
      <c r="F51001" s="13"/>
      <c r="M51001" s="13"/>
    </row>
    <row r="51002">
      <c r="F51002" s="13"/>
      <c r="M51002" s="13"/>
    </row>
    <row r="51003">
      <c r="F51003" s="13"/>
      <c r="M51003" s="13"/>
    </row>
    <row r="51004">
      <c r="F51004" s="13"/>
      <c r="M51004" s="13"/>
    </row>
    <row r="51005">
      <c r="F51005" s="13"/>
      <c r="M51005" s="13"/>
    </row>
    <row r="51006">
      <c r="F51006" s="13"/>
      <c r="M51006" s="13"/>
    </row>
    <row r="51007">
      <c r="F51007" s="13"/>
      <c r="M51007" s="13"/>
    </row>
    <row r="51008">
      <c r="F51008" s="13"/>
      <c r="M51008" s="13"/>
    </row>
    <row r="51009">
      <c r="F51009" s="13"/>
      <c r="M51009" s="13"/>
    </row>
    <row r="51010">
      <c r="F51010" s="13"/>
      <c r="M51010" s="13"/>
    </row>
    <row r="51011">
      <c r="F51011" s="13"/>
      <c r="M51011" s="13"/>
    </row>
    <row r="51012">
      <c r="F51012" s="13"/>
      <c r="M51012" s="13"/>
    </row>
    <row r="51013">
      <c r="F51013" s="13"/>
      <c r="M51013" s="13"/>
    </row>
    <row r="51014">
      <c r="F51014" s="13"/>
      <c r="M51014" s="13"/>
    </row>
    <row r="51015">
      <c r="F51015" s="13"/>
      <c r="M51015" s="13"/>
    </row>
    <row r="51016">
      <c r="F51016" s="13"/>
      <c r="M51016" s="13"/>
    </row>
    <row r="51017">
      <c r="F51017" s="13"/>
      <c r="M51017" s="13"/>
    </row>
    <row r="51018">
      <c r="F51018" s="13"/>
      <c r="M51018" s="13"/>
    </row>
    <row r="51019">
      <c r="F51019" s="13"/>
      <c r="M51019" s="13"/>
    </row>
    <row r="51020">
      <c r="F51020" s="13"/>
      <c r="M51020" s="13"/>
    </row>
    <row r="51021">
      <c r="F51021" s="13"/>
      <c r="M51021" s="13"/>
    </row>
    <row r="51022">
      <c r="F51022" s="13"/>
      <c r="M51022" s="13"/>
    </row>
    <row r="51023">
      <c r="F51023" s="13"/>
      <c r="M51023" s="13"/>
    </row>
    <row r="51024">
      <c r="F51024" s="13"/>
      <c r="M51024" s="13"/>
    </row>
    <row r="51025">
      <c r="F51025" s="13"/>
      <c r="M51025" s="13"/>
    </row>
    <row r="51026">
      <c r="F51026" s="13"/>
      <c r="M51026" s="13"/>
    </row>
    <row r="51027">
      <c r="F51027" s="13"/>
      <c r="M51027" s="13"/>
    </row>
    <row r="51028">
      <c r="F51028" s="13"/>
      <c r="M51028" s="13"/>
    </row>
    <row r="51029">
      <c r="F51029" s="13"/>
      <c r="M51029" s="13"/>
    </row>
    <row r="51030">
      <c r="F51030" s="13"/>
      <c r="M51030" s="13"/>
    </row>
    <row r="51031">
      <c r="F51031" s="13"/>
      <c r="M51031" s="13"/>
    </row>
    <row r="51032">
      <c r="F51032" s="13"/>
      <c r="M51032" s="13"/>
    </row>
    <row r="51033">
      <c r="F51033" s="13"/>
      <c r="M51033" s="13"/>
    </row>
    <row r="51034">
      <c r="F51034" s="13"/>
      <c r="M51034" s="13"/>
    </row>
    <row r="51035">
      <c r="F51035" s="13"/>
      <c r="M51035" s="13"/>
    </row>
    <row r="51036">
      <c r="F51036" s="13"/>
      <c r="M51036" s="13"/>
    </row>
    <row r="51037">
      <c r="F51037" s="13"/>
      <c r="M51037" s="13"/>
    </row>
    <row r="51038">
      <c r="F51038" s="13"/>
      <c r="M51038" s="13"/>
    </row>
    <row r="51039">
      <c r="F51039" s="13"/>
      <c r="M51039" s="13"/>
    </row>
    <row r="51040">
      <c r="F51040" s="13"/>
      <c r="M51040" s="13"/>
    </row>
    <row r="51041">
      <c r="F51041" s="13"/>
      <c r="M51041" s="13"/>
    </row>
    <row r="51042">
      <c r="F51042" s="13"/>
      <c r="M51042" s="13"/>
    </row>
    <row r="51043">
      <c r="F51043" s="13"/>
      <c r="M51043" s="13"/>
    </row>
    <row r="51044">
      <c r="F51044" s="13"/>
      <c r="M51044" s="13"/>
    </row>
    <row r="51045">
      <c r="F51045" s="13"/>
      <c r="M51045" s="13"/>
    </row>
    <row r="51046">
      <c r="F51046" s="13"/>
      <c r="M51046" s="13"/>
    </row>
    <row r="51047">
      <c r="F51047" s="13"/>
      <c r="M51047" s="13"/>
    </row>
    <row r="51048">
      <c r="F51048" s="13"/>
      <c r="M51048" s="13"/>
    </row>
    <row r="51049">
      <c r="F51049" s="13"/>
      <c r="M51049" s="13"/>
    </row>
    <row r="51050">
      <c r="F51050" s="13"/>
      <c r="M51050" s="13"/>
    </row>
    <row r="51051">
      <c r="F51051" s="13"/>
      <c r="M51051" s="13"/>
    </row>
    <row r="51052">
      <c r="F51052" s="13"/>
      <c r="M51052" s="13"/>
    </row>
    <row r="51053">
      <c r="F51053" s="13"/>
      <c r="M51053" s="13"/>
    </row>
    <row r="51054">
      <c r="F51054" s="13"/>
      <c r="M51054" s="13"/>
    </row>
    <row r="51055">
      <c r="F51055" s="13"/>
      <c r="M51055" s="13"/>
    </row>
    <row r="51056">
      <c r="F51056" s="13"/>
      <c r="M51056" s="13"/>
    </row>
    <row r="51057">
      <c r="F51057" s="13"/>
      <c r="M51057" s="13"/>
    </row>
    <row r="51058">
      <c r="F51058" s="13"/>
      <c r="M51058" s="13"/>
    </row>
    <row r="51059">
      <c r="F51059" s="13"/>
      <c r="M51059" s="13"/>
    </row>
    <row r="51060">
      <c r="F51060" s="13"/>
      <c r="M51060" s="13"/>
    </row>
    <row r="51061">
      <c r="F51061" s="13"/>
      <c r="M51061" s="13"/>
    </row>
    <row r="51062">
      <c r="F51062" s="13"/>
      <c r="M51062" s="13"/>
    </row>
    <row r="51063">
      <c r="F51063" s="13"/>
      <c r="M51063" s="13"/>
    </row>
    <row r="51064">
      <c r="F51064" s="13"/>
      <c r="M51064" s="13"/>
    </row>
    <row r="51065">
      <c r="F51065" s="13"/>
      <c r="M51065" s="13"/>
    </row>
    <row r="51066">
      <c r="F51066" s="13"/>
      <c r="M51066" s="13"/>
    </row>
    <row r="51067">
      <c r="F51067" s="13"/>
      <c r="M51067" s="13"/>
    </row>
    <row r="51068">
      <c r="F51068" s="13"/>
      <c r="M51068" s="13"/>
    </row>
    <row r="51069">
      <c r="F51069" s="13"/>
      <c r="M51069" s="13"/>
    </row>
    <row r="51070">
      <c r="F51070" s="13"/>
      <c r="M51070" s="13"/>
    </row>
    <row r="51071">
      <c r="F51071" s="13"/>
      <c r="M51071" s="13"/>
    </row>
    <row r="51072">
      <c r="F51072" s="13"/>
      <c r="M51072" s="13"/>
    </row>
    <row r="51073">
      <c r="F51073" s="13"/>
      <c r="M51073" s="13"/>
    </row>
    <row r="51074">
      <c r="F51074" s="13"/>
      <c r="M51074" s="13"/>
    </row>
    <row r="51075">
      <c r="F51075" s="13"/>
      <c r="M51075" s="13"/>
    </row>
    <row r="51076">
      <c r="F51076" s="13"/>
      <c r="M51076" s="13"/>
    </row>
    <row r="51077">
      <c r="F51077" s="13"/>
      <c r="M51077" s="13"/>
    </row>
    <row r="51078">
      <c r="F51078" s="13"/>
      <c r="M51078" s="13"/>
    </row>
    <row r="51079">
      <c r="F51079" s="13"/>
      <c r="M51079" s="13"/>
    </row>
    <row r="51080">
      <c r="F51080" s="13"/>
      <c r="M51080" s="13"/>
    </row>
    <row r="51081">
      <c r="F51081" s="13"/>
      <c r="M51081" s="13"/>
    </row>
    <row r="51082">
      <c r="F51082" s="13"/>
      <c r="M51082" s="13"/>
    </row>
    <row r="51083">
      <c r="F51083" s="13"/>
      <c r="M51083" s="13"/>
    </row>
    <row r="51084">
      <c r="F51084" s="13"/>
      <c r="M51084" s="13"/>
    </row>
    <row r="51085">
      <c r="F51085" s="13"/>
      <c r="M51085" s="13"/>
    </row>
    <row r="51086">
      <c r="F51086" s="13"/>
      <c r="M51086" s="13"/>
    </row>
    <row r="51087">
      <c r="F51087" s="13"/>
      <c r="M51087" s="13"/>
    </row>
    <row r="51088">
      <c r="F51088" s="13"/>
      <c r="M51088" s="13"/>
    </row>
    <row r="51089">
      <c r="F51089" s="13"/>
      <c r="M51089" s="13"/>
    </row>
    <row r="51090">
      <c r="F51090" s="13"/>
      <c r="M51090" s="13"/>
    </row>
    <row r="51091">
      <c r="F51091" s="13"/>
      <c r="M51091" s="13"/>
    </row>
    <row r="51092">
      <c r="F51092" s="13"/>
      <c r="M51092" s="13"/>
    </row>
    <row r="51093">
      <c r="F51093" s="13"/>
      <c r="M51093" s="13"/>
    </row>
    <row r="51094">
      <c r="F51094" s="13"/>
      <c r="M51094" s="13"/>
    </row>
    <row r="51095">
      <c r="F51095" s="13"/>
      <c r="M51095" s="13"/>
    </row>
    <row r="51096">
      <c r="F51096" s="13"/>
      <c r="M51096" s="13"/>
    </row>
    <row r="51097">
      <c r="F51097" s="13"/>
      <c r="M51097" s="13"/>
    </row>
    <row r="51098">
      <c r="F51098" s="13"/>
      <c r="M51098" s="13"/>
    </row>
    <row r="51099">
      <c r="F51099" s="13"/>
      <c r="M51099" s="13"/>
    </row>
    <row r="51100">
      <c r="F51100" s="13"/>
      <c r="M51100" s="13"/>
    </row>
    <row r="51101">
      <c r="F51101" s="13"/>
      <c r="M51101" s="13"/>
    </row>
    <row r="51102">
      <c r="F51102" s="13"/>
      <c r="M51102" s="13"/>
    </row>
    <row r="51103">
      <c r="F51103" s="13"/>
      <c r="M51103" s="13"/>
    </row>
    <row r="51104">
      <c r="F51104" s="13"/>
      <c r="M51104" s="13"/>
    </row>
    <row r="51105">
      <c r="F51105" s="13"/>
      <c r="M51105" s="13"/>
    </row>
    <row r="51106">
      <c r="F51106" s="13"/>
      <c r="M51106" s="13"/>
    </row>
    <row r="51107">
      <c r="F51107" s="13"/>
      <c r="M51107" s="13"/>
    </row>
    <row r="51108">
      <c r="F51108" s="13"/>
      <c r="M51108" s="13"/>
    </row>
    <row r="51109">
      <c r="F51109" s="13"/>
      <c r="M51109" s="13"/>
    </row>
    <row r="51110">
      <c r="F51110" s="13"/>
      <c r="M51110" s="13"/>
    </row>
    <row r="51111">
      <c r="F51111" s="13"/>
      <c r="M51111" s="13"/>
    </row>
    <row r="51112">
      <c r="F51112" s="13"/>
      <c r="M51112" s="13"/>
    </row>
    <row r="51113">
      <c r="F51113" s="13"/>
      <c r="M51113" s="13"/>
    </row>
    <row r="51114">
      <c r="F51114" s="13"/>
      <c r="M51114" s="13"/>
    </row>
    <row r="51115">
      <c r="F51115" s="13"/>
      <c r="M51115" s="13"/>
    </row>
    <row r="51116">
      <c r="F51116" s="13"/>
      <c r="M51116" s="13"/>
    </row>
    <row r="51117">
      <c r="F51117" s="13"/>
      <c r="M51117" s="13"/>
    </row>
    <row r="51118">
      <c r="F51118" s="13"/>
      <c r="M51118" s="13"/>
    </row>
    <row r="51119">
      <c r="F51119" s="13"/>
      <c r="M51119" s="13"/>
    </row>
    <row r="51120">
      <c r="F51120" s="13"/>
      <c r="M51120" s="13"/>
    </row>
    <row r="51121">
      <c r="F51121" s="13"/>
      <c r="M51121" s="13"/>
    </row>
    <row r="51122">
      <c r="F51122" s="13"/>
      <c r="M51122" s="13"/>
    </row>
    <row r="51123">
      <c r="F51123" s="13"/>
      <c r="M51123" s="13"/>
    </row>
    <row r="51124">
      <c r="F51124" s="13"/>
      <c r="M51124" s="13"/>
    </row>
    <row r="51125">
      <c r="F51125" s="13"/>
      <c r="M51125" s="13"/>
    </row>
    <row r="51126">
      <c r="F51126" s="13"/>
      <c r="M51126" s="13"/>
    </row>
    <row r="51127">
      <c r="F51127" s="13"/>
      <c r="M51127" s="13"/>
    </row>
    <row r="51128">
      <c r="F51128" s="13"/>
      <c r="M51128" s="13"/>
    </row>
    <row r="51129">
      <c r="F51129" s="13"/>
      <c r="M51129" s="13"/>
    </row>
    <row r="51130">
      <c r="F51130" s="13"/>
      <c r="M51130" s="13"/>
    </row>
    <row r="51131">
      <c r="F51131" s="13"/>
      <c r="M51131" s="13"/>
    </row>
    <row r="51132">
      <c r="F51132" s="13"/>
      <c r="M51132" s="13"/>
    </row>
    <row r="51133">
      <c r="F51133" s="13"/>
      <c r="M51133" s="13"/>
    </row>
    <row r="51134">
      <c r="F51134" s="13"/>
      <c r="M51134" s="13"/>
    </row>
    <row r="51135">
      <c r="F51135" s="13"/>
      <c r="M51135" s="13"/>
    </row>
    <row r="51136">
      <c r="F51136" s="13"/>
      <c r="M51136" s="13"/>
    </row>
    <row r="51137">
      <c r="F51137" s="13"/>
      <c r="M51137" s="13"/>
    </row>
    <row r="51138">
      <c r="F51138" s="13"/>
      <c r="M51138" s="13"/>
    </row>
    <row r="51139">
      <c r="F51139" s="13"/>
      <c r="M51139" s="13"/>
    </row>
    <row r="51140">
      <c r="F51140" s="13"/>
      <c r="M51140" s="13"/>
    </row>
    <row r="51141">
      <c r="F51141" s="13"/>
      <c r="M51141" s="13"/>
    </row>
    <row r="51142">
      <c r="F51142" s="13"/>
      <c r="M51142" s="13"/>
    </row>
    <row r="51143">
      <c r="F51143" s="13"/>
      <c r="M51143" s="13"/>
    </row>
    <row r="51144">
      <c r="F51144" s="13"/>
      <c r="M51144" s="13"/>
    </row>
    <row r="51145">
      <c r="F51145" s="13"/>
      <c r="M51145" s="13"/>
    </row>
    <row r="51146">
      <c r="F51146" s="13"/>
      <c r="M51146" s="13"/>
    </row>
    <row r="51147">
      <c r="F51147" s="13"/>
      <c r="M51147" s="13"/>
    </row>
    <row r="51148">
      <c r="F51148" s="13"/>
      <c r="M51148" s="13"/>
    </row>
    <row r="51149">
      <c r="F51149" s="13"/>
      <c r="M51149" s="13"/>
    </row>
    <row r="51150">
      <c r="F51150" s="13"/>
      <c r="M51150" s="13"/>
    </row>
    <row r="51151">
      <c r="F51151" s="13"/>
      <c r="M51151" s="13"/>
    </row>
    <row r="51152">
      <c r="F51152" s="13"/>
      <c r="M51152" s="13"/>
    </row>
    <row r="51153">
      <c r="F51153" s="13"/>
      <c r="M51153" s="13"/>
    </row>
    <row r="51154">
      <c r="F51154" s="13"/>
      <c r="M51154" s="13"/>
    </row>
    <row r="51155">
      <c r="F51155" s="13"/>
      <c r="M51155" s="13"/>
    </row>
    <row r="51156">
      <c r="F51156" s="13"/>
      <c r="M51156" s="13"/>
    </row>
    <row r="51157">
      <c r="F51157" s="13"/>
      <c r="M51157" s="13"/>
    </row>
    <row r="51158">
      <c r="F51158" s="13"/>
      <c r="M51158" s="13"/>
    </row>
    <row r="51159">
      <c r="F51159" s="13"/>
      <c r="M51159" s="13"/>
    </row>
    <row r="51160">
      <c r="F51160" s="13"/>
      <c r="M51160" s="13"/>
    </row>
    <row r="51161">
      <c r="F51161" s="13"/>
      <c r="M51161" s="13"/>
    </row>
    <row r="51162">
      <c r="F51162" s="13"/>
      <c r="M51162" s="13"/>
    </row>
    <row r="51163">
      <c r="F51163" s="13"/>
      <c r="M51163" s="13"/>
    </row>
    <row r="51164">
      <c r="F51164" s="13"/>
      <c r="M51164" s="13"/>
    </row>
    <row r="51165">
      <c r="F51165" s="13"/>
      <c r="M51165" s="13"/>
    </row>
    <row r="51166">
      <c r="F51166" s="13"/>
      <c r="M51166" s="13"/>
    </row>
    <row r="51167">
      <c r="F51167" s="13"/>
      <c r="M51167" s="13"/>
    </row>
    <row r="51168">
      <c r="F51168" s="13"/>
      <c r="M51168" s="13"/>
    </row>
    <row r="51169">
      <c r="F51169" s="13"/>
      <c r="M51169" s="13"/>
    </row>
    <row r="51170">
      <c r="F51170" s="13"/>
      <c r="M51170" s="13"/>
    </row>
    <row r="51171">
      <c r="F51171" s="13"/>
      <c r="M51171" s="13"/>
    </row>
    <row r="51172">
      <c r="F51172" s="13"/>
      <c r="M51172" s="13"/>
    </row>
    <row r="51173">
      <c r="F51173" s="13"/>
      <c r="M51173" s="13"/>
    </row>
    <row r="51174">
      <c r="F51174" s="13"/>
      <c r="M51174" s="13"/>
    </row>
    <row r="51175">
      <c r="F51175" s="13"/>
      <c r="M51175" s="13"/>
    </row>
    <row r="51176">
      <c r="F51176" s="13"/>
      <c r="M51176" s="13"/>
    </row>
    <row r="51177">
      <c r="F51177" s="13"/>
      <c r="M51177" s="13"/>
    </row>
    <row r="51178">
      <c r="F51178" s="13"/>
      <c r="M51178" s="13"/>
    </row>
    <row r="51179">
      <c r="F51179" s="13"/>
      <c r="M51179" s="13"/>
    </row>
    <row r="51180">
      <c r="F51180" s="13"/>
      <c r="M51180" s="13"/>
    </row>
    <row r="51181">
      <c r="F51181" s="13"/>
      <c r="M51181" s="13"/>
    </row>
    <row r="51182">
      <c r="F51182" s="13"/>
      <c r="M51182" s="13"/>
    </row>
    <row r="51183">
      <c r="F51183" s="13"/>
      <c r="M51183" s="13"/>
    </row>
    <row r="51184">
      <c r="F51184" s="13"/>
      <c r="M51184" s="13"/>
    </row>
    <row r="51185">
      <c r="F51185" s="13"/>
      <c r="M51185" s="13"/>
    </row>
    <row r="51186">
      <c r="F51186" s="13"/>
      <c r="M51186" s="13"/>
    </row>
    <row r="51187">
      <c r="F51187" s="13"/>
      <c r="M51187" s="13"/>
    </row>
    <row r="51188">
      <c r="F51188" s="13"/>
      <c r="M51188" s="13"/>
    </row>
    <row r="51189">
      <c r="F51189" s="13"/>
      <c r="M51189" s="13"/>
    </row>
    <row r="51190">
      <c r="F51190" s="13"/>
      <c r="M51190" s="13"/>
    </row>
    <row r="51191">
      <c r="F51191" s="13"/>
      <c r="M51191" s="13"/>
    </row>
    <row r="51192">
      <c r="F51192" s="13"/>
      <c r="M51192" s="13"/>
    </row>
    <row r="51193">
      <c r="F51193" s="13"/>
      <c r="M51193" s="13"/>
    </row>
    <row r="51194">
      <c r="F51194" s="13"/>
      <c r="M51194" s="13"/>
    </row>
    <row r="51195">
      <c r="F51195" s="13"/>
      <c r="M51195" s="13"/>
    </row>
    <row r="51196">
      <c r="F51196" s="13"/>
      <c r="M51196" s="13"/>
    </row>
    <row r="51197">
      <c r="F51197" s="13"/>
      <c r="M51197" s="13"/>
    </row>
    <row r="51198">
      <c r="F51198" s="13"/>
      <c r="M51198" s="13"/>
    </row>
    <row r="51199">
      <c r="F51199" s="13"/>
      <c r="M51199" s="13"/>
    </row>
    <row r="51200">
      <c r="F51200" s="13"/>
      <c r="M51200" s="13"/>
    </row>
    <row r="51201">
      <c r="F51201" s="13"/>
      <c r="M51201" s="13"/>
    </row>
    <row r="51202">
      <c r="F51202" s="13"/>
      <c r="M51202" s="13"/>
    </row>
    <row r="51203">
      <c r="F51203" s="13"/>
      <c r="M51203" s="13"/>
    </row>
    <row r="51204">
      <c r="F51204" s="13"/>
      <c r="M51204" s="13"/>
    </row>
    <row r="51205">
      <c r="F51205" s="13"/>
      <c r="M51205" s="13"/>
    </row>
    <row r="51206">
      <c r="F51206" s="13"/>
      <c r="M51206" s="13"/>
    </row>
    <row r="51207">
      <c r="F51207" s="13"/>
      <c r="M51207" s="13"/>
    </row>
    <row r="51208">
      <c r="F51208" s="13"/>
      <c r="M51208" s="13"/>
    </row>
    <row r="51209">
      <c r="F51209" s="13"/>
      <c r="M51209" s="13"/>
    </row>
    <row r="51210">
      <c r="F51210" s="13"/>
      <c r="M51210" s="13"/>
    </row>
    <row r="51211">
      <c r="F51211" s="13"/>
      <c r="M51211" s="13"/>
    </row>
    <row r="51212">
      <c r="F51212" s="13"/>
      <c r="M51212" s="13"/>
    </row>
    <row r="51213">
      <c r="F51213" s="13"/>
      <c r="M51213" s="13"/>
    </row>
    <row r="51214">
      <c r="F51214" s="13"/>
      <c r="M51214" s="13"/>
    </row>
    <row r="51215">
      <c r="F51215" s="13"/>
      <c r="M51215" s="13"/>
    </row>
    <row r="51216">
      <c r="F51216" s="13"/>
      <c r="M51216" s="13"/>
    </row>
    <row r="51217">
      <c r="F51217" s="13"/>
      <c r="M51217" s="13"/>
    </row>
    <row r="51218">
      <c r="F51218" s="13"/>
      <c r="M51218" s="13"/>
    </row>
    <row r="51219">
      <c r="F51219" s="13"/>
      <c r="M51219" s="13"/>
    </row>
    <row r="51220">
      <c r="F51220" s="13"/>
      <c r="M51220" s="13"/>
    </row>
    <row r="51221">
      <c r="F51221" s="13"/>
      <c r="M51221" s="13"/>
    </row>
    <row r="51222">
      <c r="F51222" s="13"/>
      <c r="M51222" s="13"/>
    </row>
    <row r="51223">
      <c r="F51223" s="13"/>
      <c r="M51223" s="13"/>
    </row>
    <row r="51224">
      <c r="F51224" s="13"/>
      <c r="M51224" s="13"/>
    </row>
    <row r="51225">
      <c r="F51225" s="13"/>
      <c r="M51225" s="13"/>
    </row>
    <row r="51226">
      <c r="F51226" s="13"/>
      <c r="M51226" s="13"/>
    </row>
    <row r="51227">
      <c r="F51227" s="13"/>
      <c r="M51227" s="13"/>
    </row>
    <row r="51228">
      <c r="F51228" s="13"/>
      <c r="M51228" s="13"/>
    </row>
    <row r="51229">
      <c r="F51229" s="13"/>
      <c r="M51229" s="13"/>
    </row>
    <row r="51230">
      <c r="F51230" s="13"/>
      <c r="M51230" s="13"/>
    </row>
    <row r="51231">
      <c r="F51231" s="13"/>
      <c r="M51231" s="13"/>
    </row>
    <row r="51232">
      <c r="F51232" s="13"/>
      <c r="M51232" s="13"/>
    </row>
    <row r="51233">
      <c r="F51233" s="13"/>
      <c r="M51233" s="13"/>
    </row>
    <row r="51234">
      <c r="F51234" s="13"/>
      <c r="M51234" s="13"/>
    </row>
    <row r="51235">
      <c r="F51235" s="13"/>
      <c r="M51235" s="13"/>
    </row>
    <row r="51236">
      <c r="F51236" s="13"/>
      <c r="M51236" s="13"/>
    </row>
    <row r="51237">
      <c r="F51237" s="13"/>
      <c r="M51237" s="13"/>
    </row>
    <row r="51238">
      <c r="F51238" s="13"/>
      <c r="M51238" s="13"/>
    </row>
    <row r="51239">
      <c r="F51239" s="13"/>
      <c r="M51239" s="13"/>
    </row>
    <row r="51240">
      <c r="F51240" s="13"/>
      <c r="M51240" s="13"/>
    </row>
    <row r="51241">
      <c r="F51241" s="13"/>
      <c r="M51241" s="13"/>
    </row>
    <row r="51242">
      <c r="F51242" s="13"/>
      <c r="M51242" s="13"/>
    </row>
    <row r="51243">
      <c r="F51243" s="13"/>
      <c r="M51243" s="13"/>
    </row>
    <row r="51244">
      <c r="F51244" s="13"/>
      <c r="M51244" s="13"/>
    </row>
    <row r="51245">
      <c r="F51245" s="13"/>
      <c r="M51245" s="13"/>
    </row>
    <row r="51246">
      <c r="F51246" s="13"/>
      <c r="M51246" s="13"/>
    </row>
    <row r="51247">
      <c r="F51247" s="13"/>
      <c r="M51247" s="13"/>
    </row>
    <row r="51248">
      <c r="F51248" s="13"/>
      <c r="M51248" s="13"/>
    </row>
    <row r="51249">
      <c r="F51249" s="13"/>
      <c r="M51249" s="13"/>
    </row>
    <row r="51250">
      <c r="F51250" s="13"/>
      <c r="M51250" s="13"/>
    </row>
    <row r="51251">
      <c r="F51251" s="13"/>
      <c r="M51251" s="13"/>
    </row>
    <row r="51252">
      <c r="F51252" s="13"/>
      <c r="M51252" s="13"/>
    </row>
    <row r="51253">
      <c r="F51253" s="13"/>
      <c r="M51253" s="13"/>
    </row>
    <row r="51254">
      <c r="F51254" s="13"/>
      <c r="M51254" s="13"/>
    </row>
    <row r="51255">
      <c r="F51255" s="13"/>
      <c r="M51255" s="13"/>
    </row>
    <row r="51256">
      <c r="F51256" s="13"/>
      <c r="M51256" s="13"/>
    </row>
    <row r="51257">
      <c r="F51257" s="13"/>
      <c r="M51257" s="13"/>
    </row>
    <row r="51258">
      <c r="F51258" s="13"/>
      <c r="M51258" s="13"/>
    </row>
    <row r="51259">
      <c r="F51259" s="13"/>
      <c r="M51259" s="13"/>
    </row>
    <row r="51260">
      <c r="F51260" s="13"/>
      <c r="M51260" s="13"/>
    </row>
    <row r="51261">
      <c r="F51261" s="13"/>
      <c r="M51261" s="13"/>
    </row>
    <row r="51262">
      <c r="F51262" s="13"/>
      <c r="M51262" s="13"/>
    </row>
    <row r="51263">
      <c r="F51263" s="13"/>
      <c r="M51263" s="13"/>
    </row>
    <row r="51264">
      <c r="F51264" s="13"/>
      <c r="M51264" s="13"/>
    </row>
    <row r="51265">
      <c r="F51265" s="13"/>
      <c r="M51265" s="13"/>
    </row>
    <row r="51266">
      <c r="F51266" s="13"/>
      <c r="M51266" s="13"/>
    </row>
    <row r="51267">
      <c r="F51267" s="13"/>
      <c r="M51267" s="13"/>
    </row>
    <row r="51268">
      <c r="F51268" s="13"/>
      <c r="M51268" s="13"/>
    </row>
    <row r="51269">
      <c r="F51269" s="13"/>
      <c r="M51269" s="13"/>
    </row>
    <row r="51270">
      <c r="F51270" s="13"/>
      <c r="M51270" s="13"/>
    </row>
    <row r="51271">
      <c r="F51271" s="13"/>
      <c r="M51271" s="13"/>
    </row>
    <row r="51272">
      <c r="F51272" s="13"/>
      <c r="M51272" s="13"/>
    </row>
    <row r="51273">
      <c r="F51273" s="13"/>
      <c r="M51273" s="13"/>
    </row>
    <row r="51274">
      <c r="F51274" s="13"/>
      <c r="M51274" s="13"/>
    </row>
    <row r="51275">
      <c r="F51275" s="13"/>
      <c r="M51275" s="13"/>
    </row>
    <row r="51276">
      <c r="F51276" s="13"/>
      <c r="M51276" s="13"/>
    </row>
    <row r="51277">
      <c r="F51277" s="13"/>
      <c r="M51277" s="13"/>
    </row>
    <row r="51278">
      <c r="F51278" s="13"/>
      <c r="M51278" s="13"/>
    </row>
    <row r="51279">
      <c r="F51279" s="13"/>
      <c r="M51279" s="13"/>
    </row>
    <row r="51280">
      <c r="F51280" s="13"/>
      <c r="M51280" s="13"/>
    </row>
    <row r="51281">
      <c r="F51281" s="13"/>
      <c r="M51281" s="13"/>
    </row>
    <row r="51282">
      <c r="F51282" s="13"/>
      <c r="M51282" s="13"/>
    </row>
    <row r="51283">
      <c r="F51283" s="13"/>
      <c r="M51283" s="13"/>
    </row>
    <row r="51284">
      <c r="F51284" s="13"/>
      <c r="M51284" s="13"/>
    </row>
    <row r="51285">
      <c r="F51285" s="13"/>
      <c r="M51285" s="13"/>
    </row>
    <row r="51286">
      <c r="F51286" s="13"/>
      <c r="M51286" s="13"/>
    </row>
    <row r="51287">
      <c r="F51287" s="13"/>
      <c r="M51287" s="13"/>
    </row>
    <row r="51288">
      <c r="F51288" s="13"/>
      <c r="M51288" s="13"/>
    </row>
    <row r="51289">
      <c r="F51289" s="13"/>
      <c r="M51289" s="13"/>
    </row>
    <row r="51290">
      <c r="F51290" s="13"/>
      <c r="M51290" s="13"/>
    </row>
    <row r="51291">
      <c r="F51291" s="13"/>
      <c r="M51291" s="13"/>
    </row>
    <row r="51292">
      <c r="F51292" s="13"/>
      <c r="M51292" s="13"/>
    </row>
    <row r="51293">
      <c r="F51293" s="13"/>
      <c r="M51293" s="13"/>
    </row>
    <row r="51294">
      <c r="F51294" s="13"/>
      <c r="M51294" s="13"/>
    </row>
    <row r="51295">
      <c r="F51295" s="13"/>
      <c r="M51295" s="13"/>
    </row>
    <row r="51296">
      <c r="F51296" s="13"/>
      <c r="M51296" s="13"/>
    </row>
    <row r="51297">
      <c r="F51297" s="13"/>
      <c r="M51297" s="13"/>
    </row>
    <row r="51298">
      <c r="F51298" s="13"/>
      <c r="M51298" s="13"/>
    </row>
    <row r="51299">
      <c r="F51299" s="13"/>
      <c r="M51299" s="13"/>
    </row>
    <row r="51300">
      <c r="F51300" s="13"/>
      <c r="M51300" s="13"/>
    </row>
    <row r="51301">
      <c r="F51301" s="13"/>
      <c r="M51301" s="13"/>
    </row>
    <row r="51302">
      <c r="F51302" s="13"/>
      <c r="M51302" s="13"/>
    </row>
    <row r="51303">
      <c r="F51303" s="13"/>
      <c r="M51303" s="13"/>
    </row>
    <row r="51304">
      <c r="F51304" s="13"/>
      <c r="M51304" s="13"/>
    </row>
    <row r="51305">
      <c r="F51305" s="13"/>
      <c r="M51305" s="13"/>
    </row>
    <row r="51306">
      <c r="F51306" s="13"/>
      <c r="M51306" s="13"/>
    </row>
    <row r="51307">
      <c r="F51307" s="13"/>
      <c r="M51307" s="13"/>
    </row>
    <row r="51308">
      <c r="F51308" s="13"/>
      <c r="M51308" s="13"/>
    </row>
    <row r="51309">
      <c r="F51309" s="13"/>
      <c r="M51309" s="13"/>
    </row>
    <row r="51310">
      <c r="F51310" s="13"/>
      <c r="M51310" s="13"/>
    </row>
    <row r="51311">
      <c r="F51311" s="13"/>
      <c r="M51311" s="13"/>
    </row>
    <row r="51312">
      <c r="F51312" s="13"/>
      <c r="M51312" s="13"/>
    </row>
    <row r="51313">
      <c r="F51313" s="13"/>
      <c r="M51313" s="13"/>
    </row>
    <row r="51314">
      <c r="F51314" s="13"/>
      <c r="M51314" s="13"/>
    </row>
    <row r="51315">
      <c r="F51315" s="13"/>
      <c r="M51315" s="13"/>
    </row>
    <row r="51316">
      <c r="F51316" s="13"/>
      <c r="M51316" s="13"/>
    </row>
    <row r="51317">
      <c r="F51317" s="13"/>
      <c r="M51317" s="13"/>
    </row>
    <row r="51318">
      <c r="F51318" s="13"/>
      <c r="M51318" s="13"/>
    </row>
    <row r="51319">
      <c r="F51319" s="13"/>
      <c r="M51319" s="13"/>
    </row>
    <row r="51320">
      <c r="F51320" s="13"/>
      <c r="M51320" s="13"/>
    </row>
    <row r="51321">
      <c r="F51321" s="13"/>
      <c r="M51321" s="13"/>
    </row>
    <row r="51322">
      <c r="F51322" s="13"/>
      <c r="M51322" s="13"/>
    </row>
    <row r="51323">
      <c r="F51323" s="13"/>
      <c r="M51323" s="13"/>
    </row>
    <row r="51324">
      <c r="F51324" s="13"/>
      <c r="M51324" s="13"/>
    </row>
    <row r="51325">
      <c r="F51325" s="13"/>
      <c r="M51325" s="13"/>
    </row>
    <row r="51326">
      <c r="F51326" s="13"/>
      <c r="M51326" s="13"/>
    </row>
    <row r="51327">
      <c r="F51327" s="13"/>
      <c r="M51327" s="13"/>
    </row>
    <row r="51328">
      <c r="F51328" s="13"/>
      <c r="M51328" s="13"/>
    </row>
    <row r="51329">
      <c r="F51329" s="13"/>
      <c r="M51329" s="13"/>
    </row>
    <row r="51330">
      <c r="F51330" s="13"/>
      <c r="M51330" s="13"/>
    </row>
    <row r="51331">
      <c r="F51331" s="13"/>
      <c r="M51331" s="13"/>
    </row>
    <row r="51332">
      <c r="F51332" s="13"/>
      <c r="M51332" s="13"/>
    </row>
    <row r="51333">
      <c r="F51333" s="13"/>
      <c r="M51333" s="13"/>
    </row>
    <row r="51334">
      <c r="F51334" s="13"/>
      <c r="M51334" s="13"/>
    </row>
    <row r="51335">
      <c r="F51335" s="13"/>
      <c r="M51335" s="13"/>
    </row>
    <row r="51336">
      <c r="F51336" s="13"/>
      <c r="M51336" s="13"/>
    </row>
    <row r="51337">
      <c r="F51337" s="13"/>
      <c r="M51337" s="13"/>
    </row>
    <row r="51338">
      <c r="F51338" s="13"/>
      <c r="M51338" s="13"/>
    </row>
    <row r="51339">
      <c r="F51339" s="13"/>
      <c r="M51339" s="13"/>
    </row>
    <row r="51340">
      <c r="F51340" s="13"/>
      <c r="M51340" s="13"/>
    </row>
    <row r="51341">
      <c r="F51341" s="13"/>
      <c r="M51341" s="13"/>
    </row>
    <row r="51342">
      <c r="F51342" s="13"/>
      <c r="M51342" s="13"/>
    </row>
    <row r="51343">
      <c r="F51343" s="13"/>
      <c r="M51343" s="13"/>
    </row>
    <row r="51344">
      <c r="F51344" s="13"/>
      <c r="M51344" s="13"/>
    </row>
    <row r="51345">
      <c r="F51345" s="13"/>
      <c r="M51345" s="13"/>
    </row>
    <row r="51346">
      <c r="F51346" s="13"/>
      <c r="M51346" s="13"/>
    </row>
    <row r="51347">
      <c r="F51347" s="13"/>
      <c r="M51347" s="13"/>
    </row>
    <row r="51348">
      <c r="F51348" s="13"/>
      <c r="M51348" s="13"/>
    </row>
    <row r="51349">
      <c r="F51349" s="13"/>
      <c r="M51349" s="13"/>
    </row>
    <row r="51350">
      <c r="F51350" s="13"/>
      <c r="M51350" s="13"/>
    </row>
    <row r="51351">
      <c r="F51351" s="13"/>
      <c r="M51351" s="13"/>
    </row>
    <row r="51352">
      <c r="F51352" s="13"/>
      <c r="M51352" s="13"/>
    </row>
    <row r="51353">
      <c r="F51353" s="13"/>
      <c r="M51353" s="13"/>
    </row>
    <row r="51354">
      <c r="F51354" s="13"/>
      <c r="M51354" s="13"/>
    </row>
    <row r="51355">
      <c r="F51355" s="13"/>
      <c r="M51355" s="13"/>
    </row>
    <row r="51356">
      <c r="F51356" s="13"/>
      <c r="M51356" s="13"/>
    </row>
    <row r="51357">
      <c r="F51357" s="13"/>
      <c r="M51357" s="13"/>
    </row>
    <row r="51358">
      <c r="F51358" s="13"/>
      <c r="M51358" s="13"/>
    </row>
    <row r="51359">
      <c r="F51359" s="13"/>
      <c r="M51359" s="13"/>
    </row>
    <row r="51360">
      <c r="F51360" s="13"/>
      <c r="M51360" s="13"/>
    </row>
    <row r="51361">
      <c r="F51361" s="13"/>
      <c r="M51361" s="13"/>
    </row>
    <row r="51362">
      <c r="F51362" s="13"/>
      <c r="M51362" s="13"/>
    </row>
    <row r="51363">
      <c r="F51363" s="13"/>
      <c r="M51363" s="13"/>
    </row>
    <row r="51364">
      <c r="F51364" s="13"/>
      <c r="M51364" s="13"/>
    </row>
    <row r="51365">
      <c r="F51365" s="13"/>
      <c r="M51365" s="13"/>
    </row>
    <row r="51366">
      <c r="F51366" s="13"/>
      <c r="M51366" s="13"/>
    </row>
    <row r="51367">
      <c r="F51367" s="13"/>
      <c r="M51367" s="13"/>
    </row>
    <row r="51368">
      <c r="F51368" s="13"/>
      <c r="M51368" s="13"/>
    </row>
    <row r="51369">
      <c r="F51369" s="13"/>
      <c r="M51369" s="13"/>
    </row>
    <row r="51370">
      <c r="F51370" s="13"/>
      <c r="M51370" s="13"/>
    </row>
    <row r="51371">
      <c r="F51371" s="13"/>
      <c r="M51371" s="13"/>
    </row>
    <row r="51372">
      <c r="F51372" s="13"/>
      <c r="M51372" s="13"/>
    </row>
    <row r="51373">
      <c r="F51373" s="13"/>
      <c r="M51373" s="13"/>
    </row>
    <row r="51374">
      <c r="F51374" s="13"/>
      <c r="M51374" s="13"/>
    </row>
    <row r="51375">
      <c r="F51375" s="13"/>
      <c r="M51375" s="13"/>
    </row>
    <row r="51376">
      <c r="F51376" s="13"/>
      <c r="M51376" s="13"/>
    </row>
    <row r="51377">
      <c r="F51377" s="13"/>
      <c r="M51377" s="13"/>
    </row>
    <row r="51378">
      <c r="F51378" s="13"/>
      <c r="M51378" s="13"/>
    </row>
    <row r="51379">
      <c r="F51379" s="13"/>
      <c r="M51379" s="13"/>
    </row>
    <row r="51380">
      <c r="F51380" s="13"/>
      <c r="M51380" s="13"/>
    </row>
    <row r="51381">
      <c r="F51381" s="13"/>
      <c r="M51381" s="13"/>
    </row>
    <row r="51382">
      <c r="F51382" s="13"/>
      <c r="M51382" s="13"/>
    </row>
    <row r="51383">
      <c r="F51383" s="13"/>
      <c r="M51383" s="13"/>
    </row>
    <row r="51384">
      <c r="F51384" s="13"/>
      <c r="M51384" s="13"/>
    </row>
    <row r="51385">
      <c r="F51385" s="13"/>
      <c r="M51385" s="13"/>
    </row>
    <row r="51386">
      <c r="F51386" s="13"/>
      <c r="M51386" s="13"/>
    </row>
    <row r="51387">
      <c r="F51387" s="13"/>
      <c r="M51387" s="13"/>
    </row>
    <row r="51388">
      <c r="F51388" s="13"/>
      <c r="M51388" s="13"/>
    </row>
    <row r="51389">
      <c r="F51389" s="13"/>
      <c r="M51389" s="13"/>
    </row>
    <row r="51390">
      <c r="F51390" s="13"/>
      <c r="M51390" s="13"/>
    </row>
    <row r="51391">
      <c r="F51391" s="13"/>
      <c r="M51391" s="13"/>
    </row>
    <row r="51392">
      <c r="F51392" s="13"/>
      <c r="M51392" s="13"/>
    </row>
    <row r="51393">
      <c r="F51393" s="13"/>
      <c r="M51393" s="13"/>
    </row>
    <row r="51394">
      <c r="F51394" s="13"/>
      <c r="M51394" s="13"/>
    </row>
    <row r="51395">
      <c r="F51395" s="13"/>
      <c r="M51395" s="13"/>
    </row>
    <row r="51396">
      <c r="F51396" s="13"/>
      <c r="M51396" s="13"/>
    </row>
    <row r="51397">
      <c r="F51397" s="13"/>
      <c r="M51397" s="13"/>
    </row>
    <row r="51398">
      <c r="F51398" s="13"/>
      <c r="M51398" s="13"/>
    </row>
    <row r="51399">
      <c r="F51399" s="13"/>
      <c r="M51399" s="13"/>
    </row>
    <row r="51400">
      <c r="F51400" s="13"/>
      <c r="M51400" s="13"/>
    </row>
    <row r="51401">
      <c r="F51401" s="13"/>
      <c r="M51401" s="13"/>
    </row>
    <row r="51402">
      <c r="F51402" s="13"/>
      <c r="M51402" s="13"/>
    </row>
    <row r="51403">
      <c r="F51403" s="13"/>
      <c r="M51403" s="13"/>
    </row>
    <row r="51404">
      <c r="F51404" s="13"/>
      <c r="M51404" s="13"/>
    </row>
    <row r="51405">
      <c r="F51405" s="13"/>
      <c r="M51405" s="13"/>
    </row>
    <row r="51406">
      <c r="F51406" s="13"/>
      <c r="M51406" s="13"/>
    </row>
    <row r="51407">
      <c r="F51407" s="13"/>
      <c r="M51407" s="13"/>
    </row>
    <row r="51408">
      <c r="F51408" s="13"/>
      <c r="M51408" s="13"/>
    </row>
    <row r="51409">
      <c r="F51409" s="13"/>
      <c r="M51409" s="13"/>
    </row>
    <row r="51410">
      <c r="F51410" s="13"/>
      <c r="M51410" s="13"/>
    </row>
    <row r="51411">
      <c r="F51411" s="13"/>
      <c r="M51411" s="13"/>
    </row>
    <row r="51412">
      <c r="F51412" s="13"/>
      <c r="M51412" s="13"/>
    </row>
    <row r="51413">
      <c r="F51413" s="13"/>
      <c r="M51413" s="13"/>
    </row>
    <row r="51414">
      <c r="F51414" s="13"/>
      <c r="M51414" s="13"/>
    </row>
    <row r="51415">
      <c r="F51415" s="13"/>
      <c r="M51415" s="13"/>
    </row>
    <row r="51416">
      <c r="F51416" s="13"/>
      <c r="M51416" s="13"/>
    </row>
    <row r="51417">
      <c r="F51417" s="13"/>
      <c r="M51417" s="13"/>
    </row>
    <row r="51418">
      <c r="F51418" s="13"/>
      <c r="M51418" s="13"/>
    </row>
    <row r="51419">
      <c r="F51419" s="13"/>
      <c r="M51419" s="13"/>
    </row>
    <row r="51420">
      <c r="F51420" s="13"/>
      <c r="M51420" s="13"/>
    </row>
    <row r="51421">
      <c r="F51421" s="13"/>
      <c r="M51421" s="13"/>
    </row>
    <row r="51422">
      <c r="F51422" s="13"/>
      <c r="M51422" s="13"/>
    </row>
    <row r="51423">
      <c r="F51423" s="13"/>
      <c r="M51423" s="13"/>
    </row>
    <row r="51424">
      <c r="F51424" s="13"/>
      <c r="M51424" s="13"/>
    </row>
    <row r="51425">
      <c r="F51425" s="13"/>
      <c r="M51425" s="13"/>
    </row>
    <row r="51426">
      <c r="F51426" s="13"/>
      <c r="M51426" s="13"/>
    </row>
    <row r="51427">
      <c r="F51427" s="13"/>
      <c r="M51427" s="13"/>
    </row>
    <row r="51428">
      <c r="F51428" s="13"/>
      <c r="M51428" s="13"/>
    </row>
    <row r="51429">
      <c r="F51429" s="13"/>
      <c r="M51429" s="13"/>
    </row>
    <row r="51430">
      <c r="F51430" s="13"/>
      <c r="M51430" s="13"/>
    </row>
    <row r="51431">
      <c r="F51431" s="13"/>
      <c r="M51431" s="13"/>
    </row>
    <row r="51432">
      <c r="F51432" s="13"/>
      <c r="M51432" s="13"/>
    </row>
    <row r="51433">
      <c r="F51433" s="13"/>
      <c r="M51433" s="13"/>
    </row>
    <row r="51434">
      <c r="F51434" s="13"/>
      <c r="M51434" s="13"/>
    </row>
    <row r="51435">
      <c r="F51435" s="13"/>
      <c r="M51435" s="13"/>
    </row>
    <row r="51436">
      <c r="F51436" s="13"/>
      <c r="M51436" s="13"/>
    </row>
    <row r="51437">
      <c r="F51437" s="13"/>
      <c r="M51437" s="13"/>
    </row>
    <row r="51438">
      <c r="F51438" s="13"/>
      <c r="M51438" s="13"/>
    </row>
    <row r="51439">
      <c r="F51439" s="13"/>
      <c r="M51439" s="13"/>
    </row>
    <row r="51440">
      <c r="F51440" s="13"/>
      <c r="M51440" s="13"/>
    </row>
    <row r="51441">
      <c r="F51441" s="13"/>
      <c r="M51441" s="13"/>
    </row>
    <row r="51442">
      <c r="F51442" s="13"/>
      <c r="M51442" s="13"/>
    </row>
    <row r="51443">
      <c r="F51443" s="13"/>
      <c r="M51443" s="13"/>
    </row>
    <row r="51444">
      <c r="F51444" s="13"/>
      <c r="M51444" s="13"/>
    </row>
    <row r="51445">
      <c r="F51445" s="13"/>
      <c r="M51445" s="13"/>
    </row>
    <row r="51446">
      <c r="F51446" s="13"/>
      <c r="M51446" s="13"/>
    </row>
    <row r="51447">
      <c r="F51447" s="13"/>
      <c r="M51447" s="13"/>
    </row>
    <row r="51448">
      <c r="F51448" s="13"/>
      <c r="M51448" s="13"/>
    </row>
    <row r="51449">
      <c r="F51449" s="13"/>
      <c r="M51449" s="13"/>
    </row>
    <row r="51450">
      <c r="F51450" s="13"/>
      <c r="M51450" s="13"/>
    </row>
    <row r="51451">
      <c r="F51451" s="13"/>
      <c r="M51451" s="13"/>
    </row>
    <row r="51452">
      <c r="F51452" s="13"/>
      <c r="M51452" s="13"/>
    </row>
    <row r="51453">
      <c r="F51453" s="13"/>
      <c r="M51453" s="13"/>
    </row>
    <row r="51454">
      <c r="F51454" s="13"/>
      <c r="M51454" s="13"/>
    </row>
    <row r="51455">
      <c r="F51455" s="13"/>
      <c r="M51455" s="13"/>
    </row>
    <row r="51456">
      <c r="F51456" s="13"/>
      <c r="M51456" s="13"/>
    </row>
    <row r="51457">
      <c r="F51457" s="13"/>
      <c r="M51457" s="13"/>
    </row>
    <row r="51458">
      <c r="F51458" s="13"/>
      <c r="M51458" s="13"/>
    </row>
    <row r="51459">
      <c r="F51459" s="13"/>
      <c r="M51459" s="13"/>
    </row>
    <row r="51460">
      <c r="F51460" s="13"/>
      <c r="M51460" s="13"/>
    </row>
    <row r="51461">
      <c r="F51461" s="13"/>
      <c r="M51461" s="13"/>
    </row>
    <row r="51462">
      <c r="F51462" s="13"/>
      <c r="M51462" s="13"/>
    </row>
    <row r="51463">
      <c r="F51463" s="13"/>
      <c r="M51463" s="13"/>
    </row>
    <row r="51464">
      <c r="F51464" s="13"/>
      <c r="M51464" s="13"/>
    </row>
    <row r="51465">
      <c r="F51465" s="13"/>
      <c r="M51465" s="13"/>
    </row>
    <row r="51466">
      <c r="F51466" s="13"/>
      <c r="M51466" s="13"/>
    </row>
    <row r="51467">
      <c r="F51467" s="13"/>
      <c r="M51467" s="13"/>
    </row>
    <row r="51468">
      <c r="F51468" s="13"/>
      <c r="M51468" s="13"/>
    </row>
    <row r="51469">
      <c r="F51469" s="13"/>
      <c r="M51469" s="13"/>
    </row>
    <row r="51470">
      <c r="F51470" s="13"/>
      <c r="M51470" s="13"/>
    </row>
    <row r="51471">
      <c r="F51471" s="13"/>
      <c r="M51471" s="13"/>
    </row>
    <row r="51472">
      <c r="F51472" s="13"/>
      <c r="M51472" s="13"/>
    </row>
    <row r="51473">
      <c r="F51473" s="13"/>
      <c r="M51473" s="13"/>
    </row>
    <row r="51474">
      <c r="F51474" s="13"/>
      <c r="M51474" s="13"/>
    </row>
    <row r="51475">
      <c r="F51475" s="13"/>
      <c r="M51475" s="13"/>
    </row>
    <row r="51476">
      <c r="F51476" s="13"/>
      <c r="M51476" s="13"/>
    </row>
    <row r="51477">
      <c r="F51477" s="13"/>
      <c r="M51477" s="13"/>
    </row>
    <row r="51478">
      <c r="F51478" s="13"/>
      <c r="M51478" s="13"/>
    </row>
    <row r="51479">
      <c r="F51479" s="13"/>
      <c r="M51479" s="13"/>
    </row>
    <row r="51480">
      <c r="F51480" s="13"/>
      <c r="M51480" s="13"/>
    </row>
    <row r="51481">
      <c r="F51481" s="13"/>
      <c r="M51481" s="13"/>
    </row>
    <row r="51482">
      <c r="F51482" s="13"/>
      <c r="M51482" s="13"/>
    </row>
    <row r="51483">
      <c r="F51483" s="13"/>
      <c r="M51483" s="13"/>
    </row>
    <row r="51484">
      <c r="F51484" s="13"/>
      <c r="M51484" s="13"/>
    </row>
    <row r="51485">
      <c r="F51485" s="13"/>
      <c r="M51485" s="13"/>
    </row>
    <row r="51486">
      <c r="F51486" s="13"/>
      <c r="M51486" s="13"/>
    </row>
    <row r="51487">
      <c r="F51487" s="13"/>
      <c r="M51487" s="13"/>
    </row>
    <row r="51488">
      <c r="F51488" s="13"/>
      <c r="M51488" s="13"/>
    </row>
    <row r="51489">
      <c r="F51489" s="13"/>
      <c r="M51489" s="13"/>
    </row>
    <row r="51490">
      <c r="F51490" s="13"/>
      <c r="M51490" s="13"/>
    </row>
    <row r="51491">
      <c r="F51491" s="13"/>
      <c r="M51491" s="13"/>
    </row>
    <row r="51492">
      <c r="F51492" s="13"/>
      <c r="M51492" s="13"/>
    </row>
    <row r="51493">
      <c r="F51493" s="13"/>
      <c r="M51493" s="13"/>
    </row>
    <row r="51494">
      <c r="F51494" s="13"/>
      <c r="M51494" s="13"/>
    </row>
    <row r="51495">
      <c r="F51495" s="13"/>
      <c r="M51495" s="13"/>
    </row>
    <row r="51496">
      <c r="F51496" s="13"/>
      <c r="M51496" s="13"/>
    </row>
    <row r="51497">
      <c r="F51497" s="13"/>
      <c r="M51497" s="13"/>
    </row>
    <row r="51498">
      <c r="F51498" s="13"/>
      <c r="M51498" s="13"/>
    </row>
    <row r="51499">
      <c r="F51499" s="13"/>
      <c r="M51499" s="13"/>
    </row>
    <row r="51500">
      <c r="F51500" s="13"/>
      <c r="M51500" s="13"/>
    </row>
    <row r="51501">
      <c r="F51501" s="13"/>
      <c r="M51501" s="13"/>
    </row>
    <row r="51502">
      <c r="F51502" s="13"/>
      <c r="M51502" s="13"/>
    </row>
    <row r="51503">
      <c r="F51503" s="13"/>
      <c r="M51503" s="13"/>
    </row>
    <row r="51504">
      <c r="F51504" s="13"/>
      <c r="M51504" s="13"/>
    </row>
    <row r="51505">
      <c r="F51505" s="13"/>
      <c r="M51505" s="13"/>
    </row>
    <row r="51506">
      <c r="F51506" s="13"/>
      <c r="M51506" s="13"/>
    </row>
    <row r="51507">
      <c r="F51507" s="13"/>
      <c r="M51507" s="13"/>
    </row>
    <row r="51508">
      <c r="F51508" s="13"/>
      <c r="M51508" s="13"/>
    </row>
    <row r="51509">
      <c r="F51509" s="13"/>
      <c r="M51509" s="13"/>
    </row>
    <row r="51510">
      <c r="F51510" s="13"/>
      <c r="M51510" s="13"/>
    </row>
    <row r="51511">
      <c r="F51511" s="13"/>
      <c r="M51511" s="13"/>
    </row>
    <row r="51512">
      <c r="F51512" s="13"/>
      <c r="M51512" s="13"/>
    </row>
    <row r="51513">
      <c r="F51513" s="13"/>
      <c r="M51513" s="13"/>
    </row>
    <row r="51514">
      <c r="F51514" s="13"/>
      <c r="M51514" s="13"/>
    </row>
    <row r="51515">
      <c r="F51515" s="13"/>
      <c r="M51515" s="13"/>
    </row>
    <row r="51516">
      <c r="F51516" s="13"/>
      <c r="M51516" s="13"/>
    </row>
    <row r="51517">
      <c r="F51517" s="13"/>
      <c r="M51517" s="13"/>
    </row>
    <row r="51518">
      <c r="F51518" s="13"/>
      <c r="M51518" s="13"/>
    </row>
    <row r="51519">
      <c r="F51519" s="13"/>
      <c r="M51519" s="13"/>
    </row>
    <row r="51520">
      <c r="F51520" s="13"/>
      <c r="M51520" s="13"/>
    </row>
    <row r="51521">
      <c r="F51521" s="13"/>
      <c r="M51521" s="13"/>
    </row>
    <row r="51522">
      <c r="F51522" s="13"/>
      <c r="M51522" s="13"/>
    </row>
    <row r="51523">
      <c r="F51523" s="13"/>
      <c r="M51523" s="13"/>
    </row>
    <row r="51524">
      <c r="F51524" s="13"/>
      <c r="M51524" s="13"/>
    </row>
    <row r="51525">
      <c r="F51525" s="13"/>
      <c r="M51525" s="13"/>
    </row>
    <row r="51526">
      <c r="F51526" s="13"/>
      <c r="M51526" s="13"/>
    </row>
    <row r="51527">
      <c r="F51527" s="13"/>
      <c r="M51527" s="13"/>
    </row>
    <row r="51528">
      <c r="F51528" s="13"/>
      <c r="M51528" s="13"/>
    </row>
    <row r="51529">
      <c r="F51529" s="13"/>
      <c r="M51529" s="13"/>
    </row>
    <row r="51530">
      <c r="F51530" s="13"/>
      <c r="M51530" s="13"/>
    </row>
    <row r="51531">
      <c r="F51531" s="13"/>
      <c r="M51531" s="13"/>
    </row>
    <row r="51532">
      <c r="F51532" s="13"/>
      <c r="M51532" s="13"/>
    </row>
    <row r="51533">
      <c r="F51533" s="13"/>
      <c r="M51533" s="13"/>
    </row>
    <row r="51534">
      <c r="F51534" s="13"/>
      <c r="M51534" s="13"/>
    </row>
    <row r="51535">
      <c r="F51535" s="13"/>
      <c r="M51535" s="13"/>
    </row>
    <row r="51536">
      <c r="F51536" s="13"/>
      <c r="M51536" s="13"/>
    </row>
    <row r="51537">
      <c r="F51537" s="13"/>
      <c r="M51537" s="13"/>
    </row>
    <row r="51538">
      <c r="F51538" s="13"/>
      <c r="M51538" s="13"/>
    </row>
    <row r="51539">
      <c r="F51539" s="13"/>
      <c r="M51539" s="13"/>
    </row>
    <row r="51540">
      <c r="F51540" s="13"/>
      <c r="M51540" s="13"/>
    </row>
    <row r="51541">
      <c r="F51541" s="13"/>
      <c r="M51541" s="13"/>
    </row>
    <row r="51542">
      <c r="F51542" s="13"/>
      <c r="M51542" s="13"/>
    </row>
    <row r="51543">
      <c r="F51543" s="13"/>
      <c r="M51543" s="13"/>
    </row>
    <row r="51544">
      <c r="F51544" s="13"/>
      <c r="M51544" s="13"/>
    </row>
    <row r="51545">
      <c r="F51545" s="13"/>
      <c r="M51545" s="13"/>
    </row>
    <row r="51546">
      <c r="F51546" s="13"/>
      <c r="M51546" s="13"/>
    </row>
    <row r="51547">
      <c r="F51547" s="13"/>
      <c r="M51547" s="13"/>
    </row>
    <row r="51548">
      <c r="F51548" s="13"/>
      <c r="M51548" s="13"/>
    </row>
    <row r="51549">
      <c r="F51549" s="13"/>
      <c r="M51549" s="13"/>
    </row>
    <row r="51550">
      <c r="F51550" s="13"/>
      <c r="M51550" s="13"/>
    </row>
    <row r="51551">
      <c r="F51551" s="13"/>
      <c r="M51551" s="13"/>
    </row>
    <row r="51552">
      <c r="F51552" s="13"/>
      <c r="M51552" s="13"/>
    </row>
    <row r="51553">
      <c r="F51553" s="13"/>
      <c r="M51553" s="13"/>
    </row>
    <row r="51554">
      <c r="F51554" s="13"/>
      <c r="M51554" s="13"/>
    </row>
    <row r="51555">
      <c r="F51555" s="13"/>
      <c r="M51555" s="13"/>
    </row>
    <row r="51556">
      <c r="F51556" s="13"/>
      <c r="M51556" s="13"/>
    </row>
    <row r="51557">
      <c r="F51557" s="13"/>
      <c r="M51557" s="13"/>
    </row>
    <row r="51558">
      <c r="F51558" s="13"/>
      <c r="M51558" s="13"/>
    </row>
    <row r="51559">
      <c r="F51559" s="13"/>
      <c r="M51559" s="13"/>
    </row>
    <row r="51560">
      <c r="F51560" s="13"/>
      <c r="M51560" s="13"/>
    </row>
    <row r="51561">
      <c r="F51561" s="13"/>
      <c r="M51561" s="13"/>
    </row>
    <row r="51562">
      <c r="F51562" s="13"/>
      <c r="M51562" s="13"/>
    </row>
    <row r="51563">
      <c r="F51563" s="13"/>
      <c r="M51563" s="13"/>
    </row>
    <row r="51564">
      <c r="F51564" s="13"/>
      <c r="M51564" s="13"/>
    </row>
    <row r="51565">
      <c r="F51565" s="13"/>
      <c r="M51565" s="13"/>
    </row>
    <row r="51566">
      <c r="F51566" s="13"/>
      <c r="M51566" s="13"/>
    </row>
    <row r="51567">
      <c r="F51567" s="13"/>
      <c r="M51567" s="13"/>
    </row>
    <row r="51568">
      <c r="F51568" s="13"/>
      <c r="M51568" s="13"/>
    </row>
    <row r="51569">
      <c r="F51569" s="13"/>
      <c r="M51569" s="13"/>
    </row>
    <row r="51570">
      <c r="F51570" s="13"/>
      <c r="M51570" s="13"/>
    </row>
    <row r="51571">
      <c r="F51571" s="13"/>
      <c r="M51571" s="13"/>
    </row>
    <row r="51572">
      <c r="F51572" s="13"/>
      <c r="M51572" s="13"/>
    </row>
    <row r="51573">
      <c r="F51573" s="13"/>
      <c r="M51573" s="13"/>
    </row>
    <row r="51574">
      <c r="F51574" s="13"/>
      <c r="M51574" s="13"/>
    </row>
    <row r="51575">
      <c r="F51575" s="13"/>
      <c r="M51575" s="13"/>
    </row>
    <row r="51576">
      <c r="F51576" s="13"/>
      <c r="M51576" s="13"/>
    </row>
    <row r="51577">
      <c r="F51577" s="13"/>
      <c r="M51577" s="13"/>
    </row>
    <row r="51578">
      <c r="F51578" s="13"/>
      <c r="M51578" s="13"/>
    </row>
    <row r="51579">
      <c r="F51579" s="13"/>
      <c r="M51579" s="13"/>
    </row>
    <row r="51580">
      <c r="F51580" s="13"/>
      <c r="M51580" s="13"/>
    </row>
    <row r="51581">
      <c r="F51581" s="13"/>
      <c r="M51581" s="13"/>
    </row>
    <row r="51582">
      <c r="F51582" s="13"/>
      <c r="M51582" s="13"/>
    </row>
    <row r="51583">
      <c r="F51583" s="13"/>
      <c r="M51583" s="13"/>
    </row>
    <row r="51584">
      <c r="F51584" s="13"/>
      <c r="M51584" s="13"/>
    </row>
    <row r="51585">
      <c r="F51585" s="13"/>
      <c r="M51585" s="13"/>
    </row>
    <row r="51586">
      <c r="F51586" s="13"/>
      <c r="M51586" s="13"/>
    </row>
    <row r="51587">
      <c r="F51587" s="13"/>
      <c r="M51587" s="13"/>
    </row>
    <row r="51588">
      <c r="F51588" s="13"/>
      <c r="M51588" s="13"/>
    </row>
    <row r="51589">
      <c r="F51589" s="13"/>
      <c r="M51589" s="13"/>
    </row>
    <row r="51590">
      <c r="F51590" s="13"/>
      <c r="M51590" s="13"/>
    </row>
    <row r="51591">
      <c r="F51591" s="13"/>
      <c r="M51591" s="13"/>
    </row>
    <row r="51592">
      <c r="F51592" s="13"/>
      <c r="M51592" s="13"/>
    </row>
    <row r="51593">
      <c r="F51593" s="13"/>
      <c r="M51593" s="13"/>
    </row>
    <row r="51594">
      <c r="F51594" s="13"/>
      <c r="M51594" s="13"/>
    </row>
    <row r="51595">
      <c r="F51595" s="13"/>
      <c r="M51595" s="13"/>
    </row>
    <row r="51596">
      <c r="F51596" s="13"/>
      <c r="M51596" s="13"/>
    </row>
    <row r="51597">
      <c r="F51597" s="13"/>
      <c r="M51597" s="13"/>
    </row>
    <row r="51598">
      <c r="F51598" s="13"/>
      <c r="M51598" s="13"/>
    </row>
    <row r="51599">
      <c r="F51599" s="13"/>
      <c r="M51599" s="13"/>
    </row>
    <row r="51600">
      <c r="F51600" s="13"/>
      <c r="M51600" s="13"/>
    </row>
    <row r="51601">
      <c r="F51601" s="13"/>
      <c r="M51601" s="13"/>
    </row>
    <row r="51602">
      <c r="F51602" s="13"/>
      <c r="M51602" s="13"/>
    </row>
    <row r="51603">
      <c r="F51603" s="13"/>
      <c r="M51603" s="13"/>
    </row>
    <row r="51604">
      <c r="F51604" s="13"/>
      <c r="M51604" s="13"/>
    </row>
    <row r="51605">
      <c r="F51605" s="13"/>
      <c r="M51605" s="13"/>
    </row>
    <row r="51606">
      <c r="F51606" s="13"/>
      <c r="M51606" s="13"/>
    </row>
    <row r="51607">
      <c r="F51607" s="13"/>
      <c r="M51607" s="13"/>
    </row>
    <row r="51608">
      <c r="F51608" s="13"/>
      <c r="M51608" s="13"/>
    </row>
    <row r="51609">
      <c r="F51609" s="13"/>
      <c r="M51609" s="13"/>
    </row>
    <row r="51610">
      <c r="F51610" s="13"/>
      <c r="M51610" s="13"/>
    </row>
    <row r="51611">
      <c r="F51611" s="13"/>
      <c r="M51611" s="13"/>
    </row>
    <row r="51612">
      <c r="F51612" s="13"/>
      <c r="M51612" s="13"/>
    </row>
    <row r="51613">
      <c r="F51613" s="13"/>
      <c r="M51613" s="13"/>
    </row>
    <row r="51614">
      <c r="F51614" s="13"/>
      <c r="M51614" s="13"/>
    </row>
    <row r="51615">
      <c r="F51615" s="13"/>
      <c r="M51615" s="13"/>
    </row>
    <row r="51616">
      <c r="F51616" s="13"/>
      <c r="M51616" s="13"/>
    </row>
    <row r="51617">
      <c r="F51617" s="13"/>
      <c r="M51617" s="13"/>
    </row>
    <row r="51618">
      <c r="F51618" s="13"/>
      <c r="M51618" s="13"/>
    </row>
    <row r="51619">
      <c r="F51619" s="13"/>
      <c r="M51619" s="13"/>
    </row>
    <row r="51620">
      <c r="F51620" s="13"/>
      <c r="M51620" s="13"/>
    </row>
    <row r="51621">
      <c r="F51621" s="13"/>
      <c r="M51621" s="13"/>
    </row>
    <row r="51622">
      <c r="F51622" s="13"/>
      <c r="M51622" s="13"/>
    </row>
    <row r="51623">
      <c r="F51623" s="13"/>
      <c r="M51623" s="13"/>
    </row>
    <row r="51624">
      <c r="F51624" s="13"/>
      <c r="M51624" s="13"/>
    </row>
    <row r="51625">
      <c r="F51625" s="13"/>
      <c r="M51625" s="13"/>
    </row>
    <row r="51626">
      <c r="F51626" s="13"/>
      <c r="M51626" s="13"/>
    </row>
    <row r="51627">
      <c r="F51627" s="13"/>
      <c r="M51627" s="13"/>
    </row>
    <row r="51628">
      <c r="F51628" s="13"/>
      <c r="M51628" s="13"/>
    </row>
    <row r="51629">
      <c r="F51629" s="13"/>
      <c r="M51629" s="13"/>
    </row>
    <row r="51630">
      <c r="F51630" s="13"/>
      <c r="M51630" s="13"/>
    </row>
    <row r="51631">
      <c r="F51631" s="13"/>
      <c r="M51631" s="13"/>
    </row>
    <row r="51632">
      <c r="F51632" s="13"/>
      <c r="M51632" s="13"/>
    </row>
    <row r="51633">
      <c r="F51633" s="13"/>
      <c r="M51633" s="13"/>
    </row>
    <row r="51634">
      <c r="F51634" s="13"/>
      <c r="M51634" s="13"/>
    </row>
    <row r="51635">
      <c r="F51635" s="13"/>
      <c r="M51635" s="13"/>
    </row>
    <row r="51636">
      <c r="F51636" s="13"/>
      <c r="M51636" s="13"/>
    </row>
    <row r="51637">
      <c r="F51637" s="13"/>
      <c r="M51637" s="13"/>
    </row>
    <row r="51638">
      <c r="F51638" s="13"/>
      <c r="M51638" s="13"/>
    </row>
    <row r="51639">
      <c r="F51639" s="13"/>
      <c r="M51639" s="13"/>
    </row>
    <row r="51640">
      <c r="F51640" s="13"/>
      <c r="M51640" s="13"/>
    </row>
    <row r="51641">
      <c r="F51641" s="13"/>
      <c r="M51641" s="13"/>
    </row>
    <row r="51642">
      <c r="F51642" s="13"/>
      <c r="M51642" s="13"/>
    </row>
    <row r="51643">
      <c r="F51643" s="13"/>
      <c r="M51643" s="13"/>
    </row>
    <row r="51644">
      <c r="F51644" s="13"/>
      <c r="M51644" s="13"/>
    </row>
    <row r="51645">
      <c r="F51645" s="13"/>
      <c r="M51645" s="13"/>
    </row>
    <row r="51646">
      <c r="F51646" s="13"/>
      <c r="M51646" s="13"/>
    </row>
    <row r="51647">
      <c r="F51647" s="13"/>
      <c r="M51647" s="13"/>
    </row>
    <row r="51648">
      <c r="F51648" s="13"/>
      <c r="M51648" s="13"/>
    </row>
    <row r="51649">
      <c r="F51649" s="13"/>
      <c r="M51649" s="13"/>
    </row>
    <row r="51650">
      <c r="F51650" s="13"/>
      <c r="M51650" s="13"/>
    </row>
    <row r="51651">
      <c r="F51651" s="13"/>
      <c r="M51651" s="13"/>
    </row>
    <row r="51652">
      <c r="F51652" s="13"/>
      <c r="M51652" s="13"/>
    </row>
    <row r="51653">
      <c r="F51653" s="13"/>
      <c r="M51653" s="13"/>
    </row>
    <row r="51654">
      <c r="F51654" s="13"/>
      <c r="M51654" s="13"/>
    </row>
    <row r="51655">
      <c r="F51655" s="13"/>
      <c r="M51655" s="13"/>
    </row>
    <row r="51656">
      <c r="F51656" s="13"/>
      <c r="M51656" s="13"/>
    </row>
    <row r="51657">
      <c r="F51657" s="13"/>
      <c r="M51657" s="13"/>
    </row>
    <row r="51658">
      <c r="F51658" s="13"/>
      <c r="M51658" s="13"/>
    </row>
    <row r="51659">
      <c r="F51659" s="13"/>
      <c r="M51659" s="13"/>
    </row>
    <row r="51660">
      <c r="F51660" s="13"/>
      <c r="M51660" s="13"/>
    </row>
    <row r="51661">
      <c r="F51661" s="13"/>
      <c r="M51661" s="13"/>
    </row>
    <row r="51662">
      <c r="F51662" s="13"/>
      <c r="M51662" s="13"/>
    </row>
    <row r="51663">
      <c r="F51663" s="13"/>
      <c r="M51663" s="13"/>
    </row>
    <row r="51664">
      <c r="F51664" s="13"/>
      <c r="M51664" s="13"/>
    </row>
    <row r="51665">
      <c r="F51665" s="13"/>
      <c r="M51665" s="13"/>
    </row>
    <row r="51666">
      <c r="F51666" s="13"/>
      <c r="M51666" s="13"/>
    </row>
    <row r="51667">
      <c r="F51667" s="13"/>
      <c r="M51667" s="13"/>
    </row>
    <row r="51668">
      <c r="F51668" s="13"/>
      <c r="M51668" s="13"/>
    </row>
    <row r="51669">
      <c r="F51669" s="13"/>
      <c r="M51669" s="13"/>
    </row>
    <row r="51670">
      <c r="F51670" s="13"/>
      <c r="M51670" s="13"/>
    </row>
    <row r="51671">
      <c r="F51671" s="13"/>
      <c r="M51671" s="13"/>
    </row>
    <row r="51672">
      <c r="F51672" s="13"/>
      <c r="M51672" s="13"/>
    </row>
    <row r="51673">
      <c r="F51673" s="13"/>
      <c r="M51673" s="13"/>
    </row>
    <row r="51674">
      <c r="F51674" s="13"/>
      <c r="M51674" s="13"/>
    </row>
    <row r="51675">
      <c r="F51675" s="13"/>
      <c r="M51675" s="13"/>
    </row>
    <row r="51676">
      <c r="F51676" s="13"/>
      <c r="M51676" s="13"/>
    </row>
    <row r="51677">
      <c r="F51677" s="13"/>
      <c r="M51677" s="13"/>
    </row>
    <row r="51678">
      <c r="F51678" s="13"/>
      <c r="M51678" s="13"/>
    </row>
    <row r="51679">
      <c r="F51679" s="13"/>
      <c r="M51679" s="13"/>
    </row>
    <row r="51680">
      <c r="F51680" s="13"/>
      <c r="M51680" s="13"/>
    </row>
    <row r="51681">
      <c r="F51681" s="13"/>
      <c r="M51681" s="13"/>
    </row>
    <row r="51682">
      <c r="F51682" s="13"/>
      <c r="M51682" s="13"/>
    </row>
    <row r="51683">
      <c r="F51683" s="13"/>
      <c r="M51683" s="13"/>
    </row>
    <row r="51684">
      <c r="F51684" s="13"/>
      <c r="M51684" s="13"/>
    </row>
    <row r="51685">
      <c r="F51685" s="13"/>
      <c r="M51685" s="13"/>
    </row>
    <row r="51686">
      <c r="F51686" s="13"/>
      <c r="M51686" s="13"/>
    </row>
    <row r="51687">
      <c r="F51687" s="13"/>
      <c r="M51687" s="13"/>
    </row>
    <row r="51688">
      <c r="F51688" s="13"/>
      <c r="M51688" s="13"/>
    </row>
    <row r="51689">
      <c r="F51689" s="13"/>
      <c r="M51689" s="13"/>
    </row>
    <row r="51690">
      <c r="F51690" s="13"/>
      <c r="M51690" s="13"/>
    </row>
    <row r="51691">
      <c r="F51691" s="13"/>
      <c r="M51691" s="13"/>
    </row>
    <row r="51692">
      <c r="F51692" s="13"/>
      <c r="M51692" s="13"/>
    </row>
    <row r="51693">
      <c r="F51693" s="13"/>
      <c r="M51693" s="13"/>
    </row>
    <row r="51694">
      <c r="F51694" s="13"/>
      <c r="M51694" s="13"/>
    </row>
    <row r="51695">
      <c r="F51695" s="13"/>
      <c r="M51695" s="13"/>
    </row>
    <row r="51696">
      <c r="F51696" s="13"/>
      <c r="M51696" s="13"/>
    </row>
    <row r="51697">
      <c r="F51697" s="13"/>
      <c r="M51697" s="13"/>
    </row>
    <row r="51698">
      <c r="F51698" s="13"/>
      <c r="M51698" s="13"/>
    </row>
    <row r="51699">
      <c r="F51699" s="13"/>
      <c r="M51699" s="13"/>
    </row>
    <row r="51700">
      <c r="F51700" s="13"/>
      <c r="M51700" s="13"/>
    </row>
    <row r="51701">
      <c r="F51701" s="13"/>
      <c r="M51701" s="13"/>
    </row>
    <row r="51702">
      <c r="F51702" s="13"/>
      <c r="M51702" s="13"/>
    </row>
    <row r="51703">
      <c r="F51703" s="13"/>
      <c r="M51703" s="13"/>
    </row>
    <row r="51704">
      <c r="F51704" s="13"/>
      <c r="M51704" s="13"/>
    </row>
    <row r="51705">
      <c r="F51705" s="13"/>
      <c r="M51705" s="13"/>
    </row>
    <row r="51706">
      <c r="F51706" s="13"/>
      <c r="M51706" s="13"/>
    </row>
    <row r="51707">
      <c r="F51707" s="13"/>
      <c r="M51707" s="13"/>
    </row>
    <row r="51708">
      <c r="F51708" s="13"/>
      <c r="M51708" s="13"/>
    </row>
    <row r="51709">
      <c r="F51709" s="13"/>
      <c r="M51709" s="13"/>
    </row>
    <row r="51710">
      <c r="F51710" s="13"/>
      <c r="M51710" s="13"/>
    </row>
    <row r="51711">
      <c r="F51711" s="13"/>
      <c r="M51711" s="13"/>
    </row>
    <row r="51712">
      <c r="F51712" s="13"/>
      <c r="M51712" s="13"/>
    </row>
    <row r="51713">
      <c r="F51713" s="13"/>
      <c r="M51713" s="13"/>
    </row>
    <row r="51714">
      <c r="F51714" s="13"/>
      <c r="M51714" s="13"/>
    </row>
    <row r="51715">
      <c r="F51715" s="13"/>
      <c r="M51715" s="13"/>
    </row>
    <row r="51716">
      <c r="F51716" s="13"/>
      <c r="M51716" s="13"/>
    </row>
    <row r="51717">
      <c r="F51717" s="13"/>
      <c r="M51717" s="13"/>
    </row>
    <row r="51718">
      <c r="F51718" s="13"/>
      <c r="M51718" s="13"/>
    </row>
    <row r="51719">
      <c r="F51719" s="13"/>
      <c r="M51719" s="13"/>
    </row>
    <row r="51720">
      <c r="F51720" s="13"/>
      <c r="M51720" s="13"/>
    </row>
    <row r="51721">
      <c r="F51721" s="13"/>
      <c r="M51721" s="13"/>
    </row>
    <row r="51722">
      <c r="F51722" s="13"/>
      <c r="M51722" s="13"/>
    </row>
    <row r="51723">
      <c r="F51723" s="13"/>
      <c r="M51723" s="13"/>
    </row>
    <row r="51724">
      <c r="F51724" s="13"/>
      <c r="M51724" s="13"/>
    </row>
    <row r="51725">
      <c r="F51725" s="13"/>
      <c r="M51725" s="13"/>
    </row>
    <row r="51726">
      <c r="F51726" s="13"/>
      <c r="M51726" s="13"/>
    </row>
    <row r="51727">
      <c r="F51727" s="13"/>
      <c r="M51727" s="13"/>
    </row>
    <row r="51728">
      <c r="F51728" s="13"/>
      <c r="M51728" s="13"/>
    </row>
    <row r="51729">
      <c r="F51729" s="13"/>
      <c r="M51729" s="13"/>
    </row>
    <row r="51730">
      <c r="F51730" s="13"/>
      <c r="M51730" s="13"/>
    </row>
    <row r="51731">
      <c r="F51731" s="13"/>
      <c r="M51731" s="13"/>
    </row>
    <row r="51732">
      <c r="F51732" s="13"/>
      <c r="M51732" s="13"/>
    </row>
    <row r="51733">
      <c r="F51733" s="13"/>
      <c r="M51733" s="13"/>
    </row>
    <row r="51734">
      <c r="F51734" s="13"/>
      <c r="M51734" s="13"/>
    </row>
    <row r="51735">
      <c r="F51735" s="13"/>
      <c r="M51735" s="13"/>
    </row>
    <row r="51736">
      <c r="F51736" s="13"/>
      <c r="M51736" s="13"/>
    </row>
    <row r="51737">
      <c r="F51737" s="13"/>
      <c r="M51737" s="13"/>
    </row>
    <row r="51738">
      <c r="F51738" s="13"/>
      <c r="M51738" s="13"/>
    </row>
    <row r="51739">
      <c r="F51739" s="13"/>
      <c r="M51739" s="13"/>
    </row>
    <row r="51740">
      <c r="F51740" s="13"/>
      <c r="M51740" s="13"/>
    </row>
    <row r="51741">
      <c r="F51741" s="13"/>
      <c r="M51741" s="13"/>
    </row>
    <row r="51742">
      <c r="F51742" s="13"/>
      <c r="M51742" s="13"/>
    </row>
    <row r="51743">
      <c r="F51743" s="13"/>
      <c r="M51743" s="13"/>
    </row>
    <row r="51744">
      <c r="F51744" s="13"/>
      <c r="M51744" s="13"/>
    </row>
    <row r="51745">
      <c r="F51745" s="13"/>
      <c r="M51745" s="13"/>
    </row>
    <row r="51746">
      <c r="F51746" s="13"/>
      <c r="M51746" s="13"/>
    </row>
    <row r="51747">
      <c r="F51747" s="13"/>
      <c r="M51747" s="13"/>
    </row>
    <row r="51748">
      <c r="F51748" s="13"/>
      <c r="M51748" s="13"/>
    </row>
    <row r="51749">
      <c r="F51749" s="13"/>
      <c r="M51749" s="13"/>
    </row>
    <row r="51750">
      <c r="F51750" s="13"/>
      <c r="M51750" s="13"/>
    </row>
    <row r="51751">
      <c r="F51751" s="13"/>
      <c r="M51751" s="13"/>
    </row>
    <row r="51752">
      <c r="F51752" s="13"/>
      <c r="M51752" s="13"/>
    </row>
    <row r="51753">
      <c r="F51753" s="13"/>
      <c r="M51753" s="13"/>
    </row>
    <row r="51754">
      <c r="F51754" s="13"/>
      <c r="M51754" s="13"/>
    </row>
    <row r="51755">
      <c r="F51755" s="13"/>
      <c r="M51755" s="13"/>
    </row>
    <row r="51756">
      <c r="F51756" s="13"/>
      <c r="M51756" s="13"/>
    </row>
    <row r="51757">
      <c r="F51757" s="13"/>
      <c r="M51757" s="13"/>
    </row>
    <row r="51758">
      <c r="F51758" s="13"/>
      <c r="M51758" s="13"/>
    </row>
    <row r="51759">
      <c r="F51759" s="13"/>
      <c r="M51759" s="13"/>
    </row>
    <row r="51760">
      <c r="F51760" s="13"/>
      <c r="M51760" s="13"/>
    </row>
    <row r="51761">
      <c r="F51761" s="13"/>
      <c r="M51761" s="13"/>
    </row>
    <row r="51762">
      <c r="F51762" s="13"/>
      <c r="M51762" s="13"/>
    </row>
    <row r="51763">
      <c r="F51763" s="13"/>
      <c r="M51763" s="13"/>
    </row>
    <row r="51764">
      <c r="F51764" s="13"/>
      <c r="M51764" s="13"/>
    </row>
    <row r="51765">
      <c r="F51765" s="13"/>
      <c r="M51765" s="13"/>
    </row>
    <row r="51766">
      <c r="F51766" s="13"/>
      <c r="M51766" s="13"/>
    </row>
    <row r="51767">
      <c r="F51767" s="13"/>
      <c r="M51767" s="13"/>
    </row>
    <row r="51768">
      <c r="F51768" s="13"/>
      <c r="M51768" s="13"/>
    </row>
    <row r="51769">
      <c r="F51769" s="13"/>
      <c r="M51769" s="13"/>
    </row>
    <row r="51770">
      <c r="F51770" s="13"/>
      <c r="M51770" s="13"/>
    </row>
    <row r="51771">
      <c r="F51771" s="13"/>
      <c r="M51771" s="13"/>
    </row>
    <row r="51772">
      <c r="F51772" s="13"/>
      <c r="M51772" s="13"/>
    </row>
    <row r="51773">
      <c r="F51773" s="13"/>
      <c r="M51773" s="13"/>
    </row>
    <row r="51774">
      <c r="F51774" s="13"/>
      <c r="M51774" s="13"/>
    </row>
    <row r="51775">
      <c r="F51775" s="13"/>
      <c r="M51775" s="13"/>
    </row>
    <row r="51776">
      <c r="F51776" s="13"/>
      <c r="M51776" s="13"/>
    </row>
    <row r="51777">
      <c r="F51777" s="13"/>
      <c r="M51777" s="13"/>
    </row>
    <row r="51778">
      <c r="F51778" s="13"/>
      <c r="M51778" s="13"/>
    </row>
    <row r="51779">
      <c r="F51779" s="13"/>
      <c r="M51779" s="13"/>
    </row>
    <row r="51780">
      <c r="F51780" s="13"/>
      <c r="M51780" s="13"/>
    </row>
    <row r="51781">
      <c r="F51781" s="13"/>
      <c r="M51781" s="13"/>
    </row>
    <row r="51782">
      <c r="F51782" s="13"/>
      <c r="M51782" s="13"/>
    </row>
    <row r="51783">
      <c r="F51783" s="13"/>
      <c r="M51783" s="13"/>
    </row>
    <row r="51784">
      <c r="F51784" s="13"/>
      <c r="M51784" s="13"/>
    </row>
    <row r="51785">
      <c r="F51785" s="13"/>
      <c r="M51785" s="13"/>
    </row>
    <row r="51786">
      <c r="F51786" s="13"/>
      <c r="M51786" s="13"/>
    </row>
    <row r="51787">
      <c r="F51787" s="13"/>
      <c r="M51787" s="13"/>
    </row>
    <row r="51788">
      <c r="F51788" s="13"/>
      <c r="M51788" s="13"/>
    </row>
    <row r="51789">
      <c r="F51789" s="13"/>
      <c r="M51789" s="13"/>
    </row>
    <row r="51790">
      <c r="F51790" s="13"/>
      <c r="M51790" s="13"/>
    </row>
    <row r="51791">
      <c r="F51791" s="13"/>
      <c r="M51791" s="13"/>
    </row>
    <row r="51792">
      <c r="F51792" s="13"/>
      <c r="M51792" s="13"/>
    </row>
    <row r="51793">
      <c r="F51793" s="13"/>
      <c r="M51793" s="13"/>
    </row>
    <row r="51794">
      <c r="F51794" s="13"/>
      <c r="M51794" s="13"/>
    </row>
    <row r="51795">
      <c r="F51795" s="13"/>
      <c r="M51795" s="13"/>
    </row>
    <row r="51796">
      <c r="F51796" s="13"/>
      <c r="M51796" s="13"/>
    </row>
    <row r="51797">
      <c r="F51797" s="13"/>
      <c r="M51797" s="13"/>
    </row>
    <row r="51798">
      <c r="F51798" s="13"/>
      <c r="M51798" s="13"/>
    </row>
    <row r="51799">
      <c r="F51799" s="13"/>
      <c r="M51799" s="13"/>
    </row>
    <row r="51800">
      <c r="F51800" s="13"/>
      <c r="M51800" s="13"/>
    </row>
    <row r="51801">
      <c r="F51801" s="13"/>
      <c r="M51801" s="13"/>
    </row>
    <row r="51802">
      <c r="F51802" s="13"/>
      <c r="M51802" s="13"/>
    </row>
    <row r="51803">
      <c r="F51803" s="13"/>
      <c r="M51803" s="13"/>
    </row>
    <row r="51804">
      <c r="F51804" s="13"/>
      <c r="M51804" s="13"/>
    </row>
    <row r="51805">
      <c r="F51805" s="13"/>
      <c r="M51805" s="13"/>
    </row>
    <row r="51806">
      <c r="F51806" s="13"/>
      <c r="M51806" s="13"/>
    </row>
    <row r="51807">
      <c r="F51807" s="13"/>
      <c r="M51807" s="13"/>
    </row>
    <row r="51808">
      <c r="F51808" s="13"/>
      <c r="M51808" s="13"/>
    </row>
    <row r="51809">
      <c r="F51809" s="13"/>
      <c r="M51809" s="13"/>
    </row>
    <row r="51810">
      <c r="F51810" s="13"/>
      <c r="M51810" s="13"/>
    </row>
    <row r="51811">
      <c r="F51811" s="13"/>
      <c r="M51811" s="13"/>
    </row>
    <row r="51812">
      <c r="F51812" s="13"/>
      <c r="M51812" s="13"/>
    </row>
    <row r="51813">
      <c r="F51813" s="13"/>
      <c r="M51813" s="13"/>
    </row>
    <row r="51814">
      <c r="F51814" s="13"/>
      <c r="M51814" s="13"/>
    </row>
    <row r="51815">
      <c r="F51815" s="13"/>
      <c r="M51815" s="13"/>
    </row>
    <row r="51816">
      <c r="F51816" s="13"/>
      <c r="M51816" s="13"/>
    </row>
    <row r="51817">
      <c r="F51817" s="13"/>
      <c r="M51817" s="13"/>
    </row>
    <row r="51818">
      <c r="F51818" s="13"/>
      <c r="M51818" s="13"/>
    </row>
    <row r="51819">
      <c r="F51819" s="13"/>
      <c r="M51819" s="13"/>
    </row>
    <row r="51820">
      <c r="F51820" s="13"/>
      <c r="M51820" s="13"/>
    </row>
    <row r="51821">
      <c r="F51821" s="13"/>
      <c r="M51821" s="13"/>
    </row>
    <row r="51822">
      <c r="F51822" s="13"/>
      <c r="M51822" s="13"/>
    </row>
    <row r="51823">
      <c r="F51823" s="13"/>
      <c r="M51823" s="13"/>
    </row>
    <row r="51824">
      <c r="F51824" s="13"/>
      <c r="M51824" s="13"/>
    </row>
    <row r="51825">
      <c r="F51825" s="13"/>
      <c r="M51825" s="13"/>
    </row>
    <row r="51826">
      <c r="F51826" s="13"/>
      <c r="M51826" s="13"/>
    </row>
    <row r="51827">
      <c r="F51827" s="13"/>
      <c r="M51827" s="13"/>
    </row>
    <row r="51828">
      <c r="F51828" s="13"/>
      <c r="M51828" s="13"/>
    </row>
    <row r="51829">
      <c r="F51829" s="13"/>
      <c r="M51829" s="13"/>
    </row>
    <row r="51830">
      <c r="F51830" s="13"/>
      <c r="M51830" s="13"/>
    </row>
    <row r="51831">
      <c r="F51831" s="13"/>
      <c r="M51831" s="13"/>
    </row>
    <row r="51832">
      <c r="F51832" s="13"/>
      <c r="M51832" s="13"/>
    </row>
    <row r="51833">
      <c r="F51833" s="13"/>
      <c r="M51833" s="13"/>
    </row>
    <row r="51834">
      <c r="F51834" s="13"/>
      <c r="M51834" s="13"/>
    </row>
    <row r="51835">
      <c r="F51835" s="13"/>
      <c r="M51835" s="13"/>
    </row>
    <row r="51836">
      <c r="F51836" s="13"/>
      <c r="M51836" s="13"/>
    </row>
    <row r="51837">
      <c r="F51837" s="13"/>
      <c r="M51837" s="13"/>
    </row>
    <row r="51838">
      <c r="F51838" s="13"/>
      <c r="M51838" s="13"/>
    </row>
    <row r="51839">
      <c r="F51839" s="13"/>
      <c r="M51839" s="13"/>
    </row>
    <row r="51840">
      <c r="F51840" s="13"/>
      <c r="M51840" s="13"/>
    </row>
    <row r="51841">
      <c r="F51841" s="13"/>
      <c r="M51841" s="13"/>
    </row>
    <row r="51842">
      <c r="F51842" s="13"/>
      <c r="M51842" s="13"/>
    </row>
    <row r="51843">
      <c r="F51843" s="13"/>
      <c r="M51843" s="13"/>
    </row>
    <row r="51844">
      <c r="F51844" s="13"/>
      <c r="M51844" s="13"/>
    </row>
    <row r="51845">
      <c r="F51845" s="13"/>
      <c r="M51845" s="13"/>
    </row>
    <row r="51846">
      <c r="F51846" s="13"/>
      <c r="M51846" s="13"/>
    </row>
    <row r="51847">
      <c r="F51847" s="13"/>
      <c r="M51847" s="13"/>
    </row>
    <row r="51848">
      <c r="F51848" s="13"/>
      <c r="M51848" s="13"/>
    </row>
    <row r="51849">
      <c r="F51849" s="13"/>
      <c r="M51849" s="13"/>
    </row>
    <row r="51850">
      <c r="F51850" s="13"/>
      <c r="M51850" s="13"/>
    </row>
    <row r="51851">
      <c r="F51851" s="13"/>
      <c r="M51851" s="13"/>
    </row>
    <row r="51852">
      <c r="F51852" s="13"/>
      <c r="M51852" s="13"/>
    </row>
    <row r="51853">
      <c r="F51853" s="13"/>
      <c r="M51853" s="13"/>
    </row>
    <row r="51854">
      <c r="F51854" s="13"/>
      <c r="M51854" s="13"/>
    </row>
    <row r="51855">
      <c r="F51855" s="13"/>
      <c r="M51855" s="13"/>
    </row>
    <row r="51856">
      <c r="F51856" s="13"/>
      <c r="M51856" s="13"/>
    </row>
    <row r="51857">
      <c r="F51857" s="13"/>
      <c r="M51857" s="13"/>
    </row>
    <row r="51858">
      <c r="F51858" s="13"/>
      <c r="M51858" s="13"/>
    </row>
    <row r="51859">
      <c r="F51859" s="13"/>
      <c r="M51859" s="13"/>
    </row>
    <row r="51860">
      <c r="F51860" s="13"/>
      <c r="M51860" s="13"/>
    </row>
    <row r="51861">
      <c r="F51861" s="13"/>
      <c r="M51861" s="13"/>
    </row>
    <row r="51862">
      <c r="F51862" s="13"/>
      <c r="M51862" s="13"/>
    </row>
    <row r="51863">
      <c r="F51863" s="13"/>
      <c r="M51863" s="13"/>
    </row>
    <row r="51864">
      <c r="F51864" s="13"/>
      <c r="M51864" s="13"/>
    </row>
    <row r="51865">
      <c r="F51865" s="13"/>
      <c r="M51865" s="13"/>
    </row>
    <row r="51866">
      <c r="F51866" s="13"/>
      <c r="M51866" s="13"/>
    </row>
    <row r="51867">
      <c r="F51867" s="13"/>
      <c r="M51867" s="13"/>
    </row>
    <row r="51868">
      <c r="F51868" s="13"/>
      <c r="M51868" s="13"/>
    </row>
    <row r="51869">
      <c r="F51869" s="13"/>
      <c r="M51869" s="13"/>
    </row>
    <row r="51870">
      <c r="F51870" s="13"/>
      <c r="M51870" s="13"/>
    </row>
    <row r="51871">
      <c r="F51871" s="13"/>
      <c r="M51871" s="13"/>
    </row>
    <row r="51872">
      <c r="F51872" s="13"/>
      <c r="M51872" s="13"/>
    </row>
    <row r="51873">
      <c r="F51873" s="13"/>
      <c r="M51873" s="13"/>
    </row>
    <row r="51874">
      <c r="F51874" s="13"/>
      <c r="M51874" s="13"/>
    </row>
    <row r="51875">
      <c r="F51875" s="13"/>
      <c r="M51875" s="13"/>
    </row>
    <row r="51876">
      <c r="F51876" s="13"/>
      <c r="M51876" s="13"/>
    </row>
    <row r="51877">
      <c r="F51877" s="13"/>
      <c r="M51877" s="13"/>
    </row>
    <row r="51878">
      <c r="F51878" s="13"/>
      <c r="M51878" s="13"/>
    </row>
    <row r="51879">
      <c r="F51879" s="13"/>
      <c r="M51879" s="13"/>
    </row>
    <row r="51880">
      <c r="F51880" s="13"/>
      <c r="M51880" s="13"/>
    </row>
    <row r="51881">
      <c r="F51881" s="13"/>
      <c r="M51881" s="13"/>
    </row>
    <row r="51882">
      <c r="F51882" s="13"/>
      <c r="M51882" s="13"/>
    </row>
    <row r="51883">
      <c r="F51883" s="13"/>
      <c r="M51883" s="13"/>
    </row>
    <row r="51884">
      <c r="F51884" s="13"/>
      <c r="M51884" s="13"/>
    </row>
    <row r="51885">
      <c r="F51885" s="13"/>
      <c r="M51885" s="13"/>
    </row>
    <row r="51886">
      <c r="F51886" s="13"/>
      <c r="M51886" s="13"/>
    </row>
    <row r="51887">
      <c r="F51887" s="13"/>
      <c r="M51887" s="13"/>
    </row>
    <row r="51888">
      <c r="F51888" s="13"/>
      <c r="M51888" s="13"/>
    </row>
    <row r="51889">
      <c r="F51889" s="13"/>
      <c r="M51889" s="13"/>
    </row>
    <row r="51890">
      <c r="F51890" s="13"/>
      <c r="M51890" s="13"/>
    </row>
    <row r="51891">
      <c r="F51891" s="13"/>
      <c r="M51891" s="13"/>
    </row>
    <row r="51892">
      <c r="F51892" s="13"/>
      <c r="M51892" s="13"/>
    </row>
    <row r="51893">
      <c r="F51893" s="13"/>
      <c r="M51893" s="13"/>
    </row>
    <row r="51894">
      <c r="F51894" s="13"/>
      <c r="M51894" s="13"/>
    </row>
    <row r="51895">
      <c r="F51895" s="13"/>
      <c r="M51895" s="13"/>
    </row>
    <row r="51896">
      <c r="F51896" s="13"/>
      <c r="M51896" s="13"/>
    </row>
    <row r="51897">
      <c r="F51897" s="13"/>
      <c r="M51897" s="13"/>
    </row>
    <row r="51898">
      <c r="F51898" s="13"/>
      <c r="M51898" s="13"/>
    </row>
    <row r="51899">
      <c r="F51899" s="13"/>
      <c r="M51899" s="13"/>
    </row>
    <row r="51900">
      <c r="F51900" s="13"/>
      <c r="M51900" s="13"/>
    </row>
    <row r="51901">
      <c r="F51901" s="13"/>
      <c r="M51901" s="13"/>
    </row>
    <row r="51902">
      <c r="F51902" s="13"/>
      <c r="M51902" s="13"/>
    </row>
    <row r="51903">
      <c r="F51903" s="13"/>
      <c r="M51903" s="13"/>
    </row>
    <row r="51904">
      <c r="F51904" s="13"/>
      <c r="M51904" s="13"/>
    </row>
    <row r="51905">
      <c r="F51905" s="13"/>
      <c r="M51905" s="13"/>
    </row>
    <row r="51906">
      <c r="F51906" s="13"/>
      <c r="M51906" s="13"/>
    </row>
    <row r="51907">
      <c r="F51907" s="13"/>
      <c r="M51907" s="13"/>
    </row>
    <row r="51908">
      <c r="F51908" s="13"/>
      <c r="M51908" s="13"/>
    </row>
    <row r="51909">
      <c r="F51909" s="13"/>
      <c r="M51909" s="13"/>
    </row>
    <row r="51910">
      <c r="F51910" s="13"/>
      <c r="M51910" s="13"/>
    </row>
    <row r="51911">
      <c r="F51911" s="13"/>
      <c r="M51911" s="13"/>
    </row>
    <row r="51912">
      <c r="F51912" s="13"/>
      <c r="M51912" s="13"/>
    </row>
    <row r="51913">
      <c r="F51913" s="13"/>
      <c r="M51913" s="13"/>
    </row>
    <row r="51914">
      <c r="F51914" s="13"/>
      <c r="M51914" s="13"/>
    </row>
    <row r="51915">
      <c r="F51915" s="13"/>
      <c r="M51915" s="13"/>
    </row>
    <row r="51916">
      <c r="F51916" s="13"/>
      <c r="M51916" s="13"/>
    </row>
    <row r="51917">
      <c r="F51917" s="13"/>
      <c r="M51917" s="13"/>
    </row>
    <row r="51918">
      <c r="F51918" s="13"/>
      <c r="M51918" s="13"/>
    </row>
    <row r="51919">
      <c r="F51919" s="13"/>
      <c r="M51919" s="13"/>
    </row>
    <row r="51920">
      <c r="F51920" s="13"/>
      <c r="M51920" s="13"/>
    </row>
    <row r="51921">
      <c r="F51921" s="13"/>
      <c r="M51921" s="13"/>
    </row>
    <row r="51922">
      <c r="F51922" s="13"/>
      <c r="M51922" s="13"/>
    </row>
    <row r="51923">
      <c r="F51923" s="13"/>
      <c r="M51923" s="13"/>
    </row>
    <row r="51924">
      <c r="F51924" s="13"/>
      <c r="M51924" s="13"/>
    </row>
    <row r="51925">
      <c r="F51925" s="13"/>
      <c r="M51925" s="13"/>
    </row>
    <row r="51926">
      <c r="F51926" s="13"/>
      <c r="M51926" s="13"/>
    </row>
    <row r="51927">
      <c r="F51927" s="13"/>
      <c r="M51927" s="13"/>
    </row>
    <row r="51928">
      <c r="F51928" s="13"/>
      <c r="M51928" s="13"/>
    </row>
    <row r="51929">
      <c r="F51929" s="13"/>
      <c r="M51929" s="13"/>
    </row>
    <row r="51930">
      <c r="F51930" s="13"/>
      <c r="M51930" s="13"/>
    </row>
    <row r="51931">
      <c r="F51931" s="13"/>
      <c r="M51931" s="13"/>
    </row>
    <row r="51932">
      <c r="F51932" s="13"/>
      <c r="M51932" s="13"/>
    </row>
    <row r="51933">
      <c r="F51933" s="13"/>
      <c r="M51933" s="13"/>
    </row>
    <row r="51934">
      <c r="F51934" s="13"/>
      <c r="M51934" s="13"/>
    </row>
    <row r="51935">
      <c r="F51935" s="13"/>
      <c r="M51935" s="13"/>
    </row>
    <row r="51936">
      <c r="F51936" s="13"/>
      <c r="M51936" s="13"/>
    </row>
    <row r="51937">
      <c r="F51937" s="13"/>
      <c r="M51937" s="13"/>
    </row>
    <row r="51938">
      <c r="F51938" s="13"/>
      <c r="M51938" s="13"/>
    </row>
    <row r="51939">
      <c r="F51939" s="13"/>
      <c r="M51939" s="13"/>
    </row>
    <row r="51940">
      <c r="F51940" s="13"/>
      <c r="M51940" s="13"/>
    </row>
    <row r="51941">
      <c r="F51941" s="13"/>
      <c r="M51941" s="13"/>
    </row>
    <row r="51942">
      <c r="F51942" s="13"/>
      <c r="M51942" s="13"/>
    </row>
    <row r="51943">
      <c r="F51943" s="13"/>
      <c r="M51943" s="13"/>
    </row>
    <row r="51944">
      <c r="F51944" s="13"/>
      <c r="M51944" s="13"/>
    </row>
    <row r="51945">
      <c r="F51945" s="13"/>
      <c r="M51945" s="13"/>
    </row>
    <row r="51946">
      <c r="F51946" s="13"/>
      <c r="M51946" s="13"/>
    </row>
    <row r="51947">
      <c r="F51947" s="13"/>
      <c r="M51947" s="13"/>
    </row>
    <row r="51948">
      <c r="F51948" s="13"/>
      <c r="M51948" s="13"/>
    </row>
    <row r="51949">
      <c r="F51949" s="13"/>
      <c r="M51949" s="13"/>
    </row>
    <row r="51950">
      <c r="F51950" s="13"/>
      <c r="M51950" s="13"/>
    </row>
    <row r="51951">
      <c r="F51951" s="13"/>
      <c r="M51951" s="13"/>
    </row>
    <row r="51952">
      <c r="F51952" s="13"/>
      <c r="M51952" s="13"/>
    </row>
    <row r="51953">
      <c r="F51953" s="13"/>
      <c r="M51953" s="13"/>
    </row>
    <row r="51954">
      <c r="F51954" s="13"/>
      <c r="M51954" s="13"/>
    </row>
    <row r="51955">
      <c r="F51955" s="13"/>
      <c r="M51955" s="13"/>
    </row>
    <row r="51956">
      <c r="F51956" s="13"/>
      <c r="M51956" s="13"/>
    </row>
    <row r="51957">
      <c r="F51957" s="13"/>
      <c r="M51957" s="13"/>
    </row>
    <row r="51958">
      <c r="F51958" s="13"/>
      <c r="M51958" s="13"/>
    </row>
    <row r="51959">
      <c r="F51959" s="13"/>
      <c r="M51959" s="13"/>
    </row>
    <row r="51960">
      <c r="F51960" s="13"/>
      <c r="M51960" s="13"/>
    </row>
    <row r="51961">
      <c r="F51961" s="13"/>
      <c r="M51961" s="13"/>
    </row>
    <row r="51962">
      <c r="F51962" s="13"/>
      <c r="M51962" s="13"/>
    </row>
    <row r="51963">
      <c r="F51963" s="13"/>
      <c r="M51963" s="13"/>
    </row>
    <row r="51964">
      <c r="F51964" s="13"/>
      <c r="M51964" s="13"/>
    </row>
    <row r="51965">
      <c r="F51965" s="13"/>
      <c r="M51965" s="13"/>
    </row>
    <row r="51966">
      <c r="F51966" s="13"/>
      <c r="M51966" s="13"/>
    </row>
    <row r="51967">
      <c r="F51967" s="13"/>
      <c r="M51967" s="13"/>
    </row>
    <row r="51968">
      <c r="F51968" s="13"/>
      <c r="M51968" s="13"/>
    </row>
    <row r="51969">
      <c r="F51969" s="13"/>
      <c r="M51969" s="13"/>
    </row>
    <row r="51970">
      <c r="F51970" s="13"/>
      <c r="M51970" s="13"/>
    </row>
    <row r="51971">
      <c r="F51971" s="13"/>
      <c r="M51971" s="13"/>
    </row>
    <row r="51972">
      <c r="F51972" s="13"/>
      <c r="M51972" s="13"/>
    </row>
    <row r="51973">
      <c r="F51973" s="13"/>
      <c r="M51973" s="13"/>
    </row>
    <row r="51974">
      <c r="F51974" s="13"/>
      <c r="M51974" s="13"/>
    </row>
    <row r="51975">
      <c r="F51975" s="13"/>
      <c r="M51975" s="13"/>
    </row>
    <row r="51976">
      <c r="F51976" s="13"/>
      <c r="M51976" s="13"/>
    </row>
    <row r="51977">
      <c r="F51977" s="13"/>
      <c r="M51977" s="13"/>
    </row>
    <row r="51978">
      <c r="F51978" s="13"/>
      <c r="M51978" s="13"/>
    </row>
    <row r="51979">
      <c r="F51979" s="13"/>
      <c r="M51979" s="13"/>
    </row>
    <row r="51980">
      <c r="F51980" s="13"/>
      <c r="M51980" s="13"/>
    </row>
    <row r="51981">
      <c r="F51981" s="13"/>
      <c r="M51981" s="13"/>
    </row>
    <row r="51982">
      <c r="F51982" s="13"/>
      <c r="M51982" s="13"/>
    </row>
    <row r="51983">
      <c r="F51983" s="13"/>
      <c r="M51983" s="13"/>
    </row>
    <row r="51984">
      <c r="F51984" s="13"/>
      <c r="M51984" s="13"/>
    </row>
    <row r="51985">
      <c r="F51985" s="13"/>
      <c r="M51985" s="13"/>
    </row>
    <row r="51986">
      <c r="F51986" s="13"/>
      <c r="M51986" s="13"/>
    </row>
    <row r="51987">
      <c r="F51987" s="13"/>
      <c r="M51987" s="13"/>
    </row>
    <row r="51988">
      <c r="F51988" s="13"/>
      <c r="M51988" s="13"/>
    </row>
    <row r="51989">
      <c r="F51989" s="13"/>
      <c r="M51989" s="13"/>
    </row>
    <row r="51990">
      <c r="F51990" s="13"/>
      <c r="M51990" s="13"/>
    </row>
    <row r="51991">
      <c r="F51991" s="13"/>
      <c r="M51991" s="13"/>
    </row>
    <row r="51992">
      <c r="F51992" s="13"/>
      <c r="M51992" s="13"/>
    </row>
    <row r="51993">
      <c r="F51993" s="13"/>
      <c r="M51993" s="13"/>
    </row>
    <row r="51994">
      <c r="F51994" s="13"/>
      <c r="M51994" s="13"/>
    </row>
    <row r="51995">
      <c r="F51995" s="13"/>
      <c r="M51995" s="13"/>
    </row>
    <row r="51996">
      <c r="F51996" s="13"/>
      <c r="M51996" s="13"/>
    </row>
    <row r="51997">
      <c r="F51997" s="13"/>
      <c r="M51997" s="13"/>
    </row>
    <row r="51998">
      <c r="F51998" s="13"/>
      <c r="M51998" s="13"/>
    </row>
    <row r="51999">
      <c r="F51999" s="13"/>
      <c r="M51999" s="13"/>
    </row>
    <row r="52000">
      <c r="F52000" s="13"/>
      <c r="M52000" s="13"/>
    </row>
    <row r="52001">
      <c r="F52001" s="13"/>
      <c r="M52001" s="13"/>
    </row>
    <row r="52002">
      <c r="F52002" s="13"/>
      <c r="M52002" s="13"/>
    </row>
    <row r="52003">
      <c r="F52003" s="13"/>
      <c r="M52003" s="13"/>
    </row>
    <row r="52004">
      <c r="F52004" s="13"/>
      <c r="M52004" s="13"/>
    </row>
    <row r="52005">
      <c r="F52005" s="13"/>
      <c r="M52005" s="13"/>
    </row>
    <row r="52006">
      <c r="F52006" s="13"/>
      <c r="M52006" s="13"/>
    </row>
    <row r="52007">
      <c r="F52007" s="13"/>
      <c r="M52007" s="13"/>
    </row>
    <row r="52008">
      <c r="F52008" s="13"/>
      <c r="M52008" s="13"/>
    </row>
    <row r="52009">
      <c r="F52009" s="13"/>
      <c r="M52009" s="13"/>
    </row>
    <row r="52010">
      <c r="F52010" s="13"/>
      <c r="M52010" s="13"/>
    </row>
    <row r="52011">
      <c r="F52011" s="13"/>
      <c r="M52011" s="13"/>
    </row>
    <row r="52012">
      <c r="F52012" s="13"/>
      <c r="M52012" s="13"/>
    </row>
    <row r="52013">
      <c r="F52013" s="13"/>
      <c r="M52013" s="13"/>
    </row>
    <row r="52014">
      <c r="F52014" s="13"/>
      <c r="M52014" s="13"/>
    </row>
    <row r="52015">
      <c r="F52015" s="13"/>
      <c r="M52015" s="13"/>
    </row>
    <row r="52016">
      <c r="F52016" s="13"/>
      <c r="M52016" s="13"/>
    </row>
    <row r="52017">
      <c r="F52017" s="13"/>
      <c r="M52017" s="13"/>
    </row>
    <row r="52018">
      <c r="F52018" s="13"/>
      <c r="M52018" s="13"/>
    </row>
    <row r="52019">
      <c r="F52019" s="13"/>
      <c r="M52019" s="13"/>
    </row>
    <row r="52020">
      <c r="F52020" s="13"/>
      <c r="M52020" s="13"/>
    </row>
    <row r="52021">
      <c r="F52021" s="13"/>
      <c r="M52021" s="13"/>
    </row>
    <row r="52022">
      <c r="F52022" s="13"/>
      <c r="M52022" s="13"/>
    </row>
    <row r="52023">
      <c r="F52023" s="13"/>
      <c r="M52023" s="13"/>
    </row>
    <row r="52024">
      <c r="F52024" s="13"/>
      <c r="M52024" s="13"/>
    </row>
    <row r="52025">
      <c r="F52025" s="13"/>
      <c r="M52025" s="13"/>
    </row>
    <row r="52026">
      <c r="F52026" s="13"/>
      <c r="M52026" s="13"/>
    </row>
    <row r="52027">
      <c r="F52027" s="13"/>
      <c r="M52027" s="13"/>
    </row>
    <row r="52028">
      <c r="F52028" s="13"/>
      <c r="M52028" s="13"/>
    </row>
    <row r="52029">
      <c r="F52029" s="13"/>
      <c r="M52029" s="13"/>
    </row>
    <row r="52030">
      <c r="F52030" s="13"/>
      <c r="M52030" s="13"/>
    </row>
    <row r="52031">
      <c r="F52031" s="13"/>
      <c r="M52031" s="13"/>
    </row>
    <row r="52032">
      <c r="F52032" s="13"/>
      <c r="M52032" s="13"/>
    </row>
    <row r="52033">
      <c r="F52033" s="13"/>
      <c r="M52033" s="13"/>
    </row>
    <row r="52034">
      <c r="F52034" s="13"/>
      <c r="M52034" s="13"/>
    </row>
    <row r="52035">
      <c r="F52035" s="13"/>
      <c r="M52035" s="13"/>
    </row>
    <row r="52036">
      <c r="F52036" s="13"/>
      <c r="M52036" s="13"/>
    </row>
    <row r="52037">
      <c r="F52037" s="13"/>
      <c r="M52037" s="13"/>
    </row>
    <row r="52038">
      <c r="F52038" s="13"/>
      <c r="M52038" s="13"/>
    </row>
    <row r="52039">
      <c r="F52039" s="13"/>
      <c r="M52039" s="13"/>
    </row>
    <row r="52040">
      <c r="F52040" s="13"/>
      <c r="M52040" s="13"/>
    </row>
    <row r="52041">
      <c r="F52041" s="13"/>
      <c r="M52041" s="13"/>
    </row>
    <row r="52042">
      <c r="F52042" s="13"/>
      <c r="M52042" s="13"/>
    </row>
    <row r="52043">
      <c r="F52043" s="13"/>
      <c r="M52043" s="13"/>
    </row>
    <row r="52044">
      <c r="F52044" s="13"/>
      <c r="M52044" s="13"/>
    </row>
    <row r="52045">
      <c r="F52045" s="13"/>
      <c r="M52045" s="13"/>
    </row>
    <row r="52046">
      <c r="F52046" s="13"/>
      <c r="M52046" s="13"/>
    </row>
    <row r="52047">
      <c r="F52047" s="13"/>
      <c r="M52047" s="13"/>
    </row>
    <row r="52048">
      <c r="F52048" s="13"/>
      <c r="M52048" s="13"/>
    </row>
    <row r="52049">
      <c r="F52049" s="13"/>
      <c r="M52049" s="13"/>
    </row>
    <row r="52050">
      <c r="F52050" s="13"/>
      <c r="M52050" s="13"/>
    </row>
    <row r="52051">
      <c r="F52051" s="13"/>
      <c r="M52051" s="13"/>
    </row>
    <row r="52052">
      <c r="F52052" s="13"/>
      <c r="M52052" s="13"/>
    </row>
    <row r="52053">
      <c r="F52053" s="13"/>
      <c r="M52053" s="13"/>
    </row>
    <row r="52054">
      <c r="F52054" s="13"/>
      <c r="M52054" s="13"/>
    </row>
    <row r="52055">
      <c r="F52055" s="13"/>
      <c r="M52055" s="13"/>
    </row>
    <row r="52056">
      <c r="F52056" s="13"/>
      <c r="M52056" s="13"/>
    </row>
    <row r="52057">
      <c r="F52057" s="13"/>
      <c r="M52057" s="13"/>
    </row>
    <row r="52058">
      <c r="F52058" s="13"/>
      <c r="M52058" s="13"/>
    </row>
    <row r="52059">
      <c r="F52059" s="13"/>
      <c r="M52059" s="13"/>
    </row>
    <row r="52060">
      <c r="F52060" s="13"/>
      <c r="M52060" s="13"/>
    </row>
    <row r="52061">
      <c r="F52061" s="13"/>
      <c r="M52061" s="13"/>
    </row>
    <row r="52062">
      <c r="F52062" s="13"/>
      <c r="M52062" s="13"/>
    </row>
    <row r="52063">
      <c r="F52063" s="13"/>
      <c r="M52063" s="13"/>
    </row>
    <row r="52064">
      <c r="F52064" s="13"/>
      <c r="M52064" s="13"/>
    </row>
    <row r="52065">
      <c r="F52065" s="13"/>
      <c r="M52065" s="13"/>
    </row>
    <row r="52066">
      <c r="F52066" s="13"/>
      <c r="M52066" s="13"/>
    </row>
    <row r="52067">
      <c r="F52067" s="13"/>
      <c r="M52067" s="13"/>
    </row>
    <row r="52068">
      <c r="F52068" s="13"/>
      <c r="M52068" s="13"/>
    </row>
    <row r="52069">
      <c r="F52069" s="13"/>
      <c r="M52069" s="13"/>
    </row>
    <row r="52070">
      <c r="F52070" s="13"/>
      <c r="M52070" s="13"/>
    </row>
    <row r="52071">
      <c r="F52071" s="13"/>
      <c r="M52071" s="13"/>
    </row>
    <row r="52072">
      <c r="F52072" s="13"/>
      <c r="M52072" s="13"/>
    </row>
    <row r="52073">
      <c r="F52073" s="13"/>
      <c r="M52073" s="13"/>
    </row>
    <row r="52074">
      <c r="F52074" s="13"/>
      <c r="M52074" s="13"/>
    </row>
    <row r="52075">
      <c r="F52075" s="13"/>
      <c r="M52075" s="13"/>
    </row>
    <row r="52076">
      <c r="F52076" s="13"/>
      <c r="M52076" s="13"/>
    </row>
    <row r="52077">
      <c r="F52077" s="13"/>
      <c r="M52077" s="13"/>
    </row>
    <row r="52078">
      <c r="F52078" s="13"/>
      <c r="M52078" s="13"/>
    </row>
    <row r="52079">
      <c r="F52079" s="13"/>
      <c r="M52079" s="13"/>
    </row>
    <row r="52080">
      <c r="F52080" s="13"/>
      <c r="M52080" s="13"/>
    </row>
    <row r="52081">
      <c r="F52081" s="13"/>
      <c r="M52081" s="13"/>
    </row>
    <row r="52082">
      <c r="F52082" s="13"/>
      <c r="M52082" s="13"/>
    </row>
    <row r="52083">
      <c r="F52083" s="13"/>
      <c r="M52083" s="13"/>
    </row>
    <row r="52084">
      <c r="F52084" s="13"/>
      <c r="M52084" s="13"/>
    </row>
    <row r="52085">
      <c r="F52085" s="13"/>
      <c r="M52085" s="13"/>
    </row>
    <row r="52086">
      <c r="F52086" s="13"/>
      <c r="M52086" s="13"/>
    </row>
    <row r="52087">
      <c r="F52087" s="13"/>
      <c r="M52087" s="13"/>
    </row>
    <row r="52088">
      <c r="F52088" s="13"/>
      <c r="M52088" s="13"/>
    </row>
    <row r="52089">
      <c r="F52089" s="13"/>
      <c r="M52089" s="13"/>
    </row>
    <row r="52090">
      <c r="F52090" s="13"/>
      <c r="M52090" s="13"/>
    </row>
    <row r="52091">
      <c r="F52091" s="13"/>
      <c r="M52091" s="13"/>
    </row>
    <row r="52092">
      <c r="F52092" s="13"/>
      <c r="M52092" s="13"/>
    </row>
    <row r="52093">
      <c r="F52093" s="13"/>
      <c r="M52093" s="13"/>
    </row>
    <row r="52094">
      <c r="F52094" s="13"/>
      <c r="M52094" s="13"/>
    </row>
    <row r="52095">
      <c r="F52095" s="13"/>
      <c r="M52095" s="13"/>
    </row>
    <row r="52096">
      <c r="F52096" s="13"/>
      <c r="M52096" s="13"/>
    </row>
    <row r="52097">
      <c r="F52097" s="13"/>
      <c r="M52097" s="13"/>
    </row>
    <row r="52098">
      <c r="F52098" s="13"/>
      <c r="M52098" s="13"/>
    </row>
    <row r="52099">
      <c r="F52099" s="13"/>
      <c r="M52099" s="13"/>
    </row>
    <row r="52100">
      <c r="F52100" s="13"/>
      <c r="M52100" s="13"/>
    </row>
    <row r="52101">
      <c r="F52101" s="13"/>
      <c r="M52101" s="13"/>
    </row>
    <row r="52102">
      <c r="F52102" s="13"/>
      <c r="M52102" s="13"/>
    </row>
    <row r="52103">
      <c r="F52103" s="13"/>
      <c r="M52103" s="13"/>
    </row>
    <row r="52104">
      <c r="F52104" s="13"/>
      <c r="M52104" s="13"/>
    </row>
    <row r="52105">
      <c r="F52105" s="13"/>
      <c r="M52105" s="13"/>
    </row>
    <row r="52106">
      <c r="F52106" s="13"/>
      <c r="M52106" s="13"/>
    </row>
    <row r="52107">
      <c r="F52107" s="13"/>
      <c r="M52107" s="13"/>
    </row>
    <row r="52108">
      <c r="F52108" s="13"/>
      <c r="M52108" s="13"/>
    </row>
    <row r="52109">
      <c r="F52109" s="13"/>
      <c r="M52109" s="13"/>
    </row>
    <row r="52110">
      <c r="F52110" s="13"/>
      <c r="M52110" s="13"/>
    </row>
    <row r="52111">
      <c r="F52111" s="13"/>
      <c r="M52111" s="13"/>
    </row>
    <row r="52112">
      <c r="F52112" s="13"/>
      <c r="M52112" s="13"/>
    </row>
    <row r="52113">
      <c r="F52113" s="13"/>
      <c r="M52113" s="13"/>
    </row>
    <row r="52114">
      <c r="F52114" s="13"/>
      <c r="M52114" s="13"/>
    </row>
    <row r="52115">
      <c r="F52115" s="13"/>
      <c r="M52115" s="13"/>
    </row>
    <row r="52116">
      <c r="F52116" s="13"/>
      <c r="M52116" s="13"/>
    </row>
    <row r="52117">
      <c r="F52117" s="13"/>
      <c r="M52117" s="13"/>
    </row>
    <row r="52118">
      <c r="F52118" s="13"/>
      <c r="M52118" s="13"/>
    </row>
    <row r="52119">
      <c r="F52119" s="13"/>
      <c r="M52119" s="13"/>
    </row>
    <row r="52120">
      <c r="F52120" s="13"/>
      <c r="M52120" s="13"/>
    </row>
    <row r="52121">
      <c r="F52121" s="13"/>
      <c r="M52121" s="13"/>
    </row>
    <row r="52122">
      <c r="F52122" s="13"/>
      <c r="M52122" s="13"/>
    </row>
    <row r="52123">
      <c r="F52123" s="13"/>
      <c r="M52123" s="13"/>
    </row>
    <row r="52124">
      <c r="F52124" s="13"/>
      <c r="M52124" s="13"/>
    </row>
    <row r="52125">
      <c r="F52125" s="13"/>
      <c r="M52125" s="13"/>
    </row>
    <row r="52126">
      <c r="F52126" s="13"/>
      <c r="M52126" s="13"/>
    </row>
    <row r="52127">
      <c r="F52127" s="13"/>
      <c r="M52127" s="13"/>
    </row>
    <row r="52128">
      <c r="F52128" s="13"/>
      <c r="M52128" s="13"/>
    </row>
    <row r="52129">
      <c r="F52129" s="13"/>
      <c r="M52129" s="13"/>
    </row>
    <row r="52130">
      <c r="F52130" s="13"/>
      <c r="M52130" s="13"/>
    </row>
    <row r="52131">
      <c r="F52131" s="13"/>
      <c r="M52131" s="13"/>
    </row>
    <row r="52132">
      <c r="F52132" s="13"/>
      <c r="M52132" s="13"/>
    </row>
    <row r="52133">
      <c r="F52133" s="13"/>
      <c r="M52133" s="13"/>
    </row>
    <row r="52134">
      <c r="F52134" s="13"/>
      <c r="M52134" s="13"/>
    </row>
    <row r="52135">
      <c r="F52135" s="13"/>
      <c r="M52135" s="13"/>
    </row>
    <row r="52136">
      <c r="F52136" s="13"/>
      <c r="M52136" s="13"/>
    </row>
    <row r="52137">
      <c r="F52137" s="13"/>
      <c r="M52137" s="13"/>
    </row>
    <row r="52138">
      <c r="F52138" s="13"/>
      <c r="M52138" s="13"/>
    </row>
    <row r="52139">
      <c r="F52139" s="13"/>
      <c r="M52139" s="13"/>
    </row>
    <row r="52140">
      <c r="F52140" s="13"/>
      <c r="M52140" s="13"/>
    </row>
    <row r="52141">
      <c r="F52141" s="13"/>
      <c r="M52141" s="13"/>
    </row>
    <row r="52142">
      <c r="F52142" s="13"/>
      <c r="M52142" s="13"/>
    </row>
    <row r="52143">
      <c r="F52143" s="13"/>
      <c r="M52143" s="13"/>
    </row>
    <row r="52144">
      <c r="F52144" s="13"/>
      <c r="M52144" s="13"/>
    </row>
    <row r="52145">
      <c r="F52145" s="13"/>
      <c r="M52145" s="13"/>
    </row>
    <row r="52146">
      <c r="F52146" s="13"/>
      <c r="M52146" s="13"/>
    </row>
    <row r="52147">
      <c r="F52147" s="13"/>
      <c r="M52147" s="13"/>
    </row>
    <row r="52148">
      <c r="F52148" s="13"/>
      <c r="M52148" s="13"/>
    </row>
    <row r="52149">
      <c r="F52149" s="13"/>
      <c r="M52149" s="13"/>
    </row>
    <row r="52150">
      <c r="F52150" s="13"/>
      <c r="M52150" s="13"/>
    </row>
    <row r="52151">
      <c r="F52151" s="13"/>
      <c r="M52151" s="13"/>
    </row>
    <row r="52152">
      <c r="F52152" s="13"/>
      <c r="M52152" s="13"/>
    </row>
    <row r="52153">
      <c r="F52153" s="13"/>
      <c r="M52153" s="13"/>
    </row>
    <row r="52154">
      <c r="F52154" s="13"/>
      <c r="M52154" s="13"/>
    </row>
    <row r="52155">
      <c r="F52155" s="13"/>
      <c r="M52155" s="13"/>
    </row>
    <row r="52156">
      <c r="F52156" s="13"/>
      <c r="M52156" s="13"/>
    </row>
    <row r="52157">
      <c r="F52157" s="13"/>
      <c r="M52157" s="13"/>
    </row>
    <row r="52158">
      <c r="F52158" s="13"/>
      <c r="M52158" s="13"/>
    </row>
    <row r="52159">
      <c r="F52159" s="13"/>
      <c r="M52159" s="13"/>
    </row>
    <row r="52160">
      <c r="F52160" s="13"/>
      <c r="M52160" s="13"/>
    </row>
    <row r="52161">
      <c r="F52161" s="13"/>
      <c r="M52161" s="13"/>
    </row>
    <row r="52162">
      <c r="F52162" s="13"/>
      <c r="M52162" s="13"/>
    </row>
    <row r="52163">
      <c r="F52163" s="13"/>
      <c r="M52163" s="13"/>
    </row>
    <row r="52164">
      <c r="F52164" s="13"/>
      <c r="M52164" s="13"/>
    </row>
    <row r="52165">
      <c r="F52165" s="13"/>
      <c r="M52165" s="13"/>
    </row>
    <row r="52166">
      <c r="F52166" s="13"/>
      <c r="M52166" s="13"/>
    </row>
    <row r="52167">
      <c r="F52167" s="13"/>
      <c r="M52167" s="13"/>
    </row>
    <row r="52168">
      <c r="F52168" s="13"/>
      <c r="M52168" s="13"/>
    </row>
    <row r="52169">
      <c r="F52169" s="13"/>
      <c r="M52169" s="13"/>
    </row>
    <row r="52170">
      <c r="F52170" s="13"/>
      <c r="M52170" s="13"/>
    </row>
    <row r="52171">
      <c r="F52171" s="13"/>
      <c r="M52171" s="13"/>
    </row>
    <row r="52172">
      <c r="F52172" s="13"/>
      <c r="M52172" s="13"/>
    </row>
    <row r="52173">
      <c r="F52173" s="13"/>
      <c r="M52173" s="13"/>
    </row>
    <row r="52174">
      <c r="F52174" s="13"/>
      <c r="M52174" s="13"/>
    </row>
    <row r="52175">
      <c r="F52175" s="13"/>
      <c r="M52175" s="13"/>
    </row>
    <row r="52176">
      <c r="F52176" s="13"/>
      <c r="M52176" s="13"/>
    </row>
    <row r="52177">
      <c r="F52177" s="13"/>
      <c r="M52177" s="13"/>
    </row>
    <row r="52178">
      <c r="F52178" s="13"/>
      <c r="M52178" s="13"/>
    </row>
    <row r="52179">
      <c r="F52179" s="13"/>
      <c r="M52179" s="13"/>
    </row>
    <row r="52180">
      <c r="F52180" s="13"/>
      <c r="M52180" s="13"/>
    </row>
    <row r="52181">
      <c r="F52181" s="13"/>
      <c r="M52181" s="13"/>
    </row>
    <row r="52182">
      <c r="F52182" s="13"/>
      <c r="M52182" s="13"/>
    </row>
    <row r="52183">
      <c r="F52183" s="13"/>
      <c r="M52183" s="13"/>
    </row>
    <row r="52184">
      <c r="F52184" s="13"/>
      <c r="M52184" s="13"/>
    </row>
    <row r="52185">
      <c r="F52185" s="13"/>
      <c r="M52185" s="13"/>
    </row>
    <row r="52186">
      <c r="F52186" s="13"/>
      <c r="M52186" s="13"/>
    </row>
    <row r="52187">
      <c r="F52187" s="13"/>
      <c r="M52187" s="13"/>
    </row>
    <row r="52188">
      <c r="F52188" s="13"/>
      <c r="M52188" s="13"/>
    </row>
    <row r="52189">
      <c r="F52189" s="13"/>
      <c r="M52189" s="13"/>
    </row>
    <row r="52190">
      <c r="F52190" s="13"/>
      <c r="M52190" s="13"/>
    </row>
    <row r="52191">
      <c r="F52191" s="13"/>
      <c r="M52191" s="13"/>
    </row>
    <row r="52192">
      <c r="F52192" s="13"/>
      <c r="M52192" s="13"/>
    </row>
    <row r="52193">
      <c r="F52193" s="13"/>
      <c r="M52193" s="13"/>
    </row>
    <row r="52194">
      <c r="F52194" s="13"/>
      <c r="M52194" s="13"/>
    </row>
    <row r="52195">
      <c r="F52195" s="13"/>
      <c r="M52195" s="13"/>
    </row>
    <row r="52196">
      <c r="F52196" s="13"/>
      <c r="M52196" s="13"/>
    </row>
    <row r="52197">
      <c r="F52197" s="13"/>
      <c r="M52197" s="13"/>
    </row>
    <row r="52198">
      <c r="F52198" s="13"/>
      <c r="M52198" s="13"/>
    </row>
    <row r="52199">
      <c r="F52199" s="13"/>
      <c r="M52199" s="13"/>
    </row>
    <row r="52200">
      <c r="F52200" s="13"/>
      <c r="M52200" s="13"/>
    </row>
    <row r="52201">
      <c r="F52201" s="13"/>
      <c r="M52201" s="13"/>
    </row>
    <row r="52202">
      <c r="F52202" s="13"/>
      <c r="M52202" s="13"/>
    </row>
    <row r="52203">
      <c r="F52203" s="13"/>
      <c r="M52203" s="13"/>
    </row>
    <row r="52204">
      <c r="F52204" s="13"/>
      <c r="M52204" s="13"/>
    </row>
    <row r="52205">
      <c r="F52205" s="13"/>
      <c r="M52205" s="13"/>
    </row>
    <row r="52206">
      <c r="F52206" s="13"/>
      <c r="M52206" s="13"/>
    </row>
    <row r="52207">
      <c r="F52207" s="13"/>
      <c r="M52207" s="13"/>
    </row>
    <row r="52208">
      <c r="F52208" s="13"/>
      <c r="M52208" s="13"/>
    </row>
    <row r="52209">
      <c r="F52209" s="13"/>
      <c r="M52209" s="13"/>
    </row>
    <row r="52210">
      <c r="F52210" s="13"/>
      <c r="M52210" s="13"/>
    </row>
    <row r="52211">
      <c r="F52211" s="13"/>
      <c r="M52211" s="13"/>
    </row>
    <row r="52212">
      <c r="F52212" s="13"/>
      <c r="M52212" s="13"/>
    </row>
    <row r="52213">
      <c r="F52213" s="13"/>
      <c r="M52213" s="13"/>
    </row>
    <row r="52214">
      <c r="F52214" s="13"/>
      <c r="M52214" s="13"/>
    </row>
    <row r="52215">
      <c r="F52215" s="13"/>
      <c r="M52215" s="13"/>
    </row>
    <row r="52216">
      <c r="F52216" s="13"/>
      <c r="M52216" s="13"/>
    </row>
    <row r="52217">
      <c r="F52217" s="13"/>
      <c r="M52217" s="13"/>
    </row>
    <row r="52218">
      <c r="F52218" s="13"/>
      <c r="M52218" s="13"/>
    </row>
    <row r="52219">
      <c r="F52219" s="13"/>
      <c r="M52219" s="13"/>
    </row>
    <row r="52220">
      <c r="F52220" s="13"/>
      <c r="M52220" s="13"/>
    </row>
    <row r="52221">
      <c r="F52221" s="13"/>
      <c r="M52221" s="13"/>
    </row>
    <row r="52222">
      <c r="F52222" s="13"/>
      <c r="M52222" s="13"/>
    </row>
    <row r="52223">
      <c r="F52223" s="13"/>
      <c r="M52223" s="13"/>
    </row>
    <row r="52224">
      <c r="F52224" s="13"/>
      <c r="M52224" s="13"/>
    </row>
    <row r="52225">
      <c r="F52225" s="13"/>
      <c r="M52225" s="13"/>
    </row>
    <row r="52226">
      <c r="F52226" s="13"/>
      <c r="M52226" s="13"/>
    </row>
    <row r="52227">
      <c r="F52227" s="13"/>
      <c r="M52227" s="13"/>
    </row>
    <row r="52228">
      <c r="F52228" s="13"/>
      <c r="M52228" s="13"/>
    </row>
    <row r="52229">
      <c r="F52229" s="13"/>
      <c r="M52229" s="13"/>
    </row>
    <row r="52230">
      <c r="F52230" s="13"/>
      <c r="M52230" s="13"/>
    </row>
    <row r="52231">
      <c r="F52231" s="13"/>
      <c r="M52231" s="13"/>
    </row>
    <row r="52232">
      <c r="F52232" s="13"/>
      <c r="M52232" s="13"/>
    </row>
    <row r="52233">
      <c r="F52233" s="13"/>
      <c r="M52233" s="13"/>
    </row>
    <row r="52234">
      <c r="F52234" s="13"/>
      <c r="M52234" s="13"/>
    </row>
    <row r="52235">
      <c r="F52235" s="13"/>
      <c r="M52235" s="13"/>
    </row>
    <row r="52236">
      <c r="F52236" s="13"/>
      <c r="M52236" s="13"/>
    </row>
    <row r="52237">
      <c r="F52237" s="13"/>
      <c r="M52237" s="13"/>
    </row>
    <row r="52238">
      <c r="F52238" s="13"/>
      <c r="M52238" s="13"/>
    </row>
    <row r="52239">
      <c r="F52239" s="13"/>
      <c r="M52239" s="13"/>
    </row>
    <row r="52240">
      <c r="F52240" s="13"/>
      <c r="M52240" s="13"/>
    </row>
    <row r="52241">
      <c r="F52241" s="13"/>
      <c r="M52241" s="13"/>
    </row>
    <row r="52242">
      <c r="F52242" s="13"/>
      <c r="M52242" s="13"/>
    </row>
    <row r="52243">
      <c r="F52243" s="13"/>
      <c r="M52243" s="13"/>
    </row>
    <row r="52244">
      <c r="F52244" s="13"/>
      <c r="M52244" s="13"/>
    </row>
    <row r="52245">
      <c r="F52245" s="13"/>
      <c r="M52245" s="13"/>
    </row>
    <row r="52246">
      <c r="F52246" s="13"/>
      <c r="M52246" s="13"/>
    </row>
    <row r="52247">
      <c r="F52247" s="13"/>
      <c r="M52247" s="13"/>
    </row>
    <row r="52248">
      <c r="F52248" s="13"/>
      <c r="M52248" s="13"/>
    </row>
    <row r="52249">
      <c r="F52249" s="13"/>
      <c r="M52249" s="13"/>
    </row>
    <row r="52250">
      <c r="F52250" s="13"/>
      <c r="M52250" s="13"/>
    </row>
    <row r="52251">
      <c r="F52251" s="13"/>
      <c r="M52251" s="13"/>
    </row>
    <row r="52252">
      <c r="F52252" s="13"/>
      <c r="M52252" s="13"/>
    </row>
    <row r="52253">
      <c r="F52253" s="13"/>
      <c r="M52253" s="13"/>
    </row>
    <row r="52254">
      <c r="F52254" s="13"/>
      <c r="M52254" s="13"/>
    </row>
    <row r="52255">
      <c r="F52255" s="13"/>
      <c r="M52255" s="13"/>
    </row>
    <row r="52256">
      <c r="F52256" s="13"/>
      <c r="M52256" s="13"/>
    </row>
    <row r="52257">
      <c r="F52257" s="13"/>
      <c r="M52257" s="13"/>
    </row>
    <row r="52258">
      <c r="F52258" s="13"/>
      <c r="M52258" s="13"/>
    </row>
    <row r="52259">
      <c r="F52259" s="13"/>
      <c r="M52259" s="13"/>
    </row>
    <row r="52260">
      <c r="F52260" s="13"/>
      <c r="M52260" s="13"/>
    </row>
    <row r="52261">
      <c r="F52261" s="13"/>
      <c r="M52261" s="13"/>
    </row>
    <row r="52262">
      <c r="F52262" s="13"/>
      <c r="M52262" s="13"/>
    </row>
    <row r="52263">
      <c r="F52263" s="13"/>
      <c r="M52263" s="13"/>
    </row>
    <row r="52264">
      <c r="F52264" s="13"/>
      <c r="M52264" s="13"/>
    </row>
    <row r="52265">
      <c r="F52265" s="13"/>
      <c r="M52265" s="13"/>
    </row>
    <row r="52266">
      <c r="F52266" s="13"/>
      <c r="M52266" s="13"/>
    </row>
    <row r="52267">
      <c r="F52267" s="13"/>
      <c r="M52267" s="13"/>
    </row>
    <row r="52268">
      <c r="F52268" s="13"/>
      <c r="M52268" s="13"/>
    </row>
    <row r="52269">
      <c r="F52269" s="13"/>
      <c r="M52269" s="13"/>
    </row>
    <row r="52270">
      <c r="F52270" s="13"/>
      <c r="M52270" s="13"/>
    </row>
    <row r="52271">
      <c r="F52271" s="13"/>
      <c r="M52271" s="13"/>
    </row>
    <row r="52272">
      <c r="F52272" s="13"/>
      <c r="M52272" s="13"/>
    </row>
    <row r="52273">
      <c r="F52273" s="13"/>
      <c r="M52273" s="13"/>
    </row>
    <row r="52274">
      <c r="F52274" s="13"/>
      <c r="M52274" s="13"/>
    </row>
    <row r="52275">
      <c r="F52275" s="13"/>
      <c r="M52275" s="13"/>
    </row>
    <row r="52276">
      <c r="F52276" s="13"/>
      <c r="M52276" s="13"/>
    </row>
    <row r="52277">
      <c r="F52277" s="13"/>
      <c r="M52277" s="13"/>
    </row>
    <row r="52278">
      <c r="F52278" s="13"/>
      <c r="M52278" s="13"/>
    </row>
    <row r="52279">
      <c r="F52279" s="13"/>
      <c r="M52279" s="13"/>
    </row>
    <row r="52280">
      <c r="F52280" s="13"/>
      <c r="M52280" s="13"/>
    </row>
    <row r="52281">
      <c r="F52281" s="13"/>
      <c r="M52281" s="13"/>
    </row>
    <row r="52282">
      <c r="F52282" s="13"/>
      <c r="M52282" s="13"/>
    </row>
    <row r="52283">
      <c r="F52283" s="13"/>
      <c r="M52283" s="13"/>
    </row>
    <row r="52284">
      <c r="F52284" s="13"/>
      <c r="M52284" s="13"/>
    </row>
    <row r="52285">
      <c r="F52285" s="13"/>
      <c r="M52285" s="13"/>
    </row>
    <row r="52286">
      <c r="F52286" s="13"/>
      <c r="M52286" s="13"/>
    </row>
    <row r="52287">
      <c r="F52287" s="13"/>
      <c r="M52287" s="13"/>
    </row>
    <row r="52288">
      <c r="F52288" s="13"/>
      <c r="M52288" s="13"/>
    </row>
    <row r="52289">
      <c r="F52289" s="13"/>
      <c r="M52289" s="13"/>
    </row>
    <row r="52290">
      <c r="F52290" s="13"/>
      <c r="M52290" s="13"/>
    </row>
    <row r="52291">
      <c r="F52291" s="13"/>
      <c r="M52291" s="13"/>
    </row>
    <row r="52292">
      <c r="F52292" s="13"/>
      <c r="M52292" s="13"/>
    </row>
    <row r="52293">
      <c r="F52293" s="13"/>
      <c r="M52293" s="13"/>
    </row>
    <row r="52294">
      <c r="F52294" s="13"/>
      <c r="M52294" s="13"/>
    </row>
    <row r="52295">
      <c r="F52295" s="13"/>
      <c r="M52295" s="13"/>
    </row>
    <row r="52296">
      <c r="F52296" s="13"/>
      <c r="M52296" s="13"/>
    </row>
    <row r="52297">
      <c r="F52297" s="13"/>
      <c r="M52297" s="13"/>
    </row>
    <row r="52298">
      <c r="F52298" s="13"/>
      <c r="M52298" s="13"/>
    </row>
    <row r="52299">
      <c r="F52299" s="13"/>
      <c r="M52299" s="13"/>
    </row>
    <row r="52300">
      <c r="F52300" s="13"/>
      <c r="M52300" s="13"/>
    </row>
    <row r="52301">
      <c r="F52301" s="13"/>
      <c r="M52301" s="13"/>
    </row>
    <row r="52302">
      <c r="F52302" s="13"/>
      <c r="M52302" s="13"/>
    </row>
    <row r="52303">
      <c r="F52303" s="13"/>
      <c r="M52303" s="13"/>
    </row>
    <row r="52304">
      <c r="F52304" s="13"/>
      <c r="M52304" s="13"/>
    </row>
    <row r="52305">
      <c r="F52305" s="13"/>
      <c r="M52305" s="13"/>
    </row>
    <row r="52306">
      <c r="F52306" s="13"/>
      <c r="M52306" s="13"/>
    </row>
    <row r="52307">
      <c r="F52307" s="13"/>
      <c r="M52307" s="13"/>
    </row>
    <row r="52308">
      <c r="F52308" s="13"/>
      <c r="M52308" s="13"/>
    </row>
    <row r="52309">
      <c r="F52309" s="13"/>
      <c r="M52309" s="13"/>
    </row>
    <row r="52310">
      <c r="F52310" s="13"/>
      <c r="M52310" s="13"/>
    </row>
    <row r="52311">
      <c r="F52311" s="13"/>
      <c r="M52311" s="13"/>
    </row>
    <row r="52312">
      <c r="F52312" s="13"/>
      <c r="M52312" s="13"/>
    </row>
    <row r="52313">
      <c r="F52313" s="13"/>
      <c r="M52313" s="13"/>
    </row>
    <row r="52314">
      <c r="F52314" s="13"/>
      <c r="M52314" s="13"/>
    </row>
    <row r="52315">
      <c r="F52315" s="13"/>
      <c r="M52315" s="13"/>
    </row>
    <row r="52316">
      <c r="F52316" s="13"/>
      <c r="M52316" s="13"/>
    </row>
    <row r="52317">
      <c r="F52317" s="13"/>
      <c r="M52317" s="13"/>
    </row>
    <row r="52318">
      <c r="F52318" s="13"/>
      <c r="M52318" s="13"/>
    </row>
    <row r="52319">
      <c r="F52319" s="13"/>
      <c r="M52319" s="13"/>
    </row>
    <row r="52320">
      <c r="F52320" s="13"/>
      <c r="M52320" s="13"/>
    </row>
    <row r="52321">
      <c r="F52321" s="13"/>
      <c r="M52321" s="13"/>
    </row>
    <row r="52322">
      <c r="F52322" s="13"/>
      <c r="M52322" s="13"/>
    </row>
    <row r="52323">
      <c r="F52323" s="13"/>
      <c r="M52323" s="13"/>
    </row>
    <row r="52324">
      <c r="F52324" s="13"/>
      <c r="M52324" s="13"/>
    </row>
    <row r="52325">
      <c r="F52325" s="13"/>
      <c r="M52325" s="13"/>
    </row>
    <row r="52326">
      <c r="F52326" s="13"/>
      <c r="M52326" s="13"/>
    </row>
    <row r="52327">
      <c r="F52327" s="13"/>
      <c r="M52327" s="13"/>
    </row>
    <row r="52328">
      <c r="F52328" s="13"/>
      <c r="M52328" s="13"/>
    </row>
    <row r="52329">
      <c r="F52329" s="13"/>
      <c r="M52329" s="13"/>
    </row>
    <row r="52330">
      <c r="F52330" s="13"/>
      <c r="M52330" s="13"/>
    </row>
    <row r="52331">
      <c r="F52331" s="13"/>
      <c r="M52331" s="13"/>
    </row>
    <row r="52332">
      <c r="F52332" s="13"/>
      <c r="M52332" s="13"/>
    </row>
    <row r="52333">
      <c r="F52333" s="13"/>
      <c r="M52333" s="13"/>
    </row>
    <row r="52334">
      <c r="F52334" s="13"/>
      <c r="M52334" s="13"/>
    </row>
    <row r="52335">
      <c r="F52335" s="13"/>
      <c r="M52335" s="13"/>
    </row>
    <row r="52336">
      <c r="F52336" s="13"/>
      <c r="M52336" s="13"/>
    </row>
    <row r="52337">
      <c r="F52337" s="13"/>
      <c r="M52337" s="13"/>
    </row>
    <row r="52338">
      <c r="F52338" s="13"/>
      <c r="M52338" s="13"/>
    </row>
    <row r="52339">
      <c r="F52339" s="13"/>
      <c r="M52339" s="13"/>
    </row>
    <row r="52340">
      <c r="F52340" s="13"/>
      <c r="M52340" s="13"/>
    </row>
    <row r="52341">
      <c r="F52341" s="13"/>
      <c r="M52341" s="13"/>
    </row>
    <row r="52342">
      <c r="F52342" s="13"/>
      <c r="M52342" s="13"/>
    </row>
    <row r="52343">
      <c r="F52343" s="13"/>
      <c r="M52343" s="13"/>
    </row>
    <row r="52344">
      <c r="F52344" s="13"/>
      <c r="M52344" s="13"/>
    </row>
    <row r="52345">
      <c r="F52345" s="13"/>
      <c r="M52345" s="13"/>
    </row>
    <row r="52346">
      <c r="F52346" s="13"/>
      <c r="M52346" s="13"/>
    </row>
    <row r="52347">
      <c r="F52347" s="13"/>
      <c r="M52347" s="13"/>
    </row>
    <row r="52348">
      <c r="F52348" s="13"/>
      <c r="M52348" s="13"/>
    </row>
    <row r="52349">
      <c r="F52349" s="13"/>
      <c r="M52349" s="13"/>
    </row>
    <row r="52350">
      <c r="F52350" s="13"/>
      <c r="M52350" s="13"/>
    </row>
    <row r="52351">
      <c r="F52351" s="13"/>
      <c r="M52351" s="13"/>
    </row>
    <row r="52352">
      <c r="F52352" s="13"/>
      <c r="M52352" s="13"/>
    </row>
    <row r="52353">
      <c r="F52353" s="13"/>
      <c r="M52353" s="13"/>
    </row>
    <row r="52354">
      <c r="F52354" s="13"/>
      <c r="M52354" s="13"/>
    </row>
    <row r="52355">
      <c r="F52355" s="13"/>
      <c r="M52355" s="13"/>
    </row>
    <row r="52356">
      <c r="F52356" s="13"/>
      <c r="M52356" s="13"/>
    </row>
    <row r="52357">
      <c r="F52357" s="13"/>
      <c r="M52357" s="13"/>
    </row>
    <row r="52358">
      <c r="F52358" s="13"/>
      <c r="M52358" s="13"/>
    </row>
    <row r="52359">
      <c r="F52359" s="13"/>
      <c r="M52359" s="13"/>
    </row>
    <row r="52360">
      <c r="F52360" s="13"/>
      <c r="M52360" s="13"/>
    </row>
    <row r="52361">
      <c r="F52361" s="13"/>
      <c r="M52361" s="13"/>
    </row>
    <row r="52362">
      <c r="F52362" s="13"/>
      <c r="M52362" s="13"/>
    </row>
    <row r="52363">
      <c r="F52363" s="13"/>
      <c r="M52363" s="13"/>
    </row>
    <row r="52364">
      <c r="F52364" s="13"/>
      <c r="M52364" s="13"/>
    </row>
    <row r="52365">
      <c r="F52365" s="13"/>
      <c r="M52365" s="13"/>
    </row>
    <row r="52366">
      <c r="F52366" s="13"/>
      <c r="M52366" s="13"/>
    </row>
    <row r="52367">
      <c r="F52367" s="13"/>
      <c r="M52367" s="13"/>
    </row>
    <row r="52368">
      <c r="F52368" s="13"/>
      <c r="M52368" s="13"/>
    </row>
    <row r="52369">
      <c r="F52369" s="13"/>
      <c r="M52369" s="13"/>
    </row>
    <row r="52370">
      <c r="F52370" s="13"/>
      <c r="M52370" s="13"/>
    </row>
    <row r="52371">
      <c r="F52371" s="13"/>
      <c r="M52371" s="13"/>
    </row>
    <row r="52372">
      <c r="F52372" s="13"/>
      <c r="M52372" s="13"/>
    </row>
    <row r="52373">
      <c r="F52373" s="13"/>
      <c r="M52373" s="13"/>
    </row>
    <row r="52374">
      <c r="F52374" s="13"/>
      <c r="M52374" s="13"/>
    </row>
    <row r="52375">
      <c r="F52375" s="13"/>
      <c r="M52375" s="13"/>
    </row>
    <row r="52376">
      <c r="F52376" s="13"/>
      <c r="M52376" s="13"/>
    </row>
    <row r="52377">
      <c r="F52377" s="13"/>
      <c r="M52377" s="13"/>
    </row>
    <row r="52378">
      <c r="F52378" s="13"/>
      <c r="M52378" s="13"/>
    </row>
    <row r="52379">
      <c r="F52379" s="13"/>
      <c r="M52379" s="13"/>
    </row>
    <row r="52380">
      <c r="F52380" s="13"/>
      <c r="M52380" s="13"/>
    </row>
    <row r="52381">
      <c r="F52381" s="13"/>
      <c r="M52381" s="13"/>
    </row>
    <row r="52382">
      <c r="F52382" s="13"/>
      <c r="M52382" s="13"/>
    </row>
    <row r="52383">
      <c r="F52383" s="13"/>
      <c r="M52383" s="13"/>
    </row>
    <row r="52384">
      <c r="F52384" s="13"/>
      <c r="M52384" s="13"/>
    </row>
    <row r="52385">
      <c r="F52385" s="13"/>
      <c r="M52385" s="13"/>
    </row>
    <row r="52386">
      <c r="F52386" s="13"/>
      <c r="M52386" s="13"/>
    </row>
    <row r="52387">
      <c r="F52387" s="13"/>
      <c r="M52387" s="13"/>
    </row>
    <row r="52388">
      <c r="F52388" s="13"/>
      <c r="M52388" s="13"/>
    </row>
    <row r="52389">
      <c r="F52389" s="13"/>
      <c r="M52389" s="13"/>
    </row>
    <row r="52390">
      <c r="F52390" s="13"/>
      <c r="M52390" s="13"/>
    </row>
    <row r="52391">
      <c r="F52391" s="13"/>
      <c r="M52391" s="13"/>
    </row>
    <row r="52392">
      <c r="F52392" s="13"/>
      <c r="M52392" s="13"/>
    </row>
    <row r="52393">
      <c r="F52393" s="13"/>
      <c r="M52393" s="13"/>
    </row>
    <row r="52394">
      <c r="F52394" s="13"/>
      <c r="M52394" s="13"/>
    </row>
    <row r="52395">
      <c r="F52395" s="13"/>
      <c r="M52395" s="13"/>
    </row>
    <row r="52396">
      <c r="F52396" s="13"/>
      <c r="M52396" s="13"/>
    </row>
    <row r="52397">
      <c r="F52397" s="13"/>
      <c r="M52397" s="13"/>
    </row>
    <row r="52398">
      <c r="F52398" s="13"/>
      <c r="M52398" s="13"/>
    </row>
    <row r="52399">
      <c r="F52399" s="13"/>
      <c r="M52399" s="13"/>
    </row>
    <row r="52400">
      <c r="F52400" s="13"/>
      <c r="M52400" s="13"/>
    </row>
    <row r="52401">
      <c r="F52401" s="13"/>
      <c r="M52401" s="13"/>
    </row>
    <row r="52402">
      <c r="F52402" s="13"/>
      <c r="M52402" s="13"/>
    </row>
    <row r="52403">
      <c r="F52403" s="13"/>
      <c r="M52403" s="13"/>
    </row>
    <row r="52404">
      <c r="F52404" s="13"/>
      <c r="M52404" s="13"/>
    </row>
    <row r="52405">
      <c r="F52405" s="13"/>
      <c r="M52405" s="13"/>
    </row>
    <row r="52406">
      <c r="F52406" s="13"/>
      <c r="M52406" s="13"/>
    </row>
    <row r="52407">
      <c r="F52407" s="13"/>
      <c r="M52407" s="13"/>
    </row>
    <row r="52408">
      <c r="F52408" s="13"/>
      <c r="M52408" s="13"/>
    </row>
    <row r="52409">
      <c r="F52409" s="13"/>
      <c r="M52409" s="13"/>
    </row>
    <row r="52410">
      <c r="F52410" s="13"/>
      <c r="M52410" s="13"/>
    </row>
    <row r="52411">
      <c r="F52411" s="13"/>
      <c r="M52411" s="13"/>
    </row>
    <row r="52412">
      <c r="F52412" s="13"/>
      <c r="M52412" s="13"/>
    </row>
    <row r="52413">
      <c r="F52413" s="13"/>
      <c r="M52413" s="13"/>
    </row>
    <row r="52414">
      <c r="F52414" s="13"/>
      <c r="M52414" s="13"/>
    </row>
    <row r="52415">
      <c r="F52415" s="13"/>
      <c r="M52415" s="13"/>
    </row>
    <row r="52416">
      <c r="F52416" s="13"/>
      <c r="M52416" s="13"/>
    </row>
    <row r="52417">
      <c r="F52417" s="13"/>
      <c r="M52417" s="13"/>
    </row>
    <row r="52418">
      <c r="F52418" s="13"/>
      <c r="M52418" s="13"/>
    </row>
    <row r="52419">
      <c r="F52419" s="13"/>
      <c r="M52419" s="13"/>
    </row>
    <row r="52420">
      <c r="F52420" s="13"/>
      <c r="M52420" s="13"/>
    </row>
    <row r="52421">
      <c r="F52421" s="13"/>
      <c r="M52421" s="13"/>
    </row>
    <row r="52422">
      <c r="F52422" s="13"/>
      <c r="M52422" s="13"/>
    </row>
    <row r="52423">
      <c r="F52423" s="13"/>
      <c r="M52423" s="13"/>
    </row>
    <row r="52424">
      <c r="F52424" s="13"/>
      <c r="M52424" s="13"/>
    </row>
    <row r="52425">
      <c r="F52425" s="13"/>
      <c r="M52425" s="13"/>
    </row>
    <row r="52426">
      <c r="F52426" s="13"/>
      <c r="M52426" s="13"/>
    </row>
    <row r="52427">
      <c r="F52427" s="13"/>
      <c r="M52427" s="13"/>
    </row>
    <row r="52428">
      <c r="F52428" s="13"/>
      <c r="M52428" s="13"/>
    </row>
    <row r="52429">
      <c r="F52429" s="13"/>
      <c r="M52429" s="13"/>
    </row>
    <row r="52430">
      <c r="F52430" s="13"/>
      <c r="M52430" s="13"/>
    </row>
    <row r="52431">
      <c r="F52431" s="13"/>
      <c r="M52431" s="13"/>
    </row>
    <row r="52432">
      <c r="F52432" s="13"/>
      <c r="M52432" s="13"/>
    </row>
    <row r="52433">
      <c r="F52433" s="13"/>
      <c r="M52433" s="13"/>
    </row>
    <row r="52434">
      <c r="F52434" s="13"/>
      <c r="M52434" s="13"/>
    </row>
    <row r="52435">
      <c r="F52435" s="13"/>
      <c r="M52435" s="13"/>
    </row>
    <row r="52436">
      <c r="F52436" s="13"/>
      <c r="M52436" s="13"/>
    </row>
    <row r="52437">
      <c r="F52437" s="13"/>
      <c r="M52437" s="13"/>
    </row>
    <row r="52438">
      <c r="F52438" s="13"/>
      <c r="M52438" s="13"/>
    </row>
    <row r="52439">
      <c r="F52439" s="13"/>
      <c r="M52439" s="13"/>
    </row>
    <row r="52440">
      <c r="F52440" s="13"/>
      <c r="M52440" s="13"/>
    </row>
    <row r="52441">
      <c r="F52441" s="13"/>
      <c r="M52441" s="13"/>
    </row>
    <row r="52442">
      <c r="F52442" s="13"/>
      <c r="M52442" s="13"/>
    </row>
    <row r="52443">
      <c r="F52443" s="13"/>
      <c r="M52443" s="13"/>
    </row>
    <row r="52444">
      <c r="F52444" s="13"/>
      <c r="M52444" s="13"/>
    </row>
    <row r="52445">
      <c r="F52445" s="13"/>
      <c r="M52445" s="13"/>
    </row>
    <row r="52446">
      <c r="F52446" s="13"/>
      <c r="M52446" s="13"/>
    </row>
    <row r="52447">
      <c r="F52447" s="13"/>
      <c r="M52447" s="13"/>
    </row>
    <row r="52448">
      <c r="F52448" s="13"/>
      <c r="M52448" s="13"/>
    </row>
    <row r="52449">
      <c r="F52449" s="13"/>
      <c r="M52449" s="13"/>
    </row>
    <row r="52450">
      <c r="F52450" s="13"/>
      <c r="M52450" s="13"/>
    </row>
    <row r="52451">
      <c r="F52451" s="13"/>
      <c r="M52451" s="13"/>
    </row>
    <row r="52452">
      <c r="F52452" s="13"/>
      <c r="M52452" s="13"/>
    </row>
    <row r="52453">
      <c r="F52453" s="13"/>
      <c r="M52453" s="13"/>
    </row>
    <row r="52454">
      <c r="F52454" s="13"/>
      <c r="M52454" s="13"/>
    </row>
    <row r="52455">
      <c r="F52455" s="13"/>
      <c r="M52455" s="13"/>
    </row>
    <row r="52456">
      <c r="F52456" s="13"/>
      <c r="M52456" s="13"/>
    </row>
    <row r="52457">
      <c r="F52457" s="13"/>
      <c r="M52457" s="13"/>
    </row>
    <row r="52458">
      <c r="F52458" s="13"/>
      <c r="M52458" s="13"/>
    </row>
    <row r="52459">
      <c r="F52459" s="13"/>
      <c r="M52459" s="13"/>
    </row>
    <row r="52460">
      <c r="F52460" s="13"/>
      <c r="M52460" s="13"/>
    </row>
    <row r="52461">
      <c r="F52461" s="13"/>
      <c r="M52461" s="13"/>
    </row>
    <row r="52462">
      <c r="F52462" s="13"/>
      <c r="M52462" s="13"/>
    </row>
    <row r="52463">
      <c r="F52463" s="13"/>
      <c r="M52463" s="13"/>
    </row>
    <row r="52464">
      <c r="F52464" s="13"/>
      <c r="M52464" s="13"/>
    </row>
    <row r="52465">
      <c r="F52465" s="13"/>
      <c r="M52465" s="13"/>
    </row>
    <row r="52466">
      <c r="F52466" s="13"/>
      <c r="M52466" s="13"/>
    </row>
    <row r="52467">
      <c r="F52467" s="13"/>
      <c r="M52467" s="13"/>
    </row>
    <row r="52468">
      <c r="F52468" s="13"/>
      <c r="M52468" s="13"/>
    </row>
    <row r="52469">
      <c r="F52469" s="13"/>
      <c r="M52469" s="13"/>
    </row>
    <row r="52470">
      <c r="F52470" s="13"/>
      <c r="M52470" s="13"/>
    </row>
    <row r="52471">
      <c r="F52471" s="13"/>
      <c r="M52471" s="13"/>
    </row>
    <row r="52472">
      <c r="F52472" s="13"/>
      <c r="M52472" s="13"/>
    </row>
    <row r="52473">
      <c r="F52473" s="13"/>
      <c r="M52473" s="13"/>
    </row>
    <row r="52474">
      <c r="F52474" s="13"/>
      <c r="M52474" s="13"/>
    </row>
    <row r="52475">
      <c r="F52475" s="13"/>
      <c r="M52475" s="13"/>
    </row>
    <row r="52476">
      <c r="F52476" s="13"/>
      <c r="M52476" s="13"/>
    </row>
    <row r="52477">
      <c r="F52477" s="13"/>
      <c r="M52477" s="13"/>
    </row>
    <row r="52478">
      <c r="F52478" s="13"/>
      <c r="M52478" s="13"/>
    </row>
    <row r="52479">
      <c r="F52479" s="13"/>
      <c r="M52479" s="13"/>
    </row>
    <row r="52480">
      <c r="F52480" s="13"/>
      <c r="M52480" s="13"/>
    </row>
    <row r="52481">
      <c r="F52481" s="13"/>
      <c r="M52481" s="13"/>
    </row>
    <row r="52482">
      <c r="F52482" s="13"/>
      <c r="M52482" s="13"/>
    </row>
    <row r="52483">
      <c r="F52483" s="13"/>
      <c r="M52483" s="13"/>
    </row>
    <row r="52484">
      <c r="F52484" s="13"/>
      <c r="M52484" s="13"/>
    </row>
    <row r="52485">
      <c r="F52485" s="13"/>
      <c r="M52485" s="13"/>
    </row>
    <row r="52486">
      <c r="F52486" s="13"/>
      <c r="M52486" s="13"/>
    </row>
    <row r="52487">
      <c r="F52487" s="13"/>
      <c r="M52487" s="13"/>
    </row>
    <row r="52488">
      <c r="F52488" s="13"/>
      <c r="M52488" s="13"/>
    </row>
    <row r="52489">
      <c r="F52489" s="13"/>
      <c r="M52489" s="13"/>
    </row>
    <row r="52490">
      <c r="F52490" s="13"/>
      <c r="M52490" s="13"/>
    </row>
    <row r="52491">
      <c r="F52491" s="13"/>
      <c r="M52491" s="13"/>
    </row>
    <row r="52492">
      <c r="F52492" s="13"/>
      <c r="M52492" s="13"/>
    </row>
    <row r="52493">
      <c r="F52493" s="13"/>
      <c r="M52493" s="13"/>
    </row>
    <row r="52494">
      <c r="F52494" s="13"/>
      <c r="M52494" s="13"/>
    </row>
    <row r="52495">
      <c r="F52495" s="13"/>
      <c r="M52495" s="13"/>
    </row>
    <row r="52496">
      <c r="F52496" s="13"/>
      <c r="M52496" s="13"/>
    </row>
    <row r="52497">
      <c r="F52497" s="13"/>
      <c r="M52497" s="13"/>
    </row>
    <row r="52498">
      <c r="F52498" s="13"/>
      <c r="M52498" s="13"/>
    </row>
    <row r="52499">
      <c r="F52499" s="13"/>
      <c r="M52499" s="13"/>
    </row>
    <row r="52500">
      <c r="F52500" s="13"/>
      <c r="M52500" s="13"/>
    </row>
    <row r="52501">
      <c r="F52501" s="13"/>
      <c r="M52501" s="13"/>
    </row>
    <row r="52502">
      <c r="F52502" s="13"/>
      <c r="M52502" s="13"/>
    </row>
    <row r="52503">
      <c r="F52503" s="13"/>
      <c r="M52503" s="13"/>
    </row>
    <row r="52504">
      <c r="F52504" s="13"/>
      <c r="M52504" s="13"/>
    </row>
    <row r="52505">
      <c r="F52505" s="13"/>
      <c r="M52505" s="13"/>
    </row>
    <row r="52506">
      <c r="F52506" s="13"/>
      <c r="M52506" s="13"/>
    </row>
    <row r="52507">
      <c r="F52507" s="13"/>
      <c r="M52507" s="13"/>
    </row>
    <row r="52508">
      <c r="F52508" s="13"/>
      <c r="M52508" s="13"/>
    </row>
    <row r="52509">
      <c r="F52509" s="13"/>
      <c r="M52509" s="13"/>
    </row>
    <row r="52510">
      <c r="F52510" s="13"/>
      <c r="M52510" s="13"/>
    </row>
    <row r="52511">
      <c r="F52511" s="13"/>
      <c r="M52511" s="13"/>
    </row>
    <row r="52512">
      <c r="F52512" s="13"/>
      <c r="M52512" s="13"/>
    </row>
    <row r="52513">
      <c r="F52513" s="13"/>
      <c r="M52513" s="13"/>
    </row>
    <row r="52514">
      <c r="F52514" s="13"/>
      <c r="M52514" s="13"/>
    </row>
    <row r="52515">
      <c r="F52515" s="13"/>
      <c r="M52515" s="13"/>
    </row>
    <row r="52516">
      <c r="F52516" s="13"/>
      <c r="M52516" s="13"/>
    </row>
    <row r="52517">
      <c r="F52517" s="13"/>
      <c r="M52517" s="13"/>
    </row>
    <row r="52518">
      <c r="F52518" s="13"/>
      <c r="M52518" s="13"/>
    </row>
    <row r="52519">
      <c r="F52519" s="13"/>
      <c r="M52519" s="13"/>
    </row>
    <row r="52520">
      <c r="F52520" s="13"/>
      <c r="M52520" s="13"/>
    </row>
    <row r="52521">
      <c r="F52521" s="13"/>
      <c r="M52521" s="13"/>
    </row>
    <row r="52522">
      <c r="F52522" s="13"/>
      <c r="M52522" s="13"/>
    </row>
    <row r="52523">
      <c r="F52523" s="13"/>
      <c r="M52523" s="13"/>
    </row>
    <row r="52524">
      <c r="F52524" s="13"/>
      <c r="M52524" s="13"/>
    </row>
    <row r="52525">
      <c r="F52525" s="13"/>
      <c r="M52525" s="13"/>
    </row>
    <row r="52526">
      <c r="F52526" s="13"/>
      <c r="M52526" s="13"/>
    </row>
    <row r="52527">
      <c r="F52527" s="13"/>
      <c r="M52527" s="13"/>
    </row>
    <row r="52528">
      <c r="F52528" s="13"/>
      <c r="M52528" s="13"/>
    </row>
    <row r="52529">
      <c r="F52529" s="13"/>
      <c r="M52529" s="13"/>
    </row>
    <row r="52530">
      <c r="F52530" s="13"/>
      <c r="M52530" s="13"/>
    </row>
    <row r="52531">
      <c r="F52531" s="13"/>
      <c r="M52531" s="13"/>
    </row>
    <row r="52532">
      <c r="F52532" s="13"/>
      <c r="M52532" s="13"/>
    </row>
    <row r="52533">
      <c r="F52533" s="13"/>
      <c r="M52533" s="13"/>
    </row>
    <row r="52534">
      <c r="F52534" s="13"/>
      <c r="M52534" s="13"/>
    </row>
    <row r="52535">
      <c r="F52535" s="13"/>
      <c r="M52535" s="13"/>
    </row>
    <row r="52536">
      <c r="F52536" s="13"/>
      <c r="M52536" s="13"/>
    </row>
    <row r="52537">
      <c r="F52537" s="13"/>
      <c r="M52537" s="13"/>
    </row>
    <row r="52538">
      <c r="F52538" s="13"/>
      <c r="M52538" s="13"/>
    </row>
    <row r="52539">
      <c r="F52539" s="13"/>
      <c r="M52539" s="13"/>
    </row>
    <row r="52540">
      <c r="F52540" s="13"/>
      <c r="M52540" s="13"/>
    </row>
    <row r="52541">
      <c r="F52541" s="13"/>
      <c r="M52541" s="13"/>
    </row>
    <row r="52542">
      <c r="F52542" s="13"/>
      <c r="M52542" s="13"/>
    </row>
    <row r="52543">
      <c r="F52543" s="13"/>
      <c r="M52543" s="13"/>
    </row>
    <row r="52544">
      <c r="F52544" s="13"/>
      <c r="M52544" s="13"/>
    </row>
    <row r="52545">
      <c r="F52545" s="13"/>
      <c r="M52545" s="13"/>
    </row>
    <row r="52546">
      <c r="F52546" s="13"/>
      <c r="M52546" s="13"/>
    </row>
    <row r="52547">
      <c r="F52547" s="13"/>
      <c r="M52547" s="13"/>
    </row>
    <row r="52548">
      <c r="F52548" s="13"/>
      <c r="M52548" s="13"/>
    </row>
    <row r="52549">
      <c r="F52549" s="13"/>
      <c r="M52549" s="13"/>
    </row>
    <row r="52550">
      <c r="F52550" s="13"/>
      <c r="M52550" s="13"/>
    </row>
    <row r="52551">
      <c r="F52551" s="13"/>
      <c r="M52551" s="13"/>
    </row>
    <row r="52552">
      <c r="F52552" s="13"/>
      <c r="M52552" s="13"/>
    </row>
    <row r="52553">
      <c r="F52553" s="13"/>
      <c r="M52553" s="13"/>
    </row>
    <row r="52554">
      <c r="F52554" s="13"/>
      <c r="M52554" s="13"/>
    </row>
    <row r="52555">
      <c r="F52555" s="13"/>
      <c r="M52555" s="13"/>
    </row>
    <row r="52556">
      <c r="F52556" s="13"/>
      <c r="M52556" s="13"/>
    </row>
    <row r="52557">
      <c r="F52557" s="13"/>
      <c r="M52557" s="13"/>
    </row>
    <row r="52558">
      <c r="F52558" s="13"/>
      <c r="M52558" s="13"/>
    </row>
    <row r="52559">
      <c r="F52559" s="13"/>
      <c r="M52559" s="13"/>
    </row>
    <row r="52560">
      <c r="F52560" s="13"/>
      <c r="M52560" s="13"/>
    </row>
    <row r="52561">
      <c r="F52561" s="13"/>
      <c r="M52561" s="13"/>
    </row>
    <row r="52562">
      <c r="F52562" s="13"/>
      <c r="M52562" s="13"/>
    </row>
    <row r="52563">
      <c r="F52563" s="13"/>
      <c r="M52563" s="13"/>
    </row>
    <row r="52564">
      <c r="F52564" s="13"/>
      <c r="M52564" s="13"/>
    </row>
    <row r="52565">
      <c r="F52565" s="13"/>
      <c r="M52565" s="13"/>
    </row>
    <row r="52566">
      <c r="F52566" s="13"/>
      <c r="M52566" s="13"/>
    </row>
    <row r="52567">
      <c r="F52567" s="13"/>
      <c r="M52567" s="13"/>
    </row>
    <row r="52568">
      <c r="F52568" s="13"/>
      <c r="M52568" s="13"/>
    </row>
    <row r="52569">
      <c r="F52569" s="13"/>
      <c r="M52569" s="13"/>
    </row>
    <row r="52570">
      <c r="F52570" s="13"/>
      <c r="M52570" s="13"/>
    </row>
    <row r="52571">
      <c r="F52571" s="13"/>
      <c r="M52571" s="13"/>
    </row>
    <row r="52572">
      <c r="F52572" s="13"/>
      <c r="M52572" s="13"/>
    </row>
    <row r="52573">
      <c r="F52573" s="13"/>
      <c r="M52573" s="13"/>
    </row>
    <row r="52574">
      <c r="F52574" s="13"/>
      <c r="M52574" s="13"/>
    </row>
    <row r="52575">
      <c r="F52575" s="13"/>
      <c r="M52575" s="13"/>
    </row>
    <row r="52576">
      <c r="F52576" s="13"/>
      <c r="M52576" s="13"/>
    </row>
    <row r="52577">
      <c r="F52577" s="13"/>
      <c r="M52577" s="13"/>
    </row>
    <row r="52578">
      <c r="F52578" s="13"/>
      <c r="M52578" s="13"/>
    </row>
    <row r="52579">
      <c r="F52579" s="13"/>
      <c r="M52579" s="13"/>
    </row>
    <row r="52580">
      <c r="F52580" s="13"/>
      <c r="M52580" s="13"/>
    </row>
    <row r="52581">
      <c r="F52581" s="13"/>
      <c r="M52581" s="13"/>
    </row>
    <row r="52582">
      <c r="F52582" s="13"/>
      <c r="M52582" s="13"/>
    </row>
    <row r="52583">
      <c r="F52583" s="13"/>
      <c r="M52583" s="13"/>
    </row>
    <row r="52584">
      <c r="F52584" s="13"/>
      <c r="M52584" s="13"/>
    </row>
    <row r="52585">
      <c r="F52585" s="13"/>
      <c r="M52585" s="13"/>
    </row>
    <row r="52586">
      <c r="F52586" s="13"/>
      <c r="M52586" s="13"/>
    </row>
    <row r="52587">
      <c r="F52587" s="13"/>
      <c r="M52587" s="13"/>
    </row>
    <row r="52588">
      <c r="F52588" s="13"/>
      <c r="M52588" s="13"/>
    </row>
    <row r="52589">
      <c r="F52589" s="13"/>
      <c r="M52589" s="13"/>
    </row>
    <row r="52590">
      <c r="F52590" s="13"/>
      <c r="M52590" s="13"/>
    </row>
    <row r="52591">
      <c r="F52591" s="13"/>
      <c r="M52591" s="13"/>
    </row>
    <row r="52592">
      <c r="F52592" s="13"/>
      <c r="M52592" s="13"/>
    </row>
    <row r="52593">
      <c r="F52593" s="13"/>
      <c r="M52593" s="13"/>
    </row>
    <row r="52594">
      <c r="F52594" s="13"/>
      <c r="M52594" s="13"/>
    </row>
    <row r="52595">
      <c r="F52595" s="13"/>
      <c r="M52595" s="13"/>
    </row>
    <row r="52596">
      <c r="F52596" s="13"/>
      <c r="M52596" s="13"/>
    </row>
    <row r="52597">
      <c r="F52597" s="13"/>
      <c r="M52597" s="13"/>
    </row>
    <row r="52598">
      <c r="F52598" s="13"/>
      <c r="M52598" s="13"/>
    </row>
    <row r="52599">
      <c r="F52599" s="13"/>
      <c r="M52599" s="13"/>
    </row>
    <row r="52600">
      <c r="F52600" s="13"/>
      <c r="M52600" s="13"/>
    </row>
    <row r="52601">
      <c r="F52601" s="13"/>
      <c r="M52601" s="13"/>
    </row>
    <row r="52602">
      <c r="F52602" s="13"/>
      <c r="M52602" s="13"/>
    </row>
    <row r="52603">
      <c r="F52603" s="13"/>
      <c r="M52603" s="13"/>
    </row>
    <row r="52604">
      <c r="F52604" s="13"/>
      <c r="M52604" s="13"/>
    </row>
    <row r="52605">
      <c r="F52605" s="13"/>
      <c r="M52605" s="13"/>
    </row>
    <row r="52606">
      <c r="F52606" s="13"/>
      <c r="M52606" s="13"/>
    </row>
    <row r="52607">
      <c r="F52607" s="13"/>
      <c r="M52607" s="13"/>
    </row>
    <row r="52608">
      <c r="F52608" s="13"/>
      <c r="M52608" s="13"/>
    </row>
    <row r="52609">
      <c r="F52609" s="13"/>
      <c r="M52609" s="13"/>
    </row>
    <row r="52610">
      <c r="F52610" s="13"/>
      <c r="M52610" s="13"/>
    </row>
    <row r="52611">
      <c r="F52611" s="13"/>
      <c r="M52611" s="13"/>
    </row>
    <row r="52612">
      <c r="F52612" s="13"/>
      <c r="M52612" s="13"/>
    </row>
    <row r="52613">
      <c r="F52613" s="13"/>
      <c r="M52613" s="13"/>
    </row>
    <row r="52614">
      <c r="F52614" s="13"/>
      <c r="M52614" s="13"/>
    </row>
    <row r="52615">
      <c r="F52615" s="13"/>
      <c r="M52615" s="13"/>
    </row>
    <row r="52616">
      <c r="F52616" s="13"/>
      <c r="M52616" s="13"/>
    </row>
    <row r="52617">
      <c r="F52617" s="13"/>
      <c r="M52617" s="13"/>
    </row>
    <row r="52618">
      <c r="F52618" s="13"/>
      <c r="M52618" s="13"/>
    </row>
    <row r="52619">
      <c r="F52619" s="13"/>
      <c r="M52619" s="13"/>
    </row>
    <row r="52620">
      <c r="F52620" s="13"/>
      <c r="M52620" s="13"/>
    </row>
    <row r="52621">
      <c r="F52621" s="13"/>
      <c r="M52621" s="13"/>
    </row>
    <row r="52622">
      <c r="F52622" s="13"/>
      <c r="M52622" s="13"/>
    </row>
    <row r="52623">
      <c r="F52623" s="13"/>
      <c r="M52623" s="13"/>
    </row>
    <row r="52624">
      <c r="F52624" s="13"/>
      <c r="M52624" s="13"/>
    </row>
    <row r="52625">
      <c r="F52625" s="13"/>
      <c r="M52625" s="13"/>
    </row>
    <row r="52626">
      <c r="F52626" s="13"/>
      <c r="M52626" s="13"/>
    </row>
    <row r="52627">
      <c r="F52627" s="13"/>
      <c r="M52627" s="13"/>
    </row>
    <row r="52628">
      <c r="F52628" s="13"/>
      <c r="M52628" s="13"/>
    </row>
    <row r="52629">
      <c r="F52629" s="13"/>
      <c r="M52629" s="13"/>
    </row>
    <row r="52630">
      <c r="F52630" s="13"/>
      <c r="M52630" s="13"/>
    </row>
    <row r="52631">
      <c r="F52631" s="13"/>
      <c r="M52631" s="13"/>
    </row>
    <row r="52632">
      <c r="F52632" s="13"/>
      <c r="M52632" s="13"/>
    </row>
    <row r="52633">
      <c r="F52633" s="13"/>
      <c r="M52633" s="13"/>
    </row>
    <row r="52634">
      <c r="F52634" s="13"/>
      <c r="M52634" s="13"/>
    </row>
    <row r="52635">
      <c r="F52635" s="13"/>
      <c r="M52635" s="13"/>
    </row>
    <row r="52636">
      <c r="F52636" s="13"/>
      <c r="M52636" s="13"/>
    </row>
    <row r="52637">
      <c r="F52637" s="13"/>
      <c r="M52637" s="13"/>
    </row>
    <row r="52638">
      <c r="F52638" s="13"/>
      <c r="M52638" s="13"/>
    </row>
    <row r="52639">
      <c r="F52639" s="13"/>
      <c r="M52639" s="13"/>
    </row>
    <row r="52640">
      <c r="F52640" s="13"/>
      <c r="M52640" s="13"/>
    </row>
    <row r="52641">
      <c r="F52641" s="13"/>
      <c r="M52641" s="13"/>
    </row>
    <row r="52642">
      <c r="F52642" s="13"/>
      <c r="M52642" s="13"/>
    </row>
    <row r="52643">
      <c r="F52643" s="13"/>
      <c r="M52643" s="13"/>
    </row>
    <row r="52644">
      <c r="F52644" s="13"/>
      <c r="M52644" s="13"/>
    </row>
    <row r="52645">
      <c r="F52645" s="13"/>
      <c r="M52645" s="13"/>
    </row>
    <row r="52646">
      <c r="F52646" s="13"/>
      <c r="M52646" s="13"/>
    </row>
    <row r="52647">
      <c r="F52647" s="13"/>
      <c r="M52647" s="13"/>
    </row>
    <row r="52648">
      <c r="F52648" s="13"/>
      <c r="M52648" s="13"/>
    </row>
    <row r="52649">
      <c r="F52649" s="13"/>
      <c r="M52649" s="13"/>
    </row>
    <row r="52650">
      <c r="F52650" s="13"/>
      <c r="M52650" s="13"/>
    </row>
    <row r="52651">
      <c r="F52651" s="13"/>
      <c r="M52651" s="13"/>
    </row>
    <row r="52652">
      <c r="F52652" s="13"/>
      <c r="M52652" s="13"/>
    </row>
    <row r="52653">
      <c r="F52653" s="13"/>
      <c r="M52653" s="13"/>
    </row>
    <row r="52654">
      <c r="F52654" s="13"/>
      <c r="M52654" s="13"/>
    </row>
    <row r="52655">
      <c r="F52655" s="13"/>
      <c r="M52655" s="13"/>
    </row>
    <row r="52656">
      <c r="F52656" s="13"/>
      <c r="M52656" s="13"/>
    </row>
    <row r="52657">
      <c r="F52657" s="13"/>
      <c r="M52657" s="13"/>
    </row>
    <row r="52658">
      <c r="F52658" s="13"/>
      <c r="M52658" s="13"/>
    </row>
    <row r="52659">
      <c r="F52659" s="13"/>
      <c r="M52659" s="13"/>
    </row>
    <row r="52660">
      <c r="F52660" s="13"/>
      <c r="M52660" s="13"/>
    </row>
    <row r="52661">
      <c r="F52661" s="13"/>
      <c r="M52661" s="13"/>
    </row>
    <row r="52662">
      <c r="F52662" s="13"/>
      <c r="M52662" s="13"/>
    </row>
    <row r="52663">
      <c r="F52663" s="13"/>
      <c r="M52663" s="13"/>
    </row>
    <row r="52664">
      <c r="F52664" s="13"/>
      <c r="M52664" s="13"/>
    </row>
    <row r="52665">
      <c r="F52665" s="13"/>
      <c r="M52665" s="13"/>
    </row>
    <row r="52666">
      <c r="F52666" s="13"/>
      <c r="M52666" s="13"/>
    </row>
    <row r="52667">
      <c r="F52667" s="13"/>
      <c r="M52667" s="13"/>
    </row>
    <row r="52668">
      <c r="F52668" s="13"/>
      <c r="M52668" s="13"/>
    </row>
    <row r="52669">
      <c r="F52669" s="13"/>
      <c r="M52669" s="13"/>
    </row>
    <row r="52670">
      <c r="F52670" s="13"/>
      <c r="M52670" s="13"/>
    </row>
    <row r="52671">
      <c r="F52671" s="13"/>
      <c r="M52671" s="13"/>
    </row>
    <row r="52672">
      <c r="F52672" s="13"/>
      <c r="M52672" s="13"/>
    </row>
    <row r="52673">
      <c r="F52673" s="13"/>
      <c r="M52673" s="13"/>
    </row>
    <row r="52674">
      <c r="F52674" s="13"/>
      <c r="M52674" s="13"/>
    </row>
    <row r="52675">
      <c r="F52675" s="13"/>
      <c r="M52675" s="13"/>
    </row>
    <row r="52676">
      <c r="F52676" s="13"/>
      <c r="M52676" s="13"/>
    </row>
    <row r="52677">
      <c r="F52677" s="13"/>
      <c r="M52677" s="13"/>
    </row>
    <row r="52678">
      <c r="F52678" s="13"/>
      <c r="M52678" s="13"/>
    </row>
    <row r="52679">
      <c r="F52679" s="13"/>
      <c r="M52679" s="13"/>
    </row>
    <row r="52680">
      <c r="F52680" s="13"/>
      <c r="M52680" s="13"/>
    </row>
    <row r="52681">
      <c r="F52681" s="13"/>
      <c r="M52681" s="13"/>
    </row>
    <row r="52682">
      <c r="F52682" s="13"/>
      <c r="M52682" s="13"/>
    </row>
    <row r="52683">
      <c r="F52683" s="13"/>
      <c r="M52683" s="13"/>
    </row>
    <row r="52684">
      <c r="F52684" s="13"/>
      <c r="M52684" s="13"/>
    </row>
    <row r="52685">
      <c r="F52685" s="13"/>
      <c r="M52685" s="13"/>
    </row>
    <row r="52686">
      <c r="F52686" s="13"/>
      <c r="M52686" s="13"/>
    </row>
    <row r="52687">
      <c r="F52687" s="13"/>
      <c r="M52687" s="13"/>
    </row>
    <row r="52688">
      <c r="F52688" s="13"/>
      <c r="M52688" s="13"/>
    </row>
    <row r="52689">
      <c r="F52689" s="13"/>
      <c r="M52689" s="13"/>
    </row>
    <row r="52690">
      <c r="F52690" s="13"/>
      <c r="M52690" s="13"/>
    </row>
    <row r="52691">
      <c r="F52691" s="13"/>
      <c r="M52691" s="13"/>
    </row>
    <row r="52692">
      <c r="F52692" s="13"/>
      <c r="M52692" s="13"/>
    </row>
    <row r="52693">
      <c r="F52693" s="13"/>
      <c r="M52693" s="13"/>
    </row>
    <row r="52694">
      <c r="F52694" s="13"/>
      <c r="M52694" s="13"/>
    </row>
    <row r="52695">
      <c r="F52695" s="13"/>
      <c r="M52695" s="13"/>
    </row>
    <row r="52696">
      <c r="F52696" s="13"/>
      <c r="M52696" s="13"/>
    </row>
    <row r="52697">
      <c r="F52697" s="13"/>
      <c r="M52697" s="13"/>
    </row>
    <row r="52698">
      <c r="F52698" s="13"/>
      <c r="M52698" s="13"/>
    </row>
    <row r="52699">
      <c r="F52699" s="13"/>
      <c r="M52699" s="13"/>
    </row>
    <row r="52700">
      <c r="F52700" s="13"/>
      <c r="M52700" s="13"/>
    </row>
    <row r="52701">
      <c r="F52701" s="13"/>
      <c r="M52701" s="13"/>
    </row>
    <row r="52702">
      <c r="F52702" s="13"/>
      <c r="M52702" s="13"/>
    </row>
    <row r="52703">
      <c r="F52703" s="13"/>
      <c r="M52703" s="13"/>
    </row>
    <row r="52704">
      <c r="F52704" s="13"/>
      <c r="M52704" s="13"/>
    </row>
    <row r="52705">
      <c r="F52705" s="13"/>
      <c r="M52705" s="13"/>
    </row>
    <row r="52706">
      <c r="F52706" s="13"/>
      <c r="M52706" s="13"/>
    </row>
    <row r="52707">
      <c r="F52707" s="13"/>
      <c r="M52707" s="13"/>
    </row>
    <row r="52708">
      <c r="F52708" s="13"/>
      <c r="M52708" s="13"/>
    </row>
    <row r="52709">
      <c r="F52709" s="13"/>
      <c r="M52709" s="13"/>
    </row>
    <row r="52710">
      <c r="F52710" s="13"/>
      <c r="M52710" s="13"/>
    </row>
    <row r="52711">
      <c r="F52711" s="13"/>
      <c r="M52711" s="13"/>
    </row>
    <row r="52712">
      <c r="F52712" s="13"/>
      <c r="M52712" s="13"/>
    </row>
    <row r="52713">
      <c r="F52713" s="13"/>
      <c r="M52713" s="13"/>
    </row>
    <row r="52714">
      <c r="F52714" s="13"/>
      <c r="M52714" s="13"/>
    </row>
    <row r="52715">
      <c r="F52715" s="13"/>
      <c r="M52715" s="13"/>
    </row>
    <row r="52716">
      <c r="F52716" s="13"/>
      <c r="M52716" s="13"/>
    </row>
    <row r="52717">
      <c r="F52717" s="13"/>
      <c r="M52717" s="13"/>
    </row>
    <row r="52718">
      <c r="F52718" s="13"/>
      <c r="M52718" s="13"/>
    </row>
    <row r="52719">
      <c r="F52719" s="13"/>
      <c r="M52719" s="13"/>
    </row>
    <row r="52720">
      <c r="F52720" s="13"/>
      <c r="M52720" s="13"/>
    </row>
    <row r="52721">
      <c r="F52721" s="13"/>
      <c r="M52721" s="13"/>
    </row>
    <row r="52722">
      <c r="F52722" s="13"/>
      <c r="M52722" s="13"/>
    </row>
    <row r="52723">
      <c r="F52723" s="13"/>
      <c r="M52723" s="13"/>
    </row>
    <row r="52724">
      <c r="F52724" s="13"/>
      <c r="M52724" s="13"/>
    </row>
    <row r="52725">
      <c r="F52725" s="13"/>
      <c r="M52725" s="13"/>
    </row>
    <row r="52726">
      <c r="F52726" s="13"/>
      <c r="M52726" s="13"/>
    </row>
    <row r="52727">
      <c r="F52727" s="13"/>
      <c r="M52727" s="13"/>
    </row>
    <row r="52728">
      <c r="F52728" s="13"/>
      <c r="M52728" s="13"/>
    </row>
    <row r="52729">
      <c r="F52729" s="13"/>
      <c r="M52729" s="13"/>
    </row>
    <row r="52730">
      <c r="F52730" s="13"/>
      <c r="M52730" s="13"/>
    </row>
    <row r="52731">
      <c r="F52731" s="13"/>
      <c r="M52731" s="13"/>
    </row>
    <row r="52732">
      <c r="F52732" s="13"/>
      <c r="M52732" s="13"/>
    </row>
    <row r="52733">
      <c r="F52733" s="13"/>
      <c r="M52733" s="13"/>
    </row>
    <row r="52734">
      <c r="F52734" s="13"/>
      <c r="M52734" s="13"/>
    </row>
    <row r="52735">
      <c r="F52735" s="13"/>
      <c r="M52735" s="13"/>
    </row>
    <row r="52736">
      <c r="F52736" s="13"/>
      <c r="M52736" s="13"/>
    </row>
    <row r="52737">
      <c r="F52737" s="13"/>
      <c r="M52737" s="13"/>
    </row>
    <row r="52738">
      <c r="F52738" s="13"/>
      <c r="M52738" s="13"/>
    </row>
    <row r="52739">
      <c r="F52739" s="13"/>
      <c r="M52739" s="13"/>
    </row>
    <row r="52740">
      <c r="F52740" s="13"/>
      <c r="M52740" s="13"/>
    </row>
    <row r="52741">
      <c r="F52741" s="13"/>
      <c r="M52741" s="13"/>
    </row>
    <row r="52742">
      <c r="F52742" s="13"/>
      <c r="M52742" s="13"/>
    </row>
    <row r="52743">
      <c r="F52743" s="13"/>
      <c r="M52743" s="13"/>
    </row>
    <row r="52744">
      <c r="F52744" s="13"/>
      <c r="M52744" s="13"/>
    </row>
    <row r="52745">
      <c r="F52745" s="13"/>
      <c r="M52745" s="13"/>
    </row>
    <row r="52746">
      <c r="F52746" s="13"/>
      <c r="M52746" s="13"/>
    </row>
    <row r="52747">
      <c r="F52747" s="13"/>
      <c r="M52747" s="13"/>
    </row>
    <row r="52748">
      <c r="F52748" s="13"/>
      <c r="M52748" s="13"/>
    </row>
    <row r="52749">
      <c r="F52749" s="13"/>
      <c r="M52749" s="13"/>
    </row>
    <row r="52750">
      <c r="F52750" s="13"/>
      <c r="M52750" s="13"/>
    </row>
    <row r="52751">
      <c r="F52751" s="13"/>
      <c r="M52751" s="13"/>
    </row>
    <row r="52752">
      <c r="F52752" s="13"/>
      <c r="M52752" s="13"/>
    </row>
    <row r="52753">
      <c r="F52753" s="13"/>
      <c r="M52753" s="13"/>
    </row>
    <row r="52754">
      <c r="F52754" s="13"/>
      <c r="M52754" s="13"/>
    </row>
    <row r="52755">
      <c r="F52755" s="13"/>
      <c r="M52755" s="13"/>
    </row>
    <row r="52756">
      <c r="F52756" s="13"/>
      <c r="M52756" s="13"/>
    </row>
    <row r="52757">
      <c r="F52757" s="13"/>
      <c r="M52757" s="13"/>
    </row>
    <row r="52758">
      <c r="F52758" s="13"/>
      <c r="M52758" s="13"/>
    </row>
    <row r="52759">
      <c r="F52759" s="13"/>
      <c r="M52759" s="13"/>
    </row>
    <row r="52760">
      <c r="F52760" s="13"/>
      <c r="M52760" s="13"/>
    </row>
    <row r="52761">
      <c r="F52761" s="13"/>
      <c r="M52761" s="13"/>
    </row>
    <row r="52762">
      <c r="F52762" s="13"/>
      <c r="M52762" s="13"/>
    </row>
    <row r="52763">
      <c r="F52763" s="13"/>
      <c r="M52763" s="13"/>
    </row>
    <row r="52764">
      <c r="F52764" s="13"/>
      <c r="M52764" s="13"/>
    </row>
    <row r="52765">
      <c r="F52765" s="13"/>
      <c r="M52765" s="13"/>
    </row>
    <row r="52766">
      <c r="F52766" s="13"/>
      <c r="M52766" s="13"/>
    </row>
    <row r="52767">
      <c r="F52767" s="13"/>
      <c r="M52767" s="13"/>
    </row>
    <row r="52768">
      <c r="F52768" s="13"/>
      <c r="M52768" s="13"/>
    </row>
    <row r="52769">
      <c r="F52769" s="13"/>
      <c r="M52769" s="13"/>
    </row>
    <row r="52770">
      <c r="F52770" s="13"/>
      <c r="M52770" s="13"/>
    </row>
    <row r="52771">
      <c r="F52771" s="13"/>
      <c r="M52771" s="13"/>
    </row>
    <row r="52772">
      <c r="F52772" s="13"/>
      <c r="M52772" s="13"/>
    </row>
    <row r="52773">
      <c r="F52773" s="13"/>
      <c r="M52773" s="13"/>
    </row>
    <row r="52774">
      <c r="F52774" s="13"/>
      <c r="M52774" s="13"/>
    </row>
    <row r="52775">
      <c r="F52775" s="13"/>
      <c r="M52775" s="13"/>
    </row>
    <row r="52776">
      <c r="F52776" s="13"/>
      <c r="M52776" s="13"/>
    </row>
    <row r="52777">
      <c r="F52777" s="13"/>
      <c r="M52777" s="13"/>
    </row>
    <row r="52778">
      <c r="F52778" s="13"/>
      <c r="M52778" s="13"/>
    </row>
    <row r="52779">
      <c r="F52779" s="13"/>
      <c r="M52779" s="13"/>
    </row>
    <row r="52780">
      <c r="F52780" s="13"/>
      <c r="M52780" s="13"/>
    </row>
    <row r="52781">
      <c r="F52781" s="13"/>
      <c r="M52781" s="13"/>
    </row>
    <row r="52782">
      <c r="F52782" s="13"/>
      <c r="M52782" s="13"/>
    </row>
    <row r="52783">
      <c r="F52783" s="13"/>
      <c r="M52783" s="13"/>
    </row>
    <row r="52784">
      <c r="F52784" s="13"/>
      <c r="M52784" s="13"/>
    </row>
    <row r="52785">
      <c r="F52785" s="13"/>
      <c r="M52785" s="13"/>
    </row>
    <row r="52786">
      <c r="F52786" s="13"/>
      <c r="M52786" s="13"/>
    </row>
    <row r="52787">
      <c r="F52787" s="13"/>
      <c r="M52787" s="13"/>
    </row>
    <row r="52788">
      <c r="F52788" s="13"/>
      <c r="M52788" s="13"/>
    </row>
    <row r="52789">
      <c r="F52789" s="13"/>
      <c r="M52789" s="13"/>
    </row>
    <row r="52790">
      <c r="F52790" s="13"/>
      <c r="M52790" s="13"/>
    </row>
    <row r="52791">
      <c r="F52791" s="13"/>
      <c r="M52791" s="13"/>
    </row>
    <row r="52792">
      <c r="F52792" s="13"/>
      <c r="M52792" s="13"/>
    </row>
    <row r="52793">
      <c r="F52793" s="13"/>
      <c r="M52793" s="13"/>
    </row>
    <row r="52794">
      <c r="F52794" s="13"/>
      <c r="M52794" s="13"/>
    </row>
    <row r="52795">
      <c r="F52795" s="13"/>
      <c r="M52795" s="13"/>
    </row>
    <row r="52796">
      <c r="F52796" s="13"/>
      <c r="M52796" s="13"/>
    </row>
    <row r="52797">
      <c r="F52797" s="13"/>
      <c r="M52797" s="13"/>
    </row>
    <row r="52798">
      <c r="F52798" s="13"/>
      <c r="M52798" s="13"/>
    </row>
    <row r="52799">
      <c r="F52799" s="13"/>
      <c r="M52799" s="13"/>
    </row>
    <row r="52800">
      <c r="F52800" s="13"/>
      <c r="M52800" s="13"/>
    </row>
    <row r="52801">
      <c r="F52801" s="13"/>
      <c r="M52801" s="13"/>
    </row>
    <row r="52802">
      <c r="F52802" s="13"/>
      <c r="M52802" s="13"/>
    </row>
    <row r="52803">
      <c r="F52803" s="13"/>
      <c r="M52803" s="13"/>
    </row>
    <row r="52804">
      <c r="F52804" s="13"/>
      <c r="M52804" s="13"/>
    </row>
    <row r="52805">
      <c r="F52805" s="13"/>
      <c r="M52805" s="13"/>
    </row>
    <row r="52806">
      <c r="F52806" s="13"/>
      <c r="M52806" s="13"/>
    </row>
    <row r="52807">
      <c r="F52807" s="13"/>
      <c r="M52807" s="13"/>
    </row>
    <row r="52808">
      <c r="F52808" s="13"/>
      <c r="M52808" s="13"/>
    </row>
    <row r="52809">
      <c r="F52809" s="13"/>
      <c r="M52809" s="13"/>
    </row>
    <row r="52810">
      <c r="F52810" s="13"/>
      <c r="M52810" s="13"/>
    </row>
    <row r="52811">
      <c r="F52811" s="13"/>
      <c r="M52811" s="13"/>
    </row>
    <row r="52812">
      <c r="F52812" s="13"/>
      <c r="M52812" s="13"/>
    </row>
    <row r="52813">
      <c r="F52813" s="13"/>
      <c r="M52813" s="13"/>
    </row>
    <row r="52814">
      <c r="F52814" s="13"/>
      <c r="M52814" s="13"/>
    </row>
    <row r="52815">
      <c r="F52815" s="13"/>
      <c r="M52815" s="13"/>
    </row>
    <row r="52816">
      <c r="F52816" s="13"/>
      <c r="M52816" s="13"/>
    </row>
    <row r="52817">
      <c r="F52817" s="13"/>
      <c r="M52817" s="13"/>
    </row>
    <row r="52818">
      <c r="F52818" s="13"/>
      <c r="M52818" s="13"/>
    </row>
    <row r="52819">
      <c r="F52819" s="13"/>
      <c r="M52819" s="13"/>
    </row>
    <row r="52820">
      <c r="F52820" s="13"/>
      <c r="M52820" s="13"/>
    </row>
    <row r="52821">
      <c r="F52821" s="13"/>
      <c r="M52821" s="13"/>
    </row>
    <row r="52822">
      <c r="F52822" s="13"/>
      <c r="M52822" s="13"/>
    </row>
    <row r="52823">
      <c r="F52823" s="13"/>
      <c r="M52823" s="13"/>
    </row>
    <row r="52824">
      <c r="F52824" s="13"/>
      <c r="M52824" s="13"/>
    </row>
    <row r="52825">
      <c r="F52825" s="13"/>
      <c r="M52825" s="13"/>
    </row>
    <row r="52826">
      <c r="F52826" s="13"/>
      <c r="M52826" s="13"/>
    </row>
    <row r="52827">
      <c r="F52827" s="13"/>
      <c r="M52827" s="13"/>
    </row>
    <row r="52828">
      <c r="F52828" s="13"/>
      <c r="M52828" s="13"/>
    </row>
    <row r="52829">
      <c r="F52829" s="13"/>
      <c r="M52829" s="13"/>
    </row>
    <row r="52830">
      <c r="F52830" s="13"/>
      <c r="M52830" s="13"/>
    </row>
    <row r="52831">
      <c r="F52831" s="13"/>
      <c r="M52831" s="13"/>
    </row>
    <row r="52832">
      <c r="F52832" s="13"/>
      <c r="M52832" s="13"/>
    </row>
    <row r="52833">
      <c r="F52833" s="13"/>
      <c r="M52833" s="13"/>
    </row>
    <row r="52834">
      <c r="F52834" s="13"/>
      <c r="M52834" s="13"/>
    </row>
    <row r="52835">
      <c r="F52835" s="13"/>
      <c r="M52835" s="13"/>
    </row>
    <row r="52836">
      <c r="F52836" s="13"/>
      <c r="M52836" s="13"/>
    </row>
    <row r="52837">
      <c r="F52837" s="13"/>
      <c r="M52837" s="13"/>
    </row>
    <row r="52838">
      <c r="F52838" s="13"/>
      <c r="M52838" s="13"/>
    </row>
    <row r="52839">
      <c r="F52839" s="13"/>
      <c r="M52839" s="13"/>
    </row>
    <row r="52840">
      <c r="F52840" s="13"/>
      <c r="M52840" s="13"/>
    </row>
    <row r="52841">
      <c r="F52841" s="13"/>
      <c r="M52841" s="13"/>
    </row>
    <row r="52842">
      <c r="F52842" s="13"/>
      <c r="M52842" s="13"/>
    </row>
    <row r="52843">
      <c r="F52843" s="13"/>
      <c r="M52843" s="13"/>
    </row>
    <row r="52844">
      <c r="F52844" s="13"/>
      <c r="M52844" s="13"/>
    </row>
    <row r="52845">
      <c r="F52845" s="13"/>
      <c r="M52845" s="13"/>
    </row>
    <row r="52846">
      <c r="F52846" s="13"/>
      <c r="M52846" s="13"/>
    </row>
    <row r="52847">
      <c r="F52847" s="13"/>
      <c r="M52847" s="13"/>
    </row>
    <row r="52848">
      <c r="F52848" s="13"/>
      <c r="M52848" s="13"/>
    </row>
    <row r="52849">
      <c r="F52849" s="13"/>
      <c r="M52849" s="13"/>
    </row>
    <row r="52850">
      <c r="F52850" s="13"/>
      <c r="M52850" s="13"/>
    </row>
    <row r="52851">
      <c r="F52851" s="13"/>
      <c r="M52851" s="13"/>
    </row>
    <row r="52852">
      <c r="F52852" s="13"/>
      <c r="M52852" s="13"/>
    </row>
    <row r="52853">
      <c r="F52853" s="13"/>
      <c r="M52853" s="13"/>
    </row>
    <row r="52854">
      <c r="F52854" s="13"/>
      <c r="M52854" s="13"/>
    </row>
    <row r="52855">
      <c r="F52855" s="13"/>
      <c r="M52855" s="13"/>
    </row>
    <row r="52856">
      <c r="F52856" s="13"/>
      <c r="M52856" s="13"/>
    </row>
    <row r="52857">
      <c r="F52857" s="13"/>
      <c r="M52857" s="13"/>
    </row>
    <row r="52858">
      <c r="F52858" s="13"/>
      <c r="M52858" s="13"/>
    </row>
    <row r="52859">
      <c r="F52859" s="13"/>
      <c r="M52859" s="13"/>
    </row>
    <row r="52860">
      <c r="F52860" s="13"/>
      <c r="M52860" s="13"/>
    </row>
    <row r="52861">
      <c r="F52861" s="13"/>
      <c r="M52861" s="13"/>
    </row>
    <row r="52862">
      <c r="F52862" s="13"/>
      <c r="M52862" s="13"/>
    </row>
    <row r="52863">
      <c r="F52863" s="13"/>
      <c r="M52863" s="13"/>
    </row>
    <row r="52864">
      <c r="F52864" s="13"/>
      <c r="M52864" s="13"/>
    </row>
    <row r="52865">
      <c r="F52865" s="13"/>
      <c r="M52865" s="13"/>
    </row>
    <row r="52866">
      <c r="F52866" s="13"/>
      <c r="M52866" s="13"/>
    </row>
    <row r="52867">
      <c r="F52867" s="13"/>
      <c r="M52867" s="13"/>
    </row>
    <row r="52868">
      <c r="F52868" s="13"/>
      <c r="M52868" s="13"/>
    </row>
    <row r="52869">
      <c r="F52869" s="13"/>
      <c r="M52869" s="13"/>
    </row>
    <row r="52870">
      <c r="F52870" s="13"/>
      <c r="M52870" s="13"/>
    </row>
    <row r="52871">
      <c r="F52871" s="13"/>
      <c r="M52871" s="13"/>
    </row>
    <row r="52872">
      <c r="F52872" s="13"/>
      <c r="M52872" s="13"/>
    </row>
    <row r="52873">
      <c r="F52873" s="13"/>
      <c r="M52873" s="13"/>
    </row>
    <row r="52874">
      <c r="F52874" s="13"/>
      <c r="M52874" s="13"/>
    </row>
    <row r="52875">
      <c r="F52875" s="13"/>
      <c r="M52875" s="13"/>
    </row>
    <row r="52876">
      <c r="F52876" s="13"/>
      <c r="M52876" s="13"/>
    </row>
    <row r="52877">
      <c r="F52877" s="13"/>
      <c r="M52877" s="13"/>
    </row>
    <row r="52878">
      <c r="F52878" s="13"/>
      <c r="M52878" s="13"/>
    </row>
    <row r="52879">
      <c r="F52879" s="13"/>
      <c r="M52879" s="13"/>
    </row>
    <row r="52880">
      <c r="F52880" s="13"/>
      <c r="M52880" s="13"/>
    </row>
    <row r="52881">
      <c r="F52881" s="13"/>
      <c r="M52881" s="13"/>
    </row>
    <row r="52882">
      <c r="F52882" s="13"/>
      <c r="M52882" s="13"/>
    </row>
    <row r="52883">
      <c r="F52883" s="13"/>
      <c r="M52883" s="13"/>
    </row>
    <row r="52884">
      <c r="F52884" s="13"/>
      <c r="M52884" s="13"/>
    </row>
    <row r="52885">
      <c r="F52885" s="13"/>
      <c r="M52885" s="13"/>
    </row>
    <row r="52886">
      <c r="F52886" s="13"/>
      <c r="M52886" s="13"/>
    </row>
    <row r="52887">
      <c r="F52887" s="13"/>
      <c r="M52887" s="13"/>
    </row>
    <row r="52888">
      <c r="F52888" s="13"/>
      <c r="M52888" s="13"/>
    </row>
    <row r="52889">
      <c r="F52889" s="13"/>
      <c r="M52889" s="13"/>
    </row>
    <row r="52890">
      <c r="F52890" s="13"/>
      <c r="M52890" s="13"/>
    </row>
    <row r="52891">
      <c r="F52891" s="13"/>
      <c r="M52891" s="13"/>
    </row>
    <row r="52892">
      <c r="F52892" s="13"/>
      <c r="M52892" s="13"/>
    </row>
    <row r="52893">
      <c r="F52893" s="13"/>
      <c r="M52893" s="13"/>
    </row>
    <row r="52894">
      <c r="F52894" s="13"/>
      <c r="M52894" s="13"/>
    </row>
    <row r="52895">
      <c r="F52895" s="13"/>
      <c r="M52895" s="13"/>
    </row>
    <row r="52896">
      <c r="F52896" s="13"/>
      <c r="M52896" s="13"/>
    </row>
    <row r="52897">
      <c r="F52897" s="13"/>
      <c r="M52897" s="13"/>
    </row>
    <row r="52898">
      <c r="F52898" s="13"/>
      <c r="M52898" s="13"/>
    </row>
    <row r="52899">
      <c r="F52899" s="13"/>
      <c r="M52899" s="13"/>
    </row>
    <row r="52900">
      <c r="F52900" s="13"/>
      <c r="M52900" s="13"/>
    </row>
    <row r="52901">
      <c r="F52901" s="13"/>
      <c r="M52901" s="13"/>
    </row>
    <row r="52902">
      <c r="F52902" s="13"/>
      <c r="M52902" s="13"/>
    </row>
    <row r="52903">
      <c r="F52903" s="13"/>
      <c r="M52903" s="13"/>
    </row>
    <row r="52904">
      <c r="F52904" s="13"/>
      <c r="M52904" s="13"/>
    </row>
    <row r="52905">
      <c r="F52905" s="13"/>
      <c r="M52905" s="13"/>
    </row>
    <row r="52906">
      <c r="F52906" s="13"/>
      <c r="M52906" s="13"/>
    </row>
    <row r="52907">
      <c r="F52907" s="13"/>
      <c r="M52907" s="13"/>
    </row>
    <row r="52908">
      <c r="F52908" s="13"/>
      <c r="M52908" s="13"/>
    </row>
    <row r="52909">
      <c r="F52909" s="13"/>
      <c r="M52909" s="13"/>
    </row>
    <row r="52910">
      <c r="F52910" s="13"/>
      <c r="M52910" s="13"/>
    </row>
    <row r="52911">
      <c r="F52911" s="13"/>
      <c r="M52911" s="13"/>
    </row>
    <row r="52912">
      <c r="F52912" s="13"/>
      <c r="M52912" s="13"/>
    </row>
    <row r="52913">
      <c r="F52913" s="13"/>
      <c r="M52913" s="13"/>
    </row>
    <row r="52914">
      <c r="F52914" s="13"/>
      <c r="M52914" s="13"/>
    </row>
    <row r="52915">
      <c r="F52915" s="13"/>
      <c r="M52915" s="13"/>
    </row>
    <row r="52916">
      <c r="F52916" s="13"/>
      <c r="M52916" s="13"/>
    </row>
    <row r="52917">
      <c r="F52917" s="13"/>
      <c r="M52917" s="13"/>
    </row>
    <row r="52918">
      <c r="F52918" s="13"/>
      <c r="M52918" s="13"/>
    </row>
    <row r="52919">
      <c r="F52919" s="13"/>
      <c r="M52919" s="13"/>
    </row>
    <row r="52920">
      <c r="F52920" s="13"/>
      <c r="M52920" s="13"/>
    </row>
    <row r="52921">
      <c r="F52921" s="13"/>
      <c r="M52921" s="13"/>
    </row>
    <row r="52922">
      <c r="F52922" s="13"/>
      <c r="M52922" s="13"/>
    </row>
    <row r="52923">
      <c r="F52923" s="13"/>
      <c r="M52923" s="13"/>
    </row>
    <row r="52924">
      <c r="F52924" s="13"/>
      <c r="M52924" s="13"/>
    </row>
    <row r="52925">
      <c r="F52925" s="13"/>
      <c r="M52925" s="13"/>
    </row>
    <row r="52926">
      <c r="F52926" s="13"/>
      <c r="M52926" s="13"/>
    </row>
    <row r="52927">
      <c r="F52927" s="13"/>
      <c r="M52927" s="13"/>
    </row>
    <row r="52928">
      <c r="F52928" s="13"/>
      <c r="M52928" s="13"/>
    </row>
    <row r="52929">
      <c r="F52929" s="13"/>
      <c r="M52929" s="13"/>
    </row>
    <row r="52930">
      <c r="F52930" s="13"/>
      <c r="M52930" s="13"/>
    </row>
    <row r="52931">
      <c r="F52931" s="13"/>
      <c r="M52931" s="13"/>
    </row>
    <row r="52932">
      <c r="F52932" s="13"/>
      <c r="M52932" s="13"/>
    </row>
    <row r="52933">
      <c r="F52933" s="13"/>
      <c r="M52933" s="13"/>
    </row>
    <row r="52934">
      <c r="F52934" s="13"/>
      <c r="M52934" s="13"/>
    </row>
    <row r="52935">
      <c r="F52935" s="13"/>
      <c r="M52935" s="13"/>
    </row>
    <row r="52936">
      <c r="F52936" s="13"/>
      <c r="M52936" s="13"/>
    </row>
    <row r="52937">
      <c r="F52937" s="13"/>
      <c r="M52937" s="13"/>
    </row>
    <row r="52938">
      <c r="F52938" s="13"/>
      <c r="M52938" s="13"/>
    </row>
    <row r="52939">
      <c r="F52939" s="13"/>
      <c r="M52939" s="13"/>
    </row>
    <row r="52940">
      <c r="F52940" s="13"/>
      <c r="M52940" s="13"/>
    </row>
    <row r="52941">
      <c r="F52941" s="13"/>
      <c r="M52941" s="13"/>
    </row>
    <row r="52942">
      <c r="F52942" s="13"/>
      <c r="M52942" s="13"/>
    </row>
    <row r="52943">
      <c r="F52943" s="13"/>
      <c r="M52943" s="13"/>
    </row>
    <row r="52944">
      <c r="F52944" s="13"/>
      <c r="M52944" s="13"/>
    </row>
    <row r="52945">
      <c r="F52945" s="13"/>
      <c r="M52945" s="13"/>
    </row>
    <row r="52946">
      <c r="F52946" s="13"/>
      <c r="M52946" s="13"/>
    </row>
    <row r="52947">
      <c r="F52947" s="13"/>
      <c r="M52947" s="13"/>
    </row>
    <row r="52948">
      <c r="F52948" s="13"/>
      <c r="M52948" s="13"/>
    </row>
    <row r="52949">
      <c r="F52949" s="13"/>
      <c r="M52949" s="13"/>
    </row>
    <row r="52950">
      <c r="F52950" s="13"/>
      <c r="M52950" s="13"/>
    </row>
    <row r="52951">
      <c r="F52951" s="13"/>
      <c r="M52951" s="13"/>
    </row>
    <row r="52952">
      <c r="F52952" s="13"/>
      <c r="M52952" s="13"/>
    </row>
    <row r="52953">
      <c r="F52953" s="13"/>
      <c r="M52953" s="13"/>
    </row>
    <row r="52954">
      <c r="F52954" s="13"/>
      <c r="M52954" s="13"/>
    </row>
    <row r="52955">
      <c r="F52955" s="13"/>
      <c r="M52955" s="13"/>
    </row>
    <row r="52956">
      <c r="F52956" s="13"/>
      <c r="M52956" s="13"/>
    </row>
    <row r="52957">
      <c r="F52957" s="13"/>
      <c r="M52957" s="13"/>
    </row>
    <row r="52958">
      <c r="F52958" s="13"/>
      <c r="M52958" s="13"/>
    </row>
    <row r="52959">
      <c r="F52959" s="13"/>
      <c r="M52959" s="13"/>
    </row>
    <row r="52960">
      <c r="F52960" s="13"/>
      <c r="M52960" s="13"/>
    </row>
    <row r="52961">
      <c r="F52961" s="13"/>
      <c r="M52961" s="13"/>
    </row>
    <row r="52962">
      <c r="F52962" s="13"/>
      <c r="M52962" s="13"/>
    </row>
    <row r="52963">
      <c r="F52963" s="13"/>
      <c r="M52963" s="13"/>
    </row>
    <row r="52964">
      <c r="F52964" s="13"/>
      <c r="M52964" s="13"/>
    </row>
    <row r="52965">
      <c r="F52965" s="13"/>
      <c r="M52965" s="13"/>
    </row>
    <row r="52966">
      <c r="F52966" s="13"/>
      <c r="M52966" s="13"/>
    </row>
    <row r="52967">
      <c r="F52967" s="13"/>
      <c r="M52967" s="13"/>
    </row>
    <row r="52968">
      <c r="F52968" s="13"/>
      <c r="M52968" s="13"/>
    </row>
    <row r="52969">
      <c r="F52969" s="13"/>
      <c r="M52969" s="13"/>
    </row>
    <row r="52970">
      <c r="F52970" s="13"/>
      <c r="M52970" s="13"/>
    </row>
    <row r="52971">
      <c r="F52971" s="13"/>
      <c r="M52971" s="13"/>
    </row>
    <row r="52972">
      <c r="F52972" s="13"/>
      <c r="M52972" s="13"/>
    </row>
    <row r="52973">
      <c r="F52973" s="13"/>
      <c r="M52973" s="13"/>
    </row>
    <row r="52974">
      <c r="F52974" s="13"/>
      <c r="M52974" s="13"/>
    </row>
    <row r="52975">
      <c r="F52975" s="13"/>
      <c r="M52975" s="13"/>
    </row>
    <row r="52976">
      <c r="F52976" s="13"/>
      <c r="M52976" s="13"/>
    </row>
    <row r="52977">
      <c r="F52977" s="13"/>
      <c r="M52977" s="13"/>
    </row>
    <row r="52978">
      <c r="F52978" s="13"/>
      <c r="M52978" s="13"/>
    </row>
    <row r="52979">
      <c r="F52979" s="13"/>
      <c r="M52979" s="13"/>
    </row>
    <row r="52980">
      <c r="F52980" s="13"/>
      <c r="M52980" s="13"/>
    </row>
    <row r="52981">
      <c r="F52981" s="13"/>
      <c r="M52981" s="13"/>
    </row>
    <row r="52982">
      <c r="F52982" s="13"/>
      <c r="M52982" s="13"/>
    </row>
    <row r="52983">
      <c r="F52983" s="13"/>
      <c r="M52983" s="13"/>
    </row>
    <row r="52984">
      <c r="F52984" s="13"/>
      <c r="M52984" s="13"/>
    </row>
    <row r="52985">
      <c r="F52985" s="13"/>
      <c r="M52985" s="13"/>
    </row>
    <row r="52986">
      <c r="F52986" s="13"/>
      <c r="M52986" s="13"/>
    </row>
    <row r="52987">
      <c r="F52987" s="13"/>
      <c r="M52987" s="13"/>
    </row>
    <row r="52988">
      <c r="F52988" s="13"/>
      <c r="M52988" s="13"/>
    </row>
    <row r="52989">
      <c r="F52989" s="13"/>
      <c r="M52989" s="13"/>
    </row>
    <row r="52990">
      <c r="F52990" s="13"/>
      <c r="M52990" s="13"/>
    </row>
    <row r="52991">
      <c r="F52991" s="13"/>
      <c r="M52991" s="13"/>
    </row>
    <row r="52992">
      <c r="F52992" s="13"/>
      <c r="M52992" s="13"/>
    </row>
    <row r="52993">
      <c r="F52993" s="13"/>
      <c r="M52993" s="13"/>
    </row>
    <row r="52994">
      <c r="F52994" s="13"/>
      <c r="M52994" s="13"/>
    </row>
    <row r="52995">
      <c r="F52995" s="13"/>
      <c r="M52995" s="13"/>
    </row>
    <row r="52996">
      <c r="F52996" s="13"/>
      <c r="M52996" s="13"/>
    </row>
    <row r="52997">
      <c r="F52997" s="13"/>
      <c r="M52997" s="13"/>
    </row>
    <row r="52998">
      <c r="F52998" s="13"/>
      <c r="M52998" s="13"/>
    </row>
    <row r="52999">
      <c r="F52999" s="13"/>
      <c r="M52999" s="13"/>
    </row>
    <row r="53000">
      <c r="F53000" s="13"/>
      <c r="M53000" s="13"/>
    </row>
    <row r="53001">
      <c r="F53001" s="13"/>
      <c r="M53001" s="13"/>
    </row>
    <row r="53002">
      <c r="F53002" s="13"/>
      <c r="M53002" s="13"/>
    </row>
    <row r="53003">
      <c r="F53003" s="13"/>
      <c r="M53003" s="13"/>
    </row>
    <row r="53004">
      <c r="F53004" s="13"/>
      <c r="M53004" s="13"/>
    </row>
    <row r="53005">
      <c r="F53005" s="13"/>
      <c r="M53005" s="13"/>
    </row>
    <row r="53006">
      <c r="F53006" s="13"/>
      <c r="M53006" s="13"/>
    </row>
    <row r="53007">
      <c r="F53007" s="13"/>
      <c r="M53007" s="13"/>
    </row>
    <row r="53008">
      <c r="F53008" s="13"/>
      <c r="M53008" s="13"/>
    </row>
    <row r="53009">
      <c r="F53009" s="13"/>
      <c r="M53009" s="13"/>
    </row>
    <row r="53010">
      <c r="F53010" s="13"/>
      <c r="M53010" s="13"/>
    </row>
    <row r="53011">
      <c r="F53011" s="13"/>
      <c r="M53011" s="13"/>
    </row>
    <row r="53012">
      <c r="F53012" s="13"/>
      <c r="M53012" s="13"/>
    </row>
    <row r="53013">
      <c r="F53013" s="13"/>
      <c r="M53013" s="13"/>
    </row>
    <row r="53014">
      <c r="F53014" s="13"/>
      <c r="M53014" s="13"/>
    </row>
    <row r="53015">
      <c r="F53015" s="13"/>
      <c r="M53015" s="13"/>
    </row>
    <row r="53016">
      <c r="F53016" s="13"/>
      <c r="M53016" s="13"/>
    </row>
    <row r="53017">
      <c r="F53017" s="13"/>
      <c r="M53017" s="13"/>
    </row>
    <row r="53018">
      <c r="F53018" s="13"/>
      <c r="M53018" s="13"/>
    </row>
    <row r="53019">
      <c r="F53019" s="13"/>
      <c r="M53019" s="13"/>
    </row>
    <row r="53020">
      <c r="F53020" s="13"/>
      <c r="M53020" s="13"/>
    </row>
    <row r="53021">
      <c r="F53021" s="13"/>
      <c r="M53021" s="13"/>
    </row>
    <row r="53022">
      <c r="F53022" s="13"/>
      <c r="M53022" s="13"/>
    </row>
    <row r="53023">
      <c r="F53023" s="13"/>
      <c r="M53023" s="13"/>
    </row>
    <row r="53024">
      <c r="F53024" s="13"/>
      <c r="M53024" s="13"/>
    </row>
    <row r="53025">
      <c r="F53025" s="13"/>
      <c r="M53025" s="13"/>
    </row>
    <row r="53026">
      <c r="F53026" s="13"/>
      <c r="M53026" s="13"/>
    </row>
    <row r="53027">
      <c r="F53027" s="13"/>
      <c r="M53027" s="13"/>
    </row>
    <row r="53028">
      <c r="F53028" s="13"/>
      <c r="M53028" s="13"/>
    </row>
    <row r="53029">
      <c r="F53029" s="13"/>
      <c r="M53029" s="13"/>
    </row>
    <row r="53030">
      <c r="F53030" s="13"/>
      <c r="M53030" s="13"/>
    </row>
    <row r="53031">
      <c r="F53031" s="13"/>
      <c r="M53031" s="13"/>
    </row>
    <row r="53032">
      <c r="F53032" s="13"/>
      <c r="M53032" s="13"/>
    </row>
    <row r="53033">
      <c r="F53033" s="13"/>
      <c r="M53033" s="13"/>
    </row>
    <row r="53034">
      <c r="F53034" s="13"/>
      <c r="M53034" s="13"/>
    </row>
    <row r="53035">
      <c r="F53035" s="13"/>
      <c r="M53035" s="13"/>
    </row>
    <row r="53036">
      <c r="F53036" s="13"/>
      <c r="M53036" s="13"/>
    </row>
    <row r="53037">
      <c r="F53037" s="13"/>
      <c r="M53037" s="13"/>
    </row>
    <row r="53038">
      <c r="F53038" s="13"/>
      <c r="M53038" s="13"/>
    </row>
    <row r="53039">
      <c r="F53039" s="13"/>
      <c r="M53039" s="13"/>
    </row>
    <row r="53040">
      <c r="F53040" s="13"/>
      <c r="M53040" s="13"/>
    </row>
    <row r="53041">
      <c r="F53041" s="13"/>
      <c r="M53041" s="13"/>
    </row>
    <row r="53042">
      <c r="F53042" s="13"/>
      <c r="M53042" s="13"/>
    </row>
    <row r="53043">
      <c r="F53043" s="13"/>
      <c r="M53043" s="13"/>
    </row>
    <row r="53044">
      <c r="F53044" s="13"/>
      <c r="M53044" s="13"/>
    </row>
    <row r="53045">
      <c r="F53045" s="13"/>
      <c r="M53045" s="13"/>
    </row>
    <row r="53046">
      <c r="F53046" s="13"/>
      <c r="M53046" s="13"/>
    </row>
    <row r="53047">
      <c r="F53047" s="13"/>
      <c r="M53047" s="13"/>
    </row>
    <row r="53048">
      <c r="F53048" s="13"/>
      <c r="M53048" s="13"/>
    </row>
    <row r="53049">
      <c r="F53049" s="13"/>
      <c r="M53049" s="13"/>
    </row>
    <row r="53050">
      <c r="F53050" s="13"/>
      <c r="M53050" s="13"/>
    </row>
    <row r="53051">
      <c r="F53051" s="13"/>
      <c r="M53051" s="13"/>
    </row>
    <row r="53052">
      <c r="F53052" s="13"/>
      <c r="M53052" s="13"/>
    </row>
    <row r="53053">
      <c r="F53053" s="13"/>
      <c r="M53053" s="13"/>
    </row>
    <row r="53054">
      <c r="F53054" s="13"/>
      <c r="M53054" s="13"/>
    </row>
    <row r="53055">
      <c r="F53055" s="13"/>
      <c r="M53055" s="13"/>
    </row>
    <row r="53056">
      <c r="F53056" s="13"/>
      <c r="M53056" s="13"/>
    </row>
    <row r="53057">
      <c r="F53057" s="13"/>
      <c r="M53057" s="13"/>
    </row>
    <row r="53058">
      <c r="F53058" s="13"/>
      <c r="M53058" s="13"/>
    </row>
    <row r="53059">
      <c r="F53059" s="13"/>
      <c r="M53059" s="13"/>
    </row>
    <row r="53060">
      <c r="F53060" s="13"/>
      <c r="M53060" s="13"/>
    </row>
    <row r="53061">
      <c r="F53061" s="13"/>
      <c r="M53061" s="13"/>
    </row>
    <row r="53062">
      <c r="F53062" s="13"/>
      <c r="M53062" s="13"/>
    </row>
    <row r="53063">
      <c r="F53063" s="13"/>
      <c r="M53063" s="13"/>
    </row>
    <row r="53064">
      <c r="F53064" s="13"/>
      <c r="M53064" s="13"/>
    </row>
    <row r="53065">
      <c r="F53065" s="13"/>
      <c r="M53065" s="13"/>
    </row>
    <row r="53066">
      <c r="F53066" s="13"/>
      <c r="M53066" s="13"/>
    </row>
    <row r="53067">
      <c r="F53067" s="13"/>
      <c r="M53067" s="13"/>
    </row>
    <row r="53068">
      <c r="F53068" s="13"/>
      <c r="M53068" s="13"/>
    </row>
    <row r="53069">
      <c r="F53069" s="13"/>
      <c r="M53069" s="13"/>
    </row>
    <row r="53070">
      <c r="F53070" s="13"/>
      <c r="M53070" s="13"/>
    </row>
    <row r="53071">
      <c r="F53071" s="13"/>
      <c r="M53071" s="13"/>
    </row>
    <row r="53072">
      <c r="F53072" s="13"/>
      <c r="M53072" s="13"/>
    </row>
    <row r="53073">
      <c r="F53073" s="13"/>
      <c r="M53073" s="13"/>
    </row>
    <row r="53074">
      <c r="F53074" s="13"/>
      <c r="M53074" s="13"/>
    </row>
    <row r="53075">
      <c r="F53075" s="13"/>
      <c r="M53075" s="13"/>
    </row>
    <row r="53076">
      <c r="F53076" s="13"/>
      <c r="M53076" s="13"/>
    </row>
    <row r="53077">
      <c r="F53077" s="13"/>
      <c r="M53077" s="13"/>
    </row>
    <row r="53078">
      <c r="F53078" s="13"/>
      <c r="M53078" s="13"/>
    </row>
    <row r="53079">
      <c r="F53079" s="13"/>
      <c r="M53079" s="13"/>
    </row>
    <row r="53080">
      <c r="F53080" s="13"/>
      <c r="M53080" s="13"/>
    </row>
    <row r="53081">
      <c r="F53081" s="13"/>
      <c r="M53081" s="13"/>
    </row>
    <row r="53082">
      <c r="F53082" s="13"/>
      <c r="M53082" s="13"/>
    </row>
    <row r="53083">
      <c r="F53083" s="13"/>
      <c r="M53083" s="13"/>
    </row>
    <row r="53084">
      <c r="F53084" s="13"/>
      <c r="M53084" s="13"/>
    </row>
    <row r="53085">
      <c r="F53085" s="13"/>
      <c r="M53085" s="13"/>
    </row>
    <row r="53086">
      <c r="F53086" s="13"/>
      <c r="M53086" s="13"/>
    </row>
    <row r="53087">
      <c r="F53087" s="13"/>
      <c r="M53087" s="13"/>
    </row>
    <row r="53088">
      <c r="F53088" s="13"/>
      <c r="M53088" s="13"/>
    </row>
    <row r="53089">
      <c r="F53089" s="13"/>
      <c r="M53089" s="13"/>
    </row>
    <row r="53090">
      <c r="F53090" s="13"/>
      <c r="M53090" s="13"/>
    </row>
    <row r="53091">
      <c r="F53091" s="13"/>
      <c r="M53091" s="13"/>
    </row>
    <row r="53092">
      <c r="F53092" s="13"/>
      <c r="M53092" s="13"/>
    </row>
    <row r="53093">
      <c r="F53093" s="13"/>
      <c r="M53093" s="13"/>
    </row>
    <row r="53094">
      <c r="F53094" s="13"/>
      <c r="M53094" s="13"/>
    </row>
    <row r="53095">
      <c r="F53095" s="13"/>
      <c r="M53095" s="13"/>
    </row>
    <row r="53096">
      <c r="F53096" s="13"/>
      <c r="M53096" s="13"/>
    </row>
    <row r="53097">
      <c r="F53097" s="13"/>
      <c r="M53097" s="13"/>
    </row>
    <row r="53098">
      <c r="F53098" s="13"/>
      <c r="M53098" s="13"/>
    </row>
    <row r="53099">
      <c r="F53099" s="13"/>
      <c r="M53099" s="13"/>
    </row>
    <row r="53100">
      <c r="F53100" s="13"/>
      <c r="M53100" s="13"/>
    </row>
    <row r="53101">
      <c r="F53101" s="13"/>
      <c r="M53101" s="13"/>
    </row>
    <row r="53102">
      <c r="F53102" s="13"/>
      <c r="M53102" s="13"/>
    </row>
    <row r="53103">
      <c r="F53103" s="13"/>
      <c r="M53103" s="13"/>
    </row>
    <row r="53104">
      <c r="F53104" s="13"/>
      <c r="M53104" s="13"/>
    </row>
    <row r="53105">
      <c r="F53105" s="13"/>
      <c r="M53105" s="13"/>
    </row>
    <row r="53106">
      <c r="F53106" s="13"/>
      <c r="M53106" s="13"/>
    </row>
    <row r="53107">
      <c r="F53107" s="13"/>
      <c r="M53107" s="13"/>
    </row>
    <row r="53108">
      <c r="F53108" s="13"/>
      <c r="M53108" s="13"/>
    </row>
    <row r="53109">
      <c r="F53109" s="13"/>
      <c r="M53109" s="13"/>
    </row>
    <row r="53110">
      <c r="F53110" s="13"/>
      <c r="M53110" s="13"/>
    </row>
    <row r="53111">
      <c r="F53111" s="13"/>
      <c r="M53111" s="13"/>
    </row>
    <row r="53112">
      <c r="F53112" s="13"/>
      <c r="M53112" s="13"/>
    </row>
    <row r="53113">
      <c r="F53113" s="13"/>
      <c r="M53113" s="13"/>
    </row>
    <row r="53114">
      <c r="F53114" s="13"/>
      <c r="M53114" s="13"/>
    </row>
    <row r="53115">
      <c r="F53115" s="13"/>
      <c r="M53115" s="13"/>
    </row>
    <row r="53116">
      <c r="F53116" s="13"/>
      <c r="M53116" s="13"/>
    </row>
    <row r="53117">
      <c r="F53117" s="13"/>
      <c r="M53117" s="13"/>
    </row>
    <row r="53118">
      <c r="F53118" s="13"/>
      <c r="M53118" s="13"/>
    </row>
    <row r="53119">
      <c r="F53119" s="13"/>
      <c r="M53119" s="13"/>
    </row>
    <row r="53120">
      <c r="F53120" s="13"/>
      <c r="M53120" s="13"/>
    </row>
    <row r="53121">
      <c r="F53121" s="13"/>
      <c r="M53121" s="13"/>
    </row>
    <row r="53122">
      <c r="F53122" s="13"/>
      <c r="M53122" s="13"/>
    </row>
    <row r="53123">
      <c r="F53123" s="13"/>
      <c r="M53123" s="13"/>
    </row>
    <row r="53124">
      <c r="F53124" s="13"/>
      <c r="M53124" s="13"/>
    </row>
    <row r="53125">
      <c r="F53125" s="13"/>
      <c r="M53125" s="13"/>
    </row>
    <row r="53126">
      <c r="F53126" s="13"/>
      <c r="M53126" s="13"/>
    </row>
    <row r="53127">
      <c r="F53127" s="13"/>
      <c r="M53127" s="13"/>
    </row>
    <row r="53128">
      <c r="F53128" s="13"/>
      <c r="M53128" s="13"/>
    </row>
    <row r="53129">
      <c r="F53129" s="13"/>
      <c r="M53129" s="13"/>
    </row>
    <row r="53130">
      <c r="F53130" s="13"/>
      <c r="M53130" s="13"/>
    </row>
    <row r="53131">
      <c r="F53131" s="13"/>
      <c r="M53131" s="13"/>
    </row>
    <row r="53132">
      <c r="F53132" s="13"/>
      <c r="M53132" s="13"/>
    </row>
    <row r="53133">
      <c r="F53133" s="13"/>
      <c r="M53133" s="13"/>
    </row>
    <row r="53134">
      <c r="F53134" s="13"/>
      <c r="M53134" s="13"/>
    </row>
    <row r="53135">
      <c r="F53135" s="13"/>
      <c r="M53135" s="13"/>
    </row>
    <row r="53136">
      <c r="F53136" s="13"/>
      <c r="M53136" s="13"/>
    </row>
    <row r="53137">
      <c r="F53137" s="13"/>
      <c r="M53137" s="13"/>
    </row>
    <row r="53138">
      <c r="F53138" s="13"/>
      <c r="M53138" s="13"/>
    </row>
    <row r="53139">
      <c r="F53139" s="13"/>
      <c r="M53139" s="13"/>
    </row>
    <row r="53140">
      <c r="F53140" s="13"/>
      <c r="M53140" s="13"/>
    </row>
    <row r="53141">
      <c r="F53141" s="13"/>
      <c r="M53141" s="13"/>
    </row>
    <row r="53142">
      <c r="F53142" s="13"/>
      <c r="M53142" s="13"/>
    </row>
    <row r="53143">
      <c r="F53143" s="13"/>
      <c r="M53143" s="13"/>
    </row>
    <row r="53144">
      <c r="F53144" s="13"/>
      <c r="M53144" s="13"/>
    </row>
    <row r="53145">
      <c r="F53145" s="13"/>
      <c r="M53145" s="13"/>
    </row>
    <row r="53146">
      <c r="F53146" s="13"/>
      <c r="M53146" s="13"/>
    </row>
    <row r="53147">
      <c r="F53147" s="13"/>
      <c r="M53147" s="13"/>
    </row>
    <row r="53148">
      <c r="F53148" s="13"/>
      <c r="M53148" s="13"/>
    </row>
    <row r="53149">
      <c r="F53149" s="13"/>
      <c r="M53149" s="13"/>
    </row>
    <row r="53150">
      <c r="F53150" s="13"/>
      <c r="M53150" s="13"/>
    </row>
    <row r="53151">
      <c r="F53151" s="13"/>
      <c r="M53151" s="13"/>
    </row>
    <row r="53152">
      <c r="F53152" s="13"/>
      <c r="M53152" s="13"/>
    </row>
    <row r="53153">
      <c r="F53153" s="13"/>
      <c r="M53153" s="13"/>
    </row>
    <row r="53154">
      <c r="F53154" s="13"/>
      <c r="M53154" s="13"/>
    </row>
    <row r="53155">
      <c r="F53155" s="13"/>
      <c r="M53155" s="13"/>
    </row>
    <row r="53156">
      <c r="F53156" s="13"/>
      <c r="M53156" s="13"/>
    </row>
    <row r="53157">
      <c r="F53157" s="13"/>
      <c r="M53157" s="13"/>
    </row>
    <row r="53158">
      <c r="F53158" s="13"/>
      <c r="M53158" s="13"/>
    </row>
    <row r="53159">
      <c r="F53159" s="13"/>
      <c r="M53159" s="13"/>
    </row>
    <row r="53160">
      <c r="F53160" s="13"/>
      <c r="M53160" s="13"/>
    </row>
    <row r="53161">
      <c r="F53161" s="13"/>
      <c r="M53161" s="13"/>
    </row>
    <row r="53162">
      <c r="F53162" s="13"/>
      <c r="M53162" s="13"/>
    </row>
    <row r="53163">
      <c r="F53163" s="13"/>
      <c r="M53163" s="13"/>
    </row>
    <row r="53164">
      <c r="F53164" s="13"/>
      <c r="M53164" s="13"/>
    </row>
    <row r="53165">
      <c r="F53165" s="13"/>
      <c r="M53165" s="13"/>
    </row>
    <row r="53166">
      <c r="F53166" s="13"/>
      <c r="M53166" s="13"/>
    </row>
    <row r="53167">
      <c r="F53167" s="13"/>
      <c r="M53167" s="13"/>
    </row>
    <row r="53168">
      <c r="F53168" s="13"/>
      <c r="M53168" s="13"/>
    </row>
    <row r="53169">
      <c r="F53169" s="13"/>
      <c r="M53169" s="13"/>
    </row>
    <row r="53170">
      <c r="F53170" s="13"/>
      <c r="M53170" s="13"/>
    </row>
    <row r="53171">
      <c r="F53171" s="13"/>
      <c r="M53171" s="13"/>
    </row>
    <row r="53172">
      <c r="F53172" s="13"/>
      <c r="M53172" s="13"/>
    </row>
    <row r="53173">
      <c r="F53173" s="13"/>
      <c r="M53173" s="13"/>
    </row>
    <row r="53174">
      <c r="F53174" s="13"/>
      <c r="M53174" s="13"/>
    </row>
    <row r="53175">
      <c r="F53175" s="13"/>
      <c r="M53175" s="13"/>
    </row>
    <row r="53176">
      <c r="F53176" s="13"/>
      <c r="M53176" s="13"/>
    </row>
    <row r="53177">
      <c r="F53177" s="13"/>
      <c r="M53177" s="13"/>
    </row>
    <row r="53178">
      <c r="F53178" s="13"/>
      <c r="M53178" s="13"/>
    </row>
    <row r="53179">
      <c r="F53179" s="13"/>
      <c r="M53179" s="13"/>
    </row>
    <row r="53180">
      <c r="F53180" s="13"/>
      <c r="M53180" s="13"/>
    </row>
    <row r="53181">
      <c r="F53181" s="13"/>
      <c r="M53181" s="13"/>
    </row>
    <row r="53182">
      <c r="F53182" s="13"/>
      <c r="M53182" s="13"/>
    </row>
    <row r="53183">
      <c r="F53183" s="13"/>
      <c r="M53183" s="13"/>
    </row>
    <row r="53184">
      <c r="F53184" s="13"/>
      <c r="M53184" s="13"/>
    </row>
    <row r="53185">
      <c r="F53185" s="13"/>
      <c r="M53185" s="13"/>
    </row>
    <row r="53186">
      <c r="F53186" s="13"/>
      <c r="M53186" s="13"/>
    </row>
    <row r="53187">
      <c r="F53187" s="13"/>
      <c r="M53187" s="13"/>
    </row>
    <row r="53188">
      <c r="F53188" s="13"/>
      <c r="M53188" s="13"/>
    </row>
    <row r="53189">
      <c r="F53189" s="13"/>
      <c r="M53189" s="13"/>
    </row>
    <row r="53190">
      <c r="F53190" s="13"/>
      <c r="M53190" s="13"/>
    </row>
    <row r="53191">
      <c r="F53191" s="13"/>
      <c r="M53191" s="13"/>
    </row>
    <row r="53192">
      <c r="F53192" s="13"/>
      <c r="M53192" s="13"/>
    </row>
    <row r="53193">
      <c r="F53193" s="13"/>
      <c r="M53193" s="13"/>
    </row>
    <row r="53194">
      <c r="F53194" s="13"/>
      <c r="M53194" s="13"/>
    </row>
    <row r="53195">
      <c r="F53195" s="13"/>
      <c r="M53195" s="13"/>
    </row>
    <row r="53196">
      <c r="F53196" s="13"/>
      <c r="M53196" s="13"/>
    </row>
    <row r="53197">
      <c r="F53197" s="13"/>
      <c r="M53197" s="13"/>
    </row>
    <row r="53198">
      <c r="F53198" s="13"/>
      <c r="M53198" s="13"/>
    </row>
    <row r="53199">
      <c r="F53199" s="13"/>
      <c r="M53199" s="13"/>
    </row>
    <row r="53200">
      <c r="F53200" s="13"/>
      <c r="M53200" s="13"/>
    </row>
    <row r="53201">
      <c r="F53201" s="13"/>
      <c r="M53201" s="13"/>
    </row>
    <row r="53202">
      <c r="F53202" s="13"/>
      <c r="M53202" s="13"/>
    </row>
    <row r="53203">
      <c r="F53203" s="13"/>
      <c r="M53203" s="13"/>
    </row>
    <row r="53204">
      <c r="F53204" s="13"/>
      <c r="M53204" s="13"/>
    </row>
    <row r="53205">
      <c r="F53205" s="13"/>
      <c r="M53205" s="13"/>
    </row>
    <row r="53206">
      <c r="F53206" s="13"/>
      <c r="M53206" s="13"/>
    </row>
    <row r="53207">
      <c r="F53207" s="13"/>
      <c r="M53207" s="13"/>
    </row>
    <row r="53208">
      <c r="F53208" s="13"/>
      <c r="M53208" s="13"/>
    </row>
    <row r="53209">
      <c r="F53209" s="13"/>
      <c r="M53209" s="13"/>
    </row>
    <row r="53210">
      <c r="F53210" s="13"/>
      <c r="M53210" s="13"/>
    </row>
    <row r="53211">
      <c r="F53211" s="13"/>
      <c r="M53211" s="13"/>
    </row>
    <row r="53212">
      <c r="F53212" s="13"/>
      <c r="M53212" s="13"/>
    </row>
    <row r="53213">
      <c r="F53213" s="13"/>
      <c r="M53213" s="13"/>
    </row>
    <row r="53214">
      <c r="F53214" s="13"/>
      <c r="M53214" s="13"/>
    </row>
    <row r="53215">
      <c r="F53215" s="13"/>
      <c r="M53215" s="13"/>
    </row>
    <row r="53216">
      <c r="F53216" s="13"/>
      <c r="M53216" s="13"/>
    </row>
    <row r="53217">
      <c r="F53217" s="13"/>
      <c r="M53217" s="13"/>
    </row>
    <row r="53218">
      <c r="F53218" s="13"/>
      <c r="M53218" s="13"/>
    </row>
    <row r="53219">
      <c r="F53219" s="13"/>
      <c r="M53219" s="13"/>
    </row>
    <row r="53220">
      <c r="F53220" s="13"/>
      <c r="M53220" s="13"/>
    </row>
    <row r="53221">
      <c r="F53221" s="13"/>
      <c r="M53221" s="13"/>
    </row>
    <row r="53222">
      <c r="F53222" s="13"/>
      <c r="M53222" s="13"/>
    </row>
    <row r="53223">
      <c r="F53223" s="13"/>
      <c r="M53223" s="13"/>
    </row>
    <row r="53224">
      <c r="F53224" s="13"/>
      <c r="M53224" s="13"/>
    </row>
    <row r="53225">
      <c r="F53225" s="13"/>
      <c r="M53225" s="13"/>
    </row>
    <row r="53226">
      <c r="F53226" s="13"/>
      <c r="M53226" s="13"/>
    </row>
    <row r="53227">
      <c r="F53227" s="13"/>
      <c r="M53227" s="13"/>
    </row>
    <row r="53228">
      <c r="F53228" s="13"/>
      <c r="M53228" s="13"/>
    </row>
    <row r="53229">
      <c r="F53229" s="13"/>
      <c r="M53229" s="13"/>
    </row>
    <row r="53230">
      <c r="F53230" s="13"/>
      <c r="M53230" s="13"/>
    </row>
    <row r="53231">
      <c r="F53231" s="13"/>
      <c r="M53231" s="13"/>
    </row>
    <row r="53232">
      <c r="F53232" s="13"/>
      <c r="M53232" s="13"/>
    </row>
    <row r="53233">
      <c r="F53233" s="13"/>
      <c r="M53233" s="13"/>
    </row>
    <row r="53234">
      <c r="F53234" s="13"/>
      <c r="M53234" s="13"/>
    </row>
    <row r="53235">
      <c r="F53235" s="13"/>
      <c r="M53235" s="13"/>
    </row>
    <row r="53236">
      <c r="F53236" s="13"/>
      <c r="M53236" s="13"/>
    </row>
    <row r="53237">
      <c r="F53237" s="13"/>
      <c r="M53237" s="13"/>
    </row>
    <row r="53238">
      <c r="F53238" s="13"/>
      <c r="M53238" s="13"/>
    </row>
    <row r="53239">
      <c r="F53239" s="13"/>
      <c r="M53239" s="13"/>
    </row>
    <row r="53240">
      <c r="F53240" s="13"/>
      <c r="M53240" s="13"/>
    </row>
    <row r="53241">
      <c r="F53241" s="13"/>
      <c r="M53241" s="13"/>
    </row>
    <row r="53242">
      <c r="F53242" s="13"/>
      <c r="M53242" s="13"/>
    </row>
    <row r="53243">
      <c r="F53243" s="13"/>
      <c r="M53243" s="13"/>
    </row>
    <row r="53244">
      <c r="F53244" s="13"/>
      <c r="M53244" s="13"/>
    </row>
    <row r="53245">
      <c r="F53245" s="13"/>
      <c r="M53245" s="13"/>
    </row>
    <row r="53246">
      <c r="F53246" s="13"/>
      <c r="M53246" s="13"/>
    </row>
    <row r="53247">
      <c r="F53247" s="13"/>
      <c r="M53247" s="13"/>
    </row>
    <row r="53248">
      <c r="F53248" s="13"/>
      <c r="M53248" s="13"/>
    </row>
    <row r="53249">
      <c r="F53249" s="13"/>
      <c r="M53249" s="13"/>
    </row>
    <row r="53250">
      <c r="F53250" s="13"/>
      <c r="M53250" s="13"/>
    </row>
    <row r="53251">
      <c r="F53251" s="13"/>
      <c r="M53251" s="13"/>
    </row>
    <row r="53252">
      <c r="F53252" s="13"/>
      <c r="M53252" s="13"/>
    </row>
    <row r="53253">
      <c r="F53253" s="13"/>
      <c r="M53253" s="13"/>
    </row>
    <row r="53254">
      <c r="F53254" s="13"/>
      <c r="M53254" s="13"/>
    </row>
    <row r="53255">
      <c r="F53255" s="13"/>
      <c r="M53255" s="13"/>
    </row>
    <row r="53256">
      <c r="F53256" s="13"/>
      <c r="M53256" s="13"/>
    </row>
    <row r="53257">
      <c r="F53257" s="13"/>
      <c r="M53257" s="13"/>
    </row>
    <row r="53258">
      <c r="F53258" s="13"/>
      <c r="M53258" s="13"/>
    </row>
    <row r="53259">
      <c r="F53259" s="13"/>
      <c r="M53259" s="13"/>
    </row>
    <row r="53260">
      <c r="F53260" s="13"/>
      <c r="M53260" s="13"/>
    </row>
    <row r="53261">
      <c r="F53261" s="13"/>
      <c r="M53261" s="13"/>
    </row>
    <row r="53262">
      <c r="F53262" s="13"/>
      <c r="M53262" s="13"/>
    </row>
    <row r="53263">
      <c r="F53263" s="13"/>
      <c r="M53263" s="13"/>
    </row>
    <row r="53264">
      <c r="F53264" s="13"/>
      <c r="M53264" s="13"/>
    </row>
    <row r="53265">
      <c r="F53265" s="13"/>
      <c r="M53265" s="13"/>
    </row>
    <row r="53266">
      <c r="F53266" s="13"/>
      <c r="M53266" s="13"/>
    </row>
    <row r="53267">
      <c r="F53267" s="13"/>
      <c r="M53267" s="13"/>
    </row>
    <row r="53268">
      <c r="F53268" s="13"/>
      <c r="M53268" s="13"/>
    </row>
    <row r="53269">
      <c r="F53269" s="13"/>
      <c r="M53269" s="13"/>
    </row>
    <row r="53270">
      <c r="F53270" s="13"/>
      <c r="M53270" s="13"/>
    </row>
    <row r="53271">
      <c r="F53271" s="13"/>
      <c r="M53271" s="13"/>
    </row>
    <row r="53272">
      <c r="F53272" s="13"/>
      <c r="M53272" s="13"/>
    </row>
    <row r="53273">
      <c r="F53273" s="13"/>
      <c r="M53273" s="13"/>
    </row>
    <row r="53274">
      <c r="F53274" s="13"/>
      <c r="M53274" s="13"/>
    </row>
    <row r="53275">
      <c r="F53275" s="13"/>
      <c r="M53275" s="13"/>
    </row>
    <row r="53276">
      <c r="F53276" s="13"/>
      <c r="M53276" s="13"/>
    </row>
    <row r="53277">
      <c r="F53277" s="13"/>
      <c r="M53277" s="13"/>
    </row>
    <row r="53278">
      <c r="F53278" s="13"/>
      <c r="M53278" s="13"/>
    </row>
    <row r="53279">
      <c r="F53279" s="13"/>
      <c r="M53279" s="13"/>
    </row>
    <row r="53280">
      <c r="F53280" s="13"/>
      <c r="M53280" s="13"/>
    </row>
    <row r="53281">
      <c r="F53281" s="13"/>
      <c r="M53281" s="13"/>
    </row>
    <row r="53282">
      <c r="F53282" s="13"/>
      <c r="M53282" s="13"/>
    </row>
    <row r="53283">
      <c r="F53283" s="13"/>
      <c r="M53283" s="13"/>
    </row>
    <row r="53284">
      <c r="F53284" s="13"/>
      <c r="M53284" s="13"/>
    </row>
    <row r="53285">
      <c r="F53285" s="13"/>
      <c r="M53285" s="13"/>
    </row>
    <row r="53286">
      <c r="F53286" s="13"/>
      <c r="M53286" s="13"/>
    </row>
    <row r="53287">
      <c r="F53287" s="13"/>
      <c r="M53287" s="13"/>
    </row>
    <row r="53288">
      <c r="F53288" s="13"/>
      <c r="M53288" s="13"/>
    </row>
    <row r="53289">
      <c r="F53289" s="13"/>
      <c r="M53289" s="13"/>
    </row>
    <row r="53290">
      <c r="F53290" s="13"/>
      <c r="M53290" s="13"/>
    </row>
    <row r="53291">
      <c r="F53291" s="13"/>
      <c r="M53291" s="13"/>
    </row>
    <row r="53292">
      <c r="F53292" s="13"/>
      <c r="M53292" s="13"/>
    </row>
    <row r="53293">
      <c r="F53293" s="13"/>
      <c r="M53293" s="13"/>
    </row>
    <row r="53294">
      <c r="F53294" s="13"/>
      <c r="M53294" s="13"/>
    </row>
    <row r="53295">
      <c r="F53295" s="13"/>
      <c r="M53295" s="13"/>
    </row>
    <row r="53296">
      <c r="F53296" s="13"/>
      <c r="M53296" s="13"/>
    </row>
    <row r="53297">
      <c r="F53297" s="13"/>
      <c r="M53297" s="13"/>
    </row>
    <row r="53298">
      <c r="F53298" s="13"/>
      <c r="M53298" s="13"/>
    </row>
    <row r="53299">
      <c r="F53299" s="13"/>
      <c r="M53299" s="13"/>
    </row>
    <row r="53300">
      <c r="F53300" s="13"/>
      <c r="M53300" s="13"/>
    </row>
    <row r="53301">
      <c r="F53301" s="13"/>
      <c r="M53301" s="13"/>
    </row>
    <row r="53302">
      <c r="F53302" s="13"/>
      <c r="M53302" s="13"/>
    </row>
    <row r="53303">
      <c r="F53303" s="13"/>
      <c r="M53303" s="13"/>
    </row>
    <row r="53304">
      <c r="F53304" s="13"/>
      <c r="M53304" s="13"/>
    </row>
    <row r="53305">
      <c r="F53305" s="13"/>
      <c r="M53305" s="13"/>
    </row>
    <row r="53306">
      <c r="F53306" s="13"/>
      <c r="M53306" s="13"/>
    </row>
    <row r="53307">
      <c r="F53307" s="13"/>
      <c r="M53307" s="13"/>
    </row>
    <row r="53308">
      <c r="F53308" s="13"/>
      <c r="M53308" s="13"/>
    </row>
    <row r="53309">
      <c r="F53309" s="13"/>
      <c r="M53309" s="13"/>
    </row>
    <row r="53310">
      <c r="F53310" s="13"/>
      <c r="M53310" s="13"/>
    </row>
    <row r="53311">
      <c r="F53311" s="13"/>
      <c r="M53311" s="13"/>
    </row>
    <row r="53312">
      <c r="F53312" s="13"/>
      <c r="M53312" s="13"/>
    </row>
    <row r="53313">
      <c r="F53313" s="13"/>
      <c r="M53313" s="13"/>
    </row>
    <row r="53314">
      <c r="F53314" s="13"/>
      <c r="M53314" s="13"/>
    </row>
    <row r="53315">
      <c r="F53315" s="13"/>
      <c r="M53315" s="13"/>
    </row>
    <row r="53316">
      <c r="F53316" s="13"/>
      <c r="M53316" s="13"/>
    </row>
    <row r="53317">
      <c r="F53317" s="13"/>
      <c r="M53317" s="13"/>
    </row>
    <row r="53318">
      <c r="F53318" s="13"/>
      <c r="M53318" s="13"/>
    </row>
    <row r="53319">
      <c r="F53319" s="13"/>
      <c r="M53319" s="13"/>
    </row>
    <row r="53320">
      <c r="F53320" s="13"/>
      <c r="M53320" s="13"/>
    </row>
    <row r="53321">
      <c r="F53321" s="13"/>
      <c r="M53321" s="13"/>
    </row>
    <row r="53322">
      <c r="F53322" s="13"/>
      <c r="M53322" s="13"/>
    </row>
    <row r="53323">
      <c r="F53323" s="13"/>
      <c r="M53323" s="13"/>
    </row>
    <row r="53324">
      <c r="F53324" s="13"/>
      <c r="M53324" s="13"/>
    </row>
    <row r="53325">
      <c r="F53325" s="13"/>
      <c r="M53325" s="13"/>
    </row>
    <row r="53326">
      <c r="F53326" s="13"/>
      <c r="M53326" s="13"/>
    </row>
    <row r="53327">
      <c r="F53327" s="13"/>
      <c r="M53327" s="13"/>
    </row>
    <row r="53328">
      <c r="F53328" s="13"/>
      <c r="M53328" s="13"/>
    </row>
    <row r="53329">
      <c r="F53329" s="13"/>
      <c r="M53329" s="13"/>
    </row>
    <row r="53330">
      <c r="F53330" s="13"/>
      <c r="M53330" s="13"/>
    </row>
    <row r="53331">
      <c r="F53331" s="13"/>
      <c r="M53331" s="13"/>
    </row>
    <row r="53332">
      <c r="F53332" s="13"/>
      <c r="M53332" s="13"/>
    </row>
    <row r="53333">
      <c r="F53333" s="13"/>
      <c r="M53333" s="13"/>
    </row>
    <row r="53334">
      <c r="F53334" s="13"/>
      <c r="M53334" s="13"/>
    </row>
    <row r="53335">
      <c r="F53335" s="13"/>
      <c r="M53335" s="13"/>
    </row>
    <row r="53336">
      <c r="F53336" s="13"/>
      <c r="M53336" s="13"/>
    </row>
    <row r="53337">
      <c r="F53337" s="13"/>
      <c r="M53337" s="13"/>
    </row>
    <row r="53338">
      <c r="F53338" s="13"/>
      <c r="M53338" s="13"/>
    </row>
    <row r="53339">
      <c r="F53339" s="13"/>
      <c r="M53339" s="13"/>
    </row>
    <row r="53340">
      <c r="F53340" s="13"/>
      <c r="M53340" s="13"/>
    </row>
    <row r="53341">
      <c r="F53341" s="13"/>
      <c r="M53341" s="13"/>
    </row>
    <row r="53342">
      <c r="F53342" s="13"/>
      <c r="M53342" s="13"/>
    </row>
    <row r="53343">
      <c r="F53343" s="13"/>
      <c r="M53343" s="13"/>
    </row>
    <row r="53344">
      <c r="F53344" s="13"/>
      <c r="M53344" s="13"/>
    </row>
    <row r="53345">
      <c r="F53345" s="13"/>
      <c r="M53345" s="13"/>
    </row>
    <row r="53346">
      <c r="F53346" s="13"/>
      <c r="M53346" s="13"/>
    </row>
    <row r="53347">
      <c r="F53347" s="13"/>
      <c r="M53347" s="13"/>
    </row>
    <row r="53348">
      <c r="F53348" s="13"/>
      <c r="M53348" s="13"/>
    </row>
    <row r="53349">
      <c r="F53349" s="13"/>
      <c r="M53349" s="13"/>
    </row>
    <row r="53350">
      <c r="F53350" s="13"/>
      <c r="M53350" s="13"/>
    </row>
    <row r="53351">
      <c r="F53351" s="13"/>
      <c r="M53351" s="13"/>
    </row>
    <row r="53352">
      <c r="F53352" s="13"/>
      <c r="M53352" s="13"/>
    </row>
    <row r="53353">
      <c r="F53353" s="13"/>
      <c r="M53353" s="13"/>
    </row>
    <row r="53354">
      <c r="F53354" s="13"/>
      <c r="M53354" s="13"/>
    </row>
    <row r="53355">
      <c r="F53355" s="13"/>
      <c r="M53355" s="13"/>
    </row>
    <row r="53356">
      <c r="F53356" s="13"/>
      <c r="M53356" s="13"/>
    </row>
    <row r="53357">
      <c r="F53357" s="13"/>
      <c r="M53357" s="13"/>
    </row>
    <row r="53358">
      <c r="F53358" s="13"/>
      <c r="M53358" s="13"/>
    </row>
    <row r="53359">
      <c r="F53359" s="13"/>
      <c r="M53359" s="13"/>
    </row>
    <row r="53360">
      <c r="F53360" s="13"/>
      <c r="M53360" s="13"/>
    </row>
    <row r="53361">
      <c r="F53361" s="13"/>
      <c r="M53361" s="13"/>
    </row>
    <row r="53362">
      <c r="F53362" s="13"/>
      <c r="M53362" s="13"/>
    </row>
    <row r="53363">
      <c r="F53363" s="13"/>
      <c r="M53363" s="13"/>
    </row>
    <row r="53364">
      <c r="F53364" s="13"/>
      <c r="M53364" s="13"/>
    </row>
    <row r="53365">
      <c r="F53365" s="13"/>
      <c r="M53365" s="13"/>
    </row>
    <row r="53366">
      <c r="F53366" s="13"/>
      <c r="M53366" s="13"/>
    </row>
    <row r="53367">
      <c r="F53367" s="13"/>
      <c r="M53367" s="13"/>
    </row>
    <row r="53368">
      <c r="F53368" s="13"/>
      <c r="M53368" s="13"/>
    </row>
    <row r="53369">
      <c r="F53369" s="13"/>
      <c r="M53369" s="13"/>
    </row>
    <row r="53370">
      <c r="F53370" s="13"/>
      <c r="M53370" s="13"/>
    </row>
    <row r="53371">
      <c r="F53371" s="13"/>
      <c r="M53371" s="13"/>
    </row>
    <row r="53372">
      <c r="F53372" s="13"/>
      <c r="M53372" s="13"/>
    </row>
    <row r="53373">
      <c r="F53373" s="13"/>
      <c r="M53373" s="13"/>
    </row>
    <row r="53374">
      <c r="F53374" s="13"/>
      <c r="M53374" s="13"/>
    </row>
    <row r="53375">
      <c r="F53375" s="13"/>
      <c r="M53375" s="13"/>
    </row>
    <row r="53376">
      <c r="F53376" s="13"/>
      <c r="M53376" s="13"/>
    </row>
    <row r="53377">
      <c r="F53377" s="13"/>
      <c r="M53377" s="13"/>
    </row>
    <row r="53378">
      <c r="F53378" s="13"/>
      <c r="M53378" s="13"/>
    </row>
    <row r="53379">
      <c r="F53379" s="13"/>
      <c r="M53379" s="13"/>
    </row>
    <row r="53380">
      <c r="F53380" s="13"/>
      <c r="M53380" s="13"/>
    </row>
    <row r="53381">
      <c r="F53381" s="13"/>
      <c r="M53381" s="13"/>
    </row>
    <row r="53382">
      <c r="F53382" s="13"/>
      <c r="M53382" s="13"/>
    </row>
    <row r="53383">
      <c r="F53383" s="13"/>
      <c r="M53383" s="13"/>
    </row>
    <row r="53384">
      <c r="F53384" s="13"/>
      <c r="M53384" s="13"/>
    </row>
    <row r="53385">
      <c r="F53385" s="13"/>
      <c r="M53385" s="13"/>
    </row>
    <row r="53386">
      <c r="F53386" s="13"/>
      <c r="M53386" s="13"/>
    </row>
    <row r="53387">
      <c r="F53387" s="13"/>
      <c r="M53387" s="13"/>
    </row>
    <row r="53388">
      <c r="F53388" s="13"/>
      <c r="M53388" s="13"/>
    </row>
    <row r="53389">
      <c r="F53389" s="13"/>
      <c r="M53389" s="13"/>
    </row>
    <row r="53390">
      <c r="F53390" s="13"/>
      <c r="M53390" s="13"/>
    </row>
    <row r="53391">
      <c r="F53391" s="13"/>
      <c r="M53391" s="13"/>
    </row>
    <row r="53392">
      <c r="F53392" s="13"/>
      <c r="M53392" s="13"/>
    </row>
    <row r="53393">
      <c r="F53393" s="13"/>
      <c r="M53393" s="13"/>
    </row>
    <row r="53394">
      <c r="F53394" s="13"/>
      <c r="M53394" s="13"/>
    </row>
    <row r="53395">
      <c r="F53395" s="13"/>
      <c r="M53395" s="13"/>
    </row>
    <row r="53396">
      <c r="F53396" s="13"/>
      <c r="M53396" s="13"/>
    </row>
    <row r="53397">
      <c r="F53397" s="13"/>
      <c r="M53397" s="13"/>
    </row>
    <row r="53398">
      <c r="F53398" s="13"/>
      <c r="M53398" s="13"/>
    </row>
    <row r="53399">
      <c r="F53399" s="13"/>
      <c r="M53399" s="13"/>
    </row>
    <row r="53400">
      <c r="F53400" s="13"/>
      <c r="M53400" s="13"/>
    </row>
    <row r="53401">
      <c r="F53401" s="13"/>
      <c r="M53401" s="13"/>
    </row>
    <row r="53402">
      <c r="F53402" s="13"/>
      <c r="M53402" s="13"/>
    </row>
    <row r="53403">
      <c r="F53403" s="13"/>
      <c r="M53403" s="13"/>
    </row>
    <row r="53404">
      <c r="F53404" s="13"/>
      <c r="M53404" s="13"/>
    </row>
    <row r="53405">
      <c r="F53405" s="13"/>
      <c r="M53405" s="13"/>
    </row>
    <row r="53406">
      <c r="F53406" s="13"/>
      <c r="M53406" s="13"/>
    </row>
    <row r="53407">
      <c r="F53407" s="13"/>
      <c r="M53407" s="13"/>
    </row>
    <row r="53408">
      <c r="F53408" s="13"/>
      <c r="M53408" s="13"/>
    </row>
    <row r="53409">
      <c r="F53409" s="13"/>
      <c r="M53409" s="13"/>
    </row>
    <row r="53410">
      <c r="F53410" s="13"/>
      <c r="M53410" s="13"/>
    </row>
    <row r="53411">
      <c r="F53411" s="13"/>
      <c r="M53411" s="13"/>
    </row>
    <row r="53412">
      <c r="F53412" s="13"/>
      <c r="M53412" s="13"/>
    </row>
    <row r="53413">
      <c r="F53413" s="13"/>
      <c r="M53413" s="13"/>
    </row>
    <row r="53414">
      <c r="F53414" s="13"/>
      <c r="M53414" s="13"/>
    </row>
    <row r="53415">
      <c r="F53415" s="13"/>
      <c r="M53415" s="13"/>
    </row>
    <row r="53416">
      <c r="F53416" s="13"/>
      <c r="M53416" s="13"/>
    </row>
    <row r="53417">
      <c r="F53417" s="13"/>
      <c r="M53417" s="13"/>
    </row>
    <row r="53418">
      <c r="F53418" s="13"/>
      <c r="M53418" s="13"/>
    </row>
    <row r="53419">
      <c r="F53419" s="13"/>
      <c r="M53419" s="13"/>
    </row>
    <row r="53420">
      <c r="F53420" s="13"/>
      <c r="M53420" s="13"/>
    </row>
    <row r="53421">
      <c r="F53421" s="13"/>
      <c r="M53421" s="13"/>
    </row>
    <row r="53422">
      <c r="F53422" s="13"/>
      <c r="M53422" s="13"/>
    </row>
    <row r="53423">
      <c r="F53423" s="13"/>
      <c r="M53423" s="13"/>
    </row>
    <row r="53424">
      <c r="F53424" s="13"/>
      <c r="M53424" s="13"/>
    </row>
    <row r="53425">
      <c r="F53425" s="13"/>
      <c r="M53425" s="13"/>
    </row>
    <row r="53426">
      <c r="F53426" s="13"/>
      <c r="M53426" s="13"/>
    </row>
    <row r="53427">
      <c r="F53427" s="13"/>
      <c r="M53427" s="13"/>
    </row>
    <row r="53428">
      <c r="F53428" s="13"/>
      <c r="M53428" s="13"/>
    </row>
    <row r="53429">
      <c r="F53429" s="13"/>
      <c r="M53429" s="13"/>
    </row>
    <row r="53430">
      <c r="F53430" s="13"/>
      <c r="M53430" s="13"/>
    </row>
    <row r="53431">
      <c r="F53431" s="13"/>
      <c r="M53431" s="13"/>
    </row>
    <row r="53432">
      <c r="F53432" s="13"/>
      <c r="M53432" s="13"/>
    </row>
    <row r="53433">
      <c r="F53433" s="13"/>
      <c r="M53433" s="13"/>
    </row>
    <row r="53434">
      <c r="F53434" s="13"/>
      <c r="M53434" s="13"/>
    </row>
    <row r="53435">
      <c r="F53435" s="13"/>
      <c r="M53435" s="13"/>
    </row>
    <row r="53436">
      <c r="F53436" s="13"/>
      <c r="M53436" s="13"/>
    </row>
    <row r="53437">
      <c r="F53437" s="13"/>
      <c r="M53437" s="13"/>
    </row>
    <row r="53438">
      <c r="F53438" s="13"/>
      <c r="M53438" s="13"/>
    </row>
    <row r="53439">
      <c r="F53439" s="13"/>
      <c r="M53439" s="13"/>
    </row>
    <row r="53440">
      <c r="F53440" s="13"/>
      <c r="M53440" s="13"/>
    </row>
    <row r="53441">
      <c r="F53441" s="13"/>
      <c r="M53441" s="13"/>
    </row>
    <row r="53442">
      <c r="F53442" s="13"/>
      <c r="M53442" s="13"/>
    </row>
    <row r="53443">
      <c r="F53443" s="13"/>
      <c r="M53443" s="13"/>
    </row>
    <row r="53444">
      <c r="F53444" s="13"/>
      <c r="M53444" s="13"/>
    </row>
    <row r="53445">
      <c r="F53445" s="13"/>
      <c r="M53445" s="13"/>
    </row>
    <row r="53446">
      <c r="F53446" s="13"/>
      <c r="M53446" s="13"/>
    </row>
    <row r="53447">
      <c r="F53447" s="13"/>
      <c r="M53447" s="13"/>
    </row>
    <row r="53448">
      <c r="F53448" s="13"/>
      <c r="M53448" s="13"/>
    </row>
    <row r="53449">
      <c r="F53449" s="13"/>
      <c r="M53449" s="13"/>
    </row>
    <row r="53450">
      <c r="F53450" s="13"/>
      <c r="M53450" s="13"/>
    </row>
    <row r="53451">
      <c r="F53451" s="13"/>
      <c r="M53451" s="13"/>
    </row>
    <row r="53452">
      <c r="F53452" s="13"/>
      <c r="M53452" s="13"/>
    </row>
    <row r="53453">
      <c r="F53453" s="13"/>
      <c r="M53453" s="13"/>
    </row>
    <row r="53454">
      <c r="F53454" s="13"/>
      <c r="M53454" s="13"/>
    </row>
    <row r="53455">
      <c r="F53455" s="13"/>
      <c r="M53455" s="13"/>
    </row>
    <row r="53456">
      <c r="F53456" s="13"/>
      <c r="M53456" s="13"/>
    </row>
    <row r="53457">
      <c r="F53457" s="13"/>
      <c r="M53457" s="13"/>
    </row>
    <row r="53458">
      <c r="F53458" s="13"/>
      <c r="M53458" s="13"/>
    </row>
    <row r="53459">
      <c r="F53459" s="13"/>
      <c r="M53459" s="13"/>
    </row>
    <row r="53460">
      <c r="F53460" s="13"/>
      <c r="M53460" s="13"/>
    </row>
    <row r="53461">
      <c r="F53461" s="13"/>
      <c r="M53461" s="13"/>
    </row>
    <row r="53462">
      <c r="F53462" s="13"/>
      <c r="M53462" s="13"/>
    </row>
    <row r="53463">
      <c r="F53463" s="13"/>
      <c r="M53463" s="13"/>
    </row>
    <row r="53464">
      <c r="F53464" s="13"/>
      <c r="M53464" s="13"/>
    </row>
    <row r="53465">
      <c r="F53465" s="13"/>
      <c r="M53465" s="13"/>
    </row>
    <row r="53466">
      <c r="F53466" s="13"/>
      <c r="M53466" s="13"/>
    </row>
    <row r="53467">
      <c r="F53467" s="13"/>
      <c r="M53467" s="13"/>
    </row>
    <row r="53468">
      <c r="F53468" s="13"/>
      <c r="M53468" s="13"/>
    </row>
    <row r="53469">
      <c r="F53469" s="13"/>
      <c r="M53469" s="13"/>
    </row>
    <row r="53470">
      <c r="F53470" s="13"/>
      <c r="M53470" s="13"/>
    </row>
    <row r="53471">
      <c r="F53471" s="13"/>
      <c r="M53471" s="13"/>
    </row>
    <row r="53472">
      <c r="F53472" s="13"/>
      <c r="M53472" s="13"/>
    </row>
    <row r="53473">
      <c r="F53473" s="13"/>
      <c r="M53473" s="13"/>
    </row>
    <row r="53474">
      <c r="F53474" s="13"/>
      <c r="M53474" s="13"/>
    </row>
    <row r="53475">
      <c r="F53475" s="13"/>
      <c r="M53475" s="13"/>
    </row>
    <row r="53476">
      <c r="F53476" s="13"/>
      <c r="M53476" s="13"/>
    </row>
    <row r="53477">
      <c r="F53477" s="13"/>
      <c r="M53477" s="13"/>
    </row>
    <row r="53478">
      <c r="F53478" s="13"/>
      <c r="M53478" s="13"/>
    </row>
    <row r="53479">
      <c r="F53479" s="13"/>
      <c r="M53479" s="13"/>
    </row>
    <row r="53480">
      <c r="F53480" s="13"/>
      <c r="M53480" s="13"/>
    </row>
    <row r="53481">
      <c r="F53481" s="13"/>
      <c r="M53481" s="13"/>
    </row>
    <row r="53482">
      <c r="F53482" s="13"/>
      <c r="M53482" s="13"/>
    </row>
    <row r="53483">
      <c r="F53483" s="13"/>
      <c r="M53483" s="13"/>
    </row>
    <row r="53484">
      <c r="F53484" s="13"/>
      <c r="M53484" s="13"/>
    </row>
    <row r="53485">
      <c r="F53485" s="13"/>
      <c r="M53485" s="13"/>
    </row>
    <row r="53486">
      <c r="F53486" s="13"/>
      <c r="M53486" s="13"/>
    </row>
    <row r="53487">
      <c r="F53487" s="13"/>
      <c r="M53487" s="13"/>
    </row>
    <row r="53488">
      <c r="F53488" s="13"/>
      <c r="M53488" s="13"/>
    </row>
    <row r="53489">
      <c r="F53489" s="13"/>
      <c r="M53489" s="13"/>
    </row>
    <row r="53490">
      <c r="F53490" s="13"/>
      <c r="M53490" s="13"/>
    </row>
    <row r="53491">
      <c r="F53491" s="13"/>
      <c r="M53491" s="13"/>
    </row>
    <row r="53492">
      <c r="F53492" s="13"/>
      <c r="M53492" s="13"/>
    </row>
    <row r="53493">
      <c r="F53493" s="13"/>
      <c r="M53493" s="13"/>
    </row>
    <row r="53494">
      <c r="F53494" s="13"/>
      <c r="M53494" s="13"/>
    </row>
    <row r="53495">
      <c r="F53495" s="13"/>
      <c r="M53495" s="13"/>
    </row>
    <row r="53496">
      <c r="F53496" s="13"/>
      <c r="M53496" s="13"/>
    </row>
    <row r="53497">
      <c r="F53497" s="13"/>
      <c r="M53497" s="13"/>
    </row>
    <row r="53498">
      <c r="F53498" s="13"/>
      <c r="M53498" s="13"/>
    </row>
    <row r="53499">
      <c r="F53499" s="13"/>
      <c r="M53499" s="13"/>
    </row>
    <row r="53500">
      <c r="F53500" s="13"/>
      <c r="M53500" s="13"/>
    </row>
    <row r="53501">
      <c r="F53501" s="13"/>
      <c r="M53501" s="13"/>
    </row>
    <row r="53502">
      <c r="F53502" s="13"/>
      <c r="M53502" s="13"/>
    </row>
    <row r="53503">
      <c r="F53503" s="13"/>
      <c r="M53503" s="13"/>
    </row>
    <row r="53504">
      <c r="F53504" s="13"/>
      <c r="M53504" s="13"/>
    </row>
    <row r="53505">
      <c r="F53505" s="13"/>
      <c r="M53505" s="13"/>
    </row>
    <row r="53506">
      <c r="F53506" s="13"/>
      <c r="M53506" s="13"/>
    </row>
    <row r="53507">
      <c r="F53507" s="13"/>
      <c r="M53507" s="13"/>
    </row>
    <row r="53508">
      <c r="F53508" s="13"/>
      <c r="M53508" s="13"/>
    </row>
    <row r="53509">
      <c r="F53509" s="13"/>
      <c r="M53509" s="13"/>
    </row>
    <row r="53510">
      <c r="F53510" s="13"/>
      <c r="M53510" s="13"/>
    </row>
    <row r="53511">
      <c r="F53511" s="13"/>
      <c r="M53511" s="13"/>
    </row>
    <row r="53512">
      <c r="F53512" s="13"/>
      <c r="M53512" s="13"/>
    </row>
    <row r="53513">
      <c r="F53513" s="13"/>
      <c r="M53513" s="13"/>
    </row>
    <row r="53514">
      <c r="F53514" s="13"/>
      <c r="M53514" s="13"/>
    </row>
    <row r="53515">
      <c r="F53515" s="13"/>
      <c r="M53515" s="13"/>
    </row>
    <row r="53516">
      <c r="F53516" s="13"/>
      <c r="M53516" s="13"/>
    </row>
    <row r="53517">
      <c r="F53517" s="13"/>
      <c r="M53517" s="13"/>
    </row>
    <row r="53518">
      <c r="F53518" s="13"/>
      <c r="M53518" s="13"/>
    </row>
    <row r="53519">
      <c r="F53519" s="13"/>
      <c r="M53519" s="13"/>
    </row>
    <row r="53520">
      <c r="F53520" s="13"/>
      <c r="M53520" s="13"/>
    </row>
    <row r="53521">
      <c r="F53521" s="13"/>
      <c r="M53521" s="13"/>
    </row>
    <row r="53522">
      <c r="F53522" s="13"/>
      <c r="M53522" s="13"/>
    </row>
    <row r="53523">
      <c r="F53523" s="13"/>
      <c r="M53523" s="13"/>
    </row>
    <row r="53524">
      <c r="F53524" s="13"/>
      <c r="M53524" s="13"/>
    </row>
    <row r="53525">
      <c r="F53525" s="13"/>
      <c r="M53525" s="13"/>
    </row>
    <row r="53526">
      <c r="F53526" s="13"/>
      <c r="M53526" s="13"/>
    </row>
    <row r="53527">
      <c r="F53527" s="13"/>
      <c r="M53527" s="13"/>
    </row>
    <row r="53528">
      <c r="F53528" s="13"/>
      <c r="M53528" s="13"/>
    </row>
    <row r="53529">
      <c r="F53529" s="13"/>
      <c r="M53529" s="13"/>
    </row>
    <row r="53530">
      <c r="F53530" s="13"/>
      <c r="M53530" s="13"/>
    </row>
    <row r="53531">
      <c r="F53531" s="13"/>
      <c r="M53531" s="13"/>
    </row>
    <row r="53532">
      <c r="F53532" s="13"/>
      <c r="M53532" s="13"/>
    </row>
    <row r="53533">
      <c r="F53533" s="13"/>
      <c r="M53533" s="13"/>
    </row>
    <row r="53534">
      <c r="F53534" s="13"/>
      <c r="M53534" s="13"/>
    </row>
    <row r="53535">
      <c r="F53535" s="13"/>
      <c r="M53535" s="13"/>
    </row>
    <row r="53536">
      <c r="F53536" s="13"/>
      <c r="M53536" s="13"/>
    </row>
    <row r="53537">
      <c r="F53537" s="13"/>
      <c r="M53537" s="13"/>
    </row>
    <row r="53538">
      <c r="F53538" s="13"/>
      <c r="M53538" s="13"/>
    </row>
    <row r="53539">
      <c r="F53539" s="13"/>
      <c r="M53539" s="13"/>
    </row>
    <row r="53540">
      <c r="F53540" s="13"/>
      <c r="M53540" s="13"/>
    </row>
    <row r="53541">
      <c r="F53541" s="13"/>
      <c r="M53541" s="13"/>
    </row>
    <row r="53542">
      <c r="F53542" s="13"/>
      <c r="M53542" s="13"/>
    </row>
    <row r="53543">
      <c r="F53543" s="13"/>
      <c r="M53543" s="13"/>
    </row>
    <row r="53544">
      <c r="F53544" s="13"/>
      <c r="M53544" s="13"/>
    </row>
    <row r="53545">
      <c r="F53545" s="13"/>
      <c r="M53545" s="13"/>
    </row>
    <row r="53546">
      <c r="F53546" s="13"/>
      <c r="M53546" s="13"/>
    </row>
    <row r="53547">
      <c r="F53547" s="13"/>
      <c r="M53547" s="13"/>
    </row>
    <row r="53548">
      <c r="F53548" s="13"/>
      <c r="M53548" s="13"/>
    </row>
    <row r="53549">
      <c r="F53549" s="13"/>
      <c r="M53549" s="13"/>
    </row>
    <row r="53550">
      <c r="F53550" s="13"/>
      <c r="M53550" s="13"/>
    </row>
    <row r="53551">
      <c r="F53551" s="13"/>
      <c r="M53551" s="13"/>
    </row>
    <row r="53552">
      <c r="F53552" s="13"/>
      <c r="M53552" s="13"/>
    </row>
    <row r="53553">
      <c r="F53553" s="13"/>
      <c r="M53553" s="13"/>
    </row>
    <row r="53554">
      <c r="F53554" s="13"/>
      <c r="M53554" s="13"/>
    </row>
    <row r="53555">
      <c r="F53555" s="13"/>
      <c r="M53555" s="13"/>
    </row>
    <row r="53556">
      <c r="F53556" s="13"/>
      <c r="M53556" s="13"/>
    </row>
    <row r="53557">
      <c r="F53557" s="13"/>
      <c r="M53557" s="13"/>
    </row>
    <row r="53558">
      <c r="F53558" s="13"/>
      <c r="M53558" s="13"/>
    </row>
    <row r="53559">
      <c r="F53559" s="13"/>
      <c r="M53559" s="13"/>
    </row>
    <row r="53560">
      <c r="F53560" s="13"/>
      <c r="M53560" s="13"/>
    </row>
    <row r="53561">
      <c r="F53561" s="13"/>
      <c r="M53561" s="13"/>
    </row>
    <row r="53562">
      <c r="F53562" s="13"/>
      <c r="M53562" s="13"/>
    </row>
    <row r="53563">
      <c r="F53563" s="13"/>
      <c r="M53563" s="13"/>
    </row>
    <row r="53564">
      <c r="F53564" s="13"/>
      <c r="M53564" s="13"/>
    </row>
    <row r="53565">
      <c r="F53565" s="13"/>
      <c r="M53565" s="13"/>
    </row>
    <row r="53566">
      <c r="F53566" s="13"/>
      <c r="M53566" s="13"/>
    </row>
    <row r="53567">
      <c r="F53567" s="13"/>
      <c r="M53567" s="13"/>
    </row>
    <row r="53568">
      <c r="F53568" s="13"/>
      <c r="M53568" s="13"/>
    </row>
    <row r="53569">
      <c r="F53569" s="13"/>
      <c r="M53569" s="13"/>
    </row>
    <row r="53570">
      <c r="F53570" s="13"/>
      <c r="M53570" s="13"/>
    </row>
    <row r="53571">
      <c r="F53571" s="13"/>
      <c r="M53571" s="13"/>
    </row>
    <row r="53572">
      <c r="F53572" s="13"/>
      <c r="M53572" s="13"/>
    </row>
    <row r="53573">
      <c r="F53573" s="13"/>
      <c r="M53573" s="13"/>
    </row>
    <row r="53574">
      <c r="F53574" s="13"/>
      <c r="M53574" s="13"/>
    </row>
    <row r="53575">
      <c r="F53575" s="13"/>
      <c r="M53575" s="13"/>
    </row>
    <row r="53576">
      <c r="F53576" s="13"/>
      <c r="M53576" s="13"/>
    </row>
    <row r="53577">
      <c r="F53577" s="13"/>
      <c r="M53577" s="13"/>
    </row>
    <row r="53578">
      <c r="F53578" s="13"/>
      <c r="M53578" s="13"/>
    </row>
    <row r="53579">
      <c r="F53579" s="13"/>
      <c r="M53579" s="13"/>
    </row>
    <row r="53580">
      <c r="F53580" s="13"/>
      <c r="M53580" s="13"/>
    </row>
    <row r="53581">
      <c r="F53581" s="13"/>
      <c r="M53581" s="13"/>
    </row>
    <row r="53582">
      <c r="F53582" s="13"/>
      <c r="M53582" s="13"/>
    </row>
    <row r="53583">
      <c r="F53583" s="13"/>
      <c r="M53583" s="13"/>
    </row>
    <row r="53584">
      <c r="F53584" s="13"/>
      <c r="M53584" s="13"/>
    </row>
    <row r="53585">
      <c r="F53585" s="13"/>
      <c r="M53585" s="13"/>
    </row>
    <row r="53586">
      <c r="F53586" s="13"/>
      <c r="M53586" s="13"/>
    </row>
    <row r="53587">
      <c r="F53587" s="13"/>
      <c r="M53587" s="13"/>
    </row>
    <row r="53588">
      <c r="F53588" s="13"/>
      <c r="M53588" s="13"/>
    </row>
    <row r="53589">
      <c r="F53589" s="13"/>
      <c r="M53589" s="13"/>
    </row>
    <row r="53590">
      <c r="F53590" s="13"/>
      <c r="M53590" s="13"/>
    </row>
    <row r="53591">
      <c r="F53591" s="13"/>
      <c r="M53591" s="13"/>
    </row>
    <row r="53592">
      <c r="F53592" s="13"/>
      <c r="M53592" s="13"/>
    </row>
    <row r="53593">
      <c r="F53593" s="13"/>
      <c r="M53593" s="13"/>
    </row>
    <row r="53594">
      <c r="F53594" s="13"/>
      <c r="M53594" s="13"/>
    </row>
    <row r="53595">
      <c r="F53595" s="13"/>
      <c r="M53595" s="13"/>
    </row>
    <row r="53596">
      <c r="F53596" s="13"/>
      <c r="M53596" s="13"/>
    </row>
    <row r="53597">
      <c r="F53597" s="13"/>
      <c r="M53597" s="13"/>
    </row>
    <row r="53598">
      <c r="F53598" s="13"/>
      <c r="M53598" s="13"/>
    </row>
    <row r="53599">
      <c r="F53599" s="13"/>
      <c r="M53599" s="13"/>
    </row>
    <row r="53600">
      <c r="F53600" s="13"/>
      <c r="M53600" s="13"/>
    </row>
    <row r="53601">
      <c r="F53601" s="13"/>
      <c r="M53601" s="13"/>
    </row>
    <row r="53602">
      <c r="F53602" s="13"/>
      <c r="M53602" s="13"/>
    </row>
    <row r="53603">
      <c r="F53603" s="13"/>
      <c r="M53603" s="13"/>
    </row>
    <row r="53604">
      <c r="F53604" s="13"/>
      <c r="M53604" s="13"/>
    </row>
    <row r="53605">
      <c r="F53605" s="13"/>
      <c r="M53605" s="13"/>
    </row>
    <row r="53606">
      <c r="F53606" s="13"/>
      <c r="M53606" s="13"/>
    </row>
    <row r="53607">
      <c r="F53607" s="13"/>
      <c r="M53607" s="13"/>
    </row>
    <row r="53608">
      <c r="F53608" s="13"/>
      <c r="M53608" s="13"/>
    </row>
    <row r="53609">
      <c r="F53609" s="13"/>
      <c r="M53609" s="13"/>
    </row>
    <row r="53610">
      <c r="F53610" s="13"/>
      <c r="M53610" s="13"/>
    </row>
    <row r="53611">
      <c r="F53611" s="13"/>
      <c r="M53611" s="13"/>
    </row>
    <row r="53612">
      <c r="F53612" s="13"/>
      <c r="M53612" s="13"/>
    </row>
    <row r="53613">
      <c r="F53613" s="13"/>
      <c r="M53613" s="13"/>
    </row>
    <row r="53614">
      <c r="F53614" s="13"/>
      <c r="M53614" s="13"/>
    </row>
    <row r="53615">
      <c r="F53615" s="13"/>
      <c r="M53615" s="13"/>
    </row>
    <row r="53616">
      <c r="F53616" s="13"/>
      <c r="M53616" s="13"/>
    </row>
    <row r="53617">
      <c r="F53617" s="13"/>
      <c r="M53617" s="13"/>
    </row>
    <row r="53618">
      <c r="F53618" s="13"/>
      <c r="M53618" s="13"/>
    </row>
    <row r="53619">
      <c r="F53619" s="13"/>
      <c r="M53619" s="13"/>
    </row>
    <row r="53620">
      <c r="F53620" s="13"/>
      <c r="M53620" s="13"/>
    </row>
    <row r="53621">
      <c r="F53621" s="13"/>
      <c r="M53621" s="13"/>
    </row>
    <row r="53622">
      <c r="F53622" s="13"/>
      <c r="M53622" s="13"/>
    </row>
    <row r="53623">
      <c r="F53623" s="13"/>
      <c r="M53623" s="13"/>
    </row>
    <row r="53624">
      <c r="F53624" s="13"/>
      <c r="M53624" s="13"/>
    </row>
    <row r="53625">
      <c r="F53625" s="13"/>
      <c r="M53625" s="13"/>
    </row>
    <row r="53626">
      <c r="F53626" s="13"/>
      <c r="M53626" s="13"/>
    </row>
    <row r="53627">
      <c r="F53627" s="13"/>
      <c r="M53627" s="13"/>
    </row>
    <row r="53628">
      <c r="F53628" s="13"/>
      <c r="M53628" s="13"/>
    </row>
    <row r="53629">
      <c r="F53629" s="13"/>
      <c r="M53629" s="13"/>
    </row>
    <row r="53630">
      <c r="F53630" s="13"/>
      <c r="M53630" s="13"/>
    </row>
    <row r="53631">
      <c r="F53631" s="13"/>
      <c r="M53631" s="13"/>
    </row>
    <row r="53632">
      <c r="F53632" s="13"/>
      <c r="M53632" s="13"/>
    </row>
    <row r="53633">
      <c r="F53633" s="13"/>
      <c r="M53633" s="13"/>
    </row>
    <row r="53634">
      <c r="F53634" s="13"/>
      <c r="M53634" s="13"/>
    </row>
    <row r="53635">
      <c r="F53635" s="13"/>
      <c r="M53635" s="13"/>
    </row>
    <row r="53636">
      <c r="F53636" s="13"/>
      <c r="M53636" s="13"/>
    </row>
    <row r="53637">
      <c r="F53637" s="13"/>
      <c r="M53637" s="13"/>
    </row>
    <row r="53638">
      <c r="F53638" s="13"/>
      <c r="M53638" s="13"/>
    </row>
    <row r="53639">
      <c r="F53639" s="13"/>
      <c r="M53639" s="13"/>
    </row>
    <row r="53640">
      <c r="F53640" s="13"/>
      <c r="M53640" s="13"/>
    </row>
    <row r="53641">
      <c r="F53641" s="13"/>
      <c r="M53641" s="13"/>
    </row>
    <row r="53642">
      <c r="F53642" s="13"/>
      <c r="M53642" s="13"/>
    </row>
    <row r="53643">
      <c r="F53643" s="13"/>
      <c r="M53643" s="13"/>
    </row>
    <row r="53644">
      <c r="F53644" s="13"/>
      <c r="M53644" s="13"/>
    </row>
    <row r="53645">
      <c r="F53645" s="13"/>
      <c r="M53645" s="13"/>
    </row>
    <row r="53646">
      <c r="F53646" s="13"/>
      <c r="M53646" s="13"/>
    </row>
    <row r="53647">
      <c r="F53647" s="13"/>
      <c r="M53647" s="13"/>
    </row>
    <row r="53648">
      <c r="F53648" s="13"/>
      <c r="M53648" s="13"/>
    </row>
    <row r="53649">
      <c r="F53649" s="13"/>
      <c r="M53649" s="13"/>
    </row>
    <row r="53650">
      <c r="F53650" s="13"/>
      <c r="M53650" s="13"/>
    </row>
    <row r="53651">
      <c r="F53651" s="13"/>
      <c r="M53651" s="13"/>
    </row>
    <row r="53652">
      <c r="F53652" s="13"/>
      <c r="M53652" s="13"/>
    </row>
    <row r="53653">
      <c r="F53653" s="13"/>
      <c r="M53653" s="13"/>
    </row>
    <row r="53654">
      <c r="F53654" s="13"/>
      <c r="M53654" s="13"/>
    </row>
    <row r="53655">
      <c r="F53655" s="13"/>
      <c r="M53655" s="13"/>
    </row>
    <row r="53656">
      <c r="F53656" s="13"/>
      <c r="M53656" s="13"/>
    </row>
    <row r="53657">
      <c r="F53657" s="13"/>
      <c r="M53657" s="13"/>
    </row>
    <row r="53658">
      <c r="F53658" s="13"/>
      <c r="M53658" s="13"/>
    </row>
    <row r="53659">
      <c r="F53659" s="13"/>
      <c r="M53659" s="13"/>
    </row>
    <row r="53660">
      <c r="F53660" s="13"/>
      <c r="M53660" s="13"/>
    </row>
    <row r="53661">
      <c r="F53661" s="13"/>
      <c r="M53661" s="13"/>
    </row>
    <row r="53662">
      <c r="F53662" s="13"/>
      <c r="M53662" s="13"/>
    </row>
    <row r="53663">
      <c r="F53663" s="13"/>
      <c r="M53663" s="13"/>
    </row>
    <row r="53664">
      <c r="F53664" s="13"/>
      <c r="M53664" s="13"/>
    </row>
    <row r="53665">
      <c r="F53665" s="13"/>
      <c r="M53665" s="13"/>
    </row>
    <row r="53666">
      <c r="F53666" s="13"/>
      <c r="M53666" s="13"/>
    </row>
    <row r="53667">
      <c r="F53667" s="13"/>
      <c r="M53667" s="13"/>
    </row>
    <row r="53668">
      <c r="F53668" s="13"/>
      <c r="M53668" s="13"/>
    </row>
    <row r="53669">
      <c r="F53669" s="13"/>
      <c r="M53669" s="13"/>
    </row>
    <row r="53670">
      <c r="F53670" s="13"/>
      <c r="M53670" s="13"/>
    </row>
    <row r="53671">
      <c r="F53671" s="13"/>
      <c r="M53671" s="13"/>
    </row>
    <row r="53672">
      <c r="F53672" s="13"/>
      <c r="M53672" s="13"/>
    </row>
    <row r="53673">
      <c r="F53673" s="13"/>
      <c r="M53673" s="13"/>
    </row>
    <row r="53674">
      <c r="F53674" s="13"/>
      <c r="M53674" s="13"/>
    </row>
    <row r="53675">
      <c r="F53675" s="13"/>
      <c r="M53675" s="13"/>
    </row>
    <row r="53676">
      <c r="F53676" s="13"/>
      <c r="M53676" s="13"/>
    </row>
    <row r="53677">
      <c r="F53677" s="13"/>
      <c r="M53677" s="13"/>
    </row>
    <row r="53678">
      <c r="F53678" s="13"/>
      <c r="M53678" s="13"/>
    </row>
    <row r="53679">
      <c r="F53679" s="13"/>
      <c r="M53679" s="13"/>
    </row>
    <row r="53680">
      <c r="F53680" s="13"/>
      <c r="M53680" s="13"/>
    </row>
    <row r="53681">
      <c r="F53681" s="13"/>
      <c r="M53681" s="13"/>
    </row>
    <row r="53682">
      <c r="F53682" s="13"/>
      <c r="M53682" s="13"/>
    </row>
    <row r="53683">
      <c r="F53683" s="13"/>
      <c r="M53683" s="13"/>
    </row>
    <row r="53684">
      <c r="F53684" s="13"/>
      <c r="M53684" s="13"/>
    </row>
    <row r="53685">
      <c r="F53685" s="13"/>
      <c r="M53685" s="13"/>
    </row>
    <row r="53686">
      <c r="F53686" s="13"/>
      <c r="M53686" s="13"/>
    </row>
    <row r="53687">
      <c r="F53687" s="13"/>
      <c r="M53687" s="13"/>
    </row>
    <row r="53688">
      <c r="F53688" s="13"/>
      <c r="M53688" s="13"/>
    </row>
    <row r="53689">
      <c r="F53689" s="13"/>
      <c r="M53689" s="13"/>
    </row>
    <row r="53690">
      <c r="F53690" s="13"/>
      <c r="M53690" s="13"/>
    </row>
    <row r="53691">
      <c r="F53691" s="13"/>
      <c r="M53691" s="13"/>
    </row>
    <row r="53692">
      <c r="F53692" s="13"/>
      <c r="M53692" s="13"/>
    </row>
    <row r="53693">
      <c r="F53693" s="13"/>
      <c r="M53693" s="13"/>
    </row>
    <row r="53694">
      <c r="F53694" s="13"/>
      <c r="M53694" s="13"/>
    </row>
    <row r="53695">
      <c r="F53695" s="13"/>
      <c r="M53695" s="13"/>
    </row>
    <row r="53696">
      <c r="F53696" s="13"/>
      <c r="M53696" s="13"/>
    </row>
    <row r="53697">
      <c r="F53697" s="13"/>
      <c r="M53697" s="13"/>
    </row>
    <row r="53698">
      <c r="F53698" s="13"/>
      <c r="M53698" s="13"/>
    </row>
    <row r="53699">
      <c r="F53699" s="13"/>
      <c r="M53699" s="13"/>
    </row>
    <row r="53700">
      <c r="F53700" s="13"/>
      <c r="M53700" s="13"/>
    </row>
    <row r="53701">
      <c r="F53701" s="13"/>
      <c r="M53701" s="13"/>
    </row>
    <row r="53702">
      <c r="F53702" s="13"/>
      <c r="M53702" s="13"/>
    </row>
    <row r="53703">
      <c r="F53703" s="13"/>
      <c r="M53703" s="13"/>
    </row>
    <row r="53704">
      <c r="F53704" s="13"/>
      <c r="M53704" s="13"/>
    </row>
    <row r="53705">
      <c r="F53705" s="13"/>
      <c r="M53705" s="13"/>
    </row>
    <row r="53706">
      <c r="F53706" s="13"/>
      <c r="M53706" s="13"/>
    </row>
    <row r="53707">
      <c r="F53707" s="13"/>
      <c r="M53707" s="13"/>
    </row>
    <row r="53708">
      <c r="F53708" s="13"/>
      <c r="M53708" s="13"/>
    </row>
    <row r="53709">
      <c r="F53709" s="13"/>
      <c r="M53709" s="13"/>
    </row>
    <row r="53710">
      <c r="F53710" s="13"/>
      <c r="M53710" s="13"/>
    </row>
    <row r="53711">
      <c r="F53711" s="13"/>
      <c r="M53711" s="13"/>
    </row>
    <row r="53712">
      <c r="F53712" s="13"/>
      <c r="M53712" s="13"/>
    </row>
    <row r="53713">
      <c r="F53713" s="13"/>
      <c r="M53713" s="13"/>
    </row>
    <row r="53714">
      <c r="F53714" s="13"/>
      <c r="M53714" s="13"/>
    </row>
    <row r="53715">
      <c r="F53715" s="13"/>
      <c r="M53715" s="13"/>
    </row>
    <row r="53716">
      <c r="F53716" s="13"/>
      <c r="M53716" s="13"/>
    </row>
    <row r="53717">
      <c r="F53717" s="13"/>
      <c r="M53717" s="13"/>
    </row>
    <row r="53718">
      <c r="F53718" s="13"/>
      <c r="M53718" s="13"/>
    </row>
    <row r="53719">
      <c r="F53719" s="13"/>
      <c r="M53719" s="13"/>
    </row>
    <row r="53720">
      <c r="F53720" s="13"/>
      <c r="M53720" s="13"/>
    </row>
    <row r="53721">
      <c r="F53721" s="13"/>
      <c r="M53721" s="13"/>
    </row>
    <row r="53722">
      <c r="F53722" s="13"/>
      <c r="M53722" s="13"/>
    </row>
    <row r="53723">
      <c r="F53723" s="13"/>
      <c r="M53723" s="13"/>
    </row>
    <row r="53724">
      <c r="F53724" s="13"/>
      <c r="M53724" s="13"/>
    </row>
    <row r="53725">
      <c r="F53725" s="13"/>
      <c r="M53725" s="13"/>
    </row>
    <row r="53726">
      <c r="F53726" s="13"/>
      <c r="M53726" s="13"/>
    </row>
    <row r="53727">
      <c r="F53727" s="13"/>
      <c r="M53727" s="13"/>
    </row>
    <row r="53728">
      <c r="F53728" s="13"/>
      <c r="M53728" s="13"/>
    </row>
    <row r="53729">
      <c r="F53729" s="13"/>
      <c r="M53729" s="13"/>
    </row>
    <row r="53730">
      <c r="F53730" s="13"/>
      <c r="M53730" s="13"/>
    </row>
    <row r="53731">
      <c r="F53731" s="13"/>
      <c r="M53731" s="13"/>
    </row>
    <row r="53732">
      <c r="F53732" s="13"/>
      <c r="M53732" s="13"/>
    </row>
    <row r="53733">
      <c r="F53733" s="13"/>
      <c r="M53733" s="13"/>
    </row>
    <row r="53734">
      <c r="F53734" s="13"/>
      <c r="M53734" s="13"/>
    </row>
    <row r="53735">
      <c r="F53735" s="13"/>
      <c r="M53735" s="13"/>
    </row>
    <row r="53736">
      <c r="F53736" s="13"/>
      <c r="M53736" s="13"/>
    </row>
    <row r="53737">
      <c r="F53737" s="13"/>
      <c r="M53737" s="13"/>
    </row>
    <row r="53738">
      <c r="F53738" s="13"/>
      <c r="M53738" s="13"/>
    </row>
    <row r="53739">
      <c r="F53739" s="13"/>
      <c r="M53739" s="13"/>
    </row>
    <row r="53740">
      <c r="F53740" s="13"/>
      <c r="M53740" s="13"/>
    </row>
    <row r="53741">
      <c r="F53741" s="13"/>
      <c r="M53741" s="13"/>
    </row>
    <row r="53742">
      <c r="F53742" s="13"/>
      <c r="M53742" s="13"/>
    </row>
    <row r="53743">
      <c r="F53743" s="13"/>
      <c r="M53743" s="13"/>
    </row>
    <row r="53744">
      <c r="F53744" s="13"/>
      <c r="M53744" s="13"/>
    </row>
    <row r="53745">
      <c r="F53745" s="13"/>
      <c r="M53745" s="13"/>
    </row>
    <row r="53746">
      <c r="F53746" s="13"/>
      <c r="M53746" s="13"/>
    </row>
    <row r="53747">
      <c r="F53747" s="13"/>
      <c r="M53747" s="13"/>
    </row>
    <row r="53748">
      <c r="F53748" s="13"/>
      <c r="M53748" s="13"/>
    </row>
    <row r="53749">
      <c r="F53749" s="13"/>
      <c r="M53749" s="13"/>
    </row>
    <row r="53750">
      <c r="F53750" s="13"/>
      <c r="M53750" s="13"/>
    </row>
    <row r="53751">
      <c r="F53751" s="13"/>
      <c r="M53751" s="13"/>
    </row>
    <row r="53752">
      <c r="F53752" s="13"/>
      <c r="M53752" s="13"/>
    </row>
    <row r="53753">
      <c r="F53753" s="13"/>
      <c r="M53753" s="13"/>
    </row>
    <row r="53754">
      <c r="F53754" s="13"/>
      <c r="M53754" s="13"/>
    </row>
    <row r="53755">
      <c r="F53755" s="13"/>
      <c r="M53755" s="13"/>
    </row>
    <row r="53756">
      <c r="F53756" s="13"/>
      <c r="M53756" s="13"/>
    </row>
    <row r="53757">
      <c r="F53757" s="13"/>
      <c r="M53757" s="13"/>
    </row>
    <row r="53758">
      <c r="F53758" s="13"/>
      <c r="M53758" s="13"/>
    </row>
    <row r="53759">
      <c r="F53759" s="13"/>
      <c r="M53759" s="13"/>
    </row>
    <row r="53760">
      <c r="F53760" s="13"/>
      <c r="M53760" s="13"/>
    </row>
    <row r="53761">
      <c r="F53761" s="13"/>
      <c r="M53761" s="13"/>
    </row>
    <row r="53762">
      <c r="F53762" s="13"/>
      <c r="M53762" s="13"/>
    </row>
    <row r="53763">
      <c r="F53763" s="13"/>
      <c r="M53763" s="13"/>
    </row>
    <row r="53764">
      <c r="F53764" s="13"/>
      <c r="M53764" s="13"/>
    </row>
    <row r="53765">
      <c r="F53765" s="13"/>
      <c r="M53765" s="13"/>
    </row>
    <row r="53766">
      <c r="F53766" s="13"/>
      <c r="M53766" s="13"/>
    </row>
    <row r="53767">
      <c r="F53767" s="13"/>
      <c r="M53767" s="13"/>
    </row>
    <row r="53768">
      <c r="F53768" s="13"/>
      <c r="M53768" s="13"/>
    </row>
    <row r="53769">
      <c r="F53769" s="13"/>
      <c r="M53769" s="13"/>
    </row>
    <row r="53770">
      <c r="F53770" s="13"/>
      <c r="M53770" s="13"/>
    </row>
    <row r="53771">
      <c r="F53771" s="13"/>
      <c r="M53771" s="13"/>
    </row>
    <row r="53772">
      <c r="F53772" s="13"/>
      <c r="M53772" s="13"/>
    </row>
    <row r="53773">
      <c r="F53773" s="13"/>
      <c r="M53773" s="13"/>
    </row>
    <row r="53774">
      <c r="F53774" s="13"/>
      <c r="M53774" s="13"/>
    </row>
    <row r="53775">
      <c r="F53775" s="13"/>
      <c r="M53775" s="13"/>
    </row>
    <row r="53776">
      <c r="F53776" s="13"/>
      <c r="M53776" s="13"/>
    </row>
    <row r="53777">
      <c r="F53777" s="13"/>
      <c r="M53777" s="13"/>
    </row>
    <row r="53778">
      <c r="F53778" s="13"/>
      <c r="M53778" s="13"/>
    </row>
    <row r="53779">
      <c r="F53779" s="13"/>
      <c r="M53779" s="13"/>
    </row>
    <row r="53780">
      <c r="F53780" s="13"/>
      <c r="M53780" s="13"/>
    </row>
    <row r="53781">
      <c r="F53781" s="13"/>
      <c r="M53781" s="13"/>
    </row>
    <row r="53782">
      <c r="F53782" s="13"/>
      <c r="M53782" s="13"/>
    </row>
    <row r="53783">
      <c r="F53783" s="13"/>
      <c r="M53783" s="13"/>
    </row>
    <row r="53784">
      <c r="F53784" s="13"/>
      <c r="M53784" s="13"/>
    </row>
    <row r="53785">
      <c r="F53785" s="13"/>
      <c r="M53785" s="13"/>
    </row>
    <row r="53786">
      <c r="F53786" s="13"/>
      <c r="M53786" s="13"/>
    </row>
    <row r="53787">
      <c r="F53787" s="13"/>
      <c r="M53787" s="13"/>
    </row>
    <row r="53788">
      <c r="F53788" s="13"/>
      <c r="M53788" s="13"/>
    </row>
    <row r="53789">
      <c r="F53789" s="13"/>
      <c r="M53789" s="13"/>
    </row>
    <row r="53790">
      <c r="F53790" s="13"/>
      <c r="M53790" s="13"/>
    </row>
    <row r="53791">
      <c r="F53791" s="13"/>
      <c r="M53791" s="13"/>
    </row>
    <row r="53792">
      <c r="F53792" s="13"/>
      <c r="M53792" s="13"/>
    </row>
    <row r="53793">
      <c r="F53793" s="13"/>
      <c r="M53793" s="13"/>
    </row>
    <row r="53794">
      <c r="F53794" s="13"/>
      <c r="M53794" s="13"/>
    </row>
    <row r="53795">
      <c r="F53795" s="13"/>
      <c r="M53795" s="13"/>
    </row>
    <row r="53796">
      <c r="F53796" s="13"/>
      <c r="M53796" s="13"/>
    </row>
    <row r="53797">
      <c r="F53797" s="13"/>
      <c r="M53797" s="13"/>
    </row>
    <row r="53798">
      <c r="F53798" s="13"/>
      <c r="M53798" s="13"/>
    </row>
    <row r="53799">
      <c r="F53799" s="13"/>
      <c r="M53799" s="13"/>
    </row>
    <row r="53800">
      <c r="F53800" s="13"/>
      <c r="M53800" s="13"/>
    </row>
    <row r="53801">
      <c r="F53801" s="13"/>
      <c r="M53801" s="13"/>
    </row>
    <row r="53802">
      <c r="F53802" s="13"/>
      <c r="M53802" s="13"/>
    </row>
    <row r="53803">
      <c r="F53803" s="13"/>
      <c r="M53803" s="13"/>
    </row>
    <row r="53804">
      <c r="F53804" s="13"/>
      <c r="M53804" s="13"/>
    </row>
    <row r="53805">
      <c r="F53805" s="13"/>
      <c r="M53805" s="13"/>
    </row>
    <row r="53806">
      <c r="F53806" s="13"/>
      <c r="M53806" s="13"/>
    </row>
    <row r="53807">
      <c r="F53807" s="13"/>
      <c r="M53807" s="13"/>
    </row>
    <row r="53808">
      <c r="F53808" s="13"/>
      <c r="M53808" s="13"/>
    </row>
    <row r="53809">
      <c r="F53809" s="13"/>
      <c r="M53809" s="13"/>
    </row>
    <row r="53810">
      <c r="F53810" s="13"/>
      <c r="M53810" s="13"/>
    </row>
    <row r="53811">
      <c r="F53811" s="13"/>
      <c r="M53811" s="13"/>
    </row>
    <row r="53812">
      <c r="F53812" s="13"/>
      <c r="M53812" s="13"/>
    </row>
    <row r="53813">
      <c r="F53813" s="13"/>
      <c r="M53813" s="13"/>
    </row>
    <row r="53814">
      <c r="F53814" s="13"/>
      <c r="M53814" s="13"/>
    </row>
    <row r="53815">
      <c r="F53815" s="13"/>
      <c r="M53815" s="13"/>
    </row>
    <row r="53816">
      <c r="F53816" s="13"/>
      <c r="M53816" s="13"/>
    </row>
    <row r="53817">
      <c r="F53817" s="13"/>
      <c r="M53817" s="13"/>
    </row>
    <row r="53818">
      <c r="F53818" s="13"/>
      <c r="M53818" s="13"/>
    </row>
    <row r="53819">
      <c r="F53819" s="13"/>
      <c r="M53819" s="13"/>
    </row>
    <row r="53820">
      <c r="F53820" s="13"/>
      <c r="M53820" s="13"/>
    </row>
    <row r="53821">
      <c r="F53821" s="13"/>
      <c r="M53821" s="13"/>
    </row>
    <row r="53822">
      <c r="F53822" s="13"/>
      <c r="M53822" s="13"/>
    </row>
    <row r="53823">
      <c r="F53823" s="13"/>
      <c r="M53823" s="13"/>
    </row>
    <row r="53824">
      <c r="F53824" s="13"/>
      <c r="M53824" s="13"/>
    </row>
    <row r="53825">
      <c r="F53825" s="13"/>
      <c r="M53825" s="13"/>
    </row>
    <row r="53826">
      <c r="F53826" s="13"/>
      <c r="M53826" s="13"/>
    </row>
    <row r="53827">
      <c r="F53827" s="13"/>
      <c r="M53827" s="13"/>
    </row>
    <row r="53828">
      <c r="F53828" s="13"/>
      <c r="M53828" s="13"/>
    </row>
    <row r="53829">
      <c r="F53829" s="13"/>
      <c r="M53829" s="13"/>
    </row>
    <row r="53830">
      <c r="F53830" s="13"/>
      <c r="M53830" s="13"/>
    </row>
    <row r="53831">
      <c r="F53831" s="13"/>
      <c r="M53831" s="13"/>
    </row>
    <row r="53832">
      <c r="F53832" s="13"/>
      <c r="M53832" s="13"/>
    </row>
    <row r="53833">
      <c r="F53833" s="13"/>
      <c r="M53833" s="13"/>
    </row>
    <row r="53834">
      <c r="F53834" s="13"/>
      <c r="M53834" s="13"/>
    </row>
    <row r="53835">
      <c r="F53835" s="13"/>
      <c r="M53835" s="13"/>
    </row>
    <row r="53836">
      <c r="F53836" s="13"/>
      <c r="M53836" s="13"/>
    </row>
    <row r="53837">
      <c r="F53837" s="13"/>
      <c r="M53837" s="13"/>
    </row>
    <row r="53838">
      <c r="F53838" s="13"/>
      <c r="M53838" s="13"/>
    </row>
    <row r="53839">
      <c r="F53839" s="13"/>
      <c r="M53839" s="13"/>
    </row>
    <row r="53840">
      <c r="F53840" s="13"/>
      <c r="M53840" s="13"/>
    </row>
    <row r="53841">
      <c r="F53841" s="13"/>
      <c r="M53841" s="13"/>
    </row>
    <row r="53842">
      <c r="F53842" s="13"/>
      <c r="M53842" s="13"/>
    </row>
    <row r="53843">
      <c r="F53843" s="13"/>
      <c r="M53843" s="13"/>
    </row>
    <row r="53844">
      <c r="F53844" s="13"/>
      <c r="M53844" s="13"/>
    </row>
    <row r="53845">
      <c r="F53845" s="13"/>
      <c r="M53845" s="13"/>
    </row>
    <row r="53846">
      <c r="F53846" s="13"/>
      <c r="M53846" s="13"/>
    </row>
    <row r="53847">
      <c r="F53847" s="13"/>
      <c r="M53847" s="13"/>
    </row>
    <row r="53848">
      <c r="F53848" s="13"/>
      <c r="M53848" s="13"/>
    </row>
    <row r="53849">
      <c r="F53849" s="13"/>
      <c r="M53849" s="13"/>
    </row>
    <row r="53850">
      <c r="F53850" s="13"/>
      <c r="M53850" s="13"/>
    </row>
    <row r="53851">
      <c r="F53851" s="13"/>
      <c r="M53851" s="13"/>
    </row>
    <row r="53852">
      <c r="F53852" s="13"/>
      <c r="M53852" s="13"/>
    </row>
    <row r="53853">
      <c r="F53853" s="13"/>
      <c r="M53853" s="13"/>
    </row>
    <row r="53854">
      <c r="F53854" s="13"/>
      <c r="M53854" s="13"/>
    </row>
    <row r="53855">
      <c r="F53855" s="13"/>
      <c r="M53855" s="13"/>
    </row>
    <row r="53856">
      <c r="F53856" s="13"/>
      <c r="M53856" s="13"/>
    </row>
    <row r="53857">
      <c r="F53857" s="13"/>
      <c r="M53857" s="13"/>
    </row>
    <row r="53858">
      <c r="F53858" s="13"/>
      <c r="M53858" s="13"/>
    </row>
    <row r="53859">
      <c r="F53859" s="13"/>
      <c r="M53859" s="13"/>
    </row>
    <row r="53860">
      <c r="F53860" s="13"/>
      <c r="M53860" s="13"/>
    </row>
    <row r="53861">
      <c r="F53861" s="13"/>
      <c r="M53861" s="13"/>
    </row>
    <row r="53862">
      <c r="F53862" s="13"/>
      <c r="M53862" s="13"/>
    </row>
    <row r="53863">
      <c r="F53863" s="13"/>
      <c r="M53863" s="13"/>
    </row>
    <row r="53864">
      <c r="F53864" s="13"/>
      <c r="M53864" s="13"/>
    </row>
    <row r="53865">
      <c r="F53865" s="13"/>
      <c r="M53865" s="13"/>
    </row>
    <row r="53866">
      <c r="F53866" s="13"/>
      <c r="M53866" s="13"/>
    </row>
    <row r="53867">
      <c r="F53867" s="13"/>
      <c r="M53867" s="13"/>
    </row>
    <row r="53868">
      <c r="F53868" s="13"/>
      <c r="M53868" s="13"/>
    </row>
    <row r="53869">
      <c r="F53869" s="13"/>
      <c r="M53869" s="13"/>
    </row>
    <row r="53870">
      <c r="F53870" s="13"/>
      <c r="M53870" s="13"/>
    </row>
    <row r="53871">
      <c r="F53871" s="13"/>
      <c r="M53871" s="13"/>
    </row>
    <row r="53872">
      <c r="F53872" s="13"/>
      <c r="M53872" s="13"/>
    </row>
    <row r="53873">
      <c r="F53873" s="13"/>
      <c r="M53873" s="13"/>
    </row>
    <row r="53874">
      <c r="F53874" s="13"/>
      <c r="M53874" s="13"/>
    </row>
    <row r="53875">
      <c r="F53875" s="13"/>
      <c r="M53875" s="13"/>
    </row>
    <row r="53876">
      <c r="F53876" s="13"/>
      <c r="M53876" s="13"/>
    </row>
    <row r="53877">
      <c r="F53877" s="13"/>
      <c r="M53877" s="13"/>
    </row>
    <row r="53878">
      <c r="F53878" s="13"/>
      <c r="M53878" s="13"/>
    </row>
    <row r="53879">
      <c r="F53879" s="13"/>
      <c r="M53879" s="13"/>
    </row>
    <row r="53880">
      <c r="F53880" s="13"/>
      <c r="M53880" s="13"/>
    </row>
    <row r="53881">
      <c r="F53881" s="13"/>
      <c r="M53881" s="13"/>
    </row>
    <row r="53882">
      <c r="F53882" s="13"/>
      <c r="M53882" s="13"/>
    </row>
    <row r="53883">
      <c r="F53883" s="13"/>
      <c r="M53883" s="13"/>
    </row>
    <row r="53884">
      <c r="F53884" s="13"/>
      <c r="M53884" s="13"/>
    </row>
    <row r="53885">
      <c r="F53885" s="13"/>
      <c r="M53885" s="13"/>
    </row>
    <row r="53886">
      <c r="F53886" s="13"/>
      <c r="M53886" s="13"/>
    </row>
    <row r="53887">
      <c r="F53887" s="13"/>
      <c r="M53887" s="13"/>
    </row>
    <row r="53888">
      <c r="F53888" s="13"/>
      <c r="M53888" s="13"/>
    </row>
    <row r="53889">
      <c r="F53889" s="13"/>
      <c r="M53889" s="13"/>
    </row>
    <row r="53890">
      <c r="F53890" s="13"/>
      <c r="M53890" s="13"/>
    </row>
    <row r="53891">
      <c r="F53891" s="13"/>
      <c r="M53891" s="13"/>
    </row>
    <row r="53892">
      <c r="F53892" s="13"/>
      <c r="M53892" s="13"/>
    </row>
    <row r="53893">
      <c r="F53893" s="13"/>
      <c r="M53893" s="13"/>
    </row>
    <row r="53894">
      <c r="F53894" s="13"/>
      <c r="M53894" s="13"/>
    </row>
    <row r="53895">
      <c r="F53895" s="13"/>
      <c r="M53895" s="13"/>
    </row>
    <row r="53896">
      <c r="F53896" s="13"/>
      <c r="M53896" s="13"/>
    </row>
    <row r="53897">
      <c r="F53897" s="13"/>
      <c r="M53897" s="13"/>
    </row>
    <row r="53898">
      <c r="F53898" s="13"/>
      <c r="M53898" s="13"/>
    </row>
    <row r="53899">
      <c r="F53899" s="13"/>
      <c r="M53899" s="13"/>
    </row>
    <row r="53900">
      <c r="F53900" s="13"/>
      <c r="M53900" s="13"/>
    </row>
    <row r="53901">
      <c r="F53901" s="13"/>
      <c r="M53901" s="13"/>
    </row>
    <row r="53902">
      <c r="F53902" s="13"/>
      <c r="M53902" s="13"/>
    </row>
    <row r="53903">
      <c r="F53903" s="13"/>
      <c r="M53903" s="13"/>
    </row>
    <row r="53904">
      <c r="F53904" s="13"/>
      <c r="M53904" s="13"/>
    </row>
    <row r="53905">
      <c r="F53905" s="13"/>
      <c r="M53905" s="13"/>
    </row>
    <row r="53906">
      <c r="F53906" s="13"/>
      <c r="M53906" s="13"/>
    </row>
    <row r="53907">
      <c r="F53907" s="13"/>
      <c r="M53907" s="13"/>
    </row>
    <row r="53908">
      <c r="F53908" s="13"/>
      <c r="M53908" s="13"/>
    </row>
    <row r="53909">
      <c r="F53909" s="13"/>
      <c r="M53909" s="13"/>
    </row>
    <row r="53910">
      <c r="F53910" s="13"/>
      <c r="M53910" s="13"/>
    </row>
    <row r="53911">
      <c r="F53911" s="13"/>
      <c r="M53911" s="13"/>
    </row>
    <row r="53912">
      <c r="F53912" s="13"/>
      <c r="M53912" s="13"/>
    </row>
    <row r="53913">
      <c r="F53913" s="13"/>
      <c r="M53913" s="13"/>
    </row>
    <row r="53914">
      <c r="F53914" s="13"/>
      <c r="M53914" s="13"/>
    </row>
    <row r="53915">
      <c r="F53915" s="13"/>
      <c r="M53915" s="13"/>
    </row>
    <row r="53916">
      <c r="F53916" s="13"/>
      <c r="M53916" s="13"/>
    </row>
    <row r="53917">
      <c r="F53917" s="13"/>
      <c r="M53917" s="13"/>
    </row>
    <row r="53918">
      <c r="F53918" s="13"/>
      <c r="M53918" s="13"/>
    </row>
    <row r="53919">
      <c r="F53919" s="13"/>
      <c r="M53919" s="13"/>
    </row>
    <row r="53920">
      <c r="F53920" s="13"/>
      <c r="M53920" s="13"/>
    </row>
    <row r="53921">
      <c r="F53921" s="13"/>
      <c r="M53921" s="13"/>
    </row>
    <row r="53922">
      <c r="F53922" s="13"/>
      <c r="M53922" s="13"/>
    </row>
    <row r="53923">
      <c r="F53923" s="13"/>
      <c r="M53923" s="13"/>
    </row>
    <row r="53924">
      <c r="F53924" s="13"/>
      <c r="M53924" s="13"/>
    </row>
    <row r="53925">
      <c r="F53925" s="13"/>
      <c r="M53925" s="13"/>
    </row>
    <row r="53926">
      <c r="F53926" s="13"/>
      <c r="M53926" s="13"/>
    </row>
    <row r="53927">
      <c r="F53927" s="13"/>
      <c r="M53927" s="13"/>
    </row>
    <row r="53928">
      <c r="F53928" s="13"/>
      <c r="M53928" s="13"/>
    </row>
    <row r="53929">
      <c r="F53929" s="13"/>
      <c r="M53929" s="13"/>
    </row>
    <row r="53930">
      <c r="F53930" s="13"/>
      <c r="M53930" s="13"/>
    </row>
    <row r="53931">
      <c r="F53931" s="13"/>
      <c r="M53931" s="13"/>
    </row>
    <row r="53932">
      <c r="F53932" s="13"/>
      <c r="M53932" s="13"/>
    </row>
    <row r="53933">
      <c r="F53933" s="13"/>
      <c r="M53933" s="13"/>
    </row>
    <row r="53934">
      <c r="F53934" s="13"/>
      <c r="M53934" s="13"/>
    </row>
    <row r="53935">
      <c r="F53935" s="13"/>
      <c r="M53935" s="13"/>
    </row>
    <row r="53936">
      <c r="F53936" s="13"/>
      <c r="M53936" s="13"/>
    </row>
    <row r="53937">
      <c r="F53937" s="13"/>
      <c r="M53937" s="13"/>
    </row>
    <row r="53938">
      <c r="F53938" s="13"/>
      <c r="M53938" s="13"/>
    </row>
    <row r="53939">
      <c r="F53939" s="13"/>
      <c r="M53939" s="13"/>
    </row>
    <row r="53940">
      <c r="F53940" s="13"/>
      <c r="M53940" s="13"/>
    </row>
    <row r="53941">
      <c r="F53941" s="13"/>
      <c r="M53941" s="13"/>
    </row>
    <row r="53942">
      <c r="F53942" s="13"/>
      <c r="M53942" s="13"/>
    </row>
    <row r="53943">
      <c r="F53943" s="13"/>
      <c r="M53943" s="13"/>
    </row>
    <row r="53944">
      <c r="F53944" s="13"/>
      <c r="M53944" s="13"/>
    </row>
    <row r="53945">
      <c r="F53945" s="13"/>
      <c r="M53945" s="13"/>
    </row>
    <row r="53946">
      <c r="F53946" s="13"/>
      <c r="M53946" s="13"/>
    </row>
    <row r="53947">
      <c r="F53947" s="13"/>
      <c r="M53947" s="13"/>
    </row>
    <row r="53948">
      <c r="F53948" s="13"/>
      <c r="M53948" s="13"/>
    </row>
    <row r="53949">
      <c r="F53949" s="13"/>
      <c r="M53949" s="13"/>
    </row>
    <row r="53950">
      <c r="F53950" s="13"/>
      <c r="M53950" s="13"/>
    </row>
    <row r="53951">
      <c r="F53951" s="13"/>
      <c r="M53951" s="13"/>
    </row>
    <row r="53952">
      <c r="F53952" s="13"/>
      <c r="M53952" s="13"/>
    </row>
    <row r="53953">
      <c r="F53953" s="13"/>
      <c r="M53953" s="13"/>
    </row>
    <row r="53954">
      <c r="F53954" s="13"/>
      <c r="M53954" s="13"/>
    </row>
    <row r="53955">
      <c r="F53955" s="13"/>
      <c r="M53955" s="13"/>
    </row>
    <row r="53956">
      <c r="F53956" s="13"/>
      <c r="M53956" s="13"/>
    </row>
    <row r="53957">
      <c r="F53957" s="13"/>
      <c r="M53957" s="13"/>
    </row>
    <row r="53958">
      <c r="F53958" s="13"/>
      <c r="M53958" s="13"/>
    </row>
    <row r="53959">
      <c r="F53959" s="13"/>
      <c r="M53959" s="13"/>
    </row>
    <row r="53960">
      <c r="F53960" s="13"/>
      <c r="M53960" s="13"/>
    </row>
    <row r="53961">
      <c r="F53961" s="13"/>
      <c r="M53961" s="13"/>
    </row>
    <row r="53962">
      <c r="F53962" s="13"/>
      <c r="M53962" s="13"/>
    </row>
    <row r="53963">
      <c r="F53963" s="13"/>
      <c r="M53963" s="13"/>
    </row>
    <row r="53964">
      <c r="F53964" s="13"/>
      <c r="M53964" s="13"/>
    </row>
    <row r="53965">
      <c r="F53965" s="13"/>
      <c r="M53965" s="13"/>
    </row>
    <row r="53966">
      <c r="F53966" s="13"/>
      <c r="M53966" s="13"/>
    </row>
    <row r="53967">
      <c r="F53967" s="13"/>
      <c r="M53967" s="13"/>
    </row>
    <row r="53968">
      <c r="F53968" s="13"/>
      <c r="M53968" s="13"/>
    </row>
    <row r="53969">
      <c r="F53969" s="13"/>
      <c r="M53969" s="13"/>
    </row>
    <row r="53970">
      <c r="F53970" s="13"/>
      <c r="M53970" s="13"/>
    </row>
    <row r="53971">
      <c r="F53971" s="13"/>
      <c r="M53971" s="13"/>
    </row>
    <row r="53972">
      <c r="F53972" s="13"/>
      <c r="M53972" s="13"/>
    </row>
    <row r="53973">
      <c r="F53973" s="13"/>
      <c r="M53973" s="13"/>
    </row>
    <row r="53974">
      <c r="F53974" s="13"/>
      <c r="M53974" s="13"/>
    </row>
    <row r="53975">
      <c r="F53975" s="13"/>
      <c r="M53975" s="13"/>
    </row>
    <row r="53976">
      <c r="F53976" s="13"/>
      <c r="M53976" s="13"/>
    </row>
    <row r="53977">
      <c r="F53977" s="13"/>
      <c r="M53977" s="13"/>
    </row>
    <row r="53978">
      <c r="F53978" s="13"/>
      <c r="M53978" s="13"/>
    </row>
    <row r="53979">
      <c r="F53979" s="13"/>
      <c r="M53979" s="13"/>
    </row>
    <row r="53980">
      <c r="F53980" s="13"/>
      <c r="M53980" s="13"/>
    </row>
    <row r="53981">
      <c r="F53981" s="13"/>
      <c r="M53981" s="13"/>
    </row>
    <row r="53982">
      <c r="F53982" s="13"/>
      <c r="M53982" s="13"/>
    </row>
    <row r="53983">
      <c r="F53983" s="13"/>
      <c r="M53983" s="13"/>
    </row>
    <row r="53984">
      <c r="F53984" s="13"/>
      <c r="M53984" s="13"/>
    </row>
    <row r="53985">
      <c r="F53985" s="13"/>
      <c r="M53985" s="13"/>
    </row>
    <row r="53986">
      <c r="F53986" s="13"/>
      <c r="M53986" s="13"/>
    </row>
    <row r="53987">
      <c r="F53987" s="13"/>
      <c r="M53987" s="13"/>
    </row>
    <row r="53988">
      <c r="F53988" s="13"/>
      <c r="M53988" s="13"/>
    </row>
    <row r="53989">
      <c r="F53989" s="13"/>
      <c r="M53989" s="13"/>
    </row>
    <row r="53990">
      <c r="F53990" s="13"/>
      <c r="M53990" s="13"/>
    </row>
    <row r="53991">
      <c r="F53991" s="13"/>
      <c r="M53991" s="13"/>
    </row>
    <row r="53992">
      <c r="F53992" s="13"/>
      <c r="M53992" s="13"/>
    </row>
    <row r="53993">
      <c r="F53993" s="13"/>
      <c r="M53993" s="13"/>
    </row>
    <row r="53994">
      <c r="F53994" s="13"/>
      <c r="M53994" s="13"/>
    </row>
    <row r="53995">
      <c r="F53995" s="13"/>
      <c r="M53995" s="13"/>
    </row>
    <row r="53996">
      <c r="F53996" s="13"/>
      <c r="M53996" s="13"/>
    </row>
    <row r="53997">
      <c r="F53997" s="13"/>
      <c r="M53997" s="13"/>
    </row>
    <row r="53998">
      <c r="F53998" s="13"/>
      <c r="M53998" s="13"/>
    </row>
    <row r="53999">
      <c r="F53999" s="13"/>
      <c r="M53999" s="13"/>
    </row>
    <row r="54000">
      <c r="F54000" s="13"/>
      <c r="M54000" s="13"/>
    </row>
    <row r="54001">
      <c r="F54001" s="13"/>
      <c r="M54001" s="13"/>
    </row>
    <row r="54002">
      <c r="F54002" s="13"/>
      <c r="M54002" s="13"/>
    </row>
    <row r="54003">
      <c r="F54003" s="13"/>
      <c r="M54003" s="13"/>
    </row>
    <row r="54004">
      <c r="F54004" s="13"/>
      <c r="M54004" s="13"/>
    </row>
    <row r="54005">
      <c r="F54005" s="13"/>
      <c r="M54005" s="13"/>
    </row>
    <row r="54006">
      <c r="F54006" s="13"/>
      <c r="M54006" s="13"/>
    </row>
    <row r="54007">
      <c r="F54007" s="13"/>
      <c r="M54007" s="13"/>
    </row>
    <row r="54008">
      <c r="F54008" s="13"/>
      <c r="M54008" s="13"/>
    </row>
    <row r="54009">
      <c r="F54009" s="13"/>
      <c r="M54009" s="13"/>
    </row>
    <row r="54010">
      <c r="F54010" s="13"/>
      <c r="M54010" s="13"/>
    </row>
    <row r="54011">
      <c r="F54011" s="13"/>
      <c r="M54011" s="13"/>
    </row>
    <row r="54012">
      <c r="F54012" s="13"/>
      <c r="M54012" s="13"/>
    </row>
    <row r="54013">
      <c r="F54013" s="13"/>
      <c r="M54013" s="13"/>
    </row>
    <row r="54014">
      <c r="F54014" s="13"/>
      <c r="M54014" s="13"/>
    </row>
    <row r="54015">
      <c r="F54015" s="13"/>
      <c r="M54015" s="13"/>
    </row>
    <row r="54016">
      <c r="F54016" s="13"/>
      <c r="M54016" s="13"/>
    </row>
    <row r="54017">
      <c r="F54017" s="13"/>
      <c r="M54017" s="13"/>
    </row>
    <row r="54018">
      <c r="F54018" s="13"/>
      <c r="M54018" s="13"/>
    </row>
    <row r="54019">
      <c r="F54019" s="13"/>
      <c r="M54019" s="13"/>
    </row>
    <row r="54020">
      <c r="F54020" s="13"/>
      <c r="M54020" s="13"/>
    </row>
    <row r="54021">
      <c r="F54021" s="13"/>
      <c r="M54021" s="13"/>
    </row>
    <row r="54022">
      <c r="F54022" s="13"/>
      <c r="M54022" s="13"/>
    </row>
    <row r="54023">
      <c r="F54023" s="13"/>
      <c r="M54023" s="13"/>
    </row>
    <row r="54024">
      <c r="F54024" s="13"/>
      <c r="M54024" s="13"/>
    </row>
    <row r="54025">
      <c r="F54025" s="13"/>
      <c r="M54025" s="13"/>
    </row>
    <row r="54026">
      <c r="F54026" s="13"/>
      <c r="M54026" s="13"/>
    </row>
    <row r="54027">
      <c r="F54027" s="13"/>
      <c r="M54027" s="13"/>
    </row>
    <row r="54028">
      <c r="F54028" s="13"/>
      <c r="M54028" s="13"/>
    </row>
    <row r="54029">
      <c r="F54029" s="13"/>
      <c r="M54029" s="13"/>
    </row>
    <row r="54030">
      <c r="F54030" s="13"/>
      <c r="M54030" s="13"/>
    </row>
    <row r="54031">
      <c r="F54031" s="13"/>
      <c r="M54031" s="13"/>
    </row>
    <row r="54032">
      <c r="F54032" s="13"/>
      <c r="M54032" s="13"/>
    </row>
    <row r="54033">
      <c r="F54033" s="13"/>
      <c r="M54033" s="13"/>
    </row>
    <row r="54034">
      <c r="F54034" s="13"/>
      <c r="M54034" s="13"/>
    </row>
    <row r="54035">
      <c r="F54035" s="13"/>
      <c r="M54035" s="13"/>
    </row>
    <row r="54036">
      <c r="F54036" s="13"/>
      <c r="M54036" s="13"/>
    </row>
    <row r="54037">
      <c r="F54037" s="13"/>
      <c r="M54037" s="13"/>
    </row>
    <row r="54038">
      <c r="F54038" s="13"/>
      <c r="M54038" s="13"/>
    </row>
    <row r="54039">
      <c r="F54039" s="13"/>
      <c r="M54039" s="13"/>
    </row>
    <row r="54040">
      <c r="F54040" s="13"/>
      <c r="M54040" s="13"/>
    </row>
    <row r="54041">
      <c r="F54041" s="13"/>
      <c r="M54041" s="13"/>
    </row>
    <row r="54042">
      <c r="F54042" s="13"/>
      <c r="M54042" s="13"/>
    </row>
    <row r="54043">
      <c r="F54043" s="13"/>
      <c r="M54043" s="13"/>
    </row>
    <row r="54044">
      <c r="F54044" s="13"/>
      <c r="M54044" s="13"/>
    </row>
    <row r="54045">
      <c r="F54045" s="13"/>
      <c r="M54045" s="13"/>
    </row>
    <row r="54046">
      <c r="F54046" s="13"/>
      <c r="M54046" s="13"/>
    </row>
    <row r="54047">
      <c r="F54047" s="13"/>
      <c r="M54047" s="13"/>
    </row>
    <row r="54048">
      <c r="F54048" s="13"/>
      <c r="M54048" s="13"/>
    </row>
    <row r="54049">
      <c r="F54049" s="13"/>
      <c r="M54049" s="13"/>
    </row>
    <row r="54050">
      <c r="F54050" s="13"/>
      <c r="M54050" s="13"/>
    </row>
    <row r="54051">
      <c r="F54051" s="13"/>
      <c r="M54051" s="13"/>
    </row>
    <row r="54052">
      <c r="F54052" s="13"/>
      <c r="M54052" s="13"/>
    </row>
    <row r="54053">
      <c r="F54053" s="13"/>
      <c r="M54053" s="13"/>
    </row>
    <row r="54054">
      <c r="F54054" s="13"/>
      <c r="M54054" s="13"/>
    </row>
    <row r="54055">
      <c r="F54055" s="13"/>
      <c r="M54055" s="13"/>
    </row>
    <row r="54056">
      <c r="F54056" s="13"/>
      <c r="M54056" s="13"/>
    </row>
    <row r="54057">
      <c r="F54057" s="13"/>
      <c r="M54057" s="13"/>
    </row>
    <row r="54058">
      <c r="F54058" s="13"/>
      <c r="M54058" s="13"/>
    </row>
    <row r="54059">
      <c r="F54059" s="13"/>
      <c r="M54059" s="13"/>
    </row>
    <row r="54060">
      <c r="F54060" s="13"/>
      <c r="M54060" s="13"/>
    </row>
    <row r="54061">
      <c r="F54061" s="13"/>
      <c r="M54061" s="13"/>
    </row>
    <row r="54062">
      <c r="F54062" s="13"/>
      <c r="M54062" s="13"/>
    </row>
    <row r="54063">
      <c r="F54063" s="13"/>
      <c r="M54063" s="13"/>
    </row>
    <row r="54064">
      <c r="F54064" s="13"/>
      <c r="M54064" s="13"/>
    </row>
    <row r="54065">
      <c r="F54065" s="13"/>
      <c r="M54065" s="13"/>
    </row>
    <row r="54066">
      <c r="F54066" s="13"/>
      <c r="M54066" s="13"/>
    </row>
    <row r="54067">
      <c r="F54067" s="13"/>
      <c r="M54067" s="13"/>
    </row>
    <row r="54068">
      <c r="F54068" s="13"/>
      <c r="M54068" s="13"/>
    </row>
    <row r="54069">
      <c r="F54069" s="13"/>
      <c r="M54069" s="13"/>
    </row>
    <row r="54070">
      <c r="F54070" s="13"/>
      <c r="M54070" s="13"/>
    </row>
    <row r="54071">
      <c r="F54071" s="13"/>
      <c r="M54071" s="13"/>
    </row>
    <row r="54072">
      <c r="F54072" s="13"/>
      <c r="M54072" s="13"/>
    </row>
    <row r="54073">
      <c r="F54073" s="13"/>
      <c r="M54073" s="13"/>
    </row>
    <row r="54074">
      <c r="F54074" s="13"/>
      <c r="M54074" s="13"/>
    </row>
    <row r="54075">
      <c r="F54075" s="13"/>
      <c r="M54075" s="13"/>
    </row>
    <row r="54076">
      <c r="F54076" s="13"/>
      <c r="M54076" s="13"/>
    </row>
    <row r="54077">
      <c r="F54077" s="13"/>
      <c r="M54077" s="13"/>
    </row>
    <row r="54078">
      <c r="F54078" s="13"/>
      <c r="M54078" s="13"/>
    </row>
    <row r="54079">
      <c r="F54079" s="13"/>
      <c r="M54079" s="13"/>
    </row>
    <row r="54080">
      <c r="F54080" s="13"/>
      <c r="M54080" s="13"/>
    </row>
    <row r="54081">
      <c r="F54081" s="13"/>
      <c r="M54081" s="13"/>
    </row>
    <row r="54082">
      <c r="F54082" s="13"/>
      <c r="M54082" s="13"/>
    </row>
    <row r="54083">
      <c r="F54083" s="13"/>
      <c r="M54083" s="13"/>
    </row>
    <row r="54084">
      <c r="F54084" s="13"/>
      <c r="M54084" s="13"/>
    </row>
    <row r="54085">
      <c r="F54085" s="13"/>
      <c r="M54085" s="13"/>
    </row>
    <row r="54086">
      <c r="F54086" s="13"/>
      <c r="M54086" s="13"/>
    </row>
    <row r="54087">
      <c r="F54087" s="13"/>
      <c r="M54087" s="13"/>
    </row>
    <row r="54088">
      <c r="F54088" s="13"/>
      <c r="M54088" s="13"/>
    </row>
    <row r="54089">
      <c r="F54089" s="13"/>
      <c r="M54089" s="13"/>
    </row>
    <row r="54090">
      <c r="F54090" s="13"/>
      <c r="M54090" s="13"/>
    </row>
    <row r="54091">
      <c r="F54091" s="13"/>
      <c r="M54091" s="13"/>
    </row>
    <row r="54092">
      <c r="F54092" s="13"/>
      <c r="M54092" s="13"/>
    </row>
    <row r="54093">
      <c r="F54093" s="13"/>
      <c r="M54093" s="13"/>
    </row>
    <row r="54094">
      <c r="F54094" s="13"/>
      <c r="M54094" s="13"/>
    </row>
    <row r="54095">
      <c r="F54095" s="13"/>
      <c r="M54095" s="13"/>
    </row>
    <row r="54096">
      <c r="F54096" s="13"/>
      <c r="M54096" s="13"/>
    </row>
    <row r="54097">
      <c r="F54097" s="13"/>
      <c r="M54097" s="13"/>
    </row>
    <row r="54098">
      <c r="F54098" s="13"/>
      <c r="M54098" s="13"/>
    </row>
    <row r="54099">
      <c r="F54099" s="13"/>
      <c r="M54099" s="13"/>
    </row>
    <row r="54100">
      <c r="F54100" s="13"/>
      <c r="M54100" s="13"/>
    </row>
    <row r="54101">
      <c r="F54101" s="13"/>
      <c r="M54101" s="13"/>
    </row>
    <row r="54102">
      <c r="F54102" s="13"/>
      <c r="M54102" s="13"/>
    </row>
    <row r="54103">
      <c r="F54103" s="13"/>
      <c r="M54103" s="13"/>
    </row>
    <row r="54104">
      <c r="F54104" s="13"/>
      <c r="M54104" s="13"/>
    </row>
    <row r="54105">
      <c r="F54105" s="13"/>
      <c r="M54105" s="13"/>
    </row>
    <row r="54106">
      <c r="F54106" s="13"/>
      <c r="M54106" s="13"/>
    </row>
    <row r="54107">
      <c r="F54107" s="13"/>
      <c r="M54107" s="13"/>
    </row>
    <row r="54108">
      <c r="F54108" s="13"/>
      <c r="M54108" s="13"/>
    </row>
    <row r="54109">
      <c r="F54109" s="13"/>
      <c r="M54109" s="13"/>
    </row>
    <row r="54110">
      <c r="F54110" s="13"/>
      <c r="M54110" s="13"/>
    </row>
    <row r="54111">
      <c r="F54111" s="13"/>
      <c r="M54111" s="13"/>
    </row>
    <row r="54112">
      <c r="F54112" s="13"/>
      <c r="M54112" s="13"/>
    </row>
    <row r="54113">
      <c r="F54113" s="13"/>
      <c r="M54113" s="13"/>
    </row>
    <row r="54114">
      <c r="F54114" s="13"/>
      <c r="M54114" s="13"/>
    </row>
    <row r="54115">
      <c r="F54115" s="13"/>
      <c r="M54115" s="13"/>
    </row>
    <row r="54116">
      <c r="F54116" s="13"/>
      <c r="M54116" s="13"/>
    </row>
    <row r="54117">
      <c r="F54117" s="13"/>
      <c r="M54117" s="13"/>
    </row>
    <row r="54118">
      <c r="F54118" s="13"/>
      <c r="M54118" s="13"/>
    </row>
    <row r="54119">
      <c r="F54119" s="13"/>
      <c r="M54119" s="13"/>
    </row>
    <row r="54120">
      <c r="F54120" s="13"/>
      <c r="M54120" s="13"/>
    </row>
    <row r="54121">
      <c r="F54121" s="13"/>
      <c r="M54121" s="13"/>
    </row>
    <row r="54122">
      <c r="F54122" s="13"/>
      <c r="M54122" s="13"/>
    </row>
    <row r="54123">
      <c r="F54123" s="13"/>
      <c r="M54123" s="13"/>
    </row>
    <row r="54124">
      <c r="F54124" s="13"/>
      <c r="M54124" s="13"/>
    </row>
    <row r="54125">
      <c r="F54125" s="13"/>
      <c r="M54125" s="13"/>
    </row>
    <row r="54126">
      <c r="F54126" s="13"/>
      <c r="M54126" s="13"/>
    </row>
    <row r="54127">
      <c r="F54127" s="13"/>
      <c r="M54127" s="13"/>
    </row>
    <row r="54128">
      <c r="F54128" s="13"/>
      <c r="M54128" s="13"/>
    </row>
    <row r="54129">
      <c r="F54129" s="13"/>
      <c r="M54129" s="13"/>
    </row>
    <row r="54130">
      <c r="F54130" s="13"/>
      <c r="M54130" s="13"/>
    </row>
    <row r="54131">
      <c r="F54131" s="13"/>
      <c r="M54131" s="13"/>
    </row>
    <row r="54132">
      <c r="F54132" s="13"/>
      <c r="M54132" s="13"/>
    </row>
    <row r="54133">
      <c r="F54133" s="13"/>
      <c r="M54133" s="13"/>
    </row>
    <row r="54134">
      <c r="F54134" s="13"/>
      <c r="M54134" s="13"/>
    </row>
    <row r="54135">
      <c r="F54135" s="13"/>
      <c r="M54135" s="13"/>
    </row>
    <row r="54136">
      <c r="F54136" s="13"/>
      <c r="M54136" s="13"/>
    </row>
    <row r="54137">
      <c r="F54137" s="13"/>
      <c r="M54137" s="13"/>
    </row>
    <row r="54138">
      <c r="F54138" s="13"/>
      <c r="M54138" s="13"/>
    </row>
    <row r="54139">
      <c r="F54139" s="13"/>
      <c r="M54139" s="13"/>
    </row>
    <row r="54140">
      <c r="F54140" s="13"/>
      <c r="M54140" s="13"/>
    </row>
    <row r="54141">
      <c r="F54141" s="13"/>
      <c r="M54141" s="13"/>
    </row>
    <row r="54142">
      <c r="F54142" s="13"/>
      <c r="M54142" s="13"/>
    </row>
    <row r="54143">
      <c r="F54143" s="13"/>
      <c r="M54143" s="13"/>
    </row>
    <row r="54144">
      <c r="F54144" s="13"/>
      <c r="M54144" s="13"/>
    </row>
    <row r="54145">
      <c r="F54145" s="13"/>
      <c r="M54145" s="13"/>
    </row>
    <row r="54146">
      <c r="F54146" s="13"/>
      <c r="M54146" s="13"/>
    </row>
    <row r="54147">
      <c r="F54147" s="13"/>
      <c r="M54147" s="13"/>
    </row>
    <row r="54148">
      <c r="F54148" s="13"/>
      <c r="M54148" s="13"/>
    </row>
    <row r="54149">
      <c r="F54149" s="13"/>
      <c r="M54149" s="13"/>
    </row>
    <row r="54150">
      <c r="F54150" s="13"/>
      <c r="M54150" s="13"/>
    </row>
    <row r="54151">
      <c r="F54151" s="13"/>
      <c r="M54151" s="13"/>
    </row>
    <row r="54152">
      <c r="F54152" s="13"/>
      <c r="M54152" s="13"/>
    </row>
    <row r="54153">
      <c r="F54153" s="13"/>
      <c r="M54153" s="13"/>
    </row>
    <row r="54154">
      <c r="F54154" s="13"/>
      <c r="M54154" s="13"/>
    </row>
    <row r="54155">
      <c r="F54155" s="13"/>
      <c r="M54155" s="13"/>
    </row>
    <row r="54156">
      <c r="F54156" s="13"/>
      <c r="M54156" s="13"/>
    </row>
    <row r="54157">
      <c r="F54157" s="13"/>
      <c r="M54157" s="13"/>
    </row>
    <row r="54158">
      <c r="F54158" s="13"/>
      <c r="M54158" s="13"/>
    </row>
    <row r="54159">
      <c r="F54159" s="13"/>
      <c r="M54159" s="13"/>
    </row>
    <row r="54160">
      <c r="F54160" s="13"/>
      <c r="M54160" s="13"/>
    </row>
    <row r="54161">
      <c r="F54161" s="13"/>
      <c r="M54161" s="13"/>
    </row>
    <row r="54162">
      <c r="F54162" s="13"/>
      <c r="M54162" s="13"/>
    </row>
    <row r="54163">
      <c r="F54163" s="13"/>
      <c r="M54163" s="13"/>
    </row>
    <row r="54164">
      <c r="F54164" s="13"/>
      <c r="M54164" s="13"/>
    </row>
    <row r="54165">
      <c r="F54165" s="13"/>
      <c r="M54165" s="13"/>
    </row>
    <row r="54166">
      <c r="F54166" s="13"/>
      <c r="M54166" s="13"/>
    </row>
    <row r="54167">
      <c r="F54167" s="13"/>
      <c r="M54167" s="13"/>
    </row>
    <row r="54168">
      <c r="F54168" s="13"/>
      <c r="M54168" s="13"/>
    </row>
    <row r="54169">
      <c r="F54169" s="13"/>
      <c r="M54169" s="13"/>
    </row>
    <row r="54170">
      <c r="F54170" s="13"/>
      <c r="M54170" s="13"/>
    </row>
    <row r="54171">
      <c r="F54171" s="13"/>
      <c r="M54171" s="13"/>
    </row>
    <row r="54172">
      <c r="F54172" s="13"/>
      <c r="M54172" s="13"/>
    </row>
    <row r="54173">
      <c r="F54173" s="13"/>
      <c r="M54173" s="13"/>
    </row>
    <row r="54174">
      <c r="F54174" s="13"/>
      <c r="M54174" s="13"/>
    </row>
    <row r="54175">
      <c r="F54175" s="13"/>
      <c r="M54175" s="13"/>
    </row>
    <row r="54176">
      <c r="F54176" s="13"/>
      <c r="M54176" s="13"/>
    </row>
    <row r="54177">
      <c r="F54177" s="13"/>
      <c r="M54177" s="13"/>
    </row>
    <row r="54178">
      <c r="F54178" s="13"/>
      <c r="M54178" s="13"/>
    </row>
    <row r="54179">
      <c r="F54179" s="13"/>
      <c r="M54179" s="13"/>
    </row>
    <row r="54180">
      <c r="F54180" s="13"/>
      <c r="M54180" s="13"/>
    </row>
    <row r="54181">
      <c r="F54181" s="13"/>
      <c r="M54181" s="13"/>
    </row>
    <row r="54182">
      <c r="F54182" s="13"/>
      <c r="M54182" s="13"/>
    </row>
    <row r="54183">
      <c r="F54183" s="13"/>
      <c r="M54183" s="13"/>
    </row>
    <row r="54184">
      <c r="F54184" s="13"/>
      <c r="M54184" s="13"/>
    </row>
    <row r="54185">
      <c r="F54185" s="13"/>
      <c r="M54185" s="13"/>
    </row>
    <row r="54186">
      <c r="F54186" s="13"/>
      <c r="M54186" s="13"/>
    </row>
    <row r="54187">
      <c r="F54187" s="13"/>
      <c r="M54187" s="13"/>
    </row>
    <row r="54188">
      <c r="F54188" s="13"/>
      <c r="M54188" s="13"/>
    </row>
    <row r="54189">
      <c r="F54189" s="13"/>
      <c r="M54189" s="13"/>
    </row>
    <row r="54190">
      <c r="F54190" s="13"/>
      <c r="M54190" s="13"/>
    </row>
    <row r="54191">
      <c r="F54191" s="13"/>
      <c r="M54191" s="13"/>
    </row>
    <row r="54192">
      <c r="F54192" s="13"/>
      <c r="M54192" s="13"/>
    </row>
    <row r="54193">
      <c r="F54193" s="13"/>
      <c r="M54193" s="13"/>
    </row>
    <row r="54194">
      <c r="F54194" s="13"/>
      <c r="M54194" s="13"/>
    </row>
    <row r="54195">
      <c r="F54195" s="13"/>
      <c r="M54195" s="13"/>
    </row>
    <row r="54196">
      <c r="F54196" s="13"/>
      <c r="M54196" s="13"/>
    </row>
    <row r="54197">
      <c r="F54197" s="13"/>
      <c r="M54197" s="13"/>
    </row>
    <row r="54198">
      <c r="F54198" s="13"/>
      <c r="M54198" s="13"/>
    </row>
    <row r="54199">
      <c r="F54199" s="13"/>
      <c r="M54199" s="13"/>
    </row>
    <row r="54200">
      <c r="F54200" s="13"/>
      <c r="M54200" s="13"/>
    </row>
    <row r="54201">
      <c r="F54201" s="13"/>
      <c r="M54201" s="13"/>
    </row>
    <row r="54202">
      <c r="F54202" s="13"/>
      <c r="M54202" s="13"/>
    </row>
    <row r="54203">
      <c r="F54203" s="13"/>
      <c r="M54203" s="13"/>
    </row>
    <row r="54204">
      <c r="F54204" s="13"/>
      <c r="M54204" s="13"/>
    </row>
    <row r="54205">
      <c r="F54205" s="13"/>
      <c r="M54205" s="13"/>
    </row>
    <row r="54206">
      <c r="F54206" s="13"/>
      <c r="M54206" s="13"/>
    </row>
    <row r="54207">
      <c r="F54207" s="13"/>
      <c r="M54207" s="13"/>
    </row>
    <row r="54208">
      <c r="F54208" s="13"/>
      <c r="M54208" s="13"/>
    </row>
    <row r="54209">
      <c r="F54209" s="13"/>
      <c r="M54209" s="13"/>
    </row>
    <row r="54210">
      <c r="F54210" s="13"/>
      <c r="M54210" s="13"/>
    </row>
    <row r="54211">
      <c r="F54211" s="13"/>
      <c r="M54211" s="13"/>
    </row>
    <row r="54212">
      <c r="F54212" s="13"/>
      <c r="M54212" s="13"/>
    </row>
    <row r="54213">
      <c r="F54213" s="13"/>
      <c r="M54213" s="13"/>
    </row>
    <row r="54214">
      <c r="F54214" s="13"/>
      <c r="M54214" s="13"/>
    </row>
    <row r="54215">
      <c r="F54215" s="13"/>
      <c r="M54215" s="13"/>
    </row>
    <row r="54216">
      <c r="F54216" s="13"/>
      <c r="M54216" s="13"/>
    </row>
    <row r="54217">
      <c r="F54217" s="13"/>
      <c r="M54217" s="13"/>
    </row>
    <row r="54218">
      <c r="F54218" s="13"/>
      <c r="M54218" s="13"/>
    </row>
    <row r="54219">
      <c r="F54219" s="13"/>
      <c r="M54219" s="13"/>
    </row>
    <row r="54220">
      <c r="F54220" s="13"/>
      <c r="M54220" s="13"/>
    </row>
    <row r="54221">
      <c r="F54221" s="13"/>
      <c r="M54221" s="13"/>
    </row>
    <row r="54222">
      <c r="F54222" s="13"/>
      <c r="M54222" s="13"/>
    </row>
    <row r="54223">
      <c r="F54223" s="13"/>
      <c r="M54223" s="13"/>
    </row>
    <row r="54224">
      <c r="F54224" s="13"/>
      <c r="M54224" s="13"/>
    </row>
    <row r="54225">
      <c r="F54225" s="13"/>
      <c r="M54225" s="13"/>
    </row>
    <row r="54226">
      <c r="F54226" s="13"/>
      <c r="M54226" s="13"/>
    </row>
    <row r="54227">
      <c r="F54227" s="13"/>
      <c r="M54227" s="13"/>
    </row>
    <row r="54228">
      <c r="F54228" s="13"/>
      <c r="M54228" s="13"/>
    </row>
    <row r="54229">
      <c r="F54229" s="13"/>
      <c r="M54229" s="13"/>
    </row>
    <row r="54230">
      <c r="F54230" s="13"/>
      <c r="M54230" s="13"/>
    </row>
    <row r="54231">
      <c r="F54231" s="13"/>
      <c r="M54231" s="13"/>
    </row>
    <row r="54232">
      <c r="F54232" s="13"/>
      <c r="M54232" s="13"/>
    </row>
    <row r="54233">
      <c r="F54233" s="13"/>
      <c r="M54233" s="13"/>
    </row>
    <row r="54234">
      <c r="F54234" s="13"/>
      <c r="M54234" s="13"/>
    </row>
    <row r="54235">
      <c r="F54235" s="13"/>
      <c r="M54235" s="13"/>
    </row>
    <row r="54236">
      <c r="F54236" s="13"/>
      <c r="M54236" s="13"/>
    </row>
    <row r="54237">
      <c r="F54237" s="13"/>
      <c r="M54237" s="13"/>
    </row>
    <row r="54238">
      <c r="F54238" s="13"/>
      <c r="M54238" s="13"/>
    </row>
    <row r="54239">
      <c r="F54239" s="13"/>
      <c r="M54239" s="13"/>
    </row>
    <row r="54240">
      <c r="F54240" s="13"/>
      <c r="M54240" s="13"/>
    </row>
    <row r="54241">
      <c r="F54241" s="13"/>
      <c r="M54241" s="13"/>
    </row>
    <row r="54242">
      <c r="F54242" s="13"/>
      <c r="M54242" s="13"/>
    </row>
    <row r="54243">
      <c r="F54243" s="13"/>
      <c r="M54243" s="13"/>
    </row>
    <row r="54244">
      <c r="F54244" s="13"/>
      <c r="M54244" s="13"/>
    </row>
    <row r="54245">
      <c r="F54245" s="13"/>
      <c r="M54245" s="13"/>
    </row>
    <row r="54246">
      <c r="F54246" s="13"/>
      <c r="M54246" s="13"/>
    </row>
    <row r="54247">
      <c r="F54247" s="13"/>
      <c r="M54247" s="13"/>
    </row>
    <row r="54248">
      <c r="F54248" s="13"/>
      <c r="M54248" s="13"/>
    </row>
    <row r="54249">
      <c r="F54249" s="13"/>
      <c r="M54249" s="13"/>
    </row>
    <row r="54250">
      <c r="F54250" s="13"/>
      <c r="M54250" s="13"/>
    </row>
    <row r="54251">
      <c r="F54251" s="13"/>
      <c r="M54251" s="13"/>
    </row>
    <row r="54252">
      <c r="F54252" s="13"/>
      <c r="M54252" s="13"/>
    </row>
    <row r="54253">
      <c r="F54253" s="13"/>
      <c r="M54253" s="13"/>
    </row>
    <row r="54254">
      <c r="F54254" s="13"/>
      <c r="M54254" s="13"/>
    </row>
    <row r="54255">
      <c r="F54255" s="13"/>
      <c r="M54255" s="13"/>
    </row>
    <row r="54256">
      <c r="F54256" s="13"/>
      <c r="M54256" s="13"/>
    </row>
    <row r="54257">
      <c r="F54257" s="13"/>
      <c r="M54257" s="13"/>
    </row>
    <row r="54258">
      <c r="F54258" s="13"/>
      <c r="M54258" s="13"/>
    </row>
    <row r="54259">
      <c r="F54259" s="13"/>
      <c r="M54259" s="13"/>
    </row>
    <row r="54260">
      <c r="F54260" s="13"/>
      <c r="M54260" s="13"/>
    </row>
    <row r="54261">
      <c r="F54261" s="13"/>
      <c r="M54261" s="13"/>
    </row>
    <row r="54262">
      <c r="F54262" s="13"/>
      <c r="M54262" s="13"/>
    </row>
    <row r="54263">
      <c r="F54263" s="13"/>
      <c r="M54263" s="13"/>
    </row>
    <row r="54264">
      <c r="F54264" s="13"/>
      <c r="M54264" s="13"/>
    </row>
    <row r="54265">
      <c r="F54265" s="13"/>
      <c r="M54265" s="13"/>
    </row>
    <row r="54266">
      <c r="F54266" s="13"/>
      <c r="M54266" s="13"/>
    </row>
    <row r="54267">
      <c r="F54267" s="13"/>
      <c r="M54267" s="13"/>
    </row>
    <row r="54268">
      <c r="F54268" s="13"/>
      <c r="M54268" s="13"/>
    </row>
    <row r="54269">
      <c r="F54269" s="13"/>
      <c r="M54269" s="13"/>
    </row>
    <row r="54270">
      <c r="F54270" s="13"/>
      <c r="M54270" s="13"/>
    </row>
    <row r="54271">
      <c r="F54271" s="13"/>
      <c r="M54271" s="13"/>
    </row>
    <row r="54272">
      <c r="F54272" s="13"/>
      <c r="M54272" s="13"/>
    </row>
    <row r="54273">
      <c r="F54273" s="13"/>
      <c r="M54273" s="13"/>
    </row>
    <row r="54274">
      <c r="F54274" s="13"/>
      <c r="M54274" s="13"/>
    </row>
    <row r="54275">
      <c r="F54275" s="13"/>
      <c r="M54275" s="13"/>
    </row>
    <row r="54276">
      <c r="F54276" s="13"/>
      <c r="M54276" s="13"/>
    </row>
    <row r="54277">
      <c r="F54277" s="13"/>
      <c r="M54277" s="13"/>
    </row>
    <row r="54278">
      <c r="F54278" s="13"/>
      <c r="M54278" s="13"/>
    </row>
    <row r="54279">
      <c r="F54279" s="13"/>
      <c r="M54279" s="13"/>
    </row>
    <row r="54280">
      <c r="F54280" s="13"/>
      <c r="M54280" s="13"/>
    </row>
    <row r="54281">
      <c r="F54281" s="13"/>
      <c r="M54281" s="13"/>
    </row>
    <row r="54282">
      <c r="F54282" s="13"/>
      <c r="M54282" s="13"/>
    </row>
    <row r="54283">
      <c r="F54283" s="13"/>
      <c r="M54283" s="13"/>
    </row>
    <row r="54284">
      <c r="F54284" s="13"/>
      <c r="M54284" s="13"/>
    </row>
    <row r="54285">
      <c r="F54285" s="13"/>
      <c r="M54285" s="13"/>
    </row>
    <row r="54286">
      <c r="F54286" s="13"/>
      <c r="M54286" s="13"/>
    </row>
    <row r="54287">
      <c r="F54287" s="13"/>
      <c r="M54287" s="13"/>
    </row>
    <row r="54288">
      <c r="F54288" s="13"/>
      <c r="M54288" s="13"/>
    </row>
    <row r="54289">
      <c r="F54289" s="13"/>
      <c r="M54289" s="13"/>
    </row>
    <row r="54290">
      <c r="F54290" s="13"/>
      <c r="M54290" s="13"/>
    </row>
    <row r="54291">
      <c r="F54291" s="13"/>
      <c r="M54291" s="13"/>
    </row>
    <row r="54292">
      <c r="F54292" s="13"/>
      <c r="M54292" s="13"/>
    </row>
    <row r="54293">
      <c r="F54293" s="13"/>
      <c r="M54293" s="13"/>
    </row>
    <row r="54294">
      <c r="F54294" s="13"/>
      <c r="M54294" s="13"/>
    </row>
    <row r="54295">
      <c r="F54295" s="13"/>
      <c r="M54295" s="13"/>
    </row>
    <row r="54296">
      <c r="F54296" s="13"/>
      <c r="M54296" s="13"/>
    </row>
    <row r="54297">
      <c r="F54297" s="13"/>
      <c r="M54297" s="13"/>
    </row>
    <row r="54298">
      <c r="F54298" s="13"/>
      <c r="M54298" s="13"/>
    </row>
    <row r="54299">
      <c r="F54299" s="13"/>
      <c r="M54299" s="13"/>
    </row>
    <row r="54300">
      <c r="F54300" s="13"/>
      <c r="M54300" s="13"/>
    </row>
    <row r="54301">
      <c r="F54301" s="13"/>
      <c r="M54301" s="13"/>
    </row>
    <row r="54302">
      <c r="F54302" s="13"/>
      <c r="M54302" s="13"/>
    </row>
    <row r="54303">
      <c r="F54303" s="13"/>
      <c r="M54303" s="13"/>
    </row>
    <row r="54304">
      <c r="F54304" s="13"/>
      <c r="M54304" s="13"/>
    </row>
    <row r="54305">
      <c r="F54305" s="13"/>
      <c r="M54305" s="13"/>
    </row>
    <row r="54306">
      <c r="F54306" s="13"/>
      <c r="M54306" s="13"/>
    </row>
    <row r="54307">
      <c r="F54307" s="13"/>
      <c r="M54307" s="13"/>
    </row>
    <row r="54308">
      <c r="F54308" s="13"/>
      <c r="M54308" s="13"/>
    </row>
    <row r="54309">
      <c r="F54309" s="13"/>
      <c r="M54309" s="13"/>
    </row>
    <row r="54310">
      <c r="F54310" s="13"/>
      <c r="M54310" s="13"/>
    </row>
    <row r="54311">
      <c r="F54311" s="13"/>
      <c r="M54311" s="13"/>
    </row>
    <row r="54312">
      <c r="F54312" s="13"/>
      <c r="M54312" s="13"/>
    </row>
    <row r="54313">
      <c r="F54313" s="13"/>
      <c r="M54313" s="13"/>
    </row>
    <row r="54314">
      <c r="F54314" s="13"/>
      <c r="M54314" s="13"/>
    </row>
    <row r="54315">
      <c r="F54315" s="13"/>
      <c r="M54315" s="13"/>
    </row>
    <row r="54316">
      <c r="F54316" s="13"/>
      <c r="M54316" s="13"/>
    </row>
    <row r="54317">
      <c r="F54317" s="13"/>
      <c r="M54317" s="13"/>
    </row>
    <row r="54318">
      <c r="F54318" s="13"/>
      <c r="M54318" s="13"/>
    </row>
    <row r="54319">
      <c r="F54319" s="13"/>
      <c r="M54319" s="13"/>
    </row>
    <row r="54320">
      <c r="F54320" s="13"/>
      <c r="M54320" s="13"/>
    </row>
    <row r="54321">
      <c r="F54321" s="13"/>
      <c r="M54321" s="13"/>
    </row>
    <row r="54322">
      <c r="F54322" s="13"/>
      <c r="M54322" s="13"/>
    </row>
    <row r="54323">
      <c r="F54323" s="13"/>
      <c r="M54323" s="13"/>
    </row>
    <row r="54324">
      <c r="F54324" s="13"/>
      <c r="M54324" s="13"/>
    </row>
    <row r="54325">
      <c r="F54325" s="13"/>
      <c r="M54325" s="13"/>
    </row>
    <row r="54326">
      <c r="F54326" s="13"/>
      <c r="M54326" s="13"/>
    </row>
    <row r="54327">
      <c r="F54327" s="13"/>
      <c r="M54327" s="13"/>
    </row>
    <row r="54328">
      <c r="F54328" s="13"/>
      <c r="M54328" s="13"/>
    </row>
    <row r="54329">
      <c r="F54329" s="13"/>
      <c r="M54329" s="13"/>
    </row>
    <row r="54330">
      <c r="F54330" s="13"/>
      <c r="M54330" s="13"/>
    </row>
    <row r="54331">
      <c r="F54331" s="13"/>
      <c r="M54331" s="13"/>
    </row>
    <row r="54332">
      <c r="F54332" s="13"/>
      <c r="M54332" s="13"/>
    </row>
    <row r="54333">
      <c r="F54333" s="13"/>
      <c r="M54333" s="13"/>
    </row>
    <row r="54334">
      <c r="F54334" s="13"/>
      <c r="M54334" s="13"/>
    </row>
    <row r="54335">
      <c r="F54335" s="13"/>
      <c r="M54335" s="13"/>
    </row>
    <row r="54336">
      <c r="F54336" s="13"/>
      <c r="M54336" s="13"/>
    </row>
    <row r="54337">
      <c r="F54337" s="13"/>
      <c r="M54337" s="13"/>
    </row>
    <row r="54338">
      <c r="F54338" s="13"/>
      <c r="M54338" s="13"/>
    </row>
    <row r="54339">
      <c r="F54339" s="13"/>
      <c r="M54339" s="13"/>
    </row>
    <row r="54340">
      <c r="F54340" s="13"/>
      <c r="M54340" s="13"/>
    </row>
    <row r="54341">
      <c r="F54341" s="13"/>
      <c r="M54341" s="13"/>
    </row>
    <row r="54342">
      <c r="F54342" s="13"/>
      <c r="M54342" s="13"/>
    </row>
    <row r="54343">
      <c r="F54343" s="13"/>
      <c r="M54343" s="13"/>
    </row>
    <row r="54344">
      <c r="F54344" s="13"/>
      <c r="M54344" s="13"/>
    </row>
    <row r="54345">
      <c r="F54345" s="13"/>
      <c r="M54345" s="13"/>
    </row>
    <row r="54346">
      <c r="F54346" s="13"/>
      <c r="M54346" s="13"/>
    </row>
    <row r="54347">
      <c r="F54347" s="13"/>
      <c r="M54347" s="13"/>
    </row>
    <row r="54348">
      <c r="F54348" s="13"/>
      <c r="M54348" s="13"/>
    </row>
    <row r="54349">
      <c r="F54349" s="13"/>
      <c r="M54349" s="13"/>
    </row>
    <row r="54350">
      <c r="F54350" s="13"/>
      <c r="M54350" s="13"/>
    </row>
    <row r="54351">
      <c r="F54351" s="13"/>
      <c r="M54351" s="13"/>
    </row>
    <row r="54352">
      <c r="F54352" s="13"/>
      <c r="M54352" s="13"/>
    </row>
    <row r="54353">
      <c r="F54353" s="13"/>
      <c r="M54353" s="13"/>
    </row>
    <row r="54354">
      <c r="F54354" s="13"/>
      <c r="M54354" s="13"/>
    </row>
    <row r="54355">
      <c r="F54355" s="13"/>
      <c r="M54355" s="13"/>
    </row>
    <row r="54356">
      <c r="F54356" s="13"/>
      <c r="M54356" s="13"/>
    </row>
    <row r="54357">
      <c r="F54357" s="13"/>
      <c r="M54357" s="13"/>
    </row>
    <row r="54358">
      <c r="F54358" s="13"/>
      <c r="M54358" s="13"/>
    </row>
    <row r="54359">
      <c r="F54359" s="13"/>
      <c r="M54359" s="13"/>
    </row>
    <row r="54360">
      <c r="F54360" s="13"/>
      <c r="M54360" s="13"/>
    </row>
    <row r="54361">
      <c r="F54361" s="13"/>
      <c r="M54361" s="13"/>
    </row>
    <row r="54362">
      <c r="F54362" s="13"/>
      <c r="M54362" s="13"/>
    </row>
    <row r="54363">
      <c r="F54363" s="13"/>
      <c r="M54363" s="13"/>
    </row>
    <row r="54364">
      <c r="F54364" s="13"/>
      <c r="M54364" s="13"/>
    </row>
    <row r="54365">
      <c r="F54365" s="13"/>
      <c r="M54365" s="13"/>
    </row>
    <row r="54366">
      <c r="F54366" s="13"/>
      <c r="M54366" s="13"/>
    </row>
    <row r="54367">
      <c r="F54367" s="13"/>
      <c r="M54367" s="13"/>
    </row>
    <row r="54368">
      <c r="F54368" s="13"/>
      <c r="M54368" s="13"/>
    </row>
    <row r="54369">
      <c r="F54369" s="13"/>
      <c r="M54369" s="13"/>
    </row>
    <row r="54370">
      <c r="F54370" s="13"/>
      <c r="M54370" s="13"/>
    </row>
    <row r="54371">
      <c r="F54371" s="13"/>
      <c r="M54371" s="13"/>
    </row>
    <row r="54372">
      <c r="F54372" s="13"/>
      <c r="M54372" s="13"/>
    </row>
    <row r="54373">
      <c r="F54373" s="13"/>
      <c r="M54373" s="13"/>
    </row>
    <row r="54374">
      <c r="F54374" s="13"/>
      <c r="M54374" s="13"/>
    </row>
    <row r="54375">
      <c r="F54375" s="13"/>
      <c r="M54375" s="13"/>
    </row>
    <row r="54376">
      <c r="F54376" s="13"/>
      <c r="M54376" s="13"/>
    </row>
    <row r="54377">
      <c r="F54377" s="13"/>
      <c r="M54377" s="13"/>
    </row>
    <row r="54378">
      <c r="F54378" s="13"/>
      <c r="M54378" s="13"/>
    </row>
    <row r="54379">
      <c r="F54379" s="13"/>
      <c r="M54379" s="13"/>
    </row>
    <row r="54380">
      <c r="F54380" s="13"/>
      <c r="M54380" s="13"/>
    </row>
    <row r="54381">
      <c r="F54381" s="13"/>
      <c r="M54381" s="13"/>
    </row>
    <row r="54382">
      <c r="F54382" s="13"/>
      <c r="M54382" s="13"/>
    </row>
    <row r="54383">
      <c r="F54383" s="13"/>
      <c r="M54383" s="13"/>
    </row>
    <row r="54384">
      <c r="F54384" s="13"/>
      <c r="M54384" s="13"/>
    </row>
    <row r="54385">
      <c r="F54385" s="13"/>
      <c r="M54385" s="13"/>
    </row>
    <row r="54386">
      <c r="F54386" s="13"/>
      <c r="M54386" s="13"/>
    </row>
    <row r="54387">
      <c r="F54387" s="13"/>
      <c r="M54387" s="13"/>
    </row>
    <row r="54388">
      <c r="F54388" s="13"/>
      <c r="M54388" s="13"/>
    </row>
    <row r="54389">
      <c r="F54389" s="13"/>
      <c r="M54389" s="13"/>
    </row>
    <row r="54390">
      <c r="F54390" s="13"/>
      <c r="M54390" s="13"/>
    </row>
    <row r="54391">
      <c r="F54391" s="13"/>
      <c r="M54391" s="13"/>
    </row>
    <row r="54392">
      <c r="F54392" s="13"/>
      <c r="M54392" s="13"/>
    </row>
    <row r="54393">
      <c r="F54393" s="13"/>
      <c r="M54393" s="13"/>
    </row>
    <row r="54394">
      <c r="F54394" s="13"/>
      <c r="M54394" s="13"/>
    </row>
    <row r="54395">
      <c r="F54395" s="13"/>
      <c r="M54395" s="13"/>
    </row>
    <row r="54396">
      <c r="F54396" s="13"/>
      <c r="M54396" s="13"/>
    </row>
    <row r="54397">
      <c r="F54397" s="13"/>
      <c r="M54397" s="13"/>
    </row>
    <row r="54398">
      <c r="F54398" s="13"/>
      <c r="M54398" s="13"/>
    </row>
    <row r="54399">
      <c r="F54399" s="13"/>
      <c r="M54399" s="13"/>
    </row>
    <row r="54400">
      <c r="F54400" s="13"/>
      <c r="M54400" s="13"/>
    </row>
    <row r="54401">
      <c r="F54401" s="13"/>
      <c r="M54401" s="13"/>
    </row>
    <row r="54402">
      <c r="F54402" s="13"/>
      <c r="M54402" s="13"/>
    </row>
    <row r="54403">
      <c r="F54403" s="13"/>
      <c r="M54403" s="13"/>
    </row>
    <row r="54404">
      <c r="F54404" s="13"/>
      <c r="M54404" s="13"/>
    </row>
    <row r="54405">
      <c r="F54405" s="13"/>
      <c r="M54405" s="13"/>
    </row>
    <row r="54406">
      <c r="F54406" s="13"/>
      <c r="M54406" s="13"/>
    </row>
    <row r="54407">
      <c r="F54407" s="13"/>
      <c r="M54407" s="13"/>
    </row>
    <row r="54408">
      <c r="F54408" s="13"/>
      <c r="M54408" s="13"/>
    </row>
    <row r="54409">
      <c r="F54409" s="13"/>
      <c r="M54409" s="13"/>
    </row>
    <row r="54410">
      <c r="F54410" s="13"/>
      <c r="M54410" s="13"/>
    </row>
    <row r="54411">
      <c r="F54411" s="13"/>
      <c r="M54411" s="13"/>
    </row>
    <row r="54412">
      <c r="F54412" s="13"/>
      <c r="M54412" s="13"/>
    </row>
    <row r="54413">
      <c r="F54413" s="13"/>
      <c r="M54413" s="13"/>
    </row>
    <row r="54414">
      <c r="F54414" s="13"/>
      <c r="M54414" s="13"/>
    </row>
    <row r="54415">
      <c r="F54415" s="13"/>
      <c r="M54415" s="13"/>
    </row>
    <row r="54416">
      <c r="F54416" s="13"/>
      <c r="M54416" s="13"/>
    </row>
    <row r="54417">
      <c r="F54417" s="13"/>
      <c r="M54417" s="13"/>
    </row>
    <row r="54418">
      <c r="F54418" s="13"/>
      <c r="M54418" s="13"/>
    </row>
    <row r="54419">
      <c r="F54419" s="13"/>
      <c r="M54419" s="13"/>
    </row>
    <row r="54420">
      <c r="F54420" s="13"/>
      <c r="M54420" s="13"/>
    </row>
    <row r="54421">
      <c r="F54421" s="13"/>
      <c r="M54421" s="13"/>
    </row>
    <row r="54422">
      <c r="F54422" s="13"/>
      <c r="M54422" s="13"/>
    </row>
    <row r="54423">
      <c r="F54423" s="13"/>
      <c r="M54423" s="13"/>
    </row>
    <row r="54424">
      <c r="F54424" s="13"/>
      <c r="M54424" s="13"/>
    </row>
    <row r="54425">
      <c r="F54425" s="13"/>
      <c r="M54425" s="13"/>
    </row>
    <row r="54426">
      <c r="F54426" s="13"/>
      <c r="M54426" s="13"/>
    </row>
    <row r="54427">
      <c r="F54427" s="13"/>
      <c r="M54427" s="13"/>
    </row>
    <row r="54428">
      <c r="F54428" s="13"/>
      <c r="M54428" s="13"/>
    </row>
    <row r="54429">
      <c r="F54429" s="13"/>
      <c r="M54429" s="13"/>
    </row>
    <row r="54430">
      <c r="F54430" s="13"/>
      <c r="M54430" s="13"/>
    </row>
    <row r="54431">
      <c r="F54431" s="13"/>
      <c r="M54431" s="13"/>
    </row>
    <row r="54432">
      <c r="F54432" s="13"/>
      <c r="M54432" s="13"/>
    </row>
    <row r="54433">
      <c r="F54433" s="13"/>
      <c r="M54433" s="13"/>
    </row>
    <row r="54434">
      <c r="F54434" s="13"/>
      <c r="M54434" s="13"/>
    </row>
    <row r="54435">
      <c r="F54435" s="13"/>
      <c r="M54435" s="13"/>
    </row>
    <row r="54436">
      <c r="F54436" s="13"/>
      <c r="M54436" s="13"/>
    </row>
    <row r="54437">
      <c r="F54437" s="13"/>
      <c r="M54437" s="13"/>
    </row>
    <row r="54438">
      <c r="F54438" s="13"/>
      <c r="M54438" s="13"/>
    </row>
    <row r="54439">
      <c r="F54439" s="13"/>
      <c r="M54439" s="13"/>
    </row>
    <row r="54440">
      <c r="F54440" s="13"/>
      <c r="M54440" s="13"/>
    </row>
    <row r="54441">
      <c r="F54441" s="13"/>
      <c r="M54441" s="13"/>
    </row>
    <row r="54442">
      <c r="F54442" s="13"/>
      <c r="M54442" s="13"/>
    </row>
    <row r="54443">
      <c r="F54443" s="13"/>
      <c r="M54443" s="13"/>
    </row>
    <row r="54444">
      <c r="F54444" s="13"/>
      <c r="M54444" s="13"/>
    </row>
    <row r="54445">
      <c r="F54445" s="13"/>
      <c r="M54445" s="13"/>
    </row>
    <row r="54446">
      <c r="F54446" s="13"/>
      <c r="M54446" s="13"/>
    </row>
    <row r="54447">
      <c r="F54447" s="13"/>
      <c r="M54447" s="13"/>
    </row>
    <row r="54448">
      <c r="F54448" s="13"/>
      <c r="M54448" s="13"/>
    </row>
    <row r="54449">
      <c r="F54449" s="13"/>
      <c r="M54449" s="13"/>
    </row>
    <row r="54450">
      <c r="F54450" s="13"/>
      <c r="M54450" s="13"/>
    </row>
    <row r="54451">
      <c r="F54451" s="13"/>
      <c r="M54451" s="13"/>
    </row>
    <row r="54452">
      <c r="F54452" s="13"/>
      <c r="M54452" s="13"/>
    </row>
    <row r="54453">
      <c r="F54453" s="13"/>
      <c r="M54453" s="13"/>
    </row>
    <row r="54454">
      <c r="F54454" s="13"/>
      <c r="M54454" s="13"/>
    </row>
    <row r="54455">
      <c r="F54455" s="13"/>
      <c r="M54455" s="13"/>
    </row>
    <row r="54456">
      <c r="F54456" s="13"/>
      <c r="M54456" s="13"/>
    </row>
    <row r="54457">
      <c r="F54457" s="13"/>
      <c r="M54457" s="13"/>
    </row>
    <row r="54458">
      <c r="F54458" s="13"/>
      <c r="M54458" s="13"/>
    </row>
    <row r="54459">
      <c r="F54459" s="13"/>
      <c r="M54459" s="13"/>
    </row>
    <row r="54460">
      <c r="F54460" s="13"/>
      <c r="M54460" s="13"/>
    </row>
    <row r="54461">
      <c r="F54461" s="13"/>
      <c r="M54461" s="13"/>
    </row>
    <row r="54462">
      <c r="F54462" s="13"/>
      <c r="M54462" s="13"/>
    </row>
    <row r="54463">
      <c r="F54463" s="13"/>
      <c r="M54463" s="13"/>
    </row>
    <row r="54464">
      <c r="F54464" s="13"/>
      <c r="M54464" s="13"/>
    </row>
    <row r="54465">
      <c r="F54465" s="13"/>
      <c r="M54465" s="13"/>
    </row>
    <row r="54466">
      <c r="F54466" s="13"/>
      <c r="M54466" s="13"/>
    </row>
    <row r="54467">
      <c r="F54467" s="13"/>
      <c r="M54467" s="13"/>
    </row>
    <row r="54468">
      <c r="F54468" s="13"/>
      <c r="M54468" s="13"/>
    </row>
    <row r="54469">
      <c r="F54469" s="13"/>
      <c r="M54469" s="13"/>
    </row>
    <row r="54470">
      <c r="F54470" s="13"/>
      <c r="M54470" s="13"/>
    </row>
    <row r="54471">
      <c r="F54471" s="13"/>
      <c r="M54471" s="13"/>
    </row>
    <row r="54472">
      <c r="F54472" s="13"/>
      <c r="M54472" s="13"/>
    </row>
    <row r="54473">
      <c r="F54473" s="13"/>
      <c r="M54473" s="13"/>
    </row>
    <row r="54474">
      <c r="F54474" s="13"/>
      <c r="M54474" s="13"/>
    </row>
    <row r="54475">
      <c r="F54475" s="13"/>
      <c r="M54475" s="13"/>
    </row>
    <row r="54476">
      <c r="F54476" s="13"/>
      <c r="M54476" s="13"/>
    </row>
    <row r="54477">
      <c r="F54477" s="13"/>
      <c r="M54477" s="13"/>
    </row>
    <row r="54478">
      <c r="F54478" s="13"/>
      <c r="M54478" s="13"/>
    </row>
    <row r="54479">
      <c r="F54479" s="13"/>
      <c r="M54479" s="13"/>
    </row>
    <row r="54480">
      <c r="F54480" s="13"/>
      <c r="M54480" s="13"/>
    </row>
    <row r="54481">
      <c r="F54481" s="13"/>
      <c r="M54481" s="13"/>
    </row>
    <row r="54482">
      <c r="F54482" s="13"/>
      <c r="M54482" s="13"/>
    </row>
    <row r="54483">
      <c r="F54483" s="13"/>
      <c r="M54483" s="13"/>
    </row>
    <row r="54484">
      <c r="F54484" s="13"/>
      <c r="M54484" s="13"/>
    </row>
    <row r="54485">
      <c r="F54485" s="13"/>
      <c r="M54485" s="13"/>
    </row>
    <row r="54486">
      <c r="F54486" s="13"/>
      <c r="M54486" s="13"/>
    </row>
    <row r="54487">
      <c r="F54487" s="13"/>
      <c r="M54487" s="13"/>
    </row>
    <row r="54488">
      <c r="F54488" s="13"/>
      <c r="M54488" s="13"/>
    </row>
    <row r="54489">
      <c r="F54489" s="13"/>
      <c r="M54489" s="13"/>
    </row>
    <row r="54490">
      <c r="F54490" s="13"/>
      <c r="M54490" s="13"/>
    </row>
    <row r="54491">
      <c r="F54491" s="13"/>
      <c r="M54491" s="13"/>
    </row>
    <row r="54492">
      <c r="F54492" s="13"/>
      <c r="M54492" s="13"/>
    </row>
    <row r="54493">
      <c r="F54493" s="13"/>
      <c r="M54493" s="13"/>
    </row>
    <row r="54494">
      <c r="F54494" s="13"/>
      <c r="M54494" s="13"/>
    </row>
    <row r="54495">
      <c r="F54495" s="13"/>
      <c r="M54495" s="13"/>
    </row>
    <row r="54496">
      <c r="F54496" s="13"/>
      <c r="M54496" s="13"/>
    </row>
    <row r="54497">
      <c r="F54497" s="13"/>
      <c r="M54497" s="13"/>
    </row>
    <row r="54498">
      <c r="F54498" s="13"/>
      <c r="M54498" s="13"/>
    </row>
    <row r="54499">
      <c r="F54499" s="13"/>
      <c r="M54499" s="13"/>
    </row>
    <row r="54500">
      <c r="F54500" s="13"/>
      <c r="M54500" s="13"/>
    </row>
    <row r="54501">
      <c r="F54501" s="13"/>
      <c r="M54501" s="13"/>
    </row>
    <row r="54502">
      <c r="F54502" s="13"/>
      <c r="M54502" s="13"/>
    </row>
    <row r="54503">
      <c r="F54503" s="13"/>
      <c r="M54503" s="13"/>
    </row>
    <row r="54504">
      <c r="F54504" s="13"/>
      <c r="M54504" s="13"/>
    </row>
    <row r="54505">
      <c r="F54505" s="13"/>
      <c r="M54505" s="13"/>
    </row>
    <row r="54506">
      <c r="F54506" s="13"/>
      <c r="M54506" s="13"/>
    </row>
    <row r="54507">
      <c r="F54507" s="13"/>
      <c r="M54507" s="13"/>
    </row>
    <row r="54508">
      <c r="F54508" s="13"/>
      <c r="M54508" s="13"/>
    </row>
    <row r="54509">
      <c r="F54509" s="13"/>
      <c r="M54509" s="13"/>
    </row>
    <row r="54510">
      <c r="F54510" s="13"/>
      <c r="M54510" s="13"/>
    </row>
    <row r="54511">
      <c r="F54511" s="13"/>
      <c r="M54511" s="13"/>
    </row>
    <row r="54512">
      <c r="F54512" s="13"/>
      <c r="M54512" s="13"/>
    </row>
    <row r="54513">
      <c r="F54513" s="13"/>
      <c r="M54513" s="13"/>
    </row>
    <row r="54514">
      <c r="F54514" s="13"/>
      <c r="M54514" s="13"/>
    </row>
    <row r="54515">
      <c r="F54515" s="13"/>
      <c r="M54515" s="13"/>
    </row>
    <row r="54516">
      <c r="F54516" s="13"/>
      <c r="M54516" s="13"/>
    </row>
    <row r="54517">
      <c r="F54517" s="13"/>
      <c r="M54517" s="13"/>
    </row>
    <row r="54518">
      <c r="F54518" s="13"/>
      <c r="M54518" s="13"/>
    </row>
    <row r="54519">
      <c r="F54519" s="13"/>
      <c r="M54519" s="13"/>
    </row>
    <row r="54520">
      <c r="F54520" s="13"/>
      <c r="M54520" s="13"/>
    </row>
    <row r="54521">
      <c r="F54521" s="13"/>
      <c r="M54521" s="13"/>
    </row>
    <row r="54522">
      <c r="F54522" s="13"/>
      <c r="M54522" s="13"/>
    </row>
    <row r="54523">
      <c r="F54523" s="13"/>
      <c r="M54523" s="13"/>
    </row>
    <row r="54524">
      <c r="F54524" s="13"/>
      <c r="M54524" s="13"/>
    </row>
    <row r="54525">
      <c r="F54525" s="13"/>
      <c r="M54525" s="13"/>
    </row>
    <row r="54526">
      <c r="F54526" s="13"/>
      <c r="M54526" s="13"/>
    </row>
    <row r="54527">
      <c r="F54527" s="13"/>
      <c r="M54527" s="13"/>
    </row>
    <row r="54528">
      <c r="F54528" s="13"/>
      <c r="M54528" s="13"/>
    </row>
    <row r="54529">
      <c r="F54529" s="13"/>
      <c r="M54529" s="13"/>
    </row>
    <row r="54530">
      <c r="F54530" s="13"/>
      <c r="M54530" s="13"/>
    </row>
    <row r="54531">
      <c r="F54531" s="13"/>
      <c r="M54531" s="13"/>
    </row>
    <row r="54532">
      <c r="F54532" s="13"/>
      <c r="M54532" s="13"/>
    </row>
    <row r="54533">
      <c r="F54533" s="13"/>
      <c r="M54533" s="13"/>
    </row>
    <row r="54534">
      <c r="F54534" s="13"/>
      <c r="M54534" s="13"/>
    </row>
    <row r="54535">
      <c r="F54535" s="13"/>
      <c r="M54535" s="13"/>
    </row>
    <row r="54536">
      <c r="F54536" s="13"/>
      <c r="M54536" s="13"/>
    </row>
    <row r="54537">
      <c r="F54537" s="13"/>
      <c r="M54537" s="13"/>
    </row>
    <row r="54538">
      <c r="F54538" s="13"/>
      <c r="M54538" s="13"/>
    </row>
    <row r="54539">
      <c r="F54539" s="13"/>
      <c r="M54539" s="13"/>
    </row>
    <row r="54540">
      <c r="F54540" s="13"/>
      <c r="M54540" s="13"/>
    </row>
    <row r="54541">
      <c r="F54541" s="13"/>
      <c r="M54541" s="13"/>
    </row>
    <row r="54542">
      <c r="F54542" s="13"/>
      <c r="M54542" s="13"/>
    </row>
    <row r="54543">
      <c r="F54543" s="13"/>
      <c r="M54543" s="13"/>
    </row>
    <row r="54544">
      <c r="F54544" s="13"/>
      <c r="M54544" s="13"/>
    </row>
    <row r="54545">
      <c r="F54545" s="13"/>
      <c r="M54545" s="13"/>
    </row>
    <row r="54546">
      <c r="F54546" s="13"/>
      <c r="M54546" s="13"/>
    </row>
    <row r="54547">
      <c r="F54547" s="13"/>
      <c r="M54547" s="13"/>
    </row>
    <row r="54548">
      <c r="F54548" s="13"/>
      <c r="M54548" s="13"/>
    </row>
    <row r="54549">
      <c r="F54549" s="13"/>
      <c r="M54549" s="13"/>
    </row>
    <row r="54550">
      <c r="F54550" s="13"/>
      <c r="M54550" s="13"/>
    </row>
    <row r="54551">
      <c r="F54551" s="13"/>
      <c r="M54551" s="13"/>
    </row>
    <row r="54552">
      <c r="F54552" s="13"/>
      <c r="M54552" s="13"/>
    </row>
    <row r="54553">
      <c r="F54553" s="13"/>
      <c r="M54553" s="13"/>
    </row>
    <row r="54554">
      <c r="F54554" s="13"/>
      <c r="M54554" s="13"/>
    </row>
    <row r="54555">
      <c r="F54555" s="13"/>
      <c r="M54555" s="13"/>
    </row>
    <row r="54556">
      <c r="F54556" s="13"/>
      <c r="M54556" s="13"/>
    </row>
    <row r="54557">
      <c r="F54557" s="13"/>
      <c r="M54557" s="13"/>
    </row>
    <row r="54558">
      <c r="F54558" s="13"/>
      <c r="M54558" s="13"/>
    </row>
    <row r="54559">
      <c r="F54559" s="13"/>
      <c r="M54559" s="13"/>
    </row>
    <row r="54560">
      <c r="F54560" s="13"/>
      <c r="M54560" s="13"/>
    </row>
    <row r="54561">
      <c r="F54561" s="13"/>
      <c r="M54561" s="13"/>
    </row>
    <row r="54562">
      <c r="F54562" s="13"/>
      <c r="M54562" s="13"/>
    </row>
    <row r="54563">
      <c r="F54563" s="13"/>
      <c r="M54563" s="13"/>
    </row>
    <row r="54564">
      <c r="F54564" s="13"/>
      <c r="M54564" s="13"/>
    </row>
    <row r="54565">
      <c r="F54565" s="13"/>
      <c r="M54565" s="13"/>
    </row>
    <row r="54566">
      <c r="F54566" s="13"/>
      <c r="M54566" s="13"/>
    </row>
    <row r="54567">
      <c r="F54567" s="13"/>
      <c r="M54567" s="13"/>
    </row>
    <row r="54568">
      <c r="F54568" s="13"/>
      <c r="M54568" s="13"/>
    </row>
    <row r="54569">
      <c r="F54569" s="13"/>
      <c r="M54569" s="13"/>
    </row>
    <row r="54570">
      <c r="F54570" s="13"/>
      <c r="M54570" s="13"/>
    </row>
    <row r="54571">
      <c r="F54571" s="13"/>
      <c r="M54571" s="13"/>
    </row>
    <row r="54572">
      <c r="F54572" s="13"/>
      <c r="M54572" s="13"/>
    </row>
    <row r="54573">
      <c r="F54573" s="13"/>
      <c r="M54573" s="13"/>
    </row>
    <row r="54574">
      <c r="F54574" s="13"/>
      <c r="M54574" s="13"/>
    </row>
    <row r="54575">
      <c r="F54575" s="13"/>
      <c r="M54575" s="13"/>
    </row>
    <row r="54576">
      <c r="F54576" s="13"/>
      <c r="M54576" s="13"/>
    </row>
    <row r="54577">
      <c r="F54577" s="13"/>
      <c r="M54577" s="13"/>
    </row>
    <row r="54578">
      <c r="F54578" s="13"/>
      <c r="M54578" s="13"/>
    </row>
    <row r="54579">
      <c r="F54579" s="13"/>
      <c r="M54579" s="13"/>
    </row>
    <row r="54580">
      <c r="F54580" s="13"/>
      <c r="M54580" s="13"/>
    </row>
    <row r="54581">
      <c r="F54581" s="13"/>
      <c r="M54581" s="13"/>
    </row>
    <row r="54582">
      <c r="F54582" s="13"/>
      <c r="M54582" s="13"/>
    </row>
    <row r="54583">
      <c r="F54583" s="13"/>
      <c r="M54583" s="13"/>
    </row>
    <row r="54584">
      <c r="F54584" s="13"/>
      <c r="M54584" s="13"/>
    </row>
    <row r="54585">
      <c r="F54585" s="13"/>
      <c r="M54585" s="13"/>
    </row>
    <row r="54586">
      <c r="F54586" s="13"/>
      <c r="M54586" s="13"/>
    </row>
    <row r="54587">
      <c r="F54587" s="13"/>
      <c r="M54587" s="13"/>
    </row>
    <row r="54588">
      <c r="F54588" s="13"/>
      <c r="M54588" s="13"/>
    </row>
    <row r="54589">
      <c r="F54589" s="13"/>
      <c r="M54589" s="13"/>
    </row>
    <row r="54590">
      <c r="F54590" s="13"/>
      <c r="M54590" s="13"/>
    </row>
    <row r="54591">
      <c r="F54591" s="13"/>
      <c r="M54591" s="13"/>
    </row>
    <row r="54592">
      <c r="F54592" s="13"/>
      <c r="M54592" s="13"/>
    </row>
    <row r="54593">
      <c r="F54593" s="13"/>
      <c r="M54593" s="13"/>
    </row>
    <row r="54594">
      <c r="F54594" s="13"/>
      <c r="M54594" s="13"/>
    </row>
    <row r="54595">
      <c r="F54595" s="13"/>
      <c r="M54595" s="13"/>
    </row>
    <row r="54596">
      <c r="F54596" s="13"/>
      <c r="M54596" s="13"/>
    </row>
    <row r="54597">
      <c r="F54597" s="13"/>
      <c r="M54597" s="13"/>
    </row>
    <row r="54598">
      <c r="F54598" s="13"/>
      <c r="M54598" s="13"/>
    </row>
    <row r="54599">
      <c r="F54599" s="13"/>
      <c r="M54599" s="13"/>
    </row>
    <row r="54600">
      <c r="F54600" s="13"/>
      <c r="M54600" s="13"/>
    </row>
    <row r="54601">
      <c r="F54601" s="13"/>
      <c r="M54601" s="13"/>
    </row>
    <row r="54602">
      <c r="F54602" s="13"/>
      <c r="M54602" s="13"/>
    </row>
    <row r="54603">
      <c r="F54603" s="13"/>
      <c r="M54603" s="13"/>
    </row>
    <row r="54604">
      <c r="F54604" s="13"/>
      <c r="M54604" s="13"/>
    </row>
    <row r="54605">
      <c r="F54605" s="13"/>
      <c r="M54605" s="13"/>
    </row>
    <row r="54606">
      <c r="F54606" s="13"/>
      <c r="M54606" s="13"/>
    </row>
    <row r="54607">
      <c r="F54607" s="13"/>
      <c r="M54607" s="13"/>
    </row>
    <row r="54608">
      <c r="F54608" s="13"/>
      <c r="M54608" s="13"/>
    </row>
    <row r="54609">
      <c r="F54609" s="13"/>
      <c r="M54609" s="13"/>
    </row>
    <row r="54610">
      <c r="F54610" s="13"/>
      <c r="M54610" s="13"/>
    </row>
    <row r="54611">
      <c r="F54611" s="13"/>
      <c r="M54611" s="13"/>
    </row>
    <row r="54612">
      <c r="F54612" s="13"/>
      <c r="M54612" s="13"/>
    </row>
    <row r="54613">
      <c r="F54613" s="13"/>
      <c r="M54613" s="13"/>
    </row>
    <row r="54614">
      <c r="F54614" s="13"/>
      <c r="M54614" s="13"/>
    </row>
    <row r="54615">
      <c r="F54615" s="13"/>
      <c r="M54615" s="13"/>
    </row>
    <row r="54616">
      <c r="F54616" s="13"/>
      <c r="M54616" s="13"/>
    </row>
    <row r="54617">
      <c r="F54617" s="13"/>
      <c r="M54617" s="13"/>
    </row>
    <row r="54618">
      <c r="F54618" s="13"/>
      <c r="M54618" s="13"/>
    </row>
    <row r="54619">
      <c r="F54619" s="13"/>
      <c r="M54619" s="13"/>
    </row>
    <row r="54620">
      <c r="F54620" s="13"/>
      <c r="M54620" s="13"/>
    </row>
    <row r="54621">
      <c r="F54621" s="13"/>
      <c r="M54621" s="13"/>
    </row>
    <row r="54622">
      <c r="F54622" s="13"/>
      <c r="M54622" s="13"/>
    </row>
    <row r="54623">
      <c r="F54623" s="13"/>
      <c r="M54623" s="13"/>
    </row>
    <row r="54624">
      <c r="F54624" s="13"/>
      <c r="M54624" s="13"/>
    </row>
    <row r="54625">
      <c r="F54625" s="13"/>
      <c r="M54625" s="13"/>
    </row>
    <row r="54626">
      <c r="F54626" s="13"/>
      <c r="M54626" s="13"/>
    </row>
    <row r="54627">
      <c r="F54627" s="13"/>
      <c r="M54627" s="13"/>
    </row>
    <row r="54628">
      <c r="F54628" s="13"/>
      <c r="M54628" s="13"/>
    </row>
    <row r="54629">
      <c r="F54629" s="13"/>
      <c r="M54629" s="13"/>
    </row>
    <row r="54630">
      <c r="F54630" s="13"/>
      <c r="M54630" s="13"/>
    </row>
    <row r="54631">
      <c r="F54631" s="13"/>
      <c r="M54631" s="13"/>
    </row>
    <row r="54632">
      <c r="F54632" s="13"/>
      <c r="M54632" s="13"/>
    </row>
    <row r="54633">
      <c r="F54633" s="13"/>
      <c r="M54633" s="13"/>
    </row>
    <row r="54634">
      <c r="F54634" s="13"/>
      <c r="M54634" s="13"/>
    </row>
    <row r="54635">
      <c r="F54635" s="13"/>
      <c r="M54635" s="13"/>
    </row>
    <row r="54636">
      <c r="F54636" s="13"/>
      <c r="M54636" s="13"/>
    </row>
    <row r="54637">
      <c r="F54637" s="13"/>
      <c r="M54637" s="13"/>
    </row>
    <row r="54638">
      <c r="F54638" s="13"/>
      <c r="M54638" s="13"/>
    </row>
    <row r="54639">
      <c r="F54639" s="13"/>
      <c r="M54639" s="13"/>
    </row>
    <row r="54640">
      <c r="F54640" s="13"/>
      <c r="M54640" s="13"/>
    </row>
    <row r="54641">
      <c r="F54641" s="13"/>
      <c r="M54641" s="13"/>
    </row>
    <row r="54642">
      <c r="F54642" s="13"/>
      <c r="M54642" s="13"/>
    </row>
    <row r="54643">
      <c r="F54643" s="13"/>
      <c r="M54643" s="13"/>
    </row>
    <row r="54644">
      <c r="F54644" s="13"/>
      <c r="M54644" s="13"/>
    </row>
    <row r="54645">
      <c r="F54645" s="13"/>
      <c r="M54645" s="13"/>
    </row>
    <row r="54646">
      <c r="F54646" s="13"/>
      <c r="M54646" s="13"/>
    </row>
    <row r="54647">
      <c r="F54647" s="13"/>
      <c r="M54647" s="13"/>
    </row>
    <row r="54648">
      <c r="F54648" s="13"/>
      <c r="M54648" s="13"/>
    </row>
    <row r="54649">
      <c r="F54649" s="13"/>
      <c r="M54649" s="13"/>
    </row>
    <row r="54650">
      <c r="F54650" s="13"/>
      <c r="M54650" s="13"/>
    </row>
    <row r="54651">
      <c r="F54651" s="13"/>
      <c r="M54651" s="13"/>
    </row>
    <row r="54652">
      <c r="F54652" s="13"/>
      <c r="M54652" s="13"/>
    </row>
    <row r="54653">
      <c r="F54653" s="13"/>
      <c r="M54653" s="13"/>
    </row>
    <row r="54654">
      <c r="F54654" s="13"/>
      <c r="M54654" s="13"/>
    </row>
    <row r="54655">
      <c r="F54655" s="13"/>
      <c r="M54655" s="13"/>
    </row>
    <row r="54656">
      <c r="F54656" s="13"/>
      <c r="M54656" s="13"/>
    </row>
    <row r="54657">
      <c r="F54657" s="13"/>
      <c r="M54657" s="13"/>
    </row>
    <row r="54658">
      <c r="F54658" s="13"/>
      <c r="M54658" s="13"/>
    </row>
    <row r="54659">
      <c r="F54659" s="13"/>
      <c r="M54659" s="13"/>
    </row>
    <row r="54660">
      <c r="F54660" s="13"/>
      <c r="M54660" s="13"/>
    </row>
    <row r="54661">
      <c r="F54661" s="13"/>
      <c r="M54661" s="13"/>
    </row>
    <row r="54662">
      <c r="F54662" s="13"/>
      <c r="M54662" s="13"/>
    </row>
    <row r="54663">
      <c r="F54663" s="13"/>
      <c r="M54663" s="13"/>
    </row>
    <row r="54664">
      <c r="F54664" s="13"/>
      <c r="M54664" s="13"/>
    </row>
    <row r="54665">
      <c r="F54665" s="13"/>
      <c r="M54665" s="13"/>
    </row>
    <row r="54666">
      <c r="F54666" s="13"/>
      <c r="M54666" s="13"/>
    </row>
    <row r="54667">
      <c r="F54667" s="13"/>
      <c r="M54667" s="13"/>
    </row>
    <row r="54668">
      <c r="F54668" s="13"/>
      <c r="M54668" s="13"/>
    </row>
    <row r="54669">
      <c r="F54669" s="13"/>
      <c r="M54669" s="13"/>
    </row>
    <row r="54670">
      <c r="F54670" s="13"/>
      <c r="M54670" s="13"/>
    </row>
    <row r="54671">
      <c r="F54671" s="13"/>
      <c r="M54671" s="13"/>
    </row>
    <row r="54672">
      <c r="F54672" s="13"/>
      <c r="M54672" s="13"/>
    </row>
    <row r="54673">
      <c r="F54673" s="13"/>
      <c r="M54673" s="13"/>
    </row>
    <row r="54674">
      <c r="F54674" s="13"/>
      <c r="M54674" s="13"/>
    </row>
    <row r="54675">
      <c r="F54675" s="13"/>
      <c r="M54675" s="13"/>
    </row>
    <row r="54676">
      <c r="F54676" s="13"/>
      <c r="M54676" s="13"/>
    </row>
    <row r="54677">
      <c r="F54677" s="13"/>
      <c r="M54677" s="13"/>
    </row>
    <row r="54678">
      <c r="F54678" s="13"/>
      <c r="M54678" s="13"/>
    </row>
    <row r="54679">
      <c r="F54679" s="13"/>
      <c r="M54679" s="13"/>
    </row>
    <row r="54680">
      <c r="F54680" s="13"/>
      <c r="M54680" s="13"/>
    </row>
    <row r="54681">
      <c r="F54681" s="13"/>
      <c r="M54681" s="13"/>
    </row>
    <row r="54682">
      <c r="F54682" s="13"/>
      <c r="M54682" s="13"/>
    </row>
    <row r="54683">
      <c r="F54683" s="13"/>
      <c r="M54683" s="13"/>
    </row>
    <row r="54684">
      <c r="F54684" s="13"/>
      <c r="M54684" s="13"/>
    </row>
    <row r="54685">
      <c r="F54685" s="13"/>
      <c r="M54685" s="13"/>
    </row>
    <row r="54686">
      <c r="F54686" s="13"/>
      <c r="M54686" s="13"/>
    </row>
    <row r="54687">
      <c r="F54687" s="13"/>
      <c r="M54687" s="13"/>
    </row>
    <row r="54688">
      <c r="F54688" s="13"/>
      <c r="M54688" s="13"/>
    </row>
    <row r="54689">
      <c r="F54689" s="13"/>
      <c r="M54689" s="13"/>
    </row>
    <row r="54690">
      <c r="F54690" s="13"/>
      <c r="M54690" s="13"/>
    </row>
    <row r="54691">
      <c r="F54691" s="13"/>
      <c r="M54691" s="13"/>
    </row>
    <row r="54692">
      <c r="F54692" s="13"/>
      <c r="M54692" s="13"/>
    </row>
    <row r="54693">
      <c r="F54693" s="13"/>
      <c r="M54693" s="13"/>
    </row>
    <row r="54694">
      <c r="F54694" s="13"/>
      <c r="M54694" s="13"/>
    </row>
    <row r="54695">
      <c r="F54695" s="13"/>
      <c r="M54695" s="13"/>
    </row>
    <row r="54696">
      <c r="F54696" s="13"/>
      <c r="M54696" s="13"/>
    </row>
    <row r="54697">
      <c r="F54697" s="13"/>
      <c r="M54697" s="13"/>
    </row>
    <row r="54698">
      <c r="F54698" s="13"/>
      <c r="M54698" s="13"/>
    </row>
    <row r="54699">
      <c r="F54699" s="13"/>
      <c r="M54699" s="13"/>
    </row>
    <row r="54700">
      <c r="F54700" s="13"/>
      <c r="M54700" s="13"/>
    </row>
    <row r="54701">
      <c r="F54701" s="13"/>
      <c r="M54701" s="13"/>
    </row>
    <row r="54702">
      <c r="F54702" s="13"/>
      <c r="M54702" s="13"/>
    </row>
    <row r="54703">
      <c r="F54703" s="13"/>
      <c r="M54703" s="13"/>
    </row>
    <row r="54704">
      <c r="F54704" s="13"/>
      <c r="M54704" s="13"/>
    </row>
    <row r="54705">
      <c r="F54705" s="13"/>
      <c r="M54705" s="13"/>
    </row>
    <row r="54706">
      <c r="F54706" s="13"/>
      <c r="M54706" s="13"/>
    </row>
    <row r="54707">
      <c r="F54707" s="13"/>
      <c r="M54707" s="13"/>
    </row>
    <row r="54708">
      <c r="F54708" s="13"/>
      <c r="M54708" s="13"/>
    </row>
    <row r="54709">
      <c r="F54709" s="13"/>
      <c r="M54709" s="13"/>
    </row>
    <row r="54710">
      <c r="F54710" s="13"/>
      <c r="M54710" s="13"/>
    </row>
    <row r="54711">
      <c r="F54711" s="13"/>
      <c r="M54711" s="13"/>
    </row>
    <row r="54712">
      <c r="F54712" s="13"/>
      <c r="M54712" s="13"/>
    </row>
    <row r="54713">
      <c r="F54713" s="13"/>
      <c r="M54713" s="13"/>
    </row>
    <row r="54714">
      <c r="F54714" s="13"/>
      <c r="M54714" s="13"/>
    </row>
    <row r="54715">
      <c r="F54715" s="13"/>
      <c r="M54715" s="13"/>
    </row>
    <row r="54716">
      <c r="F54716" s="13"/>
      <c r="M54716" s="13"/>
    </row>
    <row r="54717">
      <c r="F54717" s="13"/>
      <c r="M54717" s="13"/>
    </row>
    <row r="54718">
      <c r="F54718" s="13"/>
      <c r="M54718" s="13"/>
    </row>
    <row r="54719">
      <c r="F54719" s="13"/>
      <c r="M54719" s="13"/>
    </row>
    <row r="54720">
      <c r="F54720" s="13"/>
      <c r="M54720" s="13"/>
    </row>
    <row r="54721">
      <c r="F54721" s="13"/>
      <c r="M54721" s="13"/>
    </row>
    <row r="54722">
      <c r="F54722" s="13"/>
      <c r="M54722" s="13"/>
    </row>
    <row r="54723">
      <c r="F54723" s="13"/>
      <c r="M54723" s="13"/>
    </row>
    <row r="54724">
      <c r="F54724" s="13"/>
      <c r="M54724" s="13"/>
    </row>
    <row r="54725">
      <c r="F54725" s="13"/>
      <c r="M54725" s="13"/>
    </row>
    <row r="54726">
      <c r="F54726" s="13"/>
      <c r="M54726" s="13"/>
    </row>
    <row r="54727">
      <c r="F54727" s="13"/>
      <c r="M54727" s="13"/>
    </row>
    <row r="54728">
      <c r="F54728" s="13"/>
      <c r="M54728" s="13"/>
    </row>
    <row r="54729">
      <c r="F54729" s="13"/>
      <c r="M54729" s="13"/>
    </row>
    <row r="54730">
      <c r="F54730" s="13"/>
      <c r="M54730" s="13"/>
    </row>
    <row r="54731">
      <c r="F54731" s="13"/>
      <c r="M54731" s="13"/>
    </row>
    <row r="54732">
      <c r="F54732" s="13"/>
      <c r="M54732" s="13"/>
    </row>
    <row r="54733">
      <c r="F54733" s="13"/>
      <c r="M54733" s="13"/>
    </row>
    <row r="54734">
      <c r="F54734" s="13"/>
      <c r="M54734" s="13"/>
    </row>
    <row r="54735">
      <c r="F54735" s="13"/>
      <c r="M54735" s="13"/>
    </row>
    <row r="54736">
      <c r="F54736" s="13"/>
      <c r="M54736" s="13"/>
    </row>
    <row r="54737">
      <c r="F54737" s="13"/>
      <c r="M54737" s="13"/>
    </row>
    <row r="54738">
      <c r="F54738" s="13"/>
      <c r="M54738" s="13"/>
    </row>
    <row r="54739">
      <c r="F54739" s="13"/>
      <c r="M54739" s="13"/>
    </row>
    <row r="54740">
      <c r="F54740" s="13"/>
      <c r="M54740" s="13"/>
    </row>
    <row r="54741">
      <c r="F54741" s="13"/>
      <c r="M54741" s="13"/>
    </row>
    <row r="54742">
      <c r="F54742" s="13"/>
      <c r="M54742" s="13"/>
    </row>
    <row r="54743">
      <c r="F54743" s="13"/>
      <c r="M54743" s="13"/>
    </row>
    <row r="54744">
      <c r="F54744" s="13"/>
      <c r="M54744" s="13"/>
    </row>
    <row r="54745">
      <c r="F54745" s="13"/>
      <c r="M54745" s="13"/>
    </row>
    <row r="54746">
      <c r="F54746" s="13"/>
      <c r="M54746" s="13"/>
    </row>
    <row r="54747">
      <c r="F54747" s="13"/>
      <c r="M54747" s="13"/>
    </row>
    <row r="54748">
      <c r="F54748" s="13"/>
      <c r="M54748" s="13"/>
    </row>
    <row r="54749">
      <c r="F54749" s="13"/>
      <c r="M54749" s="13"/>
    </row>
    <row r="54750">
      <c r="F54750" s="13"/>
      <c r="M54750" s="13"/>
    </row>
    <row r="54751">
      <c r="F54751" s="13"/>
      <c r="M54751" s="13"/>
    </row>
    <row r="54752">
      <c r="F54752" s="13"/>
      <c r="M54752" s="13"/>
    </row>
    <row r="54753">
      <c r="F54753" s="13"/>
      <c r="M54753" s="13"/>
    </row>
    <row r="54754">
      <c r="F54754" s="13"/>
      <c r="M54754" s="13"/>
    </row>
    <row r="54755">
      <c r="F54755" s="13"/>
      <c r="M54755" s="13"/>
    </row>
    <row r="54756">
      <c r="F54756" s="13"/>
      <c r="M54756" s="13"/>
    </row>
    <row r="54757">
      <c r="F54757" s="13"/>
      <c r="M54757" s="13"/>
    </row>
    <row r="54758">
      <c r="F54758" s="13"/>
      <c r="M54758" s="13"/>
    </row>
    <row r="54759">
      <c r="F54759" s="13"/>
      <c r="M54759" s="13"/>
    </row>
    <row r="54760">
      <c r="F54760" s="13"/>
      <c r="M54760" s="13"/>
    </row>
    <row r="54761">
      <c r="F54761" s="13"/>
      <c r="M54761" s="13"/>
    </row>
    <row r="54762">
      <c r="F54762" s="13"/>
      <c r="M54762" s="13"/>
    </row>
    <row r="54763">
      <c r="F54763" s="13"/>
      <c r="M54763" s="13"/>
    </row>
    <row r="54764">
      <c r="F54764" s="13"/>
      <c r="M54764" s="13"/>
    </row>
    <row r="54765">
      <c r="F54765" s="13"/>
      <c r="M54765" s="13"/>
    </row>
    <row r="54766">
      <c r="F54766" s="13"/>
      <c r="M54766" s="13"/>
    </row>
    <row r="54767">
      <c r="F54767" s="13"/>
      <c r="M54767" s="13"/>
    </row>
    <row r="54768">
      <c r="F54768" s="13"/>
      <c r="M54768" s="13"/>
    </row>
    <row r="54769">
      <c r="F54769" s="13"/>
      <c r="M54769" s="13"/>
    </row>
    <row r="54770">
      <c r="F54770" s="13"/>
      <c r="M54770" s="13"/>
    </row>
    <row r="54771">
      <c r="F54771" s="13"/>
      <c r="M54771" s="13"/>
    </row>
    <row r="54772">
      <c r="F54772" s="13"/>
      <c r="M54772" s="13"/>
    </row>
    <row r="54773">
      <c r="F54773" s="13"/>
      <c r="M54773" s="13"/>
    </row>
    <row r="54774">
      <c r="F54774" s="13"/>
      <c r="M54774" s="13"/>
    </row>
    <row r="54775">
      <c r="F54775" s="13"/>
      <c r="M54775" s="13"/>
    </row>
    <row r="54776">
      <c r="F54776" s="13"/>
      <c r="M54776" s="13"/>
    </row>
    <row r="54777">
      <c r="F54777" s="13"/>
      <c r="M54777" s="13"/>
    </row>
    <row r="54778">
      <c r="F54778" s="13"/>
      <c r="M54778" s="13"/>
    </row>
    <row r="54779">
      <c r="F54779" s="13"/>
      <c r="M54779" s="13"/>
    </row>
    <row r="54780">
      <c r="F54780" s="13"/>
      <c r="M54780" s="13"/>
    </row>
    <row r="54781">
      <c r="F54781" s="13"/>
      <c r="M54781" s="13"/>
    </row>
    <row r="54782">
      <c r="F54782" s="13"/>
      <c r="M54782" s="13"/>
    </row>
    <row r="54783">
      <c r="F54783" s="13"/>
      <c r="M54783" s="13"/>
    </row>
    <row r="54784">
      <c r="F54784" s="13"/>
      <c r="M54784" s="13"/>
    </row>
    <row r="54785">
      <c r="F54785" s="13"/>
      <c r="M54785" s="13"/>
    </row>
    <row r="54786">
      <c r="F54786" s="13"/>
      <c r="M54786" s="13"/>
    </row>
    <row r="54787">
      <c r="F54787" s="13"/>
      <c r="M54787" s="13"/>
    </row>
    <row r="54788">
      <c r="F54788" s="13"/>
      <c r="M54788" s="13"/>
    </row>
    <row r="54789">
      <c r="F54789" s="13"/>
      <c r="M54789" s="13"/>
    </row>
    <row r="54790">
      <c r="F54790" s="13"/>
      <c r="M54790" s="13"/>
    </row>
    <row r="54791">
      <c r="F54791" s="13"/>
      <c r="M54791" s="13"/>
    </row>
    <row r="54792">
      <c r="F54792" s="13"/>
      <c r="M54792" s="13"/>
    </row>
    <row r="54793">
      <c r="F54793" s="13"/>
      <c r="M54793" s="13"/>
    </row>
    <row r="54794">
      <c r="F54794" s="13"/>
      <c r="M54794" s="13"/>
    </row>
    <row r="54795">
      <c r="F54795" s="13"/>
      <c r="M54795" s="13"/>
    </row>
    <row r="54796">
      <c r="F54796" s="13"/>
      <c r="M54796" s="13"/>
    </row>
    <row r="54797">
      <c r="F54797" s="13"/>
      <c r="M54797" s="13"/>
    </row>
    <row r="54798">
      <c r="F54798" s="13"/>
      <c r="M54798" s="13"/>
    </row>
    <row r="54799">
      <c r="F54799" s="13"/>
      <c r="M54799" s="13"/>
    </row>
    <row r="54800">
      <c r="F54800" s="13"/>
      <c r="M54800" s="13"/>
    </row>
    <row r="54801">
      <c r="F54801" s="13"/>
      <c r="M54801" s="13"/>
    </row>
    <row r="54802">
      <c r="F54802" s="13"/>
      <c r="M54802" s="13"/>
    </row>
    <row r="54803">
      <c r="F54803" s="13"/>
      <c r="M54803" s="13"/>
    </row>
    <row r="54804">
      <c r="F54804" s="13"/>
      <c r="M54804" s="13"/>
    </row>
    <row r="54805">
      <c r="F54805" s="13"/>
      <c r="M54805" s="13"/>
    </row>
    <row r="54806">
      <c r="F54806" s="13"/>
      <c r="M54806" s="13"/>
    </row>
    <row r="54807">
      <c r="F54807" s="13"/>
      <c r="M54807" s="13"/>
    </row>
    <row r="54808">
      <c r="F54808" s="13"/>
      <c r="M54808" s="13"/>
    </row>
    <row r="54809">
      <c r="F54809" s="13"/>
      <c r="M54809" s="13"/>
    </row>
    <row r="54810">
      <c r="F54810" s="13"/>
      <c r="M54810" s="13"/>
    </row>
    <row r="54811">
      <c r="F54811" s="13"/>
      <c r="M54811" s="13"/>
    </row>
    <row r="54812">
      <c r="F54812" s="13"/>
      <c r="M54812" s="13"/>
    </row>
    <row r="54813">
      <c r="F54813" s="13"/>
      <c r="M54813" s="13"/>
    </row>
    <row r="54814">
      <c r="F54814" s="13"/>
      <c r="M54814" s="13"/>
    </row>
    <row r="54815">
      <c r="F54815" s="13"/>
      <c r="M54815" s="13"/>
    </row>
    <row r="54816">
      <c r="F54816" s="13"/>
      <c r="M54816" s="13"/>
    </row>
    <row r="54817">
      <c r="F54817" s="13"/>
      <c r="M54817" s="13"/>
    </row>
    <row r="54818">
      <c r="F54818" s="13"/>
      <c r="M54818" s="13"/>
    </row>
    <row r="54819">
      <c r="F54819" s="13"/>
      <c r="M54819" s="13"/>
    </row>
    <row r="54820">
      <c r="F54820" s="13"/>
      <c r="M54820" s="13"/>
    </row>
    <row r="54821">
      <c r="F54821" s="13"/>
      <c r="M54821" s="13"/>
    </row>
    <row r="54822">
      <c r="F54822" s="13"/>
      <c r="M54822" s="13"/>
    </row>
    <row r="54823">
      <c r="F54823" s="13"/>
      <c r="M54823" s="13"/>
    </row>
    <row r="54824">
      <c r="F54824" s="13"/>
      <c r="M54824" s="13"/>
    </row>
    <row r="54825">
      <c r="F54825" s="13"/>
      <c r="M54825" s="13"/>
    </row>
    <row r="54826">
      <c r="F54826" s="13"/>
      <c r="M54826" s="13"/>
    </row>
    <row r="54827">
      <c r="F54827" s="13"/>
      <c r="M54827" s="13"/>
    </row>
    <row r="54828">
      <c r="F54828" s="13"/>
      <c r="M54828" s="13"/>
    </row>
    <row r="54829">
      <c r="F54829" s="13"/>
      <c r="M54829" s="13"/>
    </row>
    <row r="54830">
      <c r="F54830" s="13"/>
      <c r="M54830" s="13"/>
    </row>
    <row r="54831">
      <c r="F54831" s="13"/>
      <c r="M54831" s="13"/>
    </row>
    <row r="54832">
      <c r="F54832" s="13"/>
      <c r="M54832" s="13"/>
    </row>
    <row r="54833">
      <c r="F54833" s="13"/>
      <c r="M54833" s="13"/>
    </row>
    <row r="54834">
      <c r="F54834" s="13"/>
      <c r="M54834" s="13"/>
    </row>
    <row r="54835">
      <c r="F54835" s="13"/>
      <c r="M54835" s="13"/>
    </row>
    <row r="54836">
      <c r="F54836" s="13"/>
      <c r="M54836" s="13"/>
    </row>
    <row r="54837">
      <c r="F54837" s="13"/>
      <c r="M54837" s="13"/>
    </row>
    <row r="54838">
      <c r="F54838" s="13"/>
      <c r="M54838" s="13"/>
    </row>
    <row r="54839">
      <c r="F54839" s="13"/>
      <c r="M54839" s="13"/>
    </row>
    <row r="54840">
      <c r="F54840" s="13"/>
      <c r="M54840" s="13"/>
    </row>
    <row r="54841">
      <c r="F54841" s="13"/>
      <c r="M54841" s="13"/>
    </row>
    <row r="54842">
      <c r="F54842" s="13"/>
      <c r="M54842" s="13"/>
    </row>
    <row r="54843">
      <c r="F54843" s="13"/>
      <c r="M54843" s="13"/>
    </row>
    <row r="54844">
      <c r="F54844" s="13"/>
      <c r="M54844" s="13"/>
    </row>
    <row r="54845">
      <c r="F54845" s="13"/>
      <c r="M54845" s="13"/>
    </row>
    <row r="54846">
      <c r="F54846" s="13"/>
      <c r="M54846" s="13"/>
    </row>
    <row r="54847">
      <c r="F54847" s="13"/>
      <c r="M54847" s="13"/>
    </row>
    <row r="54848">
      <c r="F54848" s="13"/>
      <c r="M54848" s="13"/>
    </row>
    <row r="54849">
      <c r="F54849" s="13"/>
      <c r="M54849" s="13"/>
    </row>
    <row r="54850">
      <c r="F54850" s="13"/>
      <c r="M54850" s="13"/>
    </row>
    <row r="54851">
      <c r="F54851" s="13"/>
      <c r="M54851" s="13"/>
    </row>
    <row r="54852">
      <c r="F54852" s="13"/>
      <c r="M54852" s="13"/>
    </row>
    <row r="54853">
      <c r="F54853" s="13"/>
      <c r="M54853" s="13"/>
    </row>
    <row r="54854">
      <c r="F54854" s="13"/>
      <c r="M54854" s="13"/>
    </row>
    <row r="54855">
      <c r="F54855" s="13"/>
      <c r="M54855" s="13"/>
    </row>
    <row r="54856">
      <c r="F54856" s="13"/>
      <c r="M54856" s="13"/>
    </row>
    <row r="54857">
      <c r="F54857" s="13"/>
      <c r="M54857" s="13"/>
    </row>
    <row r="54858">
      <c r="F54858" s="13"/>
      <c r="M54858" s="13"/>
    </row>
    <row r="54859">
      <c r="F54859" s="13"/>
      <c r="M54859" s="13"/>
    </row>
    <row r="54860">
      <c r="F54860" s="13"/>
      <c r="M54860" s="13"/>
    </row>
    <row r="54861">
      <c r="F54861" s="13"/>
      <c r="M54861" s="13"/>
    </row>
    <row r="54862">
      <c r="F54862" s="13"/>
      <c r="M54862" s="13"/>
    </row>
    <row r="54863">
      <c r="F54863" s="13"/>
      <c r="M54863" s="13"/>
    </row>
    <row r="54864">
      <c r="F54864" s="13"/>
      <c r="M54864" s="13"/>
    </row>
    <row r="54865">
      <c r="F54865" s="13"/>
      <c r="M54865" s="13"/>
    </row>
    <row r="54866">
      <c r="F54866" s="13"/>
      <c r="M54866" s="13"/>
    </row>
    <row r="54867">
      <c r="F54867" s="13"/>
      <c r="M54867" s="13"/>
    </row>
    <row r="54868">
      <c r="F54868" s="13"/>
      <c r="M54868" s="13"/>
    </row>
    <row r="54869">
      <c r="F54869" s="13"/>
      <c r="M54869" s="13"/>
    </row>
    <row r="54870">
      <c r="F54870" s="13"/>
      <c r="M54870" s="13"/>
    </row>
    <row r="54871">
      <c r="F54871" s="13"/>
      <c r="M54871" s="13"/>
    </row>
    <row r="54872">
      <c r="F54872" s="13"/>
      <c r="M54872" s="13"/>
    </row>
    <row r="54873">
      <c r="F54873" s="13"/>
      <c r="M54873" s="13"/>
    </row>
    <row r="54874">
      <c r="F54874" s="13"/>
      <c r="M54874" s="13"/>
    </row>
    <row r="54875">
      <c r="F54875" s="13"/>
      <c r="M54875" s="13"/>
    </row>
    <row r="54876">
      <c r="F54876" s="13"/>
      <c r="M54876" s="13"/>
    </row>
    <row r="54877">
      <c r="F54877" s="13"/>
      <c r="M54877" s="13"/>
    </row>
    <row r="54878">
      <c r="F54878" s="13"/>
      <c r="M54878" s="13"/>
    </row>
    <row r="54879">
      <c r="F54879" s="13"/>
      <c r="M54879" s="13"/>
    </row>
    <row r="54880">
      <c r="F54880" s="13"/>
      <c r="M54880" s="13"/>
    </row>
    <row r="54881">
      <c r="F54881" s="13"/>
      <c r="M54881" s="13"/>
    </row>
    <row r="54882">
      <c r="F54882" s="13"/>
      <c r="M54882" s="13"/>
    </row>
    <row r="54883">
      <c r="F54883" s="13"/>
      <c r="M54883" s="13"/>
    </row>
    <row r="54884">
      <c r="F54884" s="13"/>
      <c r="M54884" s="13"/>
    </row>
    <row r="54885">
      <c r="F54885" s="13"/>
      <c r="M54885" s="13"/>
    </row>
    <row r="54886">
      <c r="F54886" s="13"/>
      <c r="M54886" s="13"/>
    </row>
    <row r="54887">
      <c r="F54887" s="13"/>
      <c r="M54887" s="13"/>
    </row>
    <row r="54888">
      <c r="F54888" s="13"/>
      <c r="M54888" s="13"/>
    </row>
    <row r="54889">
      <c r="F54889" s="13"/>
      <c r="M54889" s="13"/>
    </row>
    <row r="54890">
      <c r="F54890" s="13"/>
      <c r="M54890" s="13"/>
    </row>
    <row r="54891">
      <c r="F54891" s="13"/>
      <c r="M54891" s="13"/>
    </row>
    <row r="54892">
      <c r="F54892" s="13"/>
      <c r="M54892" s="13"/>
    </row>
    <row r="54893">
      <c r="F54893" s="13"/>
      <c r="M54893" s="13"/>
    </row>
    <row r="54894">
      <c r="F54894" s="13"/>
      <c r="M54894" s="13"/>
    </row>
    <row r="54895">
      <c r="F54895" s="13"/>
      <c r="M54895" s="13"/>
    </row>
    <row r="54896">
      <c r="F54896" s="13"/>
      <c r="M54896" s="13"/>
    </row>
    <row r="54897">
      <c r="F54897" s="13"/>
      <c r="M54897" s="13"/>
    </row>
    <row r="54898">
      <c r="F54898" s="13"/>
      <c r="M54898" s="13"/>
    </row>
    <row r="54899">
      <c r="F54899" s="13"/>
      <c r="M54899" s="13"/>
    </row>
    <row r="54900">
      <c r="F54900" s="13"/>
      <c r="M54900" s="13"/>
    </row>
    <row r="54901">
      <c r="F54901" s="13"/>
      <c r="M54901" s="13"/>
    </row>
    <row r="54902">
      <c r="F54902" s="13"/>
      <c r="M54902" s="13"/>
    </row>
    <row r="54903">
      <c r="F54903" s="13"/>
      <c r="M54903" s="13"/>
    </row>
    <row r="54904">
      <c r="F54904" s="13"/>
      <c r="M54904" s="13"/>
    </row>
    <row r="54905">
      <c r="F54905" s="13"/>
      <c r="M54905" s="13"/>
    </row>
    <row r="54906">
      <c r="F54906" s="13"/>
      <c r="M54906" s="13"/>
    </row>
    <row r="54907">
      <c r="F54907" s="13"/>
      <c r="M54907" s="13"/>
    </row>
    <row r="54908">
      <c r="F54908" s="13"/>
      <c r="M54908" s="13"/>
    </row>
    <row r="54909">
      <c r="F54909" s="13"/>
      <c r="M54909" s="13"/>
    </row>
    <row r="54910">
      <c r="F54910" s="13"/>
      <c r="M54910" s="13"/>
    </row>
    <row r="54911">
      <c r="F54911" s="13"/>
      <c r="M54911" s="13"/>
    </row>
    <row r="54912">
      <c r="F54912" s="13"/>
      <c r="M54912" s="13"/>
    </row>
    <row r="54913">
      <c r="F54913" s="13"/>
      <c r="M54913" s="13"/>
    </row>
    <row r="54914">
      <c r="F54914" s="13"/>
      <c r="M54914" s="13"/>
    </row>
    <row r="54915">
      <c r="F54915" s="13"/>
      <c r="M54915" s="13"/>
    </row>
    <row r="54916">
      <c r="F54916" s="13"/>
      <c r="M54916" s="13"/>
    </row>
    <row r="54917">
      <c r="F54917" s="13"/>
      <c r="M54917" s="13"/>
    </row>
    <row r="54918">
      <c r="F54918" s="13"/>
      <c r="M54918" s="13"/>
    </row>
    <row r="54919">
      <c r="F54919" s="13"/>
      <c r="M54919" s="13"/>
    </row>
    <row r="54920">
      <c r="F54920" s="13"/>
      <c r="M54920" s="13"/>
    </row>
    <row r="54921">
      <c r="F54921" s="13"/>
      <c r="M54921" s="13"/>
    </row>
    <row r="54922">
      <c r="F54922" s="13"/>
      <c r="M54922" s="13"/>
    </row>
    <row r="54923">
      <c r="F54923" s="13"/>
      <c r="M54923" s="13"/>
    </row>
    <row r="54924">
      <c r="F54924" s="13"/>
      <c r="M54924" s="13"/>
    </row>
    <row r="54925">
      <c r="F54925" s="13"/>
      <c r="M54925" s="13"/>
    </row>
    <row r="54926">
      <c r="F54926" s="13"/>
      <c r="M54926" s="13"/>
    </row>
    <row r="54927">
      <c r="F54927" s="13"/>
      <c r="M54927" s="13"/>
    </row>
    <row r="54928">
      <c r="F54928" s="13"/>
      <c r="M54928" s="13"/>
    </row>
    <row r="54929">
      <c r="F54929" s="13"/>
      <c r="M54929" s="13"/>
    </row>
    <row r="54930">
      <c r="F54930" s="13"/>
      <c r="M54930" s="13"/>
    </row>
    <row r="54931">
      <c r="F54931" s="13"/>
      <c r="M54931" s="13"/>
    </row>
    <row r="54932">
      <c r="F54932" s="13"/>
      <c r="M54932" s="13"/>
    </row>
    <row r="54933">
      <c r="F54933" s="13"/>
      <c r="M54933" s="13"/>
    </row>
    <row r="54934">
      <c r="F54934" s="13"/>
      <c r="M54934" s="13"/>
    </row>
    <row r="54935">
      <c r="F54935" s="13"/>
      <c r="M54935" s="13"/>
    </row>
    <row r="54936">
      <c r="F54936" s="13"/>
      <c r="M54936" s="13"/>
    </row>
    <row r="54937">
      <c r="F54937" s="13"/>
      <c r="M54937" s="13"/>
    </row>
    <row r="54938">
      <c r="F54938" s="13"/>
      <c r="M54938" s="13"/>
    </row>
    <row r="54939">
      <c r="F54939" s="13"/>
      <c r="M54939" s="13"/>
    </row>
    <row r="54940">
      <c r="F54940" s="13"/>
      <c r="M54940" s="13"/>
    </row>
    <row r="54941">
      <c r="F54941" s="13"/>
      <c r="M54941" s="13"/>
    </row>
    <row r="54942">
      <c r="F54942" s="13"/>
      <c r="M54942" s="13"/>
    </row>
    <row r="54943">
      <c r="F54943" s="13"/>
      <c r="M54943" s="13"/>
    </row>
    <row r="54944">
      <c r="F54944" s="13"/>
      <c r="M54944" s="13"/>
    </row>
    <row r="54945">
      <c r="F54945" s="13"/>
      <c r="M54945" s="13"/>
    </row>
    <row r="54946">
      <c r="F54946" s="13"/>
      <c r="M54946" s="13"/>
    </row>
    <row r="54947">
      <c r="F54947" s="13"/>
      <c r="M54947" s="13"/>
    </row>
    <row r="54948">
      <c r="F54948" s="13"/>
      <c r="M54948" s="13"/>
    </row>
    <row r="54949">
      <c r="F54949" s="13"/>
      <c r="M54949" s="13"/>
    </row>
    <row r="54950">
      <c r="F54950" s="13"/>
      <c r="M54950" s="13"/>
    </row>
    <row r="54951">
      <c r="F54951" s="13"/>
      <c r="M54951" s="13"/>
    </row>
    <row r="54952">
      <c r="F54952" s="13"/>
      <c r="M54952" s="13"/>
    </row>
    <row r="54953">
      <c r="F54953" s="13"/>
      <c r="M54953" s="13"/>
    </row>
    <row r="54954">
      <c r="F54954" s="13"/>
      <c r="M54954" s="13"/>
    </row>
    <row r="54955">
      <c r="F54955" s="13"/>
      <c r="M54955" s="13"/>
    </row>
    <row r="54956">
      <c r="F54956" s="13"/>
      <c r="M54956" s="13"/>
    </row>
    <row r="54957">
      <c r="F54957" s="13"/>
      <c r="M54957" s="13"/>
    </row>
    <row r="54958">
      <c r="F54958" s="13"/>
      <c r="M54958" s="13"/>
    </row>
    <row r="54959">
      <c r="F54959" s="13"/>
      <c r="M54959" s="13"/>
    </row>
    <row r="54960">
      <c r="F54960" s="13"/>
      <c r="M54960" s="13"/>
    </row>
    <row r="54961">
      <c r="F54961" s="13"/>
      <c r="M54961" s="13"/>
    </row>
    <row r="54962">
      <c r="F54962" s="13"/>
      <c r="M54962" s="13"/>
    </row>
    <row r="54963">
      <c r="F54963" s="13"/>
      <c r="M54963" s="13"/>
    </row>
    <row r="54964">
      <c r="F54964" s="13"/>
      <c r="M54964" s="13"/>
    </row>
    <row r="54965">
      <c r="F54965" s="13"/>
      <c r="M54965" s="13"/>
    </row>
    <row r="54966">
      <c r="F54966" s="13"/>
      <c r="M54966" s="13"/>
    </row>
    <row r="54967">
      <c r="F54967" s="13"/>
      <c r="M54967" s="13"/>
    </row>
    <row r="54968">
      <c r="F54968" s="13"/>
      <c r="M54968" s="13"/>
    </row>
    <row r="54969">
      <c r="F54969" s="13"/>
      <c r="M54969" s="13"/>
    </row>
    <row r="54970">
      <c r="F54970" s="13"/>
      <c r="M54970" s="13"/>
    </row>
    <row r="54971">
      <c r="F54971" s="13"/>
      <c r="M54971" s="13"/>
    </row>
    <row r="54972">
      <c r="F54972" s="13"/>
      <c r="M54972" s="13"/>
    </row>
    <row r="54973">
      <c r="F54973" s="13"/>
      <c r="M54973" s="13"/>
    </row>
    <row r="54974">
      <c r="F54974" s="13"/>
      <c r="M54974" s="13"/>
    </row>
    <row r="54975">
      <c r="F54975" s="13"/>
      <c r="M54975" s="13"/>
    </row>
    <row r="54976">
      <c r="F54976" s="13"/>
      <c r="M54976" s="13"/>
    </row>
    <row r="54977">
      <c r="F54977" s="13"/>
      <c r="M54977" s="13"/>
    </row>
    <row r="54978">
      <c r="F54978" s="13"/>
      <c r="M54978" s="13"/>
    </row>
    <row r="54979">
      <c r="F54979" s="13"/>
      <c r="M54979" s="13"/>
    </row>
    <row r="54980">
      <c r="F54980" s="13"/>
      <c r="M54980" s="13"/>
    </row>
    <row r="54981">
      <c r="F54981" s="13"/>
      <c r="M54981" s="13"/>
    </row>
    <row r="54982">
      <c r="F54982" s="13"/>
      <c r="M54982" s="13"/>
    </row>
    <row r="54983">
      <c r="F54983" s="13"/>
      <c r="M54983" s="13"/>
    </row>
    <row r="54984">
      <c r="F54984" s="13"/>
      <c r="M54984" s="13"/>
    </row>
    <row r="54985">
      <c r="F54985" s="13"/>
      <c r="M54985" s="13"/>
    </row>
    <row r="54986">
      <c r="F54986" s="13"/>
      <c r="M54986" s="13"/>
    </row>
    <row r="54987">
      <c r="F54987" s="13"/>
      <c r="M54987" s="13"/>
    </row>
    <row r="54988">
      <c r="F54988" s="13"/>
      <c r="M54988" s="13"/>
    </row>
    <row r="54989">
      <c r="F54989" s="13"/>
      <c r="M54989" s="13"/>
    </row>
    <row r="54990">
      <c r="F54990" s="13"/>
      <c r="M54990" s="13"/>
    </row>
    <row r="54991">
      <c r="F54991" s="13"/>
      <c r="M54991" s="13"/>
    </row>
    <row r="54992">
      <c r="F54992" s="13"/>
      <c r="M54992" s="13"/>
    </row>
    <row r="54993">
      <c r="F54993" s="13"/>
      <c r="M54993" s="13"/>
    </row>
    <row r="54994">
      <c r="F54994" s="13"/>
      <c r="M54994" s="13"/>
    </row>
    <row r="54995">
      <c r="F54995" s="13"/>
      <c r="M54995" s="13"/>
    </row>
    <row r="54996">
      <c r="F54996" s="13"/>
      <c r="M54996" s="13"/>
    </row>
    <row r="54997">
      <c r="F54997" s="13"/>
      <c r="M54997" s="13"/>
    </row>
    <row r="54998">
      <c r="F54998" s="13"/>
      <c r="M54998" s="13"/>
    </row>
    <row r="54999">
      <c r="F54999" s="13"/>
      <c r="M54999" s="13"/>
    </row>
    <row r="55000">
      <c r="F55000" s="13"/>
      <c r="M55000" s="13"/>
    </row>
    <row r="55001">
      <c r="F55001" s="13"/>
      <c r="M55001" s="13"/>
    </row>
    <row r="55002">
      <c r="F55002" s="13"/>
      <c r="M55002" s="13"/>
    </row>
    <row r="55003">
      <c r="F55003" s="13"/>
      <c r="M55003" s="13"/>
    </row>
    <row r="55004">
      <c r="F55004" s="13"/>
      <c r="M55004" s="13"/>
    </row>
    <row r="55005">
      <c r="F55005" s="13"/>
      <c r="M55005" s="13"/>
    </row>
    <row r="55006">
      <c r="F55006" s="13"/>
      <c r="M55006" s="13"/>
    </row>
    <row r="55007">
      <c r="F55007" s="13"/>
      <c r="M55007" s="13"/>
    </row>
    <row r="55008">
      <c r="F55008" s="13"/>
      <c r="M55008" s="13"/>
    </row>
    <row r="55009">
      <c r="F55009" s="13"/>
      <c r="M55009" s="13"/>
    </row>
    <row r="55010">
      <c r="F55010" s="13"/>
      <c r="M55010" s="13"/>
    </row>
    <row r="55011">
      <c r="F55011" s="13"/>
      <c r="M55011" s="13"/>
    </row>
    <row r="55012">
      <c r="F55012" s="13"/>
      <c r="M55012" s="13"/>
    </row>
    <row r="55013">
      <c r="F55013" s="13"/>
      <c r="M55013" s="13"/>
    </row>
    <row r="55014">
      <c r="F55014" s="13"/>
      <c r="M55014" s="13"/>
    </row>
    <row r="55015">
      <c r="F55015" s="13"/>
      <c r="M55015" s="13"/>
    </row>
    <row r="55016">
      <c r="F55016" s="13"/>
      <c r="M55016" s="13"/>
    </row>
    <row r="55017">
      <c r="F55017" s="13"/>
      <c r="M55017" s="13"/>
    </row>
    <row r="55018">
      <c r="F55018" s="13"/>
      <c r="M55018" s="13"/>
    </row>
    <row r="55019">
      <c r="F55019" s="13"/>
      <c r="M55019" s="13"/>
    </row>
    <row r="55020">
      <c r="F55020" s="13"/>
      <c r="M55020" s="13"/>
    </row>
    <row r="55021">
      <c r="F55021" s="13"/>
      <c r="M55021" s="13"/>
    </row>
    <row r="55022">
      <c r="F55022" s="13"/>
      <c r="M55022" s="13"/>
    </row>
    <row r="55023">
      <c r="F55023" s="13"/>
      <c r="M55023" s="13"/>
    </row>
    <row r="55024">
      <c r="F55024" s="13"/>
      <c r="M55024" s="13"/>
    </row>
    <row r="55025">
      <c r="F55025" s="13"/>
      <c r="M55025" s="13"/>
    </row>
    <row r="55026">
      <c r="F55026" s="13"/>
      <c r="M55026" s="13"/>
    </row>
    <row r="55027">
      <c r="F55027" s="13"/>
      <c r="M55027" s="13"/>
    </row>
    <row r="55028">
      <c r="F55028" s="13"/>
      <c r="M55028" s="13"/>
    </row>
    <row r="55029">
      <c r="F55029" s="13"/>
      <c r="M55029" s="13"/>
    </row>
    <row r="55030">
      <c r="F55030" s="13"/>
      <c r="M55030" s="13"/>
    </row>
    <row r="55031">
      <c r="F55031" s="13"/>
      <c r="M55031" s="13"/>
    </row>
    <row r="55032">
      <c r="F55032" s="13"/>
      <c r="M55032" s="13"/>
    </row>
    <row r="55033">
      <c r="F55033" s="13"/>
      <c r="M55033" s="13"/>
    </row>
    <row r="55034">
      <c r="F55034" s="13"/>
      <c r="M55034" s="13"/>
    </row>
    <row r="55035">
      <c r="F55035" s="13"/>
      <c r="M55035" s="13"/>
    </row>
    <row r="55036">
      <c r="F55036" s="13"/>
      <c r="M55036" s="13"/>
    </row>
    <row r="55037">
      <c r="F55037" s="13"/>
      <c r="M55037" s="13"/>
    </row>
    <row r="55038">
      <c r="F55038" s="13"/>
      <c r="M55038" s="13"/>
    </row>
    <row r="55039">
      <c r="F55039" s="13"/>
      <c r="M55039" s="13"/>
    </row>
    <row r="55040">
      <c r="F55040" s="13"/>
      <c r="M55040" s="13"/>
    </row>
    <row r="55041">
      <c r="F55041" s="13"/>
      <c r="M55041" s="13"/>
    </row>
    <row r="55042">
      <c r="F55042" s="13"/>
      <c r="M55042" s="13"/>
    </row>
    <row r="55043">
      <c r="F55043" s="13"/>
      <c r="M55043" s="13"/>
    </row>
    <row r="55044">
      <c r="F55044" s="13"/>
      <c r="M55044" s="13"/>
    </row>
    <row r="55045">
      <c r="F55045" s="13"/>
      <c r="M55045" s="13"/>
    </row>
    <row r="55046">
      <c r="F55046" s="13"/>
      <c r="M55046" s="13"/>
    </row>
    <row r="55047">
      <c r="F55047" s="13"/>
      <c r="M55047" s="13"/>
    </row>
    <row r="55048">
      <c r="F55048" s="13"/>
      <c r="M55048" s="13"/>
    </row>
    <row r="55049">
      <c r="F55049" s="13"/>
      <c r="M55049" s="13"/>
    </row>
    <row r="55050">
      <c r="F55050" s="13"/>
      <c r="M55050" s="13"/>
    </row>
    <row r="55051">
      <c r="F55051" s="13"/>
      <c r="M55051" s="13"/>
    </row>
    <row r="55052">
      <c r="F55052" s="13"/>
      <c r="M55052" s="13"/>
    </row>
    <row r="55053">
      <c r="F55053" s="13"/>
      <c r="M55053" s="13"/>
    </row>
    <row r="55054">
      <c r="F55054" s="13"/>
      <c r="M55054" s="13"/>
    </row>
    <row r="55055">
      <c r="F55055" s="13"/>
      <c r="M55055" s="13"/>
    </row>
    <row r="55056">
      <c r="F55056" s="13"/>
      <c r="M55056" s="13"/>
    </row>
    <row r="55057">
      <c r="F55057" s="13"/>
      <c r="M55057" s="13"/>
    </row>
    <row r="55058">
      <c r="F55058" s="13"/>
      <c r="M55058" s="13"/>
    </row>
    <row r="55059">
      <c r="F55059" s="13"/>
      <c r="M55059" s="13"/>
    </row>
    <row r="55060">
      <c r="F55060" s="13"/>
      <c r="M55060" s="13"/>
    </row>
    <row r="55061">
      <c r="F55061" s="13"/>
      <c r="M55061" s="13"/>
    </row>
    <row r="55062">
      <c r="F55062" s="13"/>
      <c r="M55062" s="13"/>
    </row>
    <row r="55063">
      <c r="F55063" s="13"/>
      <c r="M55063" s="13"/>
    </row>
    <row r="55064">
      <c r="F55064" s="13"/>
      <c r="M55064" s="13"/>
    </row>
    <row r="55065">
      <c r="F55065" s="13"/>
      <c r="M55065" s="13"/>
    </row>
    <row r="55066">
      <c r="F55066" s="13"/>
      <c r="M55066" s="13"/>
    </row>
    <row r="55067">
      <c r="F55067" s="13"/>
      <c r="M55067" s="13"/>
    </row>
    <row r="55068">
      <c r="F55068" s="13"/>
      <c r="M55068" s="13"/>
    </row>
    <row r="55069">
      <c r="F55069" s="13"/>
      <c r="M55069" s="13"/>
    </row>
    <row r="55070">
      <c r="F55070" s="13"/>
      <c r="M55070" s="13"/>
    </row>
    <row r="55071">
      <c r="F55071" s="13"/>
      <c r="M55071" s="13"/>
    </row>
    <row r="55072">
      <c r="F55072" s="13"/>
      <c r="M55072" s="13"/>
    </row>
    <row r="55073">
      <c r="F55073" s="13"/>
      <c r="M55073" s="13"/>
    </row>
    <row r="55074">
      <c r="F55074" s="13"/>
      <c r="M55074" s="13"/>
    </row>
    <row r="55075">
      <c r="F55075" s="13"/>
      <c r="M55075" s="13"/>
    </row>
    <row r="55076">
      <c r="F55076" s="13"/>
      <c r="M55076" s="13"/>
    </row>
    <row r="55077">
      <c r="F55077" s="13"/>
      <c r="M55077" s="13"/>
    </row>
    <row r="55078">
      <c r="F55078" s="13"/>
      <c r="M55078" s="13"/>
    </row>
    <row r="55079">
      <c r="F55079" s="13"/>
      <c r="M55079" s="13"/>
    </row>
    <row r="55080">
      <c r="F55080" s="13"/>
      <c r="M55080" s="13"/>
    </row>
    <row r="55081">
      <c r="F55081" s="13"/>
      <c r="M55081" s="13"/>
    </row>
    <row r="55082">
      <c r="F55082" s="13"/>
      <c r="M55082" s="13"/>
    </row>
    <row r="55083">
      <c r="F55083" s="13"/>
      <c r="M55083" s="13"/>
    </row>
    <row r="55084">
      <c r="F55084" s="13"/>
      <c r="M55084" s="13"/>
    </row>
    <row r="55085">
      <c r="F55085" s="13"/>
      <c r="M55085" s="13"/>
    </row>
    <row r="55086">
      <c r="F55086" s="13"/>
      <c r="M55086" s="13"/>
    </row>
    <row r="55087">
      <c r="F55087" s="13"/>
      <c r="M55087" s="13"/>
    </row>
    <row r="55088">
      <c r="F55088" s="13"/>
      <c r="M55088" s="13"/>
    </row>
    <row r="55089">
      <c r="F55089" s="13"/>
      <c r="M55089" s="13"/>
    </row>
    <row r="55090">
      <c r="F55090" s="13"/>
      <c r="M55090" s="13"/>
    </row>
    <row r="55091">
      <c r="F55091" s="13"/>
      <c r="M55091" s="13"/>
    </row>
    <row r="55092">
      <c r="F55092" s="13"/>
      <c r="M55092" s="13"/>
    </row>
    <row r="55093">
      <c r="F55093" s="13"/>
      <c r="M55093" s="13"/>
    </row>
    <row r="55094">
      <c r="F55094" s="13"/>
      <c r="M55094" s="13"/>
    </row>
    <row r="55095">
      <c r="F55095" s="13"/>
      <c r="M55095" s="13"/>
    </row>
    <row r="55096">
      <c r="F55096" s="13"/>
      <c r="M55096" s="13"/>
    </row>
    <row r="55097">
      <c r="F55097" s="13"/>
      <c r="M55097" s="13"/>
    </row>
    <row r="55098">
      <c r="F55098" s="13"/>
      <c r="M55098" s="13"/>
    </row>
    <row r="55099">
      <c r="F55099" s="13"/>
      <c r="M55099" s="13"/>
    </row>
    <row r="55100">
      <c r="F55100" s="13"/>
      <c r="M55100" s="13"/>
    </row>
    <row r="55101">
      <c r="F55101" s="13"/>
      <c r="M55101" s="13"/>
    </row>
    <row r="55102">
      <c r="F55102" s="13"/>
      <c r="M55102" s="13"/>
    </row>
    <row r="55103">
      <c r="F55103" s="13"/>
      <c r="M55103" s="13"/>
    </row>
    <row r="55104">
      <c r="F55104" s="13"/>
      <c r="M55104" s="13"/>
    </row>
    <row r="55105">
      <c r="F55105" s="13"/>
      <c r="M55105" s="13"/>
    </row>
    <row r="55106">
      <c r="F55106" s="13"/>
      <c r="M55106" s="13"/>
    </row>
    <row r="55107">
      <c r="F55107" s="13"/>
      <c r="M55107" s="13"/>
    </row>
    <row r="55108">
      <c r="F55108" s="13"/>
      <c r="M55108" s="13"/>
    </row>
    <row r="55109">
      <c r="F55109" s="13"/>
      <c r="M55109" s="13"/>
    </row>
    <row r="55110">
      <c r="F55110" s="13"/>
      <c r="M55110" s="13"/>
    </row>
    <row r="55111">
      <c r="F55111" s="13"/>
      <c r="M55111" s="13"/>
    </row>
    <row r="55112">
      <c r="F55112" s="13"/>
      <c r="M55112" s="13"/>
    </row>
    <row r="55113">
      <c r="F55113" s="13"/>
      <c r="M55113" s="13"/>
    </row>
    <row r="55114">
      <c r="F55114" s="13"/>
      <c r="M55114" s="13"/>
    </row>
    <row r="55115">
      <c r="F55115" s="13"/>
      <c r="M55115" s="13"/>
    </row>
    <row r="55116">
      <c r="F55116" s="13"/>
      <c r="M55116" s="13"/>
    </row>
    <row r="55117">
      <c r="F55117" s="13"/>
      <c r="M55117" s="13"/>
    </row>
    <row r="55118">
      <c r="F55118" s="13"/>
      <c r="M55118" s="13"/>
    </row>
    <row r="55119">
      <c r="F55119" s="13"/>
      <c r="M55119" s="13"/>
    </row>
    <row r="55120">
      <c r="F55120" s="13"/>
      <c r="M55120" s="13"/>
    </row>
    <row r="55121">
      <c r="F55121" s="13"/>
      <c r="M55121" s="13"/>
    </row>
    <row r="55122">
      <c r="F55122" s="13"/>
      <c r="M55122" s="13"/>
    </row>
    <row r="55123">
      <c r="F55123" s="13"/>
      <c r="M55123" s="13"/>
    </row>
    <row r="55124">
      <c r="F55124" s="13"/>
      <c r="M55124" s="13"/>
    </row>
    <row r="55125">
      <c r="F55125" s="13"/>
      <c r="M55125" s="13"/>
    </row>
    <row r="55126">
      <c r="F55126" s="13"/>
      <c r="M55126" s="13"/>
    </row>
    <row r="55127">
      <c r="F55127" s="13"/>
      <c r="M55127" s="13"/>
    </row>
    <row r="55128">
      <c r="F55128" s="13"/>
      <c r="M55128" s="13"/>
    </row>
    <row r="55129">
      <c r="F55129" s="13"/>
      <c r="M55129" s="13"/>
    </row>
    <row r="55130">
      <c r="F55130" s="13"/>
      <c r="M55130" s="13"/>
    </row>
    <row r="55131">
      <c r="F55131" s="13"/>
      <c r="M55131" s="13"/>
    </row>
    <row r="55132">
      <c r="F55132" s="13"/>
      <c r="M55132" s="13"/>
    </row>
    <row r="55133">
      <c r="F55133" s="13"/>
      <c r="M55133" s="13"/>
    </row>
    <row r="55134">
      <c r="F55134" s="13"/>
      <c r="M55134" s="13"/>
    </row>
    <row r="55135">
      <c r="F55135" s="13"/>
      <c r="M55135" s="13"/>
    </row>
    <row r="55136">
      <c r="F55136" s="13"/>
      <c r="M55136" s="13"/>
    </row>
    <row r="55137">
      <c r="F55137" s="13"/>
      <c r="M55137" s="13"/>
    </row>
    <row r="55138">
      <c r="F55138" s="13"/>
      <c r="M55138" s="13"/>
    </row>
    <row r="55139">
      <c r="F55139" s="13"/>
      <c r="M55139" s="13"/>
    </row>
    <row r="55140">
      <c r="F55140" s="13"/>
      <c r="M55140" s="13"/>
    </row>
    <row r="55141">
      <c r="F55141" s="13"/>
      <c r="M55141" s="13"/>
    </row>
    <row r="55142">
      <c r="F55142" s="13"/>
      <c r="M55142" s="13"/>
    </row>
    <row r="55143">
      <c r="F55143" s="13"/>
      <c r="M55143" s="13"/>
    </row>
    <row r="55144">
      <c r="F55144" s="13"/>
      <c r="M55144" s="13"/>
    </row>
    <row r="55145">
      <c r="F55145" s="13"/>
      <c r="M55145" s="13"/>
    </row>
    <row r="55146">
      <c r="F55146" s="13"/>
      <c r="M55146" s="13"/>
    </row>
    <row r="55147">
      <c r="F55147" s="13"/>
      <c r="M55147" s="13"/>
    </row>
    <row r="55148">
      <c r="F55148" s="13"/>
      <c r="M55148" s="13"/>
    </row>
    <row r="55149">
      <c r="F55149" s="13"/>
      <c r="M55149" s="13"/>
    </row>
    <row r="55150">
      <c r="F55150" s="13"/>
      <c r="M55150" s="13"/>
    </row>
    <row r="55151">
      <c r="F55151" s="13"/>
      <c r="M55151" s="13"/>
    </row>
    <row r="55152">
      <c r="F55152" s="13"/>
      <c r="M55152" s="13"/>
    </row>
    <row r="55153">
      <c r="F55153" s="13"/>
      <c r="M55153" s="13"/>
    </row>
    <row r="55154">
      <c r="F55154" s="13"/>
      <c r="M55154" s="13"/>
    </row>
    <row r="55155">
      <c r="F55155" s="13"/>
      <c r="M55155" s="13"/>
    </row>
    <row r="55156">
      <c r="F55156" s="13"/>
      <c r="M55156" s="13"/>
    </row>
    <row r="55157">
      <c r="F55157" s="13"/>
      <c r="M55157" s="13"/>
    </row>
    <row r="55158">
      <c r="F55158" s="13"/>
      <c r="M55158" s="13"/>
    </row>
    <row r="55159">
      <c r="F55159" s="13"/>
      <c r="M55159" s="13"/>
    </row>
    <row r="55160">
      <c r="F55160" s="13"/>
      <c r="M55160" s="13"/>
    </row>
    <row r="55161">
      <c r="F55161" s="13"/>
      <c r="M55161" s="13"/>
    </row>
    <row r="55162">
      <c r="F55162" s="13"/>
      <c r="M55162" s="13"/>
    </row>
    <row r="55163">
      <c r="F55163" s="13"/>
      <c r="M55163" s="13"/>
    </row>
    <row r="55164">
      <c r="F55164" s="13"/>
      <c r="M55164" s="13"/>
    </row>
    <row r="55165">
      <c r="F55165" s="13"/>
      <c r="M55165" s="13"/>
    </row>
    <row r="55166">
      <c r="F55166" s="13"/>
      <c r="M55166" s="13"/>
    </row>
    <row r="55167">
      <c r="F55167" s="13"/>
      <c r="M55167" s="13"/>
    </row>
    <row r="55168">
      <c r="F55168" s="13"/>
      <c r="M55168" s="13"/>
    </row>
    <row r="55169">
      <c r="F55169" s="13"/>
      <c r="M55169" s="13"/>
    </row>
    <row r="55170">
      <c r="F55170" s="13"/>
      <c r="M55170" s="13"/>
    </row>
    <row r="55171">
      <c r="F55171" s="13"/>
      <c r="M55171" s="13"/>
    </row>
    <row r="55172">
      <c r="F55172" s="13"/>
      <c r="M55172" s="13"/>
    </row>
    <row r="55173">
      <c r="F55173" s="13"/>
      <c r="M55173" s="13"/>
    </row>
    <row r="55174">
      <c r="F55174" s="13"/>
      <c r="M55174" s="13"/>
    </row>
    <row r="55175">
      <c r="F55175" s="13"/>
      <c r="M55175" s="13"/>
    </row>
    <row r="55176">
      <c r="F55176" s="13"/>
      <c r="M55176" s="13"/>
    </row>
    <row r="55177">
      <c r="F55177" s="13"/>
      <c r="M55177" s="13"/>
    </row>
    <row r="55178">
      <c r="F55178" s="13"/>
      <c r="M55178" s="13"/>
    </row>
    <row r="55179">
      <c r="F55179" s="13"/>
      <c r="M55179" s="13"/>
    </row>
    <row r="55180">
      <c r="F55180" s="13"/>
      <c r="M55180" s="13"/>
    </row>
    <row r="55181">
      <c r="F55181" s="13"/>
      <c r="M55181" s="13"/>
    </row>
    <row r="55182">
      <c r="F55182" s="13"/>
      <c r="M55182" s="13"/>
    </row>
    <row r="55183">
      <c r="F55183" s="13"/>
      <c r="M55183" s="13"/>
    </row>
    <row r="55184">
      <c r="F55184" s="13"/>
      <c r="M55184" s="13"/>
    </row>
    <row r="55185">
      <c r="F55185" s="13"/>
      <c r="M55185" s="13"/>
    </row>
    <row r="55186">
      <c r="F55186" s="13"/>
      <c r="M55186" s="13"/>
    </row>
    <row r="55187">
      <c r="F55187" s="13"/>
      <c r="M55187" s="13"/>
    </row>
    <row r="55188">
      <c r="F55188" s="13"/>
      <c r="M55188" s="13"/>
    </row>
    <row r="55189">
      <c r="F55189" s="13"/>
      <c r="M55189" s="13"/>
    </row>
    <row r="55190">
      <c r="F55190" s="13"/>
      <c r="M55190" s="13"/>
    </row>
    <row r="55191">
      <c r="F55191" s="13"/>
      <c r="M55191" s="13"/>
    </row>
    <row r="55192">
      <c r="F55192" s="13"/>
      <c r="M55192" s="13"/>
    </row>
    <row r="55193">
      <c r="F55193" s="13"/>
      <c r="M55193" s="13"/>
    </row>
    <row r="55194">
      <c r="F55194" s="13"/>
      <c r="M55194" s="13"/>
    </row>
    <row r="55195">
      <c r="F55195" s="13"/>
      <c r="M55195" s="13"/>
    </row>
    <row r="55196">
      <c r="F55196" s="13"/>
      <c r="M55196" s="13"/>
    </row>
    <row r="55197">
      <c r="F55197" s="13"/>
      <c r="M55197" s="13"/>
    </row>
    <row r="55198">
      <c r="F55198" s="13"/>
      <c r="M55198" s="13"/>
    </row>
    <row r="55199">
      <c r="F55199" s="13"/>
      <c r="M55199" s="13"/>
    </row>
    <row r="55200">
      <c r="F55200" s="13"/>
      <c r="M55200" s="13"/>
    </row>
    <row r="55201">
      <c r="F55201" s="13"/>
      <c r="M55201" s="13"/>
    </row>
    <row r="55202">
      <c r="F55202" s="13"/>
      <c r="M55202" s="13"/>
    </row>
    <row r="55203">
      <c r="F55203" s="13"/>
      <c r="M55203" s="13"/>
    </row>
    <row r="55204">
      <c r="F55204" s="13"/>
      <c r="M55204" s="13"/>
    </row>
    <row r="55205">
      <c r="F55205" s="13"/>
      <c r="M55205" s="13"/>
    </row>
    <row r="55206">
      <c r="F55206" s="13"/>
      <c r="M55206" s="13"/>
    </row>
    <row r="55207">
      <c r="F55207" s="13"/>
      <c r="M55207" s="13"/>
    </row>
    <row r="55208">
      <c r="F55208" s="13"/>
      <c r="M55208" s="13"/>
    </row>
    <row r="55209">
      <c r="F55209" s="13"/>
      <c r="M55209" s="13"/>
    </row>
    <row r="55210">
      <c r="F55210" s="13"/>
      <c r="M55210" s="13"/>
    </row>
    <row r="55211">
      <c r="F55211" s="13"/>
      <c r="M55211" s="13"/>
    </row>
    <row r="55212">
      <c r="F55212" s="13"/>
      <c r="M55212" s="13"/>
    </row>
    <row r="55213">
      <c r="F55213" s="13"/>
      <c r="M55213" s="13"/>
    </row>
    <row r="55214">
      <c r="F55214" s="13"/>
      <c r="M55214" s="13"/>
    </row>
    <row r="55215">
      <c r="F55215" s="13"/>
      <c r="M55215" s="13"/>
    </row>
    <row r="55216">
      <c r="F55216" s="13"/>
      <c r="M55216" s="13"/>
    </row>
    <row r="55217">
      <c r="F55217" s="13"/>
      <c r="M55217" s="13"/>
    </row>
    <row r="55218">
      <c r="F55218" s="13"/>
      <c r="M55218" s="13"/>
    </row>
    <row r="55219">
      <c r="F55219" s="13"/>
      <c r="M55219" s="13"/>
    </row>
    <row r="55220">
      <c r="F55220" s="13"/>
      <c r="M55220" s="13"/>
    </row>
    <row r="55221">
      <c r="F55221" s="13"/>
      <c r="M55221" s="13"/>
    </row>
    <row r="55222">
      <c r="F55222" s="13"/>
      <c r="M55222" s="13"/>
    </row>
    <row r="55223">
      <c r="F55223" s="13"/>
      <c r="M55223" s="13"/>
    </row>
    <row r="55224">
      <c r="F55224" s="13"/>
      <c r="M55224" s="13"/>
    </row>
    <row r="55225">
      <c r="F55225" s="13"/>
      <c r="M55225" s="13"/>
    </row>
    <row r="55226">
      <c r="F55226" s="13"/>
      <c r="M55226" s="13"/>
    </row>
    <row r="55227">
      <c r="F55227" s="13"/>
      <c r="M55227" s="13"/>
    </row>
    <row r="55228">
      <c r="F55228" s="13"/>
      <c r="M55228" s="13"/>
    </row>
    <row r="55229">
      <c r="F55229" s="13"/>
      <c r="M55229" s="13"/>
    </row>
    <row r="55230">
      <c r="F55230" s="13"/>
      <c r="M55230" s="13"/>
    </row>
    <row r="55231">
      <c r="F55231" s="13"/>
      <c r="M55231" s="13"/>
    </row>
    <row r="55232">
      <c r="F55232" s="13"/>
      <c r="M55232" s="13"/>
    </row>
    <row r="55233">
      <c r="F55233" s="13"/>
      <c r="M55233" s="13"/>
    </row>
    <row r="55234">
      <c r="F55234" s="13"/>
      <c r="M55234" s="13"/>
    </row>
    <row r="55235">
      <c r="F55235" s="13"/>
      <c r="M55235" s="13"/>
    </row>
    <row r="55236">
      <c r="F55236" s="13"/>
      <c r="M55236" s="13"/>
    </row>
    <row r="55237">
      <c r="F55237" s="13"/>
      <c r="M55237" s="13"/>
    </row>
    <row r="55238">
      <c r="F55238" s="13"/>
      <c r="M55238" s="13"/>
    </row>
    <row r="55239">
      <c r="F55239" s="13"/>
      <c r="M55239" s="13"/>
    </row>
    <row r="55240">
      <c r="F55240" s="13"/>
      <c r="M55240" s="13"/>
    </row>
    <row r="55241">
      <c r="F55241" s="13"/>
      <c r="M55241" s="13"/>
    </row>
    <row r="55242">
      <c r="F55242" s="13"/>
      <c r="M55242" s="13"/>
    </row>
    <row r="55243">
      <c r="F55243" s="13"/>
      <c r="M55243" s="13"/>
    </row>
    <row r="55244">
      <c r="F55244" s="13"/>
      <c r="M55244" s="13"/>
    </row>
    <row r="55245">
      <c r="F55245" s="13"/>
      <c r="M55245" s="13"/>
    </row>
    <row r="55246">
      <c r="F55246" s="13"/>
      <c r="M55246" s="13"/>
    </row>
    <row r="55247">
      <c r="F55247" s="13"/>
      <c r="M55247" s="13"/>
    </row>
    <row r="55248">
      <c r="F55248" s="13"/>
      <c r="M55248" s="13"/>
    </row>
    <row r="55249">
      <c r="F55249" s="13"/>
      <c r="M55249" s="13"/>
    </row>
    <row r="55250">
      <c r="F55250" s="13"/>
      <c r="M55250" s="13"/>
    </row>
    <row r="55251">
      <c r="F55251" s="13"/>
      <c r="M55251" s="13"/>
    </row>
    <row r="55252">
      <c r="F55252" s="13"/>
      <c r="M55252" s="13"/>
    </row>
    <row r="55253">
      <c r="F55253" s="13"/>
      <c r="M55253" s="13"/>
    </row>
    <row r="55254">
      <c r="F55254" s="13"/>
      <c r="M55254" s="13"/>
    </row>
    <row r="55255">
      <c r="F55255" s="13"/>
      <c r="M55255" s="13"/>
    </row>
    <row r="55256">
      <c r="F55256" s="13"/>
      <c r="M55256" s="13"/>
    </row>
    <row r="55257">
      <c r="F55257" s="13"/>
      <c r="M55257" s="13"/>
    </row>
    <row r="55258">
      <c r="F55258" s="13"/>
      <c r="M55258" s="13"/>
    </row>
    <row r="55259">
      <c r="F55259" s="13"/>
      <c r="M55259" s="13"/>
    </row>
    <row r="55260">
      <c r="F55260" s="13"/>
      <c r="M55260" s="13"/>
    </row>
    <row r="55261">
      <c r="F55261" s="13"/>
      <c r="M55261" s="13"/>
    </row>
    <row r="55262">
      <c r="F55262" s="13"/>
      <c r="M55262" s="13"/>
    </row>
    <row r="55263">
      <c r="F55263" s="13"/>
      <c r="M55263" s="13"/>
    </row>
    <row r="55264">
      <c r="F55264" s="13"/>
      <c r="M55264" s="13"/>
    </row>
    <row r="55265">
      <c r="F55265" s="13"/>
      <c r="M55265" s="13"/>
    </row>
    <row r="55266">
      <c r="F55266" s="13"/>
      <c r="M55266" s="13"/>
    </row>
    <row r="55267">
      <c r="F55267" s="13"/>
      <c r="M55267" s="13"/>
    </row>
    <row r="55268">
      <c r="F55268" s="13"/>
      <c r="M55268" s="13"/>
    </row>
    <row r="55269">
      <c r="F55269" s="13"/>
      <c r="M55269" s="13"/>
    </row>
    <row r="55270">
      <c r="F55270" s="13"/>
      <c r="M55270" s="13"/>
    </row>
    <row r="55271">
      <c r="F55271" s="13"/>
      <c r="M55271" s="13"/>
    </row>
    <row r="55272">
      <c r="F55272" s="13"/>
      <c r="M55272" s="13"/>
    </row>
    <row r="55273">
      <c r="F55273" s="13"/>
      <c r="M55273" s="13"/>
    </row>
    <row r="55274">
      <c r="F55274" s="13"/>
      <c r="M55274" s="13"/>
    </row>
    <row r="55275">
      <c r="F55275" s="13"/>
      <c r="M55275" s="13"/>
    </row>
    <row r="55276">
      <c r="F55276" s="13"/>
      <c r="M55276" s="13"/>
    </row>
    <row r="55277">
      <c r="F55277" s="13"/>
      <c r="M55277" s="13"/>
    </row>
    <row r="55278">
      <c r="F55278" s="13"/>
      <c r="M55278" s="13"/>
    </row>
    <row r="55279">
      <c r="F55279" s="13"/>
      <c r="M55279" s="13"/>
    </row>
    <row r="55280">
      <c r="F55280" s="13"/>
      <c r="M55280" s="13"/>
    </row>
    <row r="55281">
      <c r="F55281" s="13"/>
      <c r="M55281" s="13"/>
    </row>
    <row r="55282">
      <c r="F55282" s="13"/>
      <c r="M55282" s="13"/>
    </row>
    <row r="55283">
      <c r="F55283" s="13"/>
      <c r="M55283" s="13"/>
    </row>
    <row r="55284">
      <c r="F55284" s="13"/>
      <c r="M55284" s="13"/>
    </row>
    <row r="55285">
      <c r="F55285" s="13"/>
      <c r="M55285" s="13"/>
    </row>
    <row r="55286">
      <c r="F55286" s="13"/>
      <c r="M55286" s="13"/>
    </row>
    <row r="55287">
      <c r="F55287" s="13"/>
      <c r="M55287" s="13"/>
    </row>
    <row r="55288">
      <c r="F55288" s="13"/>
      <c r="M55288" s="13"/>
    </row>
    <row r="55289">
      <c r="F55289" s="13"/>
      <c r="M55289" s="13"/>
    </row>
    <row r="55290">
      <c r="F55290" s="13"/>
      <c r="M55290" s="13"/>
    </row>
    <row r="55291">
      <c r="F55291" s="13"/>
      <c r="M55291" s="13"/>
    </row>
    <row r="55292">
      <c r="F55292" s="13"/>
      <c r="M55292" s="13"/>
    </row>
    <row r="55293">
      <c r="F55293" s="13"/>
      <c r="M55293" s="13"/>
    </row>
    <row r="55294">
      <c r="F55294" s="13"/>
      <c r="M55294" s="13"/>
    </row>
    <row r="55295">
      <c r="F55295" s="13"/>
      <c r="M55295" s="13"/>
    </row>
    <row r="55296">
      <c r="F55296" s="13"/>
      <c r="M55296" s="13"/>
    </row>
    <row r="55297">
      <c r="F55297" s="13"/>
      <c r="M55297" s="13"/>
    </row>
    <row r="55298">
      <c r="F55298" s="13"/>
      <c r="M55298" s="13"/>
    </row>
    <row r="55299">
      <c r="F55299" s="13"/>
      <c r="M55299" s="13"/>
    </row>
    <row r="55300">
      <c r="F55300" s="13"/>
      <c r="M55300" s="13"/>
    </row>
    <row r="55301">
      <c r="F55301" s="13"/>
      <c r="M55301" s="13"/>
    </row>
    <row r="55302">
      <c r="F55302" s="13"/>
      <c r="M55302" s="13"/>
    </row>
    <row r="55303">
      <c r="F55303" s="13"/>
      <c r="M55303" s="13"/>
    </row>
    <row r="55304">
      <c r="F55304" s="13"/>
      <c r="M55304" s="13"/>
    </row>
    <row r="55305">
      <c r="F55305" s="13"/>
      <c r="M55305" s="13"/>
    </row>
    <row r="55306">
      <c r="F55306" s="13"/>
      <c r="M55306" s="13"/>
    </row>
    <row r="55307">
      <c r="F55307" s="13"/>
      <c r="M55307" s="13"/>
    </row>
    <row r="55308">
      <c r="F55308" s="13"/>
      <c r="M55308" s="13"/>
    </row>
    <row r="55309">
      <c r="F55309" s="13"/>
      <c r="M55309" s="13"/>
    </row>
    <row r="55310">
      <c r="F55310" s="13"/>
      <c r="M55310" s="13"/>
    </row>
    <row r="55311">
      <c r="F55311" s="13"/>
      <c r="M55311" s="13"/>
    </row>
    <row r="55312">
      <c r="F55312" s="13"/>
      <c r="M55312" s="13"/>
    </row>
    <row r="55313">
      <c r="F55313" s="13"/>
      <c r="M55313" s="13"/>
    </row>
    <row r="55314">
      <c r="F55314" s="13"/>
      <c r="M55314" s="13"/>
    </row>
    <row r="55315">
      <c r="F55315" s="13"/>
      <c r="M55315" s="13"/>
    </row>
    <row r="55316">
      <c r="F55316" s="13"/>
      <c r="M55316" s="13"/>
    </row>
    <row r="55317">
      <c r="F55317" s="13"/>
      <c r="M55317" s="13"/>
    </row>
    <row r="55318">
      <c r="F55318" s="13"/>
      <c r="M55318" s="13"/>
    </row>
    <row r="55319">
      <c r="F55319" s="13"/>
      <c r="M55319" s="13"/>
    </row>
    <row r="55320">
      <c r="F55320" s="13"/>
      <c r="M55320" s="13"/>
    </row>
    <row r="55321">
      <c r="F55321" s="13"/>
      <c r="M55321" s="13"/>
    </row>
    <row r="55322">
      <c r="F55322" s="13"/>
      <c r="M55322" s="13"/>
    </row>
    <row r="55323">
      <c r="F55323" s="13"/>
      <c r="M55323" s="13"/>
    </row>
    <row r="55324">
      <c r="F55324" s="13"/>
      <c r="M55324" s="13"/>
    </row>
    <row r="55325">
      <c r="F55325" s="13"/>
      <c r="M55325" s="13"/>
    </row>
    <row r="55326">
      <c r="F55326" s="13"/>
      <c r="M55326" s="13"/>
    </row>
    <row r="55327">
      <c r="F55327" s="13"/>
      <c r="M55327" s="13"/>
    </row>
    <row r="55328">
      <c r="F55328" s="13"/>
      <c r="M55328" s="13"/>
    </row>
    <row r="55329">
      <c r="F55329" s="13"/>
      <c r="M55329" s="13"/>
    </row>
    <row r="55330">
      <c r="F55330" s="13"/>
      <c r="M55330" s="13"/>
    </row>
    <row r="55331">
      <c r="F55331" s="13"/>
      <c r="M55331" s="13"/>
    </row>
    <row r="55332">
      <c r="F55332" s="13"/>
      <c r="M55332" s="13"/>
    </row>
    <row r="55333">
      <c r="F55333" s="13"/>
      <c r="M55333" s="13"/>
    </row>
    <row r="55334">
      <c r="F55334" s="13"/>
      <c r="M55334" s="13"/>
    </row>
    <row r="55335">
      <c r="F55335" s="13"/>
      <c r="M55335" s="13"/>
    </row>
    <row r="55336">
      <c r="F55336" s="13"/>
      <c r="M55336" s="13"/>
    </row>
    <row r="55337">
      <c r="F55337" s="13"/>
      <c r="M55337" s="13"/>
    </row>
    <row r="55338">
      <c r="F55338" s="13"/>
      <c r="M55338" s="13"/>
    </row>
    <row r="55339">
      <c r="F55339" s="13"/>
      <c r="M55339" s="13"/>
    </row>
    <row r="55340">
      <c r="F55340" s="13"/>
      <c r="M55340" s="13"/>
    </row>
    <row r="55341">
      <c r="F55341" s="13"/>
      <c r="M55341" s="13"/>
    </row>
    <row r="55342">
      <c r="F55342" s="13"/>
      <c r="M55342" s="13"/>
    </row>
    <row r="55343">
      <c r="F55343" s="13"/>
      <c r="M55343" s="13"/>
    </row>
    <row r="55344">
      <c r="F55344" s="13"/>
      <c r="M55344" s="13"/>
    </row>
    <row r="55345">
      <c r="F55345" s="13"/>
      <c r="M55345" s="13"/>
    </row>
    <row r="55346">
      <c r="F55346" s="13"/>
      <c r="M55346" s="13"/>
    </row>
    <row r="55347">
      <c r="F55347" s="13"/>
      <c r="M55347" s="13"/>
    </row>
    <row r="55348">
      <c r="F55348" s="13"/>
      <c r="M55348" s="13"/>
    </row>
    <row r="55349">
      <c r="F55349" s="13"/>
      <c r="M55349" s="13"/>
    </row>
    <row r="55350">
      <c r="F55350" s="13"/>
      <c r="M55350" s="13"/>
    </row>
    <row r="55351">
      <c r="F55351" s="13"/>
      <c r="M55351" s="13"/>
    </row>
    <row r="55352">
      <c r="F55352" s="13"/>
      <c r="M55352" s="13"/>
    </row>
    <row r="55353">
      <c r="F55353" s="13"/>
      <c r="M55353" s="13"/>
    </row>
    <row r="55354">
      <c r="F55354" s="13"/>
      <c r="M55354" s="13"/>
    </row>
    <row r="55355">
      <c r="F55355" s="13"/>
      <c r="M55355" s="13"/>
    </row>
    <row r="55356">
      <c r="F55356" s="13"/>
      <c r="M55356" s="13"/>
    </row>
    <row r="55357">
      <c r="F55357" s="13"/>
      <c r="M55357" s="13"/>
    </row>
    <row r="55358">
      <c r="F55358" s="13"/>
      <c r="M55358" s="13"/>
    </row>
    <row r="55359">
      <c r="F55359" s="13"/>
      <c r="M55359" s="13"/>
    </row>
    <row r="55360">
      <c r="F55360" s="13"/>
      <c r="M55360" s="13"/>
    </row>
    <row r="55361">
      <c r="F55361" s="13"/>
      <c r="M55361" s="13"/>
    </row>
    <row r="55362">
      <c r="F55362" s="13"/>
      <c r="M55362" s="13"/>
    </row>
    <row r="55363">
      <c r="F55363" s="13"/>
      <c r="M55363" s="13"/>
    </row>
    <row r="55364">
      <c r="F55364" s="13"/>
      <c r="M55364" s="13"/>
    </row>
    <row r="55365">
      <c r="F55365" s="13"/>
      <c r="M55365" s="13"/>
    </row>
    <row r="55366">
      <c r="F55366" s="13"/>
      <c r="M55366" s="13"/>
    </row>
    <row r="55367">
      <c r="F55367" s="13"/>
      <c r="M55367" s="13"/>
    </row>
    <row r="55368">
      <c r="F55368" s="13"/>
      <c r="M55368" s="13"/>
    </row>
    <row r="55369">
      <c r="F55369" s="13"/>
      <c r="M55369" s="13"/>
    </row>
    <row r="55370">
      <c r="F55370" s="13"/>
      <c r="M55370" s="13"/>
    </row>
    <row r="55371">
      <c r="F55371" s="13"/>
      <c r="M55371" s="13"/>
    </row>
    <row r="55372">
      <c r="F55372" s="13"/>
      <c r="M55372" s="13"/>
    </row>
    <row r="55373">
      <c r="F55373" s="13"/>
      <c r="M55373" s="13"/>
    </row>
    <row r="55374">
      <c r="F55374" s="13"/>
      <c r="M55374" s="13"/>
    </row>
    <row r="55375">
      <c r="F55375" s="13"/>
      <c r="M55375" s="13"/>
    </row>
    <row r="55376">
      <c r="F55376" s="13"/>
      <c r="M55376" s="13"/>
    </row>
    <row r="55377">
      <c r="F55377" s="13"/>
      <c r="M55377" s="13"/>
    </row>
    <row r="55378">
      <c r="F55378" s="13"/>
      <c r="M55378" s="13"/>
    </row>
    <row r="55379">
      <c r="F55379" s="13"/>
      <c r="M55379" s="13"/>
    </row>
    <row r="55380">
      <c r="F55380" s="13"/>
      <c r="M55380" s="13"/>
    </row>
    <row r="55381">
      <c r="F55381" s="13"/>
      <c r="M55381" s="13"/>
    </row>
    <row r="55382">
      <c r="F55382" s="13"/>
      <c r="M55382" s="13"/>
    </row>
    <row r="55383">
      <c r="F55383" s="13"/>
      <c r="M55383" s="13"/>
    </row>
    <row r="55384">
      <c r="F55384" s="13"/>
      <c r="M55384" s="13"/>
    </row>
    <row r="55385">
      <c r="F55385" s="13"/>
      <c r="M55385" s="13"/>
    </row>
    <row r="55386">
      <c r="F55386" s="13"/>
      <c r="M55386" s="13"/>
    </row>
    <row r="55387">
      <c r="F55387" s="13"/>
      <c r="M55387" s="13"/>
    </row>
    <row r="55388">
      <c r="F55388" s="13"/>
      <c r="M55388" s="13"/>
    </row>
    <row r="55389">
      <c r="F55389" s="13"/>
      <c r="M55389" s="13"/>
    </row>
    <row r="55390">
      <c r="F55390" s="13"/>
      <c r="M55390" s="13"/>
    </row>
    <row r="55391">
      <c r="F55391" s="13"/>
      <c r="M55391" s="13"/>
    </row>
    <row r="55392">
      <c r="F55392" s="13"/>
      <c r="M55392" s="13"/>
    </row>
    <row r="55393">
      <c r="F55393" s="13"/>
      <c r="M55393" s="13"/>
    </row>
    <row r="55394">
      <c r="F55394" s="13"/>
      <c r="M55394" s="13"/>
    </row>
    <row r="55395">
      <c r="F55395" s="13"/>
      <c r="M55395" s="13"/>
    </row>
    <row r="55396">
      <c r="F55396" s="13"/>
      <c r="M55396" s="13"/>
    </row>
    <row r="55397">
      <c r="F55397" s="13"/>
      <c r="M55397" s="13"/>
    </row>
    <row r="55398">
      <c r="F55398" s="13"/>
      <c r="M55398" s="13"/>
    </row>
    <row r="55399">
      <c r="F55399" s="13"/>
      <c r="M55399" s="13"/>
    </row>
    <row r="55400">
      <c r="F55400" s="13"/>
      <c r="M55400" s="13"/>
    </row>
    <row r="55401">
      <c r="F55401" s="13"/>
      <c r="M55401" s="13"/>
    </row>
    <row r="55402">
      <c r="F55402" s="13"/>
      <c r="M55402" s="13"/>
    </row>
    <row r="55403">
      <c r="F55403" s="13"/>
      <c r="M55403" s="13"/>
    </row>
    <row r="55404">
      <c r="F55404" s="13"/>
      <c r="M55404" s="13"/>
    </row>
    <row r="55405">
      <c r="F55405" s="13"/>
      <c r="M55405" s="13"/>
    </row>
    <row r="55406">
      <c r="F55406" s="13"/>
      <c r="M55406" s="13"/>
    </row>
    <row r="55407">
      <c r="F55407" s="13"/>
      <c r="M55407" s="13"/>
    </row>
    <row r="55408">
      <c r="F55408" s="13"/>
      <c r="M55408" s="13"/>
    </row>
    <row r="55409">
      <c r="F55409" s="13"/>
      <c r="M55409" s="13"/>
    </row>
    <row r="55410">
      <c r="F55410" s="13"/>
      <c r="M55410" s="13"/>
    </row>
    <row r="55411">
      <c r="F55411" s="13"/>
      <c r="M55411" s="13"/>
    </row>
    <row r="55412">
      <c r="F55412" s="13"/>
      <c r="M55412" s="13"/>
    </row>
    <row r="55413">
      <c r="F55413" s="13"/>
      <c r="M55413" s="13"/>
    </row>
    <row r="55414">
      <c r="F55414" s="13"/>
      <c r="M55414" s="13"/>
    </row>
    <row r="55415">
      <c r="F55415" s="13"/>
      <c r="M55415" s="13"/>
    </row>
    <row r="55416">
      <c r="F55416" s="13"/>
      <c r="M55416" s="13"/>
    </row>
    <row r="55417">
      <c r="F55417" s="13"/>
      <c r="M55417" s="13"/>
    </row>
    <row r="55418">
      <c r="F55418" s="13"/>
      <c r="M55418" s="13"/>
    </row>
    <row r="55419">
      <c r="F55419" s="13"/>
      <c r="M55419" s="13"/>
    </row>
    <row r="55420">
      <c r="F55420" s="13"/>
      <c r="M55420" s="13"/>
    </row>
    <row r="55421">
      <c r="F55421" s="13"/>
      <c r="M55421" s="13"/>
    </row>
    <row r="55422">
      <c r="F55422" s="13"/>
      <c r="M55422" s="13"/>
    </row>
    <row r="55423">
      <c r="F55423" s="13"/>
      <c r="M55423" s="13"/>
    </row>
    <row r="55424">
      <c r="F55424" s="13"/>
      <c r="M55424" s="13"/>
    </row>
    <row r="55425">
      <c r="F55425" s="13"/>
      <c r="M55425" s="13"/>
    </row>
    <row r="55426">
      <c r="F55426" s="13"/>
      <c r="M55426" s="13"/>
    </row>
    <row r="55427">
      <c r="F55427" s="13"/>
      <c r="M55427" s="13"/>
    </row>
    <row r="55428">
      <c r="F55428" s="13"/>
      <c r="M55428" s="13"/>
    </row>
    <row r="55429">
      <c r="F55429" s="13"/>
      <c r="M55429" s="13"/>
    </row>
    <row r="55430">
      <c r="F55430" s="13"/>
      <c r="M55430" s="13"/>
    </row>
    <row r="55431">
      <c r="F55431" s="13"/>
      <c r="M55431" s="13"/>
    </row>
    <row r="55432">
      <c r="F55432" s="13"/>
      <c r="M55432" s="13"/>
    </row>
    <row r="55433">
      <c r="F55433" s="13"/>
      <c r="M55433" s="13"/>
    </row>
    <row r="55434">
      <c r="F55434" s="13"/>
      <c r="M55434" s="13"/>
    </row>
    <row r="55435">
      <c r="F55435" s="13"/>
      <c r="M55435" s="13"/>
    </row>
    <row r="55436">
      <c r="F55436" s="13"/>
      <c r="M55436" s="13"/>
    </row>
    <row r="55437">
      <c r="F55437" s="13"/>
      <c r="M55437" s="13"/>
    </row>
    <row r="55438">
      <c r="F55438" s="13"/>
      <c r="M55438" s="13"/>
    </row>
    <row r="55439">
      <c r="F55439" s="13"/>
      <c r="M55439" s="13"/>
    </row>
    <row r="55440">
      <c r="F55440" s="13"/>
      <c r="M55440" s="13"/>
    </row>
    <row r="55441">
      <c r="F55441" s="13"/>
      <c r="M55441" s="13"/>
    </row>
    <row r="55442">
      <c r="F55442" s="13"/>
      <c r="M55442" s="13"/>
    </row>
    <row r="55443">
      <c r="F55443" s="13"/>
      <c r="M55443" s="13"/>
    </row>
    <row r="55444">
      <c r="F55444" s="13"/>
      <c r="M55444" s="13"/>
    </row>
    <row r="55445">
      <c r="F55445" s="13"/>
      <c r="M55445" s="13"/>
    </row>
    <row r="55446">
      <c r="F55446" s="13"/>
      <c r="M55446" s="13"/>
    </row>
    <row r="55447">
      <c r="F55447" s="13"/>
      <c r="M55447" s="13"/>
    </row>
    <row r="55448">
      <c r="F55448" s="13"/>
      <c r="M55448" s="13"/>
    </row>
    <row r="55449">
      <c r="F55449" s="13"/>
      <c r="M55449" s="13"/>
    </row>
    <row r="55450">
      <c r="F55450" s="13"/>
      <c r="M55450" s="13"/>
    </row>
    <row r="55451">
      <c r="F55451" s="13"/>
      <c r="M55451" s="13"/>
    </row>
    <row r="55452">
      <c r="F55452" s="13"/>
      <c r="M55452" s="13"/>
    </row>
    <row r="55453">
      <c r="F55453" s="13"/>
      <c r="M55453" s="13"/>
    </row>
    <row r="55454">
      <c r="F55454" s="13"/>
      <c r="M55454" s="13"/>
    </row>
    <row r="55455">
      <c r="F55455" s="13"/>
      <c r="M55455" s="13"/>
    </row>
    <row r="55456">
      <c r="F55456" s="13"/>
      <c r="M55456" s="13"/>
    </row>
    <row r="55457">
      <c r="F55457" s="13"/>
      <c r="M55457" s="13"/>
    </row>
    <row r="55458">
      <c r="F55458" s="13"/>
      <c r="M55458" s="13"/>
    </row>
    <row r="55459">
      <c r="F55459" s="13"/>
      <c r="M55459" s="13"/>
    </row>
    <row r="55460">
      <c r="F55460" s="13"/>
      <c r="M55460" s="13"/>
    </row>
    <row r="55461">
      <c r="F55461" s="13"/>
      <c r="M55461" s="13"/>
    </row>
    <row r="55462">
      <c r="F55462" s="13"/>
      <c r="M55462" s="13"/>
    </row>
    <row r="55463">
      <c r="F55463" s="13"/>
      <c r="M55463" s="13"/>
    </row>
    <row r="55464">
      <c r="F55464" s="13"/>
      <c r="M55464" s="13"/>
    </row>
    <row r="55465">
      <c r="F55465" s="13"/>
      <c r="M55465" s="13"/>
    </row>
    <row r="55466">
      <c r="F55466" s="13"/>
      <c r="M55466" s="13"/>
    </row>
    <row r="55467">
      <c r="F55467" s="13"/>
      <c r="M55467" s="13"/>
    </row>
    <row r="55468">
      <c r="F55468" s="13"/>
      <c r="M55468" s="13"/>
    </row>
    <row r="55469">
      <c r="F55469" s="13"/>
      <c r="M55469" s="13"/>
    </row>
    <row r="55470">
      <c r="F55470" s="13"/>
      <c r="M55470" s="13"/>
    </row>
    <row r="55471">
      <c r="F55471" s="13"/>
      <c r="M55471" s="13"/>
    </row>
    <row r="55472">
      <c r="F55472" s="13"/>
      <c r="M55472" s="13"/>
    </row>
    <row r="55473">
      <c r="F55473" s="13"/>
      <c r="M55473" s="13"/>
    </row>
    <row r="55474">
      <c r="F55474" s="13"/>
      <c r="M55474" s="13"/>
    </row>
    <row r="55475">
      <c r="F55475" s="13"/>
      <c r="M55475" s="13"/>
    </row>
    <row r="55476">
      <c r="F55476" s="13"/>
      <c r="M55476" s="13"/>
    </row>
    <row r="55477">
      <c r="F55477" s="13"/>
      <c r="M55477" s="13"/>
    </row>
    <row r="55478">
      <c r="F55478" s="13"/>
      <c r="M55478" s="13"/>
    </row>
    <row r="55479">
      <c r="F55479" s="13"/>
      <c r="M55479" s="13"/>
    </row>
    <row r="55480">
      <c r="F55480" s="13"/>
      <c r="M55480" s="13"/>
    </row>
    <row r="55481">
      <c r="F55481" s="13"/>
      <c r="M55481" s="13"/>
    </row>
    <row r="55482">
      <c r="F55482" s="13"/>
      <c r="M55482" s="13"/>
    </row>
    <row r="55483">
      <c r="F55483" s="13"/>
      <c r="M55483" s="13"/>
    </row>
    <row r="55484">
      <c r="F55484" s="13"/>
      <c r="M55484" s="13"/>
    </row>
    <row r="55485">
      <c r="F55485" s="13"/>
      <c r="M55485" s="13"/>
    </row>
    <row r="55486">
      <c r="F55486" s="13"/>
      <c r="M55486" s="13"/>
    </row>
    <row r="55487">
      <c r="F55487" s="13"/>
      <c r="M55487" s="13"/>
    </row>
    <row r="55488">
      <c r="F55488" s="13"/>
      <c r="M55488" s="13"/>
    </row>
    <row r="55489">
      <c r="F55489" s="13"/>
      <c r="M55489" s="13"/>
    </row>
    <row r="55490">
      <c r="F55490" s="13"/>
      <c r="M55490" s="13"/>
    </row>
    <row r="55491">
      <c r="F55491" s="13"/>
      <c r="M55491" s="13"/>
    </row>
    <row r="55492">
      <c r="F55492" s="13"/>
      <c r="M55492" s="13"/>
    </row>
    <row r="55493">
      <c r="F55493" s="13"/>
      <c r="M55493" s="13"/>
    </row>
    <row r="55494">
      <c r="F55494" s="13"/>
      <c r="M55494" s="13"/>
    </row>
    <row r="55495">
      <c r="F55495" s="13"/>
      <c r="M55495" s="13"/>
    </row>
    <row r="55496">
      <c r="F55496" s="13"/>
      <c r="M55496" s="13"/>
    </row>
    <row r="55497">
      <c r="F55497" s="13"/>
      <c r="M55497" s="13"/>
    </row>
    <row r="55498">
      <c r="F55498" s="13"/>
      <c r="M55498" s="13"/>
    </row>
    <row r="55499">
      <c r="F55499" s="13"/>
      <c r="M55499" s="13"/>
    </row>
    <row r="55500">
      <c r="F55500" s="13"/>
      <c r="M55500" s="13"/>
    </row>
    <row r="55501">
      <c r="F55501" s="13"/>
      <c r="M55501" s="13"/>
    </row>
    <row r="55502">
      <c r="F55502" s="13"/>
      <c r="M55502" s="13"/>
    </row>
  </sheetData>
  <autoFilter ref="$A$1:$O$1002"/>
  <mergeCells count="2">
    <mergeCell ref="A1:O1"/>
    <mergeCell ref="Q3:R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0.63"/>
  </cols>
  <sheetData>
    <row r="1">
      <c r="A1" s="14" t="s">
        <v>3023</v>
      </c>
      <c r="B1" s="15"/>
      <c r="C1" s="16"/>
      <c r="D1" s="16"/>
    </row>
    <row r="2">
      <c r="A2" s="17" t="s">
        <v>3024</v>
      </c>
      <c r="B2" s="17" t="s">
        <v>3025</v>
      </c>
    </row>
    <row r="3">
      <c r="A3" s="11" t="s">
        <v>19</v>
      </c>
      <c r="B3" s="10">
        <f>COUNTIF(healthcare_dataset!E3:E1002,"Cancer")</f>
        <v>167</v>
      </c>
    </row>
    <row r="4">
      <c r="A4" s="11" t="s">
        <v>47</v>
      </c>
      <c r="B4" s="10">
        <f>COUNTIF(healthcare_dataset!E3:E1002,"Diabetes")</f>
        <v>169</v>
      </c>
    </row>
    <row r="5">
      <c r="A5" s="11" t="s">
        <v>60</v>
      </c>
      <c r="B5" s="10">
        <f>COUNTIF(healthcare_dataset!E3:E1002,"Asthma")</f>
        <v>167</v>
      </c>
    </row>
    <row r="6">
      <c r="A6" s="11" t="s">
        <v>88</v>
      </c>
      <c r="B6" s="10">
        <f>COUNTIF(healthcare_dataset!E3:E1002,"Hypertension")</f>
        <v>164</v>
      </c>
    </row>
    <row r="7">
      <c r="A7" s="11" t="s">
        <v>29</v>
      </c>
      <c r="B7" s="10">
        <f>COUNTIF(healthcare_dataset!E3:E1002,"Obesity")</f>
        <v>155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8.75"/>
  </cols>
  <sheetData>
    <row r="1">
      <c r="A1" s="18" t="s">
        <v>3026</v>
      </c>
      <c r="B1" s="15"/>
    </row>
    <row r="2">
      <c r="A2" s="19" t="s">
        <v>12</v>
      </c>
      <c r="B2" s="19" t="s">
        <v>3027</v>
      </c>
    </row>
    <row r="3">
      <c r="A3" s="11" t="s">
        <v>33</v>
      </c>
      <c r="B3" s="10">
        <f>COUNTIF(healthcare_dataset!L3:L1002,"Emergency")</f>
        <v>315</v>
      </c>
    </row>
    <row r="4">
      <c r="A4" s="11" t="s">
        <v>23</v>
      </c>
      <c r="B4" s="10">
        <f>COUNTIF(healthcare_dataset!L3:L1002,"Urgent")</f>
        <v>317</v>
      </c>
    </row>
    <row r="5">
      <c r="A5" s="11" t="s">
        <v>50</v>
      </c>
      <c r="B5" s="10">
        <f>COUNTIF(healthcare_dataset!L3:L1002,"Elective")</f>
        <v>368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7.88"/>
  </cols>
  <sheetData>
    <row r="1">
      <c r="A1" s="20" t="s">
        <v>3028</v>
      </c>
      <c r="B1" s="15"/>
    </row>
    <row r="2">
      <c r="A2" s="21" t="s">
        <v>3</v>
      </c>
      <c r="B2" s="21" t="s">
        <v>3027</v>
      </c>
    </row>
    <row r="3">
      <c r="A3" s="11" t="s">
        <v>17</v>
      </c>
      <c r="B3" s="10">
        <f>COUNTIF(healthcare_dataset!L3:L1002,"Emergency")</f>
        <v>315</v>
      </c>
    </row>
    <row r="4">
      <c r="A4" s="11" t="s">
        <v>38</v>
      </c>
      <c r="B4" s="10">
        <f>COUNTIF(healthcare_dataset!L3:L1002,"Urgent")</f>
        <v>317</v>
      </c>
    </row>
    <row r="5">
      <c r="A5" s="22"/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0.63"/>
  </cols>
  <sheetData>
    <row r="1">
      <c r="A1" s="23" t="s">
        <v>3029</v>
      </c>
      <c r="B1" s="15"/>
      <c r="C1" s="16"/>
      <c r="D1" s="16"/>
    </row>
    <row r="2">
      <c r="A2" s="24" t="s">
        <v>9</v>
      </c>
      <c r="B2" s="24" t="s">
        <v>3030</v>
      </c>
    </row>
    <row r="3">
      <c r="A3" s="11" t="s">
        <v>32</v>
      </c>
      <c r="B3" s="10">
        <f>COUNTIF(healthcare_dataset!$I3:$I1002,"Medicare")</f>
        <v>207</v>
      </c>
    </row>
    <row r="4">
      <c r="A4" s="11" t="s">
        <v>42</v>
      </c>
      <c r="B4" s="10">
        <f>COUNTIF(healthcare_dataset!$I3:$I1002,"Aetna")</f>
        <v>210</v>
      </c>
    </row>
    <row r="5">
      <c r="A5" s="11" t="s">
        <v>73</v>
      </c>
      <c r="B5" s="10">
        <f>COUNTIF(healthcare_dataset!$I3:$I1002,"Cigna")</f>
        <v>210</v>
      </c>
    </row>
    <row r="6">
      <c r="A6" s="11" t="s">
        <v>22</v>
      </c>
      <c r="B6" s="10">
        <f>COUNTIF(healthcare_dataset!$I3:$I1002,"Blue Cross")</f>
        <v>188</v>
      </c>
    </row>
    <row r="7">
      <c r="A7" s="11" t="s">
        <v>63</v>
      </c>
      <c r="B7" s="10">
        <f>COUNTIF(healthcare_dataset!$I3:$I1002,"UnitedHealthcare")</f>
        <v>185</v>
      </c>
    </row>
    <row r="8">
      <c r="A8" s="11" t="s">
        <v>9</v>
      </c>
      <c r="B8" s="11">
        <f>COUNTIF(healthcare_dataset!$I3:$I1002,"Insurance Provider")</f>
        <v>0</v>
      </c>
    </row>
  </sheetData>
  <mergeCells count="1">
    <mergeCell ref="A1:B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8.75"/>
  </cols>
  <sheetData>
    <row r="1">
      <c r="A1" s="25" t="s">
        <v>3031</v>
      </c>
      <c r="B1" s="15"/>
    </row>
    <row r="2">
      <c r="A2" s="26" t="s">
        <v>15</v>
      </c>
      <c r="B2" s="26" t="s">
        <v>3027</v>
      </c>
    </row>
    <row r="3">
      <c r="A3" s="11" t="s">
        <v>25</v>
      </c>
      <c r="B3" s="10">
        <f>COUNTIF(healthcare_dataset!$O3:$O1002,"Normal")</f>
        <v>326</v>
      </c>
    </row>
    <row r="4">
      <c r="A4" s="11" t="s">
        <v>51</v>
      </c>
      <c r="B4" s="10">
        <f>COUNTIF(healthcare_dataset!$O3:$O1002,"Abnormal")</f>
        <v>350</v>
      </c>
    </row>
    <row r="5">
      <c r="A5" s="11" t="s">
        <v>35</v>
      </c>
      <c r="B5" s="10">
        <f>COUNTIF(healthcare_dataset!$O3:$O1002,"Inconclusive")</f>
        <v>324</v>
      </c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45.13"/>
    <col customWidth="1" min="5" max="5" width="18.63"/>
    <col customWidth="1" min="6" max="6" width="26.88"/>
  </cols>
  <sheetData>
    <row r="2">
      <c r="A2" s="27" t="s">
        <v>3032</v>
      </c>
    </row>
    <row r="3">
      <c r="A3" s="28" t="s">
        <v>5</v>
      </c>
      <c r="B3" s="28" t="s">
        <v>10</v>
      </c>
      <c r="E3" s="14" t="s">
        <v>3023</v>
      </c>
      <c r="F3" s="15"/>
    </row>
    <row r="4">
      <c r="A4" s="6" t="s">
        <v>19</v>
      </c>
      <c r="B4" s="6">
        <v>18856.2813059781</v>
      </c>
      <c r="E4" s="17" t="s">
        <v>3024</v>
      </c>
      <c r="F4" s="17" t="s">
        <v>3025</v>
      </c>
    </row>
    <row r="5">
      <c r="A5" s="11" t="s">
        <v>29</v>
      </c>
      <c r="B5" s="11">
        <v>33643.3272865778</v>
      </c>
      <c r="E5" s="11" t="s">
        <v>19</v>
      </c>
      <c r="F5" s="10">
        <f>SUMIF(A4:A1003,E5,B4:B1003)</f>
        <v>4128278.913</v>
      </c>
    </row>
    <row r="6">
      <c r="A6" s="11" t="s">
        <v>29</v>
      </c>
      <c r="B6" s="11">
        <v>27955.0960788424</v>
      </c>
      <c r="E6" s="11" t="s">
        <v>47</v>
      </c>
      <c r="F6" s="10">
        <f t="shared" ref="F6:F9" si="1">SUMIF($A4:$A1003,E6,$B4:$B1003)</f>
        <v>4163955.857</v>
      </c>
    </row>
    <row r="7">
      <c r="A7" s="11" t="s">
        <v>47</v>
      </c>
      <c r="B7" s="11">
        <v>37909.7824098752</v>
      </c>
      <c r="E7" s="11" t="s">
        <v>60</v>
      </c>
      <c r="F7" s="10">
        <f t="shared" si="1"/>
        <v>4563971.185</v>
      </c>
    </row>
    <row r="8">
      <c r="A8" s="11" t="s">
        <v>19</v>
      </c>
      <c r="B8" s="11">
        <v>14238.3178139376</v>
      </c>
      <c r="E8" s="11" t="s">
        <v>88</v>
      </c>
      <c r="F8" s="10">
        <f t="shared" si="1"/>
        <v>4233753.645</v>
      </c>
    </row>
    <row r="9">
      <c r="A9" s="11" t="s">
        <v>60</v>
      </c>
      <c r="B9" s="11">
        <v>48145.1109510418</v>
      </c>
      <c r="E9" s="11" t="s">
        <v>29</v>
      </c>
      <c r="F9" s="10">
        <f t="shared" si="1"/>
        <v>3737879.389</v>
      </c>
    </row>
    <row r="10">
      <c r="A10" s="11" t="s">
        <v>47</v>
      </c>
      <c r="B10" s="11">
        <v>19580.8723448609</v>
      </c>
    </row>
    <row r="11">
      <c r="A11" s="11" t="s">
        <v>19</v>
      </c>
      <c r="B11" s="11">
        <v>45820.4627215945</v>
      </c>
    </row>
    <row r="12">
      <c r="A12" s="11" t="s">
        <v>60</v>
      </c>
      <c r="B12" s="11">
        <v>50119.2227915485</v>
      </c>
    </row>
    <row r="13">
      <c r="A13" s="11" t="s">
        <v>19</v>
      </c>
      <c r="B13" s="11">
        <v>19784.6310622107</v>
      </c>
    </row>
    <row r="14">
      <c r="A14" s="11" t="s">
        <v>19</v>
      </c>
      <c r="B14" s="11">
        <v>12576.7956090502</v>
      </c>
    </row>
    <row r="15">
      <c r="A15" s="11" t="s">
        <v>88</v>
      </c>
      <c r="B15" s="11">
        <v>7999.58687960418</v>
      </c>
    </row>
    <row r="16">
      <c r="A16" s="11" t="s">
        <v>47</v>
      </c>
      <c r="B16" s="11">
        <v>43282.2833577043</v>
      </c>
    </row>
    <row r="17">
      <c r="A17" s="11" t="s">
        <v>60</v>
      </c>
      <c r="B17" s="11">
        <v>33207.7066337296</v>
      </c>
    </row>
    <row r="18">
      <c r="A18" s="11" t="s">
        <v>19</v>
      </c>
      <c r="B18" s="11">
        <v>40701.5992273087</v>
      </c>
    </row>
    <row r="19">
      <c r="A19" s="11" t="s">
        <v>29</v>
      </c>
      <c r="B19" s="11">
        <v>12263.3574250213</v>
      </c>
    </row>
    <row r="20">
      <c r="A20" s="11" t="s">
        <v>109</v>
      </c>
      <c r="B20" s="11">
        <v>24499.8479037365</v>
      </c>
    </row>
    <row r="21">
      <c r="A21" s="11" t="s">
        <v>29</v>
      </c>
      <c r="B21" s="11">
        <v>17440.4654441246</v>
      </c>
    </row>
    <row r="22">
      <c r="A22" s="11" t="s">
        <v>88</v>
      </c>
      <c r="B22" s="11">
        <v>18843.0230178341</v>
      </c>
    </row>
    <row r="23">
      <c r="A23" s="11" t="s">
        <v>60</v>
      </c>
      <c r="B23" s="11">
        <v>23762.2035790595</v>
      </c>
    </row>
    <row r="24">
      <c r="A24" s="11" t="s">
        <v>60</v>
      </c>
      <c r="B24" s="11">
        <v>42.5145885533243</v>
      </c>
    </row>
    <row r="25">
      <c r="A25" s="11" t="s">
        <v>60</v>
      </c>
      <c r="B25" s="11">
        <v>17695.9116223438</v>
      </c>
    </row>
    <row r="26">
      <c r="A26" s="11" t="s">
        <v>109</v>
      </c>
      <c r="B26" s="11">
        <v>5998.10290819591</v>
      </c>
    </row>
    <row r="27">
      <c r="A27" s="11" t="s">
        <v>60</v>
      </c>
      <c r="B27" s="11">
        <v>25250.0524282161</v>
      </c>
    </row>
    <row r="28">
      <c r="A28" s="11" t="s">
        <v>88</v>
      </c>
      <c r="B28" s="11">
        <v>33211.295419012</v>
      </c>
    </row>
    <row r="29">
      <c r="A29" s="11" t="s">
        <v>29</v>
      </c>
      <c r="B29" s="11">
        <v>19746.8320076043</v>
      </c>
    </row>
    <row r="30">
      <c r="A30" s="11" t="s">
        <v>60</v>
      </c>
      <c r="B30" s="11">
        <v>26786.5295553112</v>
      </c>
    </row>
    <row r="31">
      <c r="A31" s="11" t="s">
        <v>47</v>
      </c>
      <c r="B31" s="11">
        <v>18834.8013411783</v>
      </c>
    </row>
    <row r="32">
      <c r="A32" s="11" t="s">
        <v>88</v>
      </c>
      <c r="B32" s="11">
        <v>32643.2993532771</v>
      </c>
    </row>
    <row r="33">
      <c r="A33" s="11" t="s">
        <v>88</v>
      </c>
      <c r="B33" s="11">
        <v>5767.01105381601</v>
      </c>
    </row>
    <row r="34">
      <c r="A34" s="11" t="s">
        <v>60</v>
      </c>
      <c r="B34" s="11">
        <v>47909.1288098749</v>
      </c>
    </row>
    <row r="35">
      <c r="A35" s="11" t="s">
        <v>109</v>
      </c>
      <c r="B35" s="11">
        <v>25835.3235946882</v>
      </c>
    </row>
    <row r="36">
      <c r="A36" s="11" t="s">
        <v>109</v>
      </c>
      <c r="B36" s="11">
        <v>17993.2262000155</v>
      </c>
    </row>
    <row r="37">
      <c r="A37" s="11" t="s">
        <v>19</v>
      </c>
      <c r="B37" s="11">
        <v>21185.9535303942</v>
      </c>
    </row>
    <row r="38">
      <c r="A38" s="11" t="s">
        <v>47</v>
      </c>
      <c r="B38" s="11">
        <v>8408.94935429195</v>
      </c>
    </row>
    <row r="39">
      <c r="A39" s="11" t="s">
        <v>60</v>
      </c>
      <c r="B39" s="11">
        <v>45453.4185456651</v>
      </c>
    </row>
    <row r="40">
      <c r="A40" s="11" t="s">
        <v>47</v>
      </c>
      <c r="B40" s="11">
        <v>4397.77699541333</v>
      </c>
    </row>
    <row r="41">
      <c r="A41" s="11" t="s">
        <v>88</v>
      </c>
      <c r="B41" s="11">
        <v>9380.32596752843</v>
      </c>
    </row>
    <row r="42">
      <c r="A42" s="11" t="s">
        <v>47</v>
      </c>
      <c r="B42" s="11">
        <v>48290.6934073641</v>
      </c>
    </row>
    <row r="43">
      <c r="A43" s="11" t="s">
        <v>29</v>
      </c>
      <c r="B43" s="11">
        <v>32973.9408329662</v>
      </c>
    </row>
    <row r="44">
      <c r="A44" s="11" t="s">
        <v>88</v>
      </c>
      <c r="B44" s="11">
        <v>49943.2784987872</v>
      </c>
    </row>
    <row r="45">
      <c r="A45" s="11" t="s">
        <v>88</v>
      </c>
      <c r="B45" s="11">
        <v>35633.9554543878</v>
      </c>
    </row>
    <row r="46">
      <c r="A46" s="11" t="s">
        <v>60</v>
      </c>
      <c r="B46" s="11">
        <v>25966.3286102209</v>
      </c>
    </row>
    <row r="47">
      <c r="A47" s="11" t="s">
        <v>29</v>
      </c>
      <c r="B47" s="11">
        <v>21784.4450707236</v>
      </c>
    </row>
    <row r="48">
      <c r="A48" s="11" t="s">
        <v>19</v>
      </c>
      <c r="B48" s="11">
        <v>42684.5588845502</v>
      </c>
    </row>
    <row r="49">
      <c r="A49" s="11" t="s">
        <v>19</v>
      </c>
      <c r="B49" s="11">
        <v>45585.8865599394</v>
      </c>
    </row>
    <row r="50">
      <c r="A50" s="11" t="s">
        <v>88</v>
      </c>
      <c r="B50" s="11">
        <v>29615.4418636461</v>
      </c>
    </row>
    <row r="51">
      <c r="A51" s="11" t="s">
        <v>47</v>
      </c>
      <c r="B51" s="11">
        <v>36992.2736882838</v>
      </c>
    </row>
    <row r="52">
      <c r="A52" s="11" t="s">
        <v>88</v>
      </c>
      <c r="B52" s="11">
        <v>28051.4994839463</v>
      </c>
    </row>
    <row r="53">
      <c r="A53" s="11" t="s">
        <v>60</v>
      </c>
      <c r="B53" s="11">
        <v>16320.2324472718</v>
      </c>
    </row>
    <row r="54">
      <c r="A54" s="11" t="s">
        <v>88</v>
      </c>
      <c r="B54" s="11">
        <v>30590.5418063406</v>
      </c>
    </row>
    <row r="55">
      <c r="A55" s="11" t="s">
        <v>19</v>
      </c>
      <c r="B55" s="11">
        <v>14681.0163601259</v>
      </c>
    </row>
    <row r="56">
      <c r="A56" s="11" t="s">
        <v>19</v>
      </c>
      <c r="B56" s="11">
        <v>21879.5319110635</v>
      </c>
    </row>
    <row r="57">
      <c r="A57" s="11" t="s">
        <v>29</v>
      </c>
      <c r="B57" s="11">
        <v>6767.63439654494</v>
      </c>
    </row>
    <row r="58">
      <c r="A58" s="11" t="s">
        <v>60</v>
      </c>
      <c r="B58" s="11">
        <v>19973.4629261595</v>
      </c>
    </row>
    <row r="59">
      <c r="A59" s="11" t="s">
        <v>88</v>
      </c>
      <c r="B59" s="11">
        <v>14362.3144875023</v>
      </c>
    </row>
    <row r="60">
      <c r="A60" s="11" t="s">
        <v>19</v>
      </c>
      <c r="B60" s="11">
        <v>10300.6573113759</v>
      </c>
    </row>
    <row r="61">
      <c r="A61" s="11" t="s">
        <v>88</v>
      </c>
      <c r="B61" s="11">
        <v>37951.6649098497</v>
      </c>
    </row>
    <row r="62">
      <c r="A62" s="11" t="s">
        <v>19</v>
      </c>
      <c r="B62" s="11">
        <v>6733.99094706883</v>
      </c>
    </row>
    <row r="63">
      <c r="A63" s="11" t="s">
        <v>88</v>
      </c>
      <c r="B63" s="11">
        <v>17839.7456516471</v>
      </c>
    </row>
    <row r="64">
      <c r="A64" s="11" t="s">
        <v>29</v>
      </c>
      <c r="B64" s="11">
        <v>24637.0900640332</v>
      </c>
    </row>
    <row r="65">
      <c r="A65" s="11" t="s">
        <v>60</v>
      </c>
      <c r="B65" s="11">
        <v>39723.1660514278</v>
      </c>
    </row>
    <row r="66">
      <c r="A66" s="11" t="s">
        <v>19</v>
      </c>
      <c r="B66" s="11">
        <v>48407.3862911005</v>
      </c>
    </row>
    <row r="67">
      <c r="A67" s="11" t="s">
        <v>88</v>
      </c>
      <c r="B67" s="11">
        <v>5517.39364222399</v>
      </c>
    </row>
    <row r="68">
      <c r="A68" s="11" t="s">
        <v>88</v>
      </c>
      <c r="B68" s="11">
        <v>19183.1688853955</v>
      </c>
    </row>
    <row r="69">
      <c r="A69" s="11" t="s">
        <v>19</v>
      </c>
      <c r="B69" s="11">
        <v>8320.66080328743</v>
      </c>
    </row>
    <row r="70">
      <c r="A70" s="11" t="s">
        <v>47</v>
      </c>
      <c r="B70" s="11">
        <v>10107.1876510572</v>
      </c>
    </row>
    <row r="71">
      <c r="A71" s="11" t="s">
        <v>88</v>
      </c>
      <c r="B71" s="11">
        <v>49402.2983725271</v>
      </c>
    </row>
    <row r="72">
      <c r="A72" s="11" t="s">
        <v>47</v>
      </c>
      <c r="B72" s="11">
        <v>35776.8151114537</v>
      </c>
    </row>
    <row r="73">
      <c r="A73" s="11" t="s">
        <v>109</v>
      </c>
      <c r="B73" s="11">
        <v>20227.8637267447</v>
      </c>
    </row>
    <row r="74">
      <c r="A74" s="11" t="s">
        <v>19</v>
      </c>
      <c r="B74" s="11">
        <v>19328.1185790799</v>
      </c>
    </row>
    <row r="75">
      <c r="A75" s="11" t="s">
        <v>29</v>
      </c>
      <c r="B75" s="11">
        <v>46956.5457306324</v>
      </c>
    </row>
    <row r="76">
      <c r="A76" s="11" t="s">
        <v>19</v>
      </c>
      <c r="B76" s="11">
        <v>10709.6903889001</v>
      </c>
    </row>
    <row r="77">
      <c r="A77" s="11" t="s">
        <v>47</v>
      </c>
      <c r="B77" s="11">
        <v>45353.9907773854</v>
      </c>
    </row>
    <row r="78">
      <c r="A78" s="11" t="s">
        <v>109</v>
      </c>
      <c r="B78" s="11">
        <v>8451.00175847895</v>
      </c>
    </row>
    <row r="79">
      <c r="A79" s="11" t="s">
        <v>109</v>
      </c>
      <c r="B79" s="11">
        <v>29850.8797281837</v>
      </c>
    </row>
    <row r="80">
      <c r="A80" s="11" t="s">
        <v>109</v>
      </c>
      <c r="B80" s="11">
        <v>42696.5211638991</v>
      </c>
    </row>
    <row r="81">
      <c r="A81" s="11" t="s">
        <v>47</v>
      </c>
      <c r="B81" s="11">
        <v>2305.13913953849</v>
      </c>
    </row>
    <row r="82">
      <c r="A82" s="11" t="s">
        <v>109</v>
      </c>
      <c r="B82" s="11">
        <v>44437.4706733572</v>
      </c>
    </row>
    <row r="83">
      <c r="A83" s="11" t="s">
        <v>19</v>
      </c>
      <c r="B83" s="11">
        <v>29504.3874422114</v>
      </c>
    </row>
    <row r="84">
      <c r="A84" s="11" t="s">
        <v>109</v>
      </c>
      <c r="B84" s="11">
        <v>34617.7883449372</v>
      </c>
    </row>
    <row r="85">
      <c r="A85" s="11" t="s">
        <v>88</v>
      </c>
      <c r="B85" s="11">
        <v>46814.0111951116</v>
      </c>
    </row>
    <row r="86">
      <c r="A86" s="11" t="s">
        <v>47</v>
      </c>
      <c r="B86" s="11">
        <v>20257.5442829324</v>
      </c>
    </row>
    <row r="87">
      <c r="A87" s="11" t="s">
        <v>29</v>
      </c>
      <c r="B87" s="11">
        <v>22841.3638769056</v>
      </c>
    </row>
    <row r="88">
      <c r="A88" s="11" t="s">
        <v>60</v>
      </c>
      <c r="B88" s="11">
        <v>10283.7168581291</v>
      </c>
    </row>
    <row r="89">
      <c r="A89" s="11" t="s">
        <v>19</v>
      </c>
      <c r="B89" s="11">
        <v>1586.47660143828</v>
      </c>
    </row>
    <row r="90">
      <c r="A90" s="11" t="s">
        <v>60</v>
      </c>
      <c r="B90" s="11">
        <v>34774.3511270575</v>
      </c>
    </row>
    <row r="91">
      <c r="A91" s="11" t="s">
        <v>109</v>
      </c>
      <c r="B91" s="11">
        <v>24870.1036589338</v>
      </c>
    </row>
    <row r="92">
      <c r="A92" s="11" t="s">
        <v>19</v>
      </c>
      <c r="B92" s="11">
        <v>39476.9475143799</v>
      </c>
    </row>
    <row r="93">
      <c r="A93" s="11" t="s">
        <v>88</v>
      </c>
      <c r="B93" s="11">
        <v>26062.434320291</v>
      </c>
    </row>
    <row r="94">
      <c r="A94" s="11" t="s">
        <v>19</v>
      </c>
      <c r="B94" s="11">
        <v>25302.1126340112</v>
      </c>
    </row>
    <row r="95">
      <c r="A95" s="11" t="s">
        <v>47</v>
      </c>
      <c r="B95" s="11">
        <v>10661.5106491327</v>
      </c>
    </row>
    <row r="96">
      <c r="A96" s="11" t="s">
        <v>47</v>
      </c>
      <c r="B96" s="11">
        <v>30358.1945795447</v>
      </c>
    </row>
    <row r="97">
      <c r="A97" s="11" t="s">
        <v>60</v>
      </c>
      <c r="B97" s="11">
        <v>23684.5254727448</v>
      </c>
    </row>
    <row r="98">
      <c r="A98" s="11" t="s">
        <v>47</v>
      </c>
      <c r="B98" s="11">
        <v>3908.94656794631</v>
      </c>
    </row>
    <row r="99">
      <c r="A99" s="11" t="s">
        <v>88</v>
      </c>
      <c r="B99" s="11">
        <v>25503.673806852</v>
      </c>
    </row>
    <row r="100">
      <c r="A100" s="11" t="s">
        <v>47</v>
      </c>
      <c r="B100" s="11">
        <v>6312.60769101852</v>
      </c>
    </row>
    <row r="101">
      <c r="A101" s="11" t="s">
        <v>47</v>
      </c>
      <c r="B101" s="11">
        <v>21772.3413986496</v>
      </c>
    </row>
    <row r="102">
      <c r="A102" s="11" t="s">
        <v>19</v>
      </c>
      <c r="B102" s="11">
        <v>30437.001787641</v>
      </c>
    </row>
    <row r="103">
      <c r="A103" s="11" t="s">
        <v>60</v>
      </c>
      <c r="B103" s="11">
        <v>28837.6770525072</v>
      </c>
    </row>
    <row r="104">
      <c r="A104" s="11" t="s">
        <v>109</v>
      </c>
      <c r="B104" s="11">
        <v>25425.727862607</v>
      </c>
    </row>
    <row r="105">
      <c r="A105" s="11" t="s">
        <v>47</v>
      </c>
      <c r="B105" s="11">
        <v>7187.2723460995</v>
      </c>
    </row>
    <row r="106">
      <c r="A106" s="11" t="s">
        <v>47</v>
      </c>
      <c r="B106" s="11">
        <v>3125.73647660125</v>
      </c>
    </row>
    <row r="107">
      <c r="A107" s="11" t="s">
        <v>47</v>
      </c>
      <c r="B107" s="11">
        <v>31516.1007343743</v>
      </c>
    </row>
    <row r="108">
      <c r="A108" s="11" t="s">
        <v>109</v>
      </c>
      <c r="B108" s="11">
        <v>40014.7623484579</v>
      </c>
    </row>
    <row r="109">
      <c r="A109" s="11" t="s">
        <v>19</v>
      </c>
      <c r="B109" s="11">
        <v>40782.9278084865</v>
      </c>
    </row>
    <row r="110">
      <c r="A110" s="11" t="s">
        <v>29</v>
      </c>
      <c r="B110" s="11">
        <v>3879.08460181339</v>
      </c>
    </row>
    <row r="111">
      <c r="A111" s="11" t="s">
        <v>109</v>
      </c>
      <c r="B111" s="11">
        <v>24948.4778240269</v>
      </c>
    </row>
    <row r="112">
      <c r="A112" s="11" t="s">
        <v>88</v>
      </c>
      <c r="B112" s="11">
        <v>37734.7421803869</v>
      </c>
    </row>
    <row r="113">
      <c r="A113" s="11" t="s">
        <v>19</v>
      </c>
      <c r="B113" s="11">
        <v>27360.4618905512</v>
      </c>
    </row>
    <row r="114">
      <c r="A114" s="11" t="s">
        <v>60</v>
      </c>
      <c r="B114" s="11">
        <v>37405.6965286312</v>
      </c>
    </row>
    <row r="115">
      <c r="A115" s="11" t="s">
        <v>109</v>
      </c>
      <c r="B115" s="11">
        <v>31485.9731617159</v>
      </c>
    </row>
    <row r="116">
      <c r="A116" s="11" t="s">
        <v>88</v>
      </c>
      <c r="B116" s="11">
        <v>23737.399323627</v>
      </c>
    </row>
    <row r="117">
      <c r="A117" s="11" t="s">
        <v>29</v>
      </c>
      <c r="B117" s="11">
        <v>3326.38267468151</v>
      </c>
    </row>
    <row r="118">
      <c r="A118" s="11" t="s">
        <v>88</v>
      </c>
      <c r="B118" s="11">
        <v>23067.6721652454</v>
      </c>
    </row>
    <row r="119">
      <c r="A119" s="11" t="s">
        <v>60</v>
      </c>
      <c r="B119" s="11">
        <v>8521.21425267109</v>
      </c>
    </row>
    <row r="120">
      <c r="A120" s="11" t="s">
        <v>19</v>
      </c>
      <c r="B120" s="11">
        <v>47985.1673383277</v>
      </c>
    </row>
    <row r="121">
      <c r="A121" s="11" t="s">
        <v>60</v>
      </c>
      <c r="B121" s="11">
        <v>25230.2468818024</v>
      </c>
    </row>
    <row r="122">
      <c r="A122" s="11" t="s">
        <v>47</v>
      </c>
      <c r="B122" s="11">
        <v>10352.2084867408</v>
      </c>
    </row>
    <row r="123">
      <c r="A123" s="11" t="s">
        <v>109</v>
      </c>
      <c r="B123" s="11">
        <v>6175.86724929242</v>
      </c>
    </row>
    <row r="124">
      <c r="A124" s="11" t="s">
        <v>29</v>
      </c>
      <c r="B124" s="11">
        <v>23499.9362509787</v>
      </c>
    </row>
    <row r="125">
      <c r="A125" s="11" t="s">
        <v>19</v>
      </c>
      <c r="B125" s="11">
        <v>33681.5726441015</v>
      </c>
    </row>
    <row r="126">
      <c r="A126" s="11" t="s">
        <v>29</v>
      </c>
      <c r="B126" s="11">
        <v>39957.9406222297</v>
      </c>
    </row>
    <row r="127">
      <c r="A127" s="11" t="s">
        <v>19</v>
      </c>
      <c r="B127" s="11">
        <v>49833.7077178545</v>
      </c>
    </row>
    <row r="128">
      <c r="A128" s="11" t="s">
        <v>60</v>
      </c>
      <c r="B128" s="11">
        <v>48175.4661168079</v>
      </c>
    </row>
    <row r="129">
      <c r="A129" s="11" t="s">
        <v>29</v>
      </c>
      <c r="B129" s="11">
        <v>40133.9673924551</v>
      </c>
    </row>
    <row r="130">
      <c r="A130" s="11" t="s">
        <v>29</v>
      </c>
      <c r="B130" s="11">
        <v>9585.95212799372</v>
      </c>
    </row>
    <row r="131">
      <c r="A131" s="11" t="s">
        <v>29</v>
      </c>
      <c r="B131" s="11">
        <v>40693.3542239535</v>
      </c>
    </row>
    <row r="132">
      <c r="A132" s="11" t="s">
        <v>29</v>
      </c>
      <c r="B132" s="11">
        <v>16399.2657610018</v>
      </c>
    </row>
    <row r="133">
      <c r="A133" s="11" t="s">
        <v>47</v>
      </c>
      <c r="B133" s="11">
        <v>44939.565524761</v>
      </c>
    </row>
    <row r="134">
      <c r="A134" s="11" t="s">
        <v>88</v>
      </c>
      <c r="B134" s="11">
        <v>10663.9100050385</v>
      </c>
    </row>
    <row r="135">
      <c r="A135" s="11" t="s">
        <v>88</v>
      </c>
      <c r="B135" s="11">
        <v>22564.7879835172</v>
      </c>
    </row>
    <row r="136">
      <c r="A136" s="11" t="s">
        <v>19</v>
      </c>
      <c r="B136" s="11">
        <v>-502.507812700947</v>
      </c>
    </row>
    <row r="137">
      <c r="A137" s="11" t="s">
        <v>47</v>
      </c>
      <c r="B137" s="11">
        <v>34758.256750986</v>
      </c>
    </row>
    <row r="138">
      <c r="A138" s="11" t="s">
        <v>88</v>
      </c>
      <c r="B138" s="11">
        <v>46377.8651492315</v>
      </c>
    </row>
    <row r="139">
      <c r="A139" s="11" t="s">
        <v>88</v>
      </c>
      <c r="B139" s="11">
        <v>7555.77296480884</v>
      </c>
    </row>
    <row r="140">
      <c r="A140" s="11" t="s">
        <v>19</v>
      </c>
      <c r="B140" s="11">
        <v>14299.9934469067</v>
      </c>
    </row>
    <row r="141">
      <c r="A141" s="11" t="s">
        <v>109</v>
      </c>
      <c r="B141" s="11">
        <v>46429.5082037226</v>
      </c>
    </row>
    <row r="142">
      <c r="A142" s="11" t="s">
        <v>60</v>
      </c>
      <c r="B142" s="11">
        <v>17978.9507448961</v>
      </c>
    </row>
    <row r="143">
      <c r="A143" s="11" t="s">
        <v>29</v>
      </c>
      <c r="B143" s="11">
        <v>32629.0677482352</v>
      </c>
    </row>
    <row r="144">
      <c r="A144" s="11" t="s">
        <v>47</v>
      </c>
      <c r="B144" s="11">
        <v>22356.2264918334</v>
      </c>
    </row>
    <row r="145">
      <c r="A145" s="11" t="s">
        <v>47</v>
      </c>
      <c r="B145" s="11">
        <v>48995.9805916571</v>
      </c>
    </row>
    <row r="146">
      <c r="A146" s="11" t="s">
        <v>88</v>
      </c>
      <c r="B146" s="11">
        <v>4532.48355361687</v>
      </c>
    </row>
    <row r="147">
      <c r="A147" s="11" t="s">
        <v>47</v>
      </c>
      <c r="B147" s="11">
        <v>35521.5821482775</v>
      </c>
    </row>
    <row r="148">
      <c r="A148" s="11" t="s">
        <v>109</v>
      </c>
      <c r="B148" s="11">
        <v>1589.50352318586</v>
      </c>
    </row>
    <row r="149">
      <c r="A149" s="11" t="s">
        <v>47</v>
      </c>
      <c r="B149" s="11">
        <v>22950.6511391825</v>
      </c>
    </row>
    <row r="150">
      <c r="A150" s="11" t="s">
        <v>109</v>
      </c>
      <c r="B150" s="11">
        <v>2678.9539360591</v>
      </c>
    </row>
    <row r="151">
      <c r="A151" s="11" t="s">
        <v>88</v>
      </c>
      <c r="B151" s="11">
        <v>39615.6006557046</v>
      </c>
    </row>
    <row r="152">
      <c r="A152" s="11" t="s">
        <v>60</v>
      </c>
      <c r="B152" s="11">
        <v>13355.7820854809</v>
      </c>
    </row>
    <row r="153">
      <c r="A153" s="11" t="s">
        <v>60</v>
      </c>
      <c r="B153" s="11">
        <v>32561.5304064226</v>
      </c>
    </row>
    <row r="154">
      <c r="A154" s="11" t="s">
        <v>60</v>
      </c>
      <c r="B154" s="11">
        <v>29221.3402076791</v>
      </c>
    </row>
    <row r="155">
      <c r="A155" s="11" t="s">
        <v>47</v>
      </c>
      <c r="B155" s="11">
        <v>12880.6524127714</v>
      </c>
    </row>
    <row r="156">
      <c r="A156" s="11" t="s">
        <v>29</v>
      </c>
      <c r="B156" s="11">
        <v>15475.4032365425</v>
      </c>
    </row>
    <row r="157">
      <c r="A157" s="11" t="s">
        <v>109</v>
      </c>
      <c r="B157" s="11">
        <v>27309.4367606972</v>
      </c>
    </row>
    <row r="158">
      <c r="A158" s="11" t="s">
        <v>109</v>
      </c>
      <c r="B158" s="11">
        <v>1897.89172714767</v>
      </c>
    </row>
    <row r="159">
      <c r="A159" s="11" t="s">
        <v>19</v>
      </c>
      <c r="B159" s="11">
        <v>31308.2060084951</v>
      </c>
    </row>
    <row r="160">
      <c r="A160" s="11" t="s">
        <v>47</v>
      </c>
      <c r="B160" s="11">
        <v>42792.2412821748</v>
      </c>
    </row>
    <row r="161">
      <c r="A161" s="11" t="s">
        <v>47</v>
      </c>
      <c r="B161" s="11">
        <v>14377.3343184946</v>
      </c>
    </row>
    <row r="162">
      <c r="A162" s="11" t="s">
        <v>47</v>
      </c>
      <c r="B162" s="11">
        <v>1150.87498608758</v>
      </c>
    </row>
    <row r="163">
      <c r="A163" s="11" t="s">
        <v>60</v>
      </c>
      <c r="B163" s="11">
        <v>41939.1199366963</v>
      </c>
    </row>
    <row r="164">
      <c r="A164" s="11" t="s">
        <v>19</v>
      </c>
      <c r="B164" s="11">
        <v>41982.3743962325</v>
      </c>
    </row>
    <row r="165">
      <c r="A165" s="11" t="s">
        <v>29</v>
      </c>
      <c r="B165" s="11">
        <v>33861.0186317446</v>
      </c>
    </row>
    <row r="166">
      <c r="A166" s="11" t="s">
        <v>60</v>
      </c>
      <c r="B166" s="11">
        <v>49321.1576314917</v>
      </c>
    </row>
    <row r="167">
      <c r="A167" s="11" t="s">
        <v>60</v>
      </c>
      <c r="B167" s="11">
        <v>47433.2786547111</v>
      </c>
    </row>
    <row r="168">
      <c r="A168" s="11" t="s">
        <v>109</v>
      </c>
      <c r="B168" s="11">
        <v>19065.0608855169</v>
      </c>
    </row>
    <row r="169">
      <c r="A169" s="11" t="s">
        <v>19</v>
      </c>
      <c r="B169" s="11">
        <v>50142.026947853</v>
      </c>
    </row>
    <row r="170">
      <c r="A170" s="11" t="s">
        <v>88</v>
      </c>
      <c r="B170" s="11">
        <v>12081.6790346649</v>
      </c>
    </row>
    <row r="171">
      <c r="A171" s="11" t="s">
        <v>19</v>
      </c>
      <c r="B171" s="11">
        <v>18030.7907802356</v>
      </c>
    </row>
    <row r="172">
      <c r="A172" s="11" t="s">
        <v>60</v>
      </c>
      <c r="B172" s="11">
        <v>5142.16376347468</v>
      </c>
    </row>
    <row r="173">
      <c r="A173" s="11" t="s">
        <v>60</v>
      </c>
      <c r="B173" s="11">
        <v>19851.2429251884</v>
      </c>
    </row>
    <row r="174">
      <c r="A174" s="11" t="s">
        <v>88</v>
      </c>
      <c r="B174" s="11">
        <v>20545.8717628298</v>
      </c>
    </row>
    <row r="175">
      <c r="A175" s="11" t="s">
        <v>109</v>
      </c>
      <c r="B175" s="11">
        <v>36869.7257390398</v>
      </c>
    </row>
    <row r="176">
      <c r="A176" s="11" t="s">
        <v>19</v>
      </c>
      <c r="B176" s="11">
        <v>40598.4225708786</v>
      </c>
    </row>
    <row r="177">
      <c r="A177" s="11" t="s">
        <v>60</v>
      </c>
      <c r="B177" s="11">
        <v>18198.0585178538</v>
      </c>
    </row>
    <row r="178">
      <c r="A178" s="11" t="s">
        <v>29</v>
      </c>
      <c r="B178" s="11">
        <v>4920.0411890887</v>
      </c>
    </row>
    <row r="179">
      <c r="A179" s="11" t="s">
        <v>47</v>
      </c>
      <c r="B179" s="11">
        <v>3864.13949887163</v>
      </c>
    </row>
    <row r="180">
      <c r="A180" s="11" t="s">
        <v>60</v>
      </c>
      <c r="B180" s="11">
        <v>21562.8610510203</v>
      </c>
    </row>
    <row r="181">
      <c r="A181" s="11" t="s">
        <v>19</v>
      </c>
      <c r="B181" s="11">
        <v>11815.2027414876</v>
      </c>
    </row>
    <row r="182">
      <c r="A182" s="11" t="s">
        <v>88</v>
      </c>
      <c r="B182" s="11">
        <v>25796.8696692934</v>
      </c>
    </row>
    <row r="183">
      <c r="A183" s="11" t="s">
        <v>88</v>
      </c>
      <c r="B183" s="11">
        <v>4266.78430718752</v>
      </c>
    </row>
    <row r="184">
      <c r="A184" s="11" t="s">
        <v>29</v>
      </c>
      <c r="B184" s="11">
        <v>4751.16274103238</v>
      </c>
    </row>
    <row r="185">
      <c r="A185" s="11" t="s">
        <v>47</v>
      </c>
      <c r="B185" s="11">
        <v>17968.49598759</v>
      </c>
    </row>
    <row r="186">
      <c r="A186" s="11" t="s">
        <v>29</v>
      </c>
      <c r="B186" s="11">
        <v>11311.3273479975</v>
      </c>
    </row>
    <row r="187">
      <c r="A187" s="11" t="s">
        <v>88</v>
      </c>
      <c r="B187" s="11">
        <v>47242.224297681</v>
      </c>
    </row>
    <row r="188">
      <c r="A188" s="11" t="s">
        <v>47</v>
      </c>
      <c r="B188" s="11">
        <v>17670.5052173935</v>
      </c>
    </row>
    <row r="189">
      <c r="A189" s="11" t="s">
        <v>29</v>
      </c>
      <c r="B189" s="11">
        <v>5714.74801791466</v>
      </c>
    </row>
    <row r="190">
      <c r="A190" s="11" t="s">
        <v>47</v>
      </c>
      <c r="B190" s="11">
        <v>5985.97848724019</v>
      </c>
    </row>
    <row r="191">
      <c r="A191" s="11" t="s">
        <v>29</v>
      </c>
      <c r="B191" s="11">
        <v>27385.7362279881</v>
      </c>
    </row>
    <row r="192">
      <c r="A192" s="11" t="s">
        <v>47</v>
      </c>
      <c r="B192" s="11">
        <v>3730.00219089662</v>
      </c>
    </row>
    <row r="193">
      <c r="A193" s="11" t="s">
        <v>60</v>
      </c>
      <c r="B193" s="11">
        <v>22480.9659289307</v>
      </c>
    </row>
    <row r="194">
      <c r="A194" s="11" t="s">
        <v>47</v>
      </c>
      <c r="B194" s="11">
        <v>35022.3167123606</v>
      </c>
    </row>
    <row r="195">
      <c r="A195" s="11" t="s">
        <v>60</v>
      </c>
      <c r="B195" s="11">
        <v>45072.418258941</v>
      </c>
    </row>
    <row r="196">
      <c r="A196" s="11" t="s">
        <v>29</v>
      </c>
      <c r="B196" s="11">
        <v>45902.7076446902</v>
      </c>
    </row>
    <row r="197">
      <c r="A197" s="11" t="s">
        <v>88</v>
      </c>
      <c r="B197" s="11">
        <v>28899.1857587483</v>
      </c>
    </row>
    <row r="198">
      <c r="A198" s="11" t="s">
        <v>29</v>
      </c>
      <c r="B198" s="11">
        <v>39003.1814380949</v>
      </c>
    </row>
    <row r="199">
      <c r="A199" s="11" t="s">
        <v>47</v>
      </c>
      <c r="B199" s="11">
        <v>10348.8185214386</v>
      </c>
    </row>
    <row r="200">
      <c r="A200" s="11" t="s">
        <v>88</v>
      </c>
      <c r="B200" s="11">
        <v>14371.5396986661</v>
      </c>
    </row>
    <row r="201">
      <c r="A201" s="11" t="s">
        <v>47</v>
      </c>
      <c r="B201" s="11">
        <v>13769.4031287638</v>
      </c>
    </row>
    <row r="202">
      <c r="A202" s="11" t="s">
        <v>109</v>
      </c>
      <c r="B202" s="11">
        <v>35868.5386367655</v>
      </c>
    </row>
    <row r="203">
      <c r="A203" s="11" t="s">
        <v>29</v>
      </c>
      <c r="B203" s="11">
        <v>35205.2845980244</v>
      </c>
    </row>
    <row r="204">
      <c r="A204" s="11" t="s">
        <v>29</v>
      </c>
      <c r="B204" s="11">
        <v>21576.5023455387</v>
      </c>
    </row>
    <row r="205">
      <c r="A205" s="11" t="s">
        <v>88</v>
      </c>
      <c r="B205" s="11">
        <v>18771.0106871058</v>
      </c>
    </row>
    <row r="206">
      <c r="A206" s="11" t="s">
        <v>19</v>
      </c>
      <c r="B206" s="11">
        <v>21668.5645083491</v>
      </c>
    </row>
    <row r="207">
      <c r="A207" s="11" t="s">
        <v>47</v>
      </c>
      <c r="B207" s="11">
        <v>36339.8190811746</v>
      </c>
    </row>
    <row r="208">
      <c r="A208" s="11" t="s">
        <v>47</v>
      </c>
      <c r="B208" s="11">
        <v>40825.184423605</v>
      </c>
    </row>
    <row r="209">
      <c r="A209" s="11" t="s">
        <v>19</v>
      </c>
      <c r="B209" s="11">
        <v>40469.5662591005</v>
      </c>
    </row>
    <row r="210">
      <c r="A210" s="11" t="s">
        <v>29</v>
      </c>
      <c r="B210" s="11">
        <v>25749.5208355403</v>
      </c>
    </row>
    <row r="211">
      <c r="A211" s="11" t="s">
        <v>60</v>
      </c>
      <c r="B211" s="11">
        <v>15841.2016765125</v>
      </c>
    </row>
    <row r="212">
      <c r="A212" s="11" t="s">
        <v>109</v>
      </c>
      <c r="B212" s="11">
        <v>36086.5720780543</v>
      </c>
    </row>
    <row r="213">
      <c r="A213" s="11" t="s">
        <v>60</v>
      </c>
      <c r="B213" s="11">
        <v>32085.2276465087</v>
      </c>
    </row>
    <row r="214">
      <c r="A214" s="11" t="s">
        <v>19</v>
      </c>
      <c r="B214" s="11">
        <v>12356.5606512939</v>
      </c>
    </row>
    <row r="215">
      <c r="A215" s="11" t="s">
        <v>60</v>
      </c>
      <c r="B215" s="11">
        <v>15367.4113155228</v>
      </c>
    </row>
    <row r="216">
      <c r="A216" s="11" t="s">
        <v>19</v>
      </c>
      <c r="B216" s="11">
        <v>40190.2029180175</v>
      </c>
    </row>
    <row r="217">
      <c r="A217" s="11" t="s">
        <v>47</v>
      </c>
      <c r="B217" s="11">
        <v>3872.09698519108</v>
      </c>
    </row>
    <row r="218">
      <c r="A218" s="11" t="s">
        <v>109</v>
      </c>
      <c r="B218" s="11">
        <v>3311.58910555355</v>
      </c>
    </row>
    <row r="219">
      <c r="A219" s="11" t="s">
        <v>19</v>
      </c>
      <c r="B219" s="11">
        <v>18524.8666374857</v>
      </c>
    </row>
    <row r="220">
      <c r="A220" s="11" t="s">
        <v>88</v>
      </c>
      <c r="B220" s="11">
        <v>30107.4870351719</v>
      </c>
    </row>
    <row r="221">
      <c r="A221" s="11" t="s">
        <v>29</v>
      </c>
      <c r="B221" s="11">
        <v>15826.1012762539</v>
      </c>
    </row>
    <row r="222">
      <c r="A222" s="11" t="s">
        <v>47</v>
      </c>
      <c r="B222" s="11">
        <v>26437.7746301457</v>
      </c>
    </row>
    <row r="223">
      <c r="A223" s="11" t="s">
        <v>109</v>
      </c>
      <c r="B223" s="11">
        <v>49663.4528710204</v>
      </c>
    </row>
    <row r="224">
      <c r="A224" s="11" t="s">
        <v>19</v>
      </c>
      <c r="B224" s="11">
        <v>27278.2368852241</v>
      </c>
    </row>
    <row r="225">
      <c r="A225" s="11" t="s">
        <v>88</v>
      </c>
      <c r="B225" s="11">
        <v>33170.4367400385</v>
      </c>
    </row>
    <row r="226">
      <c r="A226" s="11" t="s">
        <v>60</v>
      </c>
      <c r="B226" s="11">
        <v>1791.38900111131</v>
      </c>
    </row>
    <row r="227">
      <c r="A227" s="11" t="s">
        <v>47</v>
      </c>
      <c r="B227" s="11">
        <v>31188.0414917411</v>
      </c>
    </row>
    <row r="228">
      <c r="A228" s="11" t="s">
        <v>109</v>
      </c>
      <c r="B228" s="11">
        <v>13854.6457636635</v>
      </c>
    </row>
    <row r="229">
      <c r="A229" s="11" t="s">
        <v>29</v>
      </c>
      <c r="B229" s="11">
        <v>11870.9083801416</v>
      </c>
    </row>
    <row r="230">
      <c r="A230" s="11" t="s">
        <v>29</v>
      </c>
      <c r="B230" s="11">
        <v>25574.1276190986</v>
      </c>
    </row>
    <row r="231">
      <c r="A231" s="11" t="s">
        <v>109</v>
      </c>
      <c r="B231" s="11">
        <v>6132.40409523864</v>
      </c>
    </row>
    <row r="232">
      <c r="A232" s="11" t="s">
        <v>29</v>
      </c>
      <c r="B232" s="11">
        <v>33343.9024937478</v>
      </c>
    </row>
    <row r="233">
      <c r="A233" s="11" t="s">
        <v>88</v>
      </c>
      <c r="B233" s="11">
        <v>43484.2497464405</v>
      </c>
    </row>
    <row r="234">
      <c r="A234" s="11" t="s">
        <v>29</v>
      </c>
      <c r="B234" s="11">
        <v>7858.92685994679</v>
      </c>
    </row>
    <row r="235">
      <c r="A235" s="11" t="s">
        <v>60</v>
      </c>
      <c r="B235" s="11">
        <v>33161.9384029981</v>
      </c>
    </row>
    <row r="236">
      <c r="A236" s="11" t="s">
        <v>19</v>
      </c>
      <c r="B236" s="11">
        <v>2879.46053205424</v>
      </c>
    </row>
    <row r="237">
      <c r="A237" s="11" t="s">
        <v>60</v>
      </c>
      <c r="B237" s="11">
        <v>46492.8617729489</v>
      </c>
    </row>
    <row r="238">
      <c r="A238" s="11" t="s">
        <v>88</v>
      </c>
      <c r="B238" s="11">
        <v>5259.27304964771</v>
      </c>
    </row>
    <row r="239">
      <c r="A239" s="11" t="s">
        <v>109</v>
      </c>
      <c r="B239" s="11">
        <v>2784.58248997835</v>
      </c>
    </row>
    <row r="240">
      <c r="A240" s="11" t="s">
        <v>109</v>
      </c>
      <c r="B240" s="11">
        <v>13418.2163679355</v>
      </c>
    </row>
    <row r="241">
      <c r="A241" s="11" t="s">
        <v>19</v>
      </c>
      <c r="B241" s="11">
        <v>36990.4557753253</v>
      </c>
    </row>
    <row r="242">
      <c r="A242" s="11" t="s">
        <v>19</v>
      </c>
      <c r="B242" s="11">
        <v>43567.1441579709</v>
      </c>
    </row>
    <row r="243">
      <c r="A243" s="11" t="s">
        <v>47</v>
      </c>
      <c r="B243" s="11">
        <v>35570.0765570962</v>
      </c>
    </row>
    <row r="244">
      <c r="A244" s="11" t="s">
        <v>109</v>
      </c>
      <c r="B244" s="11">
        <v>6848.13042719658</v>
      </c>
    </row>
    <row r="245">
      <c r="A245" s="11" t="s">
        <v>60</v>
      </c>
      <c r="B245" s="11">
        <v>4677.59584650444</v>
      </c>
    </row>
    <row r="246">
      <c r="A246" s="11" t="s">
        <v>88</v>
      </c>
      <c r="B246" s="11">
        <v>35157.1702673228</v>
      </c>
    </row>
    <row r="247">
      <c r="A247" s="11" t="s">
        <v>29</v>
      </c>
      <c r="B247" s="11">
        <v>34719.1738501764</v>
      </c>
    </row>
    <row r="248">
      <c r="A248" s="11" t="s">
        <v>29</v>
      </c>
      <c r="B248" s="11">
        <v>23775.4490069404</v>
      </c>
    </row>
    <row r="249">
      <c r="A249" s="11" t="s">
        <v>109</v>
      </c>
      <c r="B249" s="11">
        <v>17732.4693660627</v>
      </c>
    </row>
    <row r="250">
      <c r="A250" s="11" t="s">
        <v>60</v>
      </c>
      <c r="B250" s="11">
        <v>3845.39749562647</v>
      </c>
    </row>
    <row r="251">
      <c r="A251" s="11" t="s">
        <v>19</v>
      </c>
      <c r="B251" s="11">
        <v>22401.5503534375</v>
      </c>
    </row>
    <row r="252">
      <c r="A252" s="11" t="s">
        <v>88</v>
      </c>
      <c r="B252" s="11">
        <v>23340.3047192135</v>
      </c>
    </row>
    <row r="253">
      <c r="A253" s="11" t="s">
        <v>88</v>
      </c>
      <c r="B253" s="11">
        <v>3042.40918359702</v>
      </c>
    </row>
    <row r="254">
      <c r="A254" s="11" t="s">
        <v>47</v>
      </c>
      <c r="B254" s="11">
        <v>41817.6791825064</v>
      </c>
    </row>
    <row r="255">
      <c r="A255" s="11" t="s">
        <v>109</v>
      </c>
      <c r="B255" s="11">
        <v>49700.3242065521</v>
      </c>
    </row>
    <row r="256">
      <c r="A256" s="11" t="s">
        <v>47</v>
      </c>
      <c r="B256" s="11">
        <v>45157.4711248389</v>
      </c>
    </row>
    <row r="257">
      <c r="A257" s="11" t="s">
        <v>60</v>
      </c>
      <c r="B257" s="11">
        <v>18832.1003427796</v>
      </c>
    </row>
    <row r="258">
      <c r="A258" s="11" t="s">
        <v>88</v>
      </c>
      <c r="B258" s="11">
        <v>31732.1300778819</v>
      </c>
    </row>
    <row r="259">
      <c r="A259" s="11" t="s">
        <v>47</v>
      </c>
      <c r="B259" s="11">
        <v>42214.9796977142</v>
      </c>
    </row>
    <row r="260">
      <c r="A260" s="11" t="s">
        <v>109</v>
      </c>
      <c r="B260" s="11">
        <v>12400.2050988106</v>
      </c>
    </row>
    <row r="261">
      <c r="A261" s="11" t="s">
        <v>109</v>
      </c>
      <c r="B261" s="11">
        <v>1133.58647605806</v>
      </c>
    </row>
    <row r="262">
      <c r="A262" s="11" t="s">
        <v>29</v>
      </c>
      <c r="B262" s="11">
        <v>24340.3228569656</v>
      </c>
    </row>
    <row r="263">
      <c r="A263" s="11" t="s">
        <v>109</v>
      </c>
      <c r="B263" s="11">
        <v>39390.9355470849</v>
      </c>
    </row>
    <row r="264">
      <c r="A264" s="11" t="s">
        <v>88</v>
      </c>
      <c r="B264" s="11">
        <v>17012.5074022272</v>
      </c>
    </row>
    <row r="265">
      <c r="A265" s="11" t="s">
        <v>60</v>
      </c>
      <c r="B265" s="11">
        <v>14493.6139032184</v>
      </c>
    </row>
    <row r="266">
      <c r="A266" s="11" t="s">
        <v>88</v>
      </c>
      <c r="B266" s="11">
        <v>32679.2685926962</v>
      </c>
    </row>
    <row r="267">
      <c r="A267" s="11" t="s">
        <v>29</v>
      </c>
      <c r="B267" s="11">
        <v>6232.00178684709</v>
      </c>
    </row>
    <row r="268">
      <c r="A268" s="11" t="s">
        <v>47</v>
      </c>
      <c r="B268" s="11">
        <v>22982.2521217276</v>
      </c>
    </row>
    <row r="269">
      <c r="A269" s="11" t="s">
        <v>19</v>
      </c>
      <c r="B269" s="11">
        <v>28213.8154666384</v>
      </c>
    </row>
    <row r="270">
      <c r="A270" s="11" t="s">
        <v>109</v>
      </c>
      <c r="B270" s="11">
        <v>10645.5658530089</v>
      </c>
    </row>
    <row r="271">
      <c r="A271" s="11" t="s">
        <v>109</v>
      </c>
      <c r="B271" s="11">
        <v>35041.0309676033</v>
      </c>
    </row>
    <row r="272">
      <c r="A272" s="11" t="s">
        <v>109</v>
      </c>
      <c r="B272" s="11">
        <v>45980.292293796</v>
      </c>
    </row>
    <row r="273">
      <c r="A273" s="11" t="s">
        <v>29</v>
      </c>
      <c r="B273" s="11">
        <v>25163.8224838312</v>
      </c>
    </row>
    <row r="274">
      <c r="A274" s="11" t="s">
        <v>60</v>
      </c>
      <c r="B274" s="11">
        <v>43670.3781916689</v>
      </c>
    </row>
    <row r="275">
      <c r="A275" s="11" t="s">
        <v>60</v>
      </c>
      <c r="B275" s="11">
        <v>33706.5976706835</v>
      </c>
    </row>
    <row r="276">
      <c r="A276" s="11" t="s">
        <v>109</v>
      </c>
      <c r="B276" s="11">
        <v>5549.7854357922</v>
      </c>
    </row>
    <row r="277">
      <c r="A277" s="11" t="s">
        <v>109</v>
      </c>
      <c r="B277" s="11">
        <v>49078.4690110566</v>
      </c>
    </row>
    <row r="278">
      <c r="A278" s="11" t="s">
        <v>29</v>
      </c>
      <c r="B278" s="11">
        <v>23687.9936424676</v>
      </c>
    </row>
    <row r="279">
      <c r="A279" s="11" t="s">
        <v>47</v>
      </c>
      <c r="B279" s="11">
        <v>17720.318726459</v>
      </c>
    </row>
    <row r="280">
      <c r="A280" s="11" t="s">
        <v>60</v>
      </c>
      <c r="B280" s="11">
        <v>27361.2496848068</v>
      </c>
    </row>
    <row r="281">
      <c r="A281" s="11" t="s">
        <v>29</v>
      </c>
      <c r="B281" s="11">
        <v>39265.6460545451</v>
      </c>
    </row>
    <row r="282">
      <c r="A282" s="11" t="s">
        <v>109</v>
      </c>
      <c r="B282" s="11">
        <v>32868.0827709227</v>
      </c>
    </row>
    <row r="283">
      <c r="A283" s="11" t="s">
        <v>60</v>
      </c>
      <c r="B283" s="11">
        <v>22032.3895867422</v>
      </c>
    </row>
    <row r="284">
      <c r="A284" s="11" t="s">
        <v>47</v>
      </c>
      <c r="B284" s="11">
        <v>43165.6940860102</v>
      </c>
    </row>
    <row r="285">
      <c r="A285" s="11" t="s">
        <v>29</v>
      </c>
      <c r="B285" s="11">
        <v>1870.60843977259</v>
      </c>
    </row>
    <row r="286">
      <c r="A286" s="11" t="s">
        <v>47</v>
      </c>
      <c r="B286" s="11">
        <v>50254.2018311622</v>
      </c>
    </row>
    <row r="287">
      <c r="A287" s="11" t="s">
        <v>109</v>
      </c>
      <c r="B287" s="11">
        <v>23159.6630336393</v>
      </c>
    </row>
    <row r="288">
      <c r="A288" s="11" t="s">
        <v>47</v>
      </c>
      <c r="B288" s="11">
        <v>11469.390589717</v>
      </c>
    </row>
    <row r="289">
      <c r="A289" s="11" t="s">
        <v>19</v>
      </c>
      <c r="B289" s="11">
        <v>35435.1701526956</v>
      </c>
    </row>
    <row r="290">
      <c r="A290" s="11" t="s">
        <v>19</v>
      </c>
      <c r="B290" s="11">
        <v>26139.7859488467</v>
      </c>
    </row>
    <row r="291">
      <c r="A291" s="11" t="s">
        <v>19</v>
      </c>
      <c r="B291" s="11">
        <v>21296.5187269638</v>
      </c>
    </row>
    <row r="292">
      <c r="A292" s="11" t="s">
        <v>109</v>
      </c>
      <c r="B292" s="11">
        <v>8421.91538451632</v>
      </c>
    </row>
    <row r="293">
      <c r="A293" s="11" t="s">
        <v>29</v>
      </c>
      <c r="B293" s="11">
        <v>23892.5526692264</v>
      </c>
    </row>
    <row r="294">
      <c r="A294" s="11" t="s">
        <v>29</v>
      </c>
      <c r="B294" s="11">
        <v>8171.46261471492</v>
      </c>
    </row>
    <row r="295">
      <c r="A295" s="11" t="s">
        <v>109</v>
      </c>
      <c r="B295" s="11">
        <v>23457.3092865079</v>
      </c>
    </row>
    <row r="296">
      <c r="A296" s="11" t="s">
        <v>19</v>
      </c>
      <c r="B296" s="11">
        <v>25787.4391437459</v>
      </c>
    </row>
    <row r="297">
      <c r="A297" s="11" t="s">
        <v>88</v>
      </c>
      <c r="B297" s="11">
        <v>28525.5247676882</v>
      </c>
    </row>
    <row r="298">
      <c r="A298" s="11" t="s">
        <v>109</v>
      </c>
      <c r="B298" s="11">
        <v>17182.8698118769</v>
      </c>
    </row>
    <row r="299">
      <c r="A299" s="11" t="s">
        <v>60</v>
      </c>
      <c r="B299" s="11">
        <v>20980.3030648722</v>
      </c>
    </row>
    <row r="300">
      <c r="A300" s="11" t="s">
        <v>88</v>
      </c>
      <c r="B300" s="11">
        <v>4243.20264383059</v>
      </c>
    </row>
    <row r="301">
      <c r="A301" s="11" t="s">
        <v>19</v>
      </c>
      <c r="B301" s="11">
        <v>40137.7891714806</v>
      </c>
    </row>
    <row r="302">
      <c r="A302" s="11" t="s">
        <v>60</v>
      </c>
      <c r="B302" s="11">
        <v>30676.441759527</v>
      </c>
    </row>
    <row r="303">
      <c r="A303" s="11" t="s">
        <v>88</v>
      </c>
      <c r="B303" s="11">
        <v>45594.8890706359</v>
      </c>
    </row>
    <row r="304">
      <c r="A304" s="11" t="s">
        <v>19</v>
      </c>
      <c r="B304" s="11">
        <v>29076.629611154</v>
      </c>
    </row>
    <row r="305">
      <c r="A305" s="11" t="s">
        <v>29</v>
      </c>
      <c r="B305" s="11">
        <v>5223.50208134405</v>
      </c>
    </row>
    <row r="306">
      <c r="A306" s="11" t="s">
        <v>88</v>
      </c>
      <c r="B306" s="11">
        <v>41840.6580344238</v>
      </c>
    </row>
    <row r="307">
      <c r="A307" s="11" t="s">
        <v>29</v>
      </c>
      <c r="B307" s="11">
        <v>26504.8659110347</v>
      </c>
    </row>
    <row r="308">
      <c r="A308" s="11" t="s">
        <v>109</v>
      </c>
      <c r="B308" s="11">
        <v>7946.12911295769</v>
      </c>
    </row>
    <row r="309">
      <c r="A309" s="11" t="s">
        <v>47</v>
      </c>
      <c r="B309" s="11">
        <v>18689.138447934</v>
      </c>
    </row>
    <row r="310">
      <c r="A310" s="11" t="s">
        <v>109</v>
      </c>
      <c r="B310" s="11">
        <v>30051.9750727671</v>
      </c>
    </row>
    <row r="311">
      <c r="A311" s="11" t="s">
        <v>88</v>
      </c>
      <c r="B311" s="11">
        <v>22913.5542530079</v>
      </c>
    </row>
    <row r="312">
      <c r="A312" s="11" t="s">
        <v>29</v>
      </c>
      <c r="B312" s="11">
        <v>36238.5768493333</v>
      </c>
    </row>
    <row r="313">
      <c r="A313" s="11" t="s">
        <v>29</v>
      </c>
      <c r="B313" s="11">
        <v>25217.4561843394</v>
      </c>
    </row>
    <row r="314">
      <c r="A314" s="11" t="s">
        <v>60</v>
      </c>
      <c r="B314" s="11">
        <v>41548.408314477</v>
      </c>
    </row>
    <row r="315">
      <c r="A315" s="11" t="s">
        <v>109</v>
      </c>
      <c r="B315" s="11">
        <v>7562.39437964212</v>
      </c>
    </row>
    <row r="316">
      <c r="A316" s="11" t="s">
        <v>60</v>
      </c>
      <c r="B316" s="11">
        <v>386.054054691336</v>
      </c>
    </row>
    <row r="317">
      <c r="A317" s="11" t="s">
        <v>109</v>
      </c>
      <c r="B317" s="11">
        <v>31491.6147107443</v>
      </c>
    </row>
    <row r="318">
      <c r="A318" s="11" t="s">
        <v>19</v>
      </c>
      <c r="B318" s="11">
        <v>34224.3483445802</v>
      </c>
    </row>
    <row r="319">
      <c r="A319" s="11" t="s">
        <v>47</v>
      </c>
      <c r="B319" s="11">
        <v>23673.7217393301</v>
      </c>
    </row>
    <row r="320">
      <c r="A320" s="11" t="s">
        <v>88</v>
      </c>
      <c r="B320" s="11">
        <v>40301.9973092428</v>
      </c>
    </row>
    <row r="321">
      <c r="A321" s="11" t="s">
        <v>60</v>
      </c>
      <c r="B321" s="11">
        <v>37116.1638141008</v>
      </c>
    </row>
    <row r="322">
      <c r="A322" s="11" t="s">
        <v>60</v>
      </c>
      <c r="B322" s="11">
        <v>38606.9637968325</v>
      </c>
    </row>
    <row r="323">
      <c r="A323" s="11" t="s">
        <v>109</v>
      </c>
      <c r="B323" s="11">
        <v>17813.9305038873</v>
      </c>
    </row>
    <row r="324">
      <c r="A324" s="11" t="s">
        <v>60</v>
      </c>
      <c r="B324" s="11">
        <v>20773.0233188859</v>
      </c>
    </row>
    <row r="325">
      <c r="A325" s="11" t="s">
        <v>109</v>
      </c>
      <c r="B325" s="11">
        <v>9609.52230714936</v>
      </c>
    </row>
    <row r="326">
      <c r="A326" s="11" t="s">
        <v>19</v>
      </c>
      <c r="B326" s="11">
        <v>3771.23716557387</v>
      </c>
    </row>
    <row r="327">
      <c r="A327" s="11" t="s">
        <v>60</v>
      </c>
      <c r="B327" s="11">
        <v>51587.936816502</v>
      </c>
    </row>
    <row r="328">
      <c r="A328" s="11" t="s">
        <v>19</v>
      </c>
      <c r="B328" s="11">
        <v>28456.6985574468</v>
      </c>
    </row>
    <row r="329">
      <c r="A329" s="11" t="s">
        <v>19</v>
      </c>
      <c r="B329" s="11">
        <v>33870.1209049485</v>
      </c>
    </row>
    <row r="330">
      <c r="A330" s="11" t="s">
        <v>47</v>
      </c>
      <c r="B330" s="11">
        <v>2303.99842275666</v>
      </c>
    </row>
    <row r="331">
      <c r="A331" s="11" t="s">
        <v>88</v>
      </c>
      <c r="B331" s="11">
        <v>1878.00730181789</v>
      </c>
    </row>
    <row r="332">
      <c r="A332" s="11" t="s">
        <v>60</v>
      </c>
      <c r="B332" s="11">
        <v>19160.993728264</v>
      </c>
    </row>
    <row r="333">
      <c r="A333" s="11" t="s">
        <v>19</v>
      </c>
      <c r="B333" s="11">
        <v>5811.62985103773</v>
      </c>
    </row>
    <row r="334">
      <c r="A334" s="11" t="s">
        <v>47</v>
      </c>
      <c r="B334" s="11">
        <v>22868.5303422015</v>
      </c>
    </row>
    <row r="335">
      <c r="A335" s="11" t="s">
        <v>109</v>
      </c>
      <c r="B335" s="11">
        <v>48281.911940192</v>
      </c>
    </row>
    <row r="336">
      <c r="A336" s="11" t="s">
        <v>19</v>
      </c>
      <c r="B336" s="11">
        <v>30562.5676252004</v>
      </c>
    </row>
    <row r="337">
      <c r="A337" s="11" t="s">
        <v>29</v>
      </c>
      <c r="B337" s="11">
        <v>24293.6330258266</v>
      </c>
    </row>
    <row r="338">
      <c r="A338" s="11" t="s">
        <v>109</v>
      </c>
      <c r="B338" s="11">
        <v>5878.77885332326</v>
      </c>
    </row>
    <row r="339">
      <c r="A339" s="11" t="s">
        <v>109</v>
      </c>
      <c r="B339" s="11">
        <v>28410.4387679273</v>
      </c>
    </row>
    <row r="340">
      <c r="A340" s="11" t="s">
        <v>60</v>
      </c>
      <c r="B340" s="11">
        <v>27414.0188047217</v>
      </c>
    </row>
    <row r="341">
      <c r="A341" s="11" t="s">
        <v>88</v>
      </c>
      <c r="B341" s="11">
        <v>5826.24402705413</v>
      </c>
    </row>
    <row r="342">
      <c r="A342" s="11" t="s">
        <v>47</v>
      </c>
      <c r="B342" s="11">
        <v>2133.73720227139</v>
      </c>
    </row>
    <row r="343">
      <c r="A343" s="11" t="s">
        <v>88</v>
      </c>
      <c r="B343" s="11">
        <v>34262.609469234</v>
      </c>
    </row>
    <row r="344">
      <c r="A344" s="11" t="s">
        <v>47</v>
      </c>
      <c r="B344" s="11">
        <v>44897.0490148505</v>
      </c>
    </row>
    <row r="345">
      <c r="A345" s="11" t="s">
        <v>60</v>
      </c>
      <c r="B345" s="11">
        <v>22230.1227639829</v>
      </c>
    </row>
    <row r="346">
      <c r="A346" s="11" t="s">
        <v>47</v>
      </c>
      <c r="B346" s="11">
        <v>32895.1018913032</v>
      </c>
    </row>
    <row r="347">
      <c r="A347" s="11" t="s">
        <v>19</v>
      </c>
      <c r="B347" s="11">
        <v>5349.05611631197</v>
      </c>
    </row>
    <row r="348">
      <c r="A348" s="11" t="s">
        <v>29</v>
      </c>
      <c r="B348" s="11">
        <v>23235.8544100344</v>
      </c>
    </row>
    <row r="349">
      <c r="A349" s="11" t="s">
        <v>47</v>
      </c>
      <c r="B349" s="11">
        <v>25683.2798622156</v>
      </c>
    </row>
    <row r="350">
      <c r="A350" s="11" t="s">
        <v>29</v>
      </c>
      <c r="B350" s="11">
        <v>45560.2818387258</v>
      </c>
    </row>
    <row r="351">
      <c r="A351" s="11" t="s">
        <v>109</v>
      </c>
      <c r="B351" s="11">
        <v>16850.8863121927</v>
      </c>
    </row>
    <row r="352">
      <c r="A352" s="11" t="s">
        <v>88</v>
      </c>
      <c r="B352" s="11">
        <v>34365.9971239597</v>
      </c>
    </row>
    <row r="353">
      <c r="A353" s="11" t="s">
        <v>109</v>
      </c>
      <c r="B353" s="11">
        <v>11968.0238168351</v>
      </c>
    </row>
    <row r="354">
      <c r="A354" s="11" t="s">
        <v>47</v>
      </c>
      <c r="B354" s="11">
        <v>10076.8925329912</v>
      </c>
    </row>
    <row r="355">
      <c r="A355" s="11" t="s">
        <v>60</v>
      </c>
      <c r="B355" s="11">
        <v>44582.8173592592</v>
      </c>
    </row>
    <row r="356">
      <c r="A356" s="11" t="s">
        <v>60</v>
      </c>
      <c r="B356" s="11">
        <v>30334.9890660505</v>
      </c>
    </row>
    <row r="357">
      <c r="A357" s="11" t="s">
        <v>109</v>
      </c>
      <c r="B357" s="11">
        <v>6196.6351360699</v>
      </c>
    </row>
    <row r="358">
      <c r="A358" s="11" t="s">
        <v>19</v>
      </c>
      <c r="B358" s="11">
        <v>45438.9069463693</v>
      </c>
    </row>
    <row r="359">
      <c r="A359" s="11" t="s">
        <v>47</v>
      </c>
      <c r="B359" s="11">
        <v>43707.1792421981</v>
      </c>
    </row>
    <row r="360">
      <c r="A360" s="11" t="s">
        <v>47</v>
      </c>
      <c r="B360" s="11">
        <v>20105.0299292768</v>
      </c>
    </row>
    <row r="361">
      <c r="A361" s="11" t="s">
        <v>47</v>
      </c>
      <c r="B361" s="11">
        <v>11938.0676946801</v>
      </c>
    </row>
    <row r="362">
      <c r="A362" s="11" t="s">
        <v>47</v>
      </c>
      <c r="B362" s="11">
        <v>10836.2112173349</v>
      </c>
    </row>
    <row r="363">
      <c r="A363" s="11" t="s">
        <v>29</v>
      </c>
      <c r="B363" s="11">
        <v>40037.4799867787</v>
      </c>
    </row>
    <row r="364">
      <c r="A364" s="11" t="s">
        <v>60</v>
      </c>
      <c r="B364" s="11">
        <v>42959.2998143182</v>
      </c>
    </row>
    <row r="365">
      <c r="A365" s="11" t="s">
        <v>109</v>
      </c>
      <c r="B365" s="11">
        <v>40196.8252778048</v>
      </c>
    </row>
    <row r="366">
      <c r="A366" s="11" t="s">
        <v>88</v>
      </c>
      <c r="B366" s="11">
        <v>39827.6634172361</v>
      </c>
    </row>
    <row r="367">
      <c r="A367" s="11" t="s">
        <v>60</v>
      </c>
      <c r="B367" s="11">
        <v>3516.84785009067</v>
      </c>
    </row>
    <row r="368">
      <c r="A368" s="11" t="s">
        <v>47</v>
      </c>
      <c r="B368" s="11">
        <v>25414.7959336239</v>
      </c>
    </row>
    <row r="369">
      <c r="A369" s="11" t="s">
        <v>19</v>
      </c>
      <c r="B369" s="11">
        <v>36230.3877609556</v>
      </c>
    </row>
    <row r="370">
      <c r="A370" s="11" t="s">
        <v>60</v>
      </c>
      <c r="B370" s="11">
        <v>22427.1741373668</v>
      </c>
    </row>
    <row r="371">
      <c r="A371" s="11" t="s">
        <v>29</v>
      </c>
      <c r="B371" s="11">
        <v>39250.4474387077</v>
      </c>
    </row>
    <row r="372">
      <c r="A372" s="11" t="s">
        <v>88</v>
      </c>
      <c r="B372" s="11">
        <v>5226.00129713463</v>
      </c>
    </row>
    <row r="373">
      <c r="A373" s="11" t="s">
        <v>29</v>
      </c>
      <c r="B373" s="11">
        <v>7732.67226473495</v>
      </c>
    </row>
    <row r="374">
      <c r="A374" s="11" t="s">
        <v>88</v>
      </c>
      <c r="B374" s="11">
        <v>11304.0025772337</v>
      </c>
    </row>
    <row r="375">
      <c r="A375" s="11" t="s">
        <v>60</v>
      </c>
      <c r="B375" s="11">
        <v>38403.5765782834</v>
      </c>
    </row>
    <row r="376">
      <c r="A376" s="11" t="s">
        <v>60</v>
      </c>
      <c r="B376" s="11">
        <v>14039.88613756</v>
      </c>
    </row>
    <row r="377">
      <c r="A377" s="11" t="s">
        <v>19</v>
      </c>
      <c r="B377" s="11">
        <v>6958.6976712132</v>
      </c>
    </row>
    <row r="378">
      <c r="A378" s="11" t="s">
        <v>19</v>
      </c>
      <c r="B378" s="11">
        <v>3254.03221968062</v>
      </c>
    </row>
    <row r="379">
      <c r="A379" s="11" t="s">
        <v>47</v>
      </c>
      <c r="B379" s="11">
        <v>11855.9520190659</v>
      </c>
    </row>
    <row r="380">
      <c r="A380" s="11" t="s">
        <v>88</v>
      </c>
      <c r="B380" s="11">
        <v>22368.3759384447</v>
      </c>
    </row>
    <row r="381">
      <c r="A381" s="11" t="s">
        <v>60</v>
      </c>
      <c r="B381" s="11">
        <v>48511.6547338423</v>
      </c>
    </row>
    <row r="382">
      <c r="A382" s="11" t="s">
        <v>47</v>
      </c>
      <c r="B382" s="11">
        <v>10126.5025725437</v>
      </c>
    </row>
    <row r="383">
      <c r="A383" s="11" t="s">
        <v>47</v>
      </c>
      <c r="B383" s="11">
        <v>8470.64129955333</v>
      </c>
    </row>
    <row r="384">
      <c r="A384" s="11" t="s">
        <v>60</v>
      </c>
      <c r="B384" s="11">
        <v>25086.0139150671</v>
      </c>
    </row>
    <row r="385">
      <c r="A385" s="11" t="s">
        <v>29</v>
      </c>
      <c r="B385" s="11">
        <v>36524.3772465517</v>
      </c>
    </row>
    <row r="386">
      <c r="A386" s="11" t="s">
        <v>19</v>
      </c>
      <c r="B386" s="11">
        <v>5945.0118164359</v>
      </c>
    </row>
    <row r="387">
      <c r="A387" s="11" t="s">
        <v>29</v>
      </c>
      <c r="B387" s="11">
        <v>3601.68167937205</v>
      </c>
    </row>
    <row r="388">
      <c r="A388" s="11" t="s">
        <v>29</v>
      </c>
      <c r="B388" s="11">
        <v>4920.19041843111</v>
      </c>
    </row>
    <row r="389">
      <c r="A389" s="11" t="s">
        <v>47</v>
      </c>
      <c r="B389" s="11">
        <v>48887.2345242024</v>
      </c>
    </row>
    <row r="390">
      <c r="A390" s="11" t="s">
        <v>19</v>
      </c>
      <c r="B390" s="11">
        <v>48826.3870565796</v>
      </c>
    </row>
    <row r="391">
      <c r="A391" s="11" t="s">
        <v>109</v>
      </c>
      <c r="B391" s="11">
        <v>5509.59580144552</v>
      </c>
    </row>
    <row r="392">
      <c r="A392" s="11" t="s">
        <v>47</v>
      </c>
      <c r="B392" s="11">
        <v>37636.4416616169</v>
      </c>
    </row>
    <row r="393">
      <c r="A393" s="11" t="s">
        <v>29</v>
      </c>
      <c r="B393" s="11">
        <v>20885.9195075241</v>
      </c>
    </row>
    <row r="394">
      <c r="A394" s="11" t="s">
        <v>29</v>
      </c>
      <c r="B394" s="11">
        <v>35114.4899739483</v>
      </c>
    </row>
    <row r="395">
      <c r="A395" s="11" t="s">
        <v>29</v>
      </c>
      <c r="B395" s="11">
        <v>6191.39265563093</v>
      </c>
    </row>
    <row r="396">
      <c r="A396" s="11" t="s">
        <v>88</v>
      </c>
      <c r="B396" s="11">
        <v>40697.9689475451</v>
      </c>
    </row>
    <row r="397">
      <c r="A397" s="11" t="s">
        <v>109</v>
      </c>
      <c r="B397" s="11">
        <v>43465.9527835804</v>
      </c>
    </row>
    <row r="398">
      <c r="A398" s="11" t="s">
        <v>19</v>
      </c>
      <c r="B398" s="11">
        <v>16866.0688240055</v>
      </c>
    </row>
    <row r="399">
      <c r="A399" s="11" t="s">
        <v>29</v>
      </c>
      <c r="B399" s="11">
        <v>41454.6852615562</v>
      </c>
    </row>
    <row r="400">
      <c r="A400" s="11" t="s">
        <v>88</v>
      </c>
      <c r="B400" s="11">
        <v>47735.3842426511</v>
      </c>
    </row>
    <row r="401">
      <c r="A401" s="11" t="s">
        <v>47</v>
      </c>
      <c r="B401" s="11">
        <v>2826.81298129957</v>
      </c>
    </row>
    <row r="402">
      <c r="A402" s="11" t="s">
        <v>88</v>
      </c>
      <c r="B402" s="11">
        <v>26524.172804251</v>
      </c>
    </row>
    <row r="403">
      <c r="A403" s="11" t="s">
        <v>88</v>
      </c>
      <c r="B403" s="11">
        <v>36727.5810051217</v>
      </c>
    </row>
    <row r="404">
      <c r="A404" s="11" t="s">
        <v>109</v>
      </c>
      <c r="B404" s="11">
        <v>4509.40306089449</v>
      </c>
    </row>
    <row r="405">
      <c r="A405" s="11" t="s">
        <v>109</v>
      </c>
      <c r="B405" s="11">
        <v>25709.5844317189</v>
      </c>
    </row>
    <row r="406">
      <c r="A406" s="11" t="s">
        <v>29</v>
      </c>
      <c r="B406" s="11">
        <v>20086.2171028671</v>
      </c>
    </row>
    <row r="407">
      <c r="A407" s="11" t="s">
        <v>60</v>
      </c>
      <c r="B407" s="11">
        <v>36862.1718029631</v>
      </c>
    </row>
    <row r="408">
      <c r="A408" s="11" t="s">
        <v>88</v>
      </c>
      <c r="B408" s="11">
        <v>40065.3388929749</v>
      </c>
    </row>
    <row r="409">
      <c r="A409" s="11" t="s">
        <v>47</v>
      </c>
      <c r="B409" s="11">
        <v>41997.354559282</v>
      </c>
    </row>
    <row r="410">
      <c r="A410" s="11" t="s">
        <v>19</v>
      </c>
      <c r="B410" s="11">
        <v>22601.5674468481</v>
      </c>
    </row>
    <row r="411">
      <c r="A411" s="11" t="s">
        <v>29</v>
      </c>
      <c r="B411" s="11">
        <v>36204.7323306432</v>
      </c>
    </row>
    <row r="412">
      <c r="A412" s="11" t="s">
        <v>19</v>
      </c>
      <c r="B412" s="11">
        <v>41311.2939011373</v>
      </c>
    </row>
    <row r="413">
      <c r="A413" s="11" t="s">
        <v>19</v>
      </c>
      <c r="B413" s="11">
        <v>36890.2690549742</v>
      </c>
    </row>
    <row r="414">
      <c r="A414" s="11" t="s">
        <v>109</v>
      </c>
      <c r="B414" s="11">
        <v>5716.10420761612</v>
      </c>
    </row>
    <row r="415">
      <c r="A415" s="11" t="s">
        <v>47</v>
      </c>
      <c r="B415" s="11">
        <v>10461.9806850176</v>
      </c>
    </row>
    <row r="416">
      <c r="A416" s="11" t="s">
        <v>109</v>
      </c>
      <c r="B416" s="11">
        <v>37879.9790316402</v>
      </c>
    </row>
    <row r="417">
      <c r="A417" s="11" t="s">
        <v>29</v>
      </c>
      <c r="B417" s="11">
        <v>44355.2041501939</v>
      </c>
    </row>
    <row r="418">
      <c r="A418" s="11" t="s">
        <v>29</v>
      </c>
      <c r="B418" s="11">
        <v>28355.4524572653</v>
      </c>
    </row>
    <row r="419">
      <c r="A419" s="11" t="s">
        <v>19</v>
      </c>
      <c r="B419" s="11">
        <v>22935.4117080103</v>
      </c>
    </row>
    <row r="420">
      <c r="A420" s="11" t="s">
        <v>88</v>
      </c>
      <c r="B420" s="11">
        <v>42605.6353407704</v>
      </c>
    </row>
    <row r="421">
      <c r="A421" s="11" t="s">
        <v>60</v>
      </c>
      <c r="B421" s="11">
        <v>24023.9561228201</v>
      </c>
    </row>
    <row r="422">
      <c r="A422" s="11" t="s">
        <v>88</v>
      </c>
      <c r="B422" s="11">
        <v>20577.7089266596</v>
      </c>
    </row>
    <row r="423">
      <c r="A423" s="11" t="s">
        <v>47</v>
      </c>
      <c r="B423" s="11">
        <v>7264.88503735054</v>
      </c>
    </row>
    <row r="424">
      <c r="A424" s="11" t="s">
        <v>109</v>
      </c>
      <c r="B424" s="11">
        <v>29913.8493301869</v>
      </c>
    </row>
    <row r="425">
      <c r="A425" s="11" t="s">
        <v>88</v>
      </c>
      <c r="B425" s="11">
        <v>43353.4039523194</v>
      </c>
    </row>
    <row r="426">
      <c r="A426" s="11" t="s">
        <v>19</v>
      </c>
      <c r="B426" s="11">
        <v>18382.6640546501</v>
      </c>
    </row>
    <row r="427">
      <c r="A427" s="11" t="s">
        <v>19</v>
      </c>
      <c r="B427" s="11">
        <v>49419.8680145578</v>
      </c>
    </row>
    <row r="428">
      <c r="A428" s="11" t="s">
        <v>60</v>
      </c>
      <c r="B428" s="11">
        <v>9958.02390082405</v>
      </c>
    </row>
    <row r="429">
      <c r="A429" s="11" t="s">
        <v>88</v>
      </c>
      <c r="B429" s="11">
        <v>21438.2789859338</v>
      </c>
    </row>
    <row r="430">
      <c r="A430" s="11" t="s">
        <v>109</v>
      </c>
      <c r="B430" s="11">
        <v>1820.01582071994</v>
      </c>
    </row>
    <row r="431">
      <c r="A431" s="11" t="s">
        <v>88</v>
      </c>
      <c r="B431" s="11">
        <v>32760.4687598798</v>
      </c>
    </row>
    <row r="432">
      <c r="A432" s="11" t="s">
        <v>60</v>
      </c>
      <c r="B432" s="11">
        <v>35421.8258254822</v>
      </c>
    </row>
    <row r="433">
      <c r="A433" s="11" t="s">
        <v>47</v>
      </c>
      <c r="B433" s="11">
        <v>44393.1805276552</v>
      </c>
    </row>
    <row r="434">
      <c r="A434" s="11" t="s">
        <v>47</v>
      </c>
      <c r="B434" s="11">
        <v>16578.9058365789</v>
      </c>
    </row>
    <row r="435">
      <c r="A435" s="11" t="s">
        <v>109</v>
      </c>
      <c r="B435" s="11">
        <v>33749.8587685578</v>
      </c>
    </row>
    <row r="436">
      <c r="A436" s="11" t="s">
        <v>60</v>
      </c>
      <c r="B436" s="11">
        <v>3903.75624349977</v>
      </c>
    </row>
    <row r="437">
      <c r="A437" s="11" t="s">
        <v>19</v>
      </c>
      <c r="B437" s="11">
        <v>22720.3337033833</v>
      </c>
    </row>
    <row r="438">
      <c r="A438" s="11" t="s">
        <v>47</v>
      </c>
      <c r="B438" s="11">
        <v>35411.4713737896</v>
      </c>
    </row>
    <row r="439">
      <c r="A439" s="11" t="s">
        <v>88</v>
      </c>
      <c r="B439" s="11">
        <v>27342.2267434525</v>
      </c>
    </row>
    <row r="440">
      <c r="A440" s="11" t="s">
        <v>19</v>
      </c>
      <c r="B440" s="11">
        <v>27971.2803607663</v>
      </c>
    </row>
    <row r="441">
      <c r="A441" s="11" t="s">
        <v>88</v>
      </c>
      <c r="B441" s="11">
        <v>26894.074932347</v>
      </c>
    </row>
    <row r="442">
      <c r="A442" s="11" t="s">
        <v>19</v>
      </c>
      <c r="B442" s="11">
        <v>36551.0547516079</v>
      </c>
    </row>
    <row r="443">
      <c r="A443" s="11" t="s">
        <v>109</v>
      </c>
      <c r="B443" s="11">
        <v>10693.3892640976</v>
      </c>
    </row>
    <row r="444">
      <c r="A444" s="11" t="s">
        <v>47</v>
      </c>
      <c r="B444" s="11">
        <v>28835.4411907577</v>
      </c>
    </row>
    <row r="445">
      <c r="A445" s="11" t="s">
        <v>47</v>
      </c>
      <c r="B445" s="11">
        <v>7083.61426633701</v>
      </c>
    </row>
    <row r="446">
      <c r="A446" s="11" t="s">
        <v>60</v>
      </c>
      <c r="B446" s="11">
        <v>2068.42920362951</v>
      </c>
    </row>
    <row r="447">
      <c r="A447" s="11" t="s">
        <v>88</v>
      </c>
      <c r="B447" s="11">
        <v>42956.1289529578</v>
      </c>
    </row>
    <row r="448">
      <c r="A448" s="11" t="s">
        <v>47</v>
      </c>
      <c r="B448" s="11">
        <v>17307.366222435</v>
      </c>
    </row>
    <row r="449">
      <c r="A449" s="11" t="s">
        <v>60</v>
      </c>
      <c r="B449" s="11">
        <v>41492.1275888982</v>
      </c>
    </row>
    <row r="450">
      <c r="A450" s="11" t="s">
        <v>29</v>
      </c>
      <c r="B450" s="11">
        <v>16097.762164349</v>
      </c>
    </row>
    <row r="451">
      <c r="A451" s="11" t="s">
        <v>19</v>
      </c>
      <c r="B451" s="11">
        <v>44495.7310384766</v>
      </c>
    </row>
    <row r="452">
      <c r="A452" s="11" t="s">
        <v>29</v>
      </c>
      <c r="B452" s="11">
        <v>2936.89449862293</v>
      </c>
    </row>
    <row r="453">
      <c r="A453" s="11" t="s">
        <v>29</v>
      </c>
      <c r="B453" s="11">
        <v>43374.0114646903</v>
      </c>
    </row>
    <row r="454">
      <c r="A454" s="11" t="s">
        <v>60</v>
      </c>
      <c r="B454" s="11">
        <v>6949.87564499535</v>
      </c>
    </row>
    <row r="455">
      <c r="A455" s="11" t="s">
        <v>109</v>
      </c>
      <c r="B455" s="11">
        <v>15449.0639737078</v>
      </c>
    </row>
    <row r="456">
      <c r="A456" s="11" t="s">
        <v>29</v>
      </c>
      <c r="B456" s="11">
        <v>37458.159278941</v>
      </c>
    </row>
    <row r="457">
      <c r="A457" s="11" t="s">
        <v>19</v>
      </c>
      <c r="B457" s="11">
        <v>5919.30008439826</v>
      </c>
    </row>
    <row r="458">
      <c r="A458" s="11" t="s">
        <v>109</v>
      </c>
      <c r="B458" s="11">
        <v>21534.7155699147</v>
      </c>
    </row>
    <row r="459">
      <c r="A459" s="11" t="s">
        <v>60</v>
      </c>
      <c r="B459" s="11">
        <v>43393.9229151478</v>
      </c>
    </row>
    <row r="460">
      <c r="A460" s="11" t="s">
        <v>19</v>
      </c>
      <c r="B460" s="11">
        <v>50332.9324112066</v>
      </c>
    </row>
    <row r="461">
      <c r="A461" s="11" t="s">
        <v>19</v>
      </c>
      <c r="B461" s="11">
        <v>18062.5968435067</v>
      </c>
    </row>
    <row r="462">
      <c r="A462" s="11" t="s">
        <v>88</v>
      </c>
      <c r="B462" s="11">
        <v>30064.1807902165</v>
      </c>
    </row>
    <row r="463">
      <c r="A463" s="11" t="s">
        <v>88</v>
      </c>
      <c r="B463" s="11">
        <v>45440.7928096698</v>
      </c>
    </row>
    <row r="464">
      <c r="A464" s="11" t="s">
        <v>29</v>
      </c>
      <c r="B464" s="11">
        <v>12073.0672653691</v>
      </c>
    </row>
    <row r="465">
      <c r="A465" s="11" t="s">
        <v>109</v>
      </c>
      <c r="B465" s="11">
        <v>48065.4623931538</v>
      </c>
    </row>
    <row r="466">
      <c r="A466" s="11" t="s">
        <v>109</v>
      </c>
      <c r="B466" s="11">
        <v>16342.3637333576</v>
      </c>
    </row>
    <row r="467">
      <c r="A467" s="11" t="s">
        <v>88</v>
      </c>
      <c r="B467" s="11">
        <v>21767.2316749422</v>
      </c>
    </row>
    <row r="468">
      <c r="A468" s="11" t="s">
        <v>88</v>
      </c>
      <c r="B468" s="11">
        <v>16055.9303954196</v>
      </c>
    </row>
    <row r="469">
      <c r="A469" s="11" t="s">
        <v>29</v>
      </c>
      <c r="B469" s="11">
        <v>30123.538567926</v>
      </c>
    </row>
    <row r="470">
      <c r="A470" s="11" t="s">
        <v>109</v>
      </c>
      <c r="B470" s="11">
        <v>38572.1694779157</v>
      </c>
    </row>
    <row r="471">
      <c r="A471" s="11" t="s">
        <v>88</v>
      </c>
      <c r="B471" s="11">
        <v>37798.9505878379</v>
      </c>
    </row>
    <row r="472">
      <c r="A472" s="11" t="s">
        <v>47</v>
      </c>
      <c r="B472" s="11">
        <v>38716.3559348625</v>
      </c>
    </row>
    <row r="473">
      <c r="A473" s="11" t="s">
        <v>47</v>
      </c>
      <c r="B473" s="11">
        <v>13666.2833707318</v>
      </c>
    </row>
    <row r="474">
      <c r="A474" s="11" t="s">
        <v>47</v>
      </c>
      <c r="B474" s="11">
        <v>30753.6888233077</v>
      </c>
    </row>
    <row r="475">
      <c r="A475" s="11" t="s">
        <v>29</v>
      </c>
      <c r="B475" s="11">
        <v>44278.2316567763</v>
      </c>
    </row>
    <row r="476">
      <c r="A476" s="11" t="s">
        <v>47</v>
      </c>
      <c r="B476" s="11">
        <v>6267.54056171807</v>
      </c>
    </row>
    <row r="477">
      <c r="A477" s="11" t="s">
        <v>19</v>
      </c>
      <c r="B477" s="11">
        <v>26276.7926635246</v>
      </c>
    </row>
    <row r="478">
      <c r="A478" s="11" t="s">
        <v>60</v>
      </c>
      <c r="B478" s="11">
        <v>33171.0300887571</v>
      </c>
    </row>
    <row r="479">
      <c r="A479" s="11" t="s">
        <v>19</v>
      </c>
      <c r="B479" s="11">
        <v>44984.2415562503</v>
      </c>
    </row>
    <row r="480">
      <c r="A480" s="11" t="s">
        <v>29</v>
      </c>
      <c r="B480" s="11">
        <v>27091.8603731937</v>
      </c>
    </row>
    <row r="481">
      <c r="A481" s="11" t="s">
        <v>29</v>
      </c>
      <c r="B481" s="11">
        <v>32387.9251486023</v>
      </c>
    </row>
    <row r="482">
      <c r="A482" s="11" t="s">
        <v>19</v>
      </c>
      <c r="B482" s="11">
        <v>32905.4767938012</v>
      </c>
    </row>
    <row r="483">
      <c r="A483" s="11" t="s">
        <v>47</v>
      </c>
      <c r="B483" s="11">
        <v>1332.33843284689</v>
      </c>
    </row>
    <row r="484">
      <c r="A484" s="11" t="s">
        <v>29</v>
      </c>
      <c r="B484" s="11">
        <v>17702.5693860183</v>
      </c>
    </row>
    <row r="485">
      <c r="A485" s="11" t="s">
        <v>60</v>
      </c>
      <c r="B485" s="11">
        <v>33443.5524861501</v>
      </c>
    </row>
    <row r="486">
      <c r="A486" s="11" t="s">
        <v>19</v>
      </c>
      <c r="B486" s="11">
        <v>23175.4970285953</v>
      </c>
    </row>
    <row r="487">
      <c r="A487" s="11" t="s">
        <v>19</v>
      </c>
      <c r="B487" s="11">
        <v>14224.3122929117</v>
      </c>
    </row>
    <row r="488">
      <c r="A488" s="11" t="s">
        <v>88</v>
      </c>
      <c r="B488" s="11">
        <v>23483.4968438774</v>
      </c>
    </row>
    <row r="489">
      <c r="A489" s="11" t="s">
        <v>88</v>
      </c>
      <c r="B489" s="11">
        <v>31326.7267172123</v>
      </c>
    </row>
    <row r="490">
      <c r="A490" s="11" t="s">
        <v>88</v>
      </c>
      <c r="B490" s="11">
        <v>48651.7366550091</v>
      </c>
    </row>
    <row r="491">
      <c r="A491" s="11" t="s">
        <v>60</v>
      </c>
      <c r="B491" s="11">
        <v>18932.3146670255</v>
      </c>
    </row>
    <row r="492">
      <c r="A492" s="11" t="s">
        <v>47</v>
      </c>
      <c r="B492" s="11">
        <v>22063.2290316512</v>
      </c>
    </row>
    <row r="493">
      <c r="A493" s="11" t="s">
        <v>19</v>
      </c>
      <c r="B493" s="11">
        <v>20714.7067340701</v>
      </c>
    </row>
    <row r="494">
      <c r="A494" s="11" t="s">
        <v>60</v>
      </c>
      <c r="B494" s="11">
        <v>34510.884904131</v>
      </c>
    </row>
    <row r="495">
      <c r="A495" s="11" t="s">
        <v>88</v>
      </c>
      <c r="B495" s="11">
        <v>42200.51465496</v>
      </c>
    </row>
    <row r="496">
      <c r="A496" s="11" t="s">
        <v>88</v>
      </c>
      <c r="B496" s="11">
        <v>24451.289481048</v>
      </c>
    </row>
    <row r="497">
      <c r="A497" s="11" t="s">
        <v>47</v>
      </c>
      <c r="B497" s="11">
        <v>30289.7049088163</v>
      </c>
    </row>
    <row r="498">
      <c r="A498" s="11" t="s">
        <v>47</v>
      </c>
      <c r="B498" s="11">
        <v>35317.4930397506</v>
      </c>
    </row>
    <row r="499">
      <c r="A499" s="11" t="s">
        <v>29</v>
      </c>
      <c r="B499" s="11">
        <v>8033.61165471249</v>
      </c>
    </row>
    <row r="500">
      <c r="A500" s="11" t="s">
        <v>29</v>
      </c>
      <c r="B500" s="11">
        <v>7391.53474543665</v>
      </c>
    </row>
    <row r="501">
      <c r="A501" s="11" t="s">
        <v>60</v>
      </c>
      <c r="B501" s="11">
        <v>35945.8844741879</v>
      </c>
    </row>
    <row r="502">
      <c r="A502" s="11" t="s">
        <v>88</v>
      </c>
      <c r="B502" s="11">
        <v>10780.7420078347</v>
      </c>
    </row>
    <row r="503">
      <c r="A503" s="11" t="s">
        <v>109</v>
      </c>
      <c r="B503" s="11">
        <v>28743.0038378898</v>
      </c>
    </row>
    <row r="504">
      <c r="A504" s="11" t="s">
        <v>29</v>
      </c>
      <c r="B504" s="11">
        <v>47270.245739139</v>
      </c>
    </row>
    <row r="505">
      <c r="A505" s="11" t="s">
        <v>60</v>
      </c>
      <c r="B505" s="11">
        <v>37846.3522067483</v>
      </c>
    </row>
    <row r="506">
      <c r="A506" s="11" t="s">
        <v>19</v>
      </c>
      <c r="B506" s="11">
        <v>46502.765789587</v>
      </c>
    </row>
    <row r="507">
      <c r="A507" s="11" t="s">
        <v>88</v>
      </c>
      <c r="B507" s="11">
        <v>27660.2850475412</v>
      </c>
    </row>
    <row r="508">
      <c r="A508" s="11" t="s">
        <v>88</v>
      </c>
      <c r="B508" s="11">
        <v>36686.6559296173</v>
      </c>
    </row>
    <row r="509">
      <c r="A509" s="11" t="s">
        <v>47</v>
      </c>
      <c r="B509" s="11">
        <v>19563.2030302898</v>
      </c>
    </row>
    <row r="510">
      <c r="A510" s="11" t="s">
        <v>109</v>
      </c>
      <c r="B510" s="11">
        <v>23523.5968180127</v>
      </c>
    </row>
    <row r="511">
      <c r="A511" s="11" t="s">
        <v>19</v>
      </c>
      <c r="B511" s="11">
        <v>50563.7985846274</v>
      </c>
    </row>
    <row r="512">
      <c r="A512" s="11" t="s">
        <v>109</v>
      </c>
      <c r="B512" s="11">
        <v>15518.4577815678</v>
      </c>
    </row>
    <row r="513">
      <c r="A513" s="11" t="s">
        <v>60</v>
      </c>
      <c r="B513" s="11">
        <v>42150.7037862351</v>
      </c>
    </row>
    <row r="514">
      <c r="A514" s="11" t="s">
        <v>109</v>
      </c>
      <c r="B514" s="11">
        <v>42192.9868723336</v>
      </c>
    </row>
    <row r="515">
      <c r="A515" s="11" t="s">
        <v>19</v>
      </c>
      <c r="B515" s="11">
        <v>3925.93384060519</v>
      </c>
    </row>
    <row r="516">
      <c r="A516" s="11" t="s">
        <v>109</v>
      </c>
      <c r="B516" s="11">
        <v>12605.7474398212</v>
      </c>
    </row>
    <row r="517">
      <c r="A517" s="11" t="s">
        <v>60</v>
      </c>
      <c r="B517" s="11">
        <v>7421.1767319191</v>
      </c>
    </row>
    <row r="518">
      <c r="A518" s="11" t="s">
        <v>109</v>
      </c>
      <c r="B518" s="11">
        <v>24561.7371858171</v>
      </c>
    </row>
    <row r="519">
      <c r="A519" s="11" t="s">
        <v>47</v>
      </c>
      <c r="B519" s="11">
        <v>32854.1532647173</v>
      </c>
    </row>
    <row r="520">
      <c r="A520" s="11" t="s">
        <v>47</v>
      </c>
      <c r="B520" s="11">
        <v>18828.7641287865</v>
      </c>
    </row>
    <row r="521">
      <c r="A521" s="11" t="s">
        <v>109</v>
      </c>
      <c r="B521" s="11">
        <v>34381.6887121759</v>
      </c>
    </row>
    <row r="522">
      <c r="A522" s="11" t="s">
        <v>109</v>
      </c>
      <c r="B522" s="11">
        <v>31501.7198568013</v>
      </c>
    </row>
    <row r="523">
      <c r="A523" s="11" t="s">
        <v>109</v>
      </c>
      <c r="B523" s="11">
        <v>12098.0332199207</v>
      </c>
    </row>
    <row r="524">
      <c r="A524" s="11" t="s">
        <v>47</v>
      </c>
      <c r="B524" s="11">
        <v>39547.3811893456</v>
      </c>
    </row>
    <row r="525">
      <c r="A525" s="11" t="s">
        <v>29</v>
      </c>
      <c r="B525" s="11">
        <v>6486.23572598591</v>
      </c>
    </row>
    <row r="526">
      <c r="A526" s="11" t="s">
        <v>109</v>
      </c>
      <c r="B526" s="11">
        <v>46657.6860818914</v>
      </c>
    </row>
    <row r="527">
      <c r="A527" s="11" t="s">
        <v>88</v>
      </c>
      <c r="B527" s="11">
        <v>31709.4650284724</v>
      </c>
    </row>
    <row r="528">
      <c r="A528" s="11" t="s">
        <v>60</v>
      </c>
      <c r="B528" s="11">
        <v>9894.80940664036</v>
      </c>
    </row>
    <row r="529">
      <c r="A529" s="11" t="s">
        <v>19</v>
      </c>
      <c r="B529" s="11">
        <v>29995.4285638733</v>
      </c>
    </row>
    <row r="530">
      <c r="A530" s="11" t="s">
        <v>109</v>
      </c>
      <c r="B530" s="11">
        <v>7796.25961437667</v>
      </c>
    </row>
    <row r="531">
      <c r="A531" s="11" t="s">
        <v>47</v>
      </c>
      <c r="B531" s="11">
        <v>48965.1758027853</v>
      </c>
    </row>
    <row r="532">
      <c r="A532" s="11" t="s">
        <v>109</v>
      </c>
      <c r="B532" s="11">
        <v>16128.2526215832</v>
      </c>
    </row>
    <row r="533">
      <c r="A533" s="11" t="s">
        <v>60</v>
      </c>
      <c r="B533" s="11">
        <v>16920.1615337821</v>
      </c>
    </row>
    <row r="534">
      <c r="A534" s="11" t="s">
        <v>109</v>
      </c>
      <c r="B534" s="11">
        <v>49861.8742375614</v>
      </c>
    </row>
    <row r="535">
      <c r="A535" s="11" t="s">
        <v>19</v>
      </c>
      <c r="B535" s="11">
        <v>36287.3850642607</v>
      </c>
    </row>
    <row r="536">
      <c r="A536" s="11" t="s">
        <v>88</v>
      </c>
      <c r="B536" s="11">
        <v>48035.3693345951</v>
      </c>
    </row>
    <row r="537">
      <c r="A537" s="11" t="s">
        <v>88</v>
      </c>
      <c r="B537" s="11">
        <v>22030.6933510678</v>
      </c>
    </row>
    <row r="538">
      <c r="A538" s="11" t="s">
        <v>47</v>
      </c>
      <c r="B538" s="11">
        <v>45665.8508918785</v>
      </c>
    </row>
    <row r="539">
      <c r="A539" s="11" t="s">
        <v>19</v>
      </c>
      <c r="B539" s="11">
        <v>4415.75486684084</v>
      </c>
    </row>
    <row r="540">
      <c r="A540" s="11" t="s">
        <v>60</v>
      </c>
      <c r="B540" s="11">
        <v>41122.2891368951</v>
      </c>
    </row>
    <row r="541">
      <c r="A541" s="11" t="s">
        <v>109</v>
      </c>
      <c r="B541" s="11">
        <v>28401.5569318716</v>
      </c>
    </row>
    <row r="542">
      <c r="A542" s="11" t="s">
        <v>47</v>
      </c>
      <c r="B542" s="11">
        <v>28228.6947224565</v>
      </c>
    </row>
    <row r="543">
      <c r="A543" s="11" t="s">
        <v>109</v>
      </c>
      <c r="B543" s="11">
        <v>2106.3937567995</v>
      </c>
    </row>
    <row r="544">
      <c r="A544" s="11" t="s">
        <v>60</v>
      </c>
      <c r="B544" s="11">
        <v>47398.5862071371</v>
      </c>
    </row>
    <row r="545">
      <c r="A545" s="11" t="s">
        <v>60</v>
      </c>
      <c r="B545" s="11">
        <v>47454.5946751323</v>
      </c>
    </row>
    <row r="546">
      <c r="A546" s="11" t="s">
        <v>47</v>
      </c>
      <c r="B546" s="11">
        <v>22257.6093737339</v>
      </c>
    </row>
    <row r="547">
      <c r="A547" s="11" t="s">
        <v>109</v>
      </c>
      <c r="B547" s="11">
        <v>30324.0659777306</v>
      </c>
    </row>
    <row r="548">
      <c r="A548" s="11" t="s">
        <v>109</v>
      </c>
      <c r="B548" s="11">
        <v>10053.9245846758</v>
      </c>
    </row>
    <row r="549">
      <c r="A549" s="11" t="s">
        <v>109</v>
      </c>
      <c r="B549" s="11">
        <v>9823.30343284717</v>
      </c>
    </row>
    <row r="550">
      <c r="A550" s="11" t="s">
        <v>60</v>
      </c>
      <c r="B550" s="11">
        <v>17862.6922498934</v>
      </c>
    </row>
    <row r="551">
      <c r="A551" s="11" t="s">
        <v>29</v>
      </c>
      <c r="B551" s="11">
        <v>17855.8010677628</v>
      </c>
    </row>
    <row r="552">
      <c r="A552" s="11" t="s">
        <v>109</v>
      </c>
      <c r="B552" s="11">
        <v>40178.4632943695</v>
      </c>
    </row>
    <row r="553">
      <c r="A553" s="11" t="s">
        <v>19</v>
      </c>
      <c r="B553" s="11">
        <v>24690.2221766802</v>
      </c>
    </row>
    <row r="554">
      <c r="A554" s="11" t="s">
        <v>109</v>
      </c>
      <c r="B554" s="11">
        <v>21862.0563570798</v>
      </c>
    </row>
    <row r="555">
      <c r="A555" s="11" t="s">
        <v>60</v>
      </c>
      <c r="B555" s="11">
        <v>29790.846838577</v>
      </c>
    </row>
    <row r="556">
      <c r="A556" s="11" t="s">
        <v>60</v>
      </c>
      <c r="B556" s="11">
        <v>6539.76033221272</v>
      </c>
    </row>
    <row r="557">
      <c r="A557" s="11" t="s">
        <v>60</v>
      </c>
      <c r="B557" s="11">
        <v>20453.3174993412</v>
      </c>
    </row>
    <row r="558">
      <c r="A558" s="11" t="s">
        <v>88</v>
      </c>
      <c r="B558" s="11">
        <v>6827.6979545314</v>
      </c>
    </row>
    <row r="559">
      <c r="A559" s="11" t="s">
        <v>47</v>
      </c>
      <c r="B559" s="11">
        <v>7557.59914996845</v>
      </c>
    </row>
    <row r="560">
      <c r="A560" s="11" t="s">
        <v>19</v>
      </c>
      <c r="B560" s="11">
        <v>15364.4847852978</v>
      </c>
    </row>
    <row r="561">
      <c r="A561" s="11" t="s">
        <v>29</v>
      </c>
      <c r="B561" s="11">
        <v>6664.21691671733</v>
      </c>
    </row>
    <row r="562">
      <c r="A562" s="11" t="s">
        <v>47</v>
      </c>
      <c r="B562" s="11">
        <v>7235.1906901877</v>
      </c>
    </row>
    <row r="563">
      <c r="A563" s="11" t="s">
        <v>60</v>
      </c>
      <c r="B563" s="11">
        <v>20336.4929220005</v>
      </c>
    </row>
    <row r="564">
      <c r="A564" s="11" t="s">
        <v>29</v>
      </c>
      <c r="B564" s="11">
        <v>38668.6945886764</v>
      </c>
    </row>
    <row r="565">
      <c r="A565" s="11" t="s">
        <v>47</v>
      </c>
      <c r="B565" s="11">
        <v>41222.0058713676</v>
      </c>
    </row>
    <row r="566">
      <c r="A566" s="11" t="s">
        <v>47</v>
      </c>
      <c r="B566" s="11">
        <v>38520.0111936996</v>
      </c>
    </row>
    <row r="567">
      <c r="A567" s="11" t="s">
        <v>19</v>
      </c>
      <c r="B567" s="11">
        <v>44411.1245270808</v>
      </c>
    </row>
    <row r="568">
      <c r="A568" s="11" t="s">
        <v>109</v>
      </c>
      <c r="B568" s="11">
        <v>26044.2509380988</v>
      </c>
    </row>
    <row r="569">
      <c r="A569" s="11" t="s">
        <v>88</v>
      </c>
      <c r="B569" s="11">
        <v>7902.42048279919</v>
      </c>
    </row>
    <row r="570">
      <c r="A570" s="11" t="s">
        <v>88</v>
      </c>
      <c r="B570" s="11">
        <v>46245.5839522965</v>
      </c>
    </row>
    <row r="571">
      <c r="A571" s="11" t="s">
        <v>47</v>
      </c>
      <c r="B571" s="11">
        <v>40448.9691728188</v>
      </c>
    </row>
    <row r="572">
      <c r="A572" s="11" t="s">
        <v>109</v>
      </c>
      <c r="B572" s="11">
        <v>20914.9474082277</v>
      </c>
    </row>
    <row r="573">
      <c r="A573" s="11" t="s">
        <v>60</v>
      </c>
      <c r="B573" s="11">
        <v>46682.4467916861</v>
      </c>
    </row>
    <row r="574">
      <c r="A574" s="11" t="s">
        <v>19</v>
      </c>
      <c r="B574" s="11">
        <v>10965.6957491788</v>
      </c>
    </row>
    <row r="575">
      <c r="A575" s="11" t="s">
        <v>19</v>
      </c>
      <c r="B575" s="11">
        <v>27507.0429833041</v>
      </c>
    </row>
    <row r="576">
      <c r="A576" s="11" t="s">
        <v>19</v>
      </c>
      <c r="B576" s="11">
        <v>12678.0962276415</v>
      </c>
    </row>
    <row r="577">
      <c r="A577" s="11" t="s">
        <v>60</v>
      </c>
      <c r="B577" s="11">
        <v>38395.5299572771</v>
      </c>
    </row>
    <row r="578">
      <c r="A578" s="11" t="s">
        <v>60</v>
      </c>
      <c r="B578" s="11">
        <v>28510.80721545</v>
      </c>
    </row>
    <row r="579">
      <c r="A579" s="11" t="s">
        <v>29</v>
      </c>
      <c r="B579" s="11">
        <v>43400.666588542</v>
      </c>
    </row>
    <row r="580">
      <c r="A580" s="11" t="s">
        <v>60</v>
      </c>
      <c r="B580" s="11">
        <v>46890.4260126925</v>
      </c>
    </row>
    <row r="581">
      <c r="A581" s="11" t="s">
        <v>19</v>
      </c>
      <c r="B581" s="11">
        <v>48491.6432100851</v>
      </c>
    </row>
    <row r="582">
      <c r="A582" s="11" t="s">
        <v>19</v>
      </c>
      <c r="B582" s="11">
        <v>13643.730851835</v>
      </c>
    </row>
    <row r="583">
      <c r="A583" s="11" t="s">
        <v>47</v>
      </c>
      <c r="B583" s="11">
        <v>5415.28351014421</v>
      </c>
    </row>
    <row r="584">
      <c r="A584" s="11" t="s">
        <v>88</v>
      </c>
      <c r="B584" s="11">
        <v>44008.050211625</v>
      </c>
    </row>
    <row r="585">
      <c r="A585" s="11" t="s">
        <v>60</v>
      </c>
      <c r="B585" s="11">
        <v>43866.6584759829</v>
      </c>
    </row>
    <row r="586">
      <c r="A586" s="11" t="s">
        <v>47</v>
      </c>
      <c r="B586" s="11">
        <v>45242.8569927816</v>
      </c>
    </row>
    <row r="587">
      <c r="A587" s="11" t="s">
        <v>60</v>
      </c>
      <c r="B587" s="11">
        <v>13550.1244871951</v>
      </c>
    </row>
    <row r="588">
      <c r="A588" s="11" t="s">
        <v>47</v>
      </c>
      <c r="B588" s="11">
        <v>34963.6389845688</v>
      </c>
    </row>
    <row r="589">
      <c r="A589" s="11" t="s">
        <v>109</v>
      </c>
      <c r="B589" s="11">
        <v>48890.4478160298</v>
      </c>
    </row>
    <row r="590">
      <c r="A590" s="11" t="s">
        <v>29</v>
      </c>
      <c r="B590" s="11">
        <v>17159.5815315142</v>
      </c>
    </row>
    <row r="591">
      <c r="A591" s="11" t="s">
        <v>109</v>
      </c>
      <c r="B591" s="11">
        <v>7192.62817823795</v>
      </c>
    </row>
    <row r="592">
      <c r="A592" s="11" t="s">
        <v>109</v>
      </c>
      <c r="B592" s="11">
        <v>44982.8524720549</v>
      </c>
    </row>
    <row r="593">
      <c r="A593" s="11" t="s">
        <v>47</v>
      </c>
      <c r="B593" s="11">
        <v>16004.4690772289</v>
      </c>
    </row>
    <row r="594">
      <c r="A594" s="11" t="s">
        <v>19</v>
      </c>
      <c r="B594" s="11">
        <v>7320.04261708616</v>
      </c>
    </row>
    <row r="595">
      <c r="A595" s="11" t="s">
        <v>29</v>
      </c>
      <c r="B595" s="11">
        <v>28329.8240693788</v>
      </c>
    </row>
    <row r="596">
      <c r="A596" s="11" t="s">
        <v>47</v>
      </c>
      <c r="B596" s="11">
        <v>24130.5167546293</v>
      </c>
    </row>
    <row r="597">
      <c r="A597" s="11" t="s">
        <v>47</v>
      </c>
      <c r="B597" s="11">
        <v>22361.1475965662</v>
      </c>
    </row>
    <row r="598">
      <c r="A598" s="11" t="s">
        <v>29</v>
      </c>
      <c r="B598" s="11">
        <v>19650.0017865913</v>
      </c>
    </row>
    <row r="599">
      <c r="A599" s="11" t="s">
        <v>109</v>
      </c>
      <c r="B599" s="11">
        <v>30986.9325169354</v>
      </c>
    </row>
    <row r="600">
      <c r="A600" s="11" t="s">
        <v>47</v>
      </c>
      <c r="B600" s="11">
        <v>45987.1567795129</v>
      </c>
    </row>
    <row r="601">
      <c r="A601" s="11" t="s">
        <v>29</v>
      </c>
      <c r="B601" s="11">
        <v>11086.7304763579</v>
      </c>
    </row>
    <row r="602">
      <c r="A602" s="11" t="s">
        <v>29</v>
      </c>
      <c r="B602" s="11">
        <v>28483.8769366598</v>
      </c>
    </row>
    <row r="603">
      <c r="A603" s="11" t="s">
        <v>47</v>
      </c>
      <c r="B603" s="11">
        <v>37905.9551783242</v>
      </c>
    </row>
    <row r="604">
      <c r="A604" s="11" t="s">
        <v>60</v>
      </c>
      <c r="B604" s="11">
        <v>27878.8508377759</v>
      </c>
    </row>
    <row r="605">
      <c r="A605" s="11" t="s">
        <v>109</v>
      </c>
      <c r="B605" s="11">
        <v>13900.0542630552</v>
      </c>
    </row>
    <row r="606">
      <c r="A606" s="11" t="s">
        <v>109</v>
      </c>
      <c r="B606" s="11">
        <v>30575.7646027089</v>
      </c>
    </row>
    <row r="607">
      <c r="A607" s="11" t="s">
        <v>29</v>
      </c>
      <c r="B607" s="11">
        <v>11941.6312985532</v>
      </c>
    </row>
    <row r="608">
      <c r="A608" s="11" t="s">
        <v>47</v>
      </c>
      <c r="B608" s="11">
        <v>7422.72525994882</v>
      </c>
    </row>
    <row r="609">
      <c r="A609" s="11" t="s">
        <v>88</v>
      </c>
      <c r="B609" s="11">
        <v>34005.5469985236</v>
      </c>
    </row>
    <row r="610">
      <c r="A610" s="11" t="s">
        <v>60</v>
      </c>
      <c r="B610" s="11">
        <v>48574.8324380657</v>
      </c>
    </row>
    <row r="611">
      <c r="A611" s="11" t="s">
        <v>19</v>
      </c>
      <c r="B611" s="11">
        <v>45010.7976390251</v>
      </c>
    </row>
    <row r="612">
      <c r="A612" s="11" t="s">
        <v>29</v>
      </c>
      <c r="B612" s="11">
        <v>7409.33654636802</v>
      </c>
    </row>
    <row r="613">
      <c r="A613" s="11" t="s">
        <v>19</v>
      </c>
      <c r="B613" s="11">
        <v>34968.0764504074</v>
      </c>
    </row>
    <row r="614">
      <c r="A614" s="11" t="s">
        <v>60</v>
      </c>
      <c r="B614" s="11">
        <v>5648.17552608592</v>
      </c>
    </row>
    <row r="615">
      <c r="A615" s="11" t="s">
        <v>19</v>
      </c>
      <c r="B615" s="11">
        <v>14227.3211583074</v>
      </c>
    </row>
    <row r="616">
      <c r="A616" s="11" t="s">
        <v>109</v>
      </c>
      <c r="B616" s="11">
        <v>47551.5701425301</v>
      </c>
    </row>
    <row r="617">
      <c r="A617" s="11" t="s">
        <v>60</v>
      </c>
      <c r="B617" s="11">
        <v>42301.9146193397</v>
      </c>
    </row>
    <row r="618">
      <c r="A618" s="11" t="s">
        <v>88</v>
      </c>
      <c r="B618" s="11">
        <v>2275.63663182883</v>
      </c>
    </row>
    <row r="619">
      <c r="A619" s="11" t="s">
        <v>19</v>
      </c>
      <c r="B619" s="11">
        <v>10003.6710273817</v>
      </c>
    </row>
    <row r="620">
      <c r="A620" s="11" t="s">
        <v>47</v>
      </c>
      <c r="B620" s="11">
        <v>42653.7653446395</v>
      </c>
    </row>
    <row r="621">
      <c r="A621" s="11" t="s">
        <v>88</v>
      </c>
      <c r="B621" s="11">
        <v>10722.4950696961</v>
      </c>
    </row>
    <row r="622">
      <c r="A622" s="11" t="s">
        <v>29</v>
      </c>
      <c r="B622" s="11">
        <v>47516.5205464284</v>
      </c>
    </row>
    <row r="623">
      <c r="A623" s="11" t="s">
        <v>29</v>
      </c>
      <c r="B623" s="11">
        <v>41379.3826148664</v>
      </c>
    </row>
    <row r="624">
      <c r="A624" s="11" t="s">
        <v>60</v>
      </c>
      <c r="B624" s="11">
        <v>27481.3314784849</v>
      </c>
    </row>
    <row r="625">
      <c r="A625" s="11" t="s">
        <v>29</v>
      </c>
      <c r="B625" s="11">
        <v>32006.031565888</v>
      </c>
    </row>
    <row r="626">
      <c r="A626" s="11" t="s">
        <v>109</v>
      </c>
      <c r="B626" s="11">
        <v>14405.939243142</v>
      </c>
    </row>
    <row r="627">
      <c r="A627" s="11" t="s">
        <v>88</v>
      </c>
      <c r="B627" s="11">
        <v>24691.2490509144</v>
      </c>
    </row>
    <row r="628">
      <c r="A628" s="11" t="s">
        <v>60</v>
      </c>
      <c r="B628" s="11">
        <v>47491.3923868091</v>
      </c>
    </row>
    <row r="629">
      <c r="A629" s="11" t="s">
        <v>60</v>
      </c>
      <c r="B629" s="11">
        <v>37861.5091105963</v>
      </c>
    </row>
    <row r="630">
      <c r="A630" s="11" t="s">
        <v>19</v>
      </c>
      <c r="B630" s="11">
        <v>22952.729823687</v>
      </c>
    </row>
    <row r="631">
      <c r="A631" s="11" t="s">
        <v>109</v>
      </c>
      <c r="B631" s="11">
        <v>2735.03157490237</v>
      </c>
    </row>
    <row r="632">
      <c r="A632" s="11" t="s">
        <v>109</v>
      </c>
      <c r="B632" s="11">
        <v>37755.4807776757</v>
      </c>
    </row>
    <row r="633">
      <c r="A633" s="11" t="s">
        <v>88</v>
      </c>
      <c r="B633" s="11">
        <v>2691.04906433409</v>
      </c>
    </row>
    <row r="634">
      <c r="A634" s="11" t="s">
        <v>29</v>
      </c>
      <c r="B634" s="11">
        <v>7897.28748490567</v>
      </c>
    </row>
    <row r="635">
      <c r="A635" s="11" t="s">
        <v>47</v>
      </c>
      <c r="B635" s="11">
        <v>4446.34291682973</v>
      </c>
    </row>
    <row r="636">
      <c r="A636" s="11" t="s">
        <v>47</v>
      </c>
      <c r="B636" s="11">
        <v>20852.1463661622</v>
      </c>
    </row>
    <row r="637">
      <c r="A637" s="11" t="s">
        <v>47</v>
      </c>
      <c r="B637" s="11">
        <v>47701.4774328691</v>
      </c>
    </row>
    <row r="638">
      <c r="A638" s="11" t="s">
        <v>29</v>
      </c>
      <c r="B638" s="11">
        <v>49934.1379634404</v>
      </c>
    </row>
    <row r="639">
      <c r="A639" s="11" t="s">
        <v>29</v>
      </c>
      <c r="B639" s="11">
        <v>17263.9489788308</v>
      </c>
    </row>
    <row r="640">
      <c r="A640" s="11" t="s">
        <v>47</v>
      </c>
      <c r="B640" s="11">
        <v>45274.3965606017</v>
      </c>
    </row>
    <row r="641">
      <c r="A641" s="11" t="s">
        <v>29</v>
      </c>
      <c r="B641" s="11">
        <v>10057.9155776424</v>
      </c>
    </row>
    <row r="642">
      <c r="A642" s="11" t="s">
        <v>47</v>
      </c>
      <c r="B642" s="11">
        <v>36369.0911707809</v>
      </c>
    </row>
    <row r="643">
      <c r="A643" s="11" t="s">
        <v>19</v>
      </c>
      <c r="B643" s="11">
        <v>3548.05164823374</v>
      </c>
    </row>
    <row r="644">
      <c r="A644" s="11" t="s">
        <v>109</v>
      </c>
      <c r="B644" s="11">
        <v>10011.2907450053</v>
      </c>
    </row>
    <row r="645">
      <c r="A645" s="11" t="s">
        <v>19</v>
      </c>
      <c r="B645" s="11">
        <v>14876.3342210964</v>
      </c>
    </row>
    <row r="646">
      <c r="A646" s="11" t="s">
        <v>109</v>
      </c>
      <c r="B646" s="11">
        <v>30294.6513804586</v>
      </c>
    </row>
    <row r="647">
      <c r="A647" s="11" t="s">
        <v>88</v>
      </c>
      <c r="B647" s="11">
        <v>45888.7048579736</v>
      </c>
    </row>
    <row r="648">
      <c r="A648" s="11" t="s">
        <v>109</v>
      </c>
      <c r="B648" s="11">
        <v>31958.396616157</v>
      </c>
    </row>
    <row r="649">
      <c r="A649" s="11" t="s">
        <v>29</v>
      </c>
      <c r="B649" s="11">
        <v>22645.7861009959</v>
      </c>
    </row>
    <row r="650">
      <c r="A650" s="11" t="s">
        <v>88</v>
      </c>
      <c r="B650" s="11">
        <v>21297.4065119635</v>
      </c>
    </row>
    <row r="651">
      <c r="A651" s="11" t="s">
        <v>47</v>
      </c>
      <c r="B651" s="11">
        <v>26432.160988256</v>
      </c>
    </row>
    <row r="652">
      <c r="A652" s="11" t="s">
        <v>88</v>
      </c>
      <c r="B652" s="11">
        <v>6336.70801377606</v>
      </c>
    </row>
    <row r="653">
      <c r="A653" s="11" t="s">
        <v>47</v>
      </c>
      <c r="B653" s="11">
        <v>31063.5567895567</v>
      </c>
    </row>
    <row r="654">
      <c r="A654" s="11" t="s">
        <v>109</v>
      </c>
      <c r="B654" s="11">
        <v>10710.3257208337</v>
      </c>
    </row>
    <row r="655">
      <c r="A655" s="11" t="s">
        <v>60</v>
      </c>
      <c r="B655" s="11">
        <v>25066.5214502494</v>
      </c>
    </row>
    <row r="656">
      <c r="A656" s="11" t="s">
        <v>109</v>
      </c>
      <c r="B656" s="11">
        <v>13396.9001693978</v>
      </c>
    </row>
    <row r="657">
      <c r="A657" s="11" t="s">
        <v>29</v>
      </c>
      <c r="B657" s="11">
        <v>29822.097860118</v>
      </c>
    </row>
    <row r="658">
      <c r="A658" s="11" t="s">
        <v>88</v>
      </c>
      <c r="B658" s="11">
        <v>12025.3472972076</v>
      </c>
    </row>
    <row r="659">
      <c r="A659" s="11" t="s">
        <v>109</v>
      </c>
      <c r="B659" s="11">
        <v>33708.8575442648</v>
      </c>
    </row>
    <row r="660">
      <c r="A660" s="11" t="s">
        <v>29</v>
      </c>
      <c r="B660" s="11">
        <v>40825.0846667644</v>
      </c>
    </row>
    <row r="661">
      <c r="A661" s="11" t="s">
        <v>109</v>
      </c>
      <c r="B661" s="11">
        <v>27345.4552019319</v>
      </c>
    </row>
    <row r="662">
      <c r="A662" s="11" t="s">
        <v>109</v>
      </c>
      <c r="B662" s="11">
        <v>38751.7965205473</v>
      </c>
    </row>
    <row r="663">
      <c r="A663" s="11" t="s">
        <v>60</v>
      </c>
      <c r="B663" s="11">
        <v>6252.08355653657</v>
      </c>
    </row>
    <row r="664">
      <c r="A664" s="11" t="s">
        <v>88</v>
      </c>
      <c r="B664" s="11">
        <v>18714.3369974197</v>
      </c>
    </row>
    <row r="665">
      <c r="A665" s="11" t="s">
        <v>19</v>
      </c>
      <c r="B665" s="11">
        <v>14291.6989156958</v>
      </c>
    </row>
    <row r="666">
      <c r="A666" s="11" t="s">
        <v>88</v>
      </c>
      <c r="B666" s="11">
        <v>38210.9649530357</v>
      </c>
    </row>
    <row r="667">
      <c r="A667" s="11" t="s">
        <v>29</v>
      </c>
      <c r="B667" s="11">
        <v>7074.7927092645</v>
      </c>
    </row>
    <row r="668">
      <c r="A668" s="11" t="s">
        <v>109</v>
      </c>
      <c r="B668" s="11">
        <v>35419.5129658162</v>
      </c>
    </row>
    <row r="669">
      <c r="A669" s="11" t="s">
        <v>88</v>
      </c>
      <c r="B669" s="11">
        <v>3852.94711182208</v>
      </c>
    </row>
    <row r="670">
      <c r="A670" s="11" t="s">
        <v>29</v>
      </c>
      <c r="B670" s="11">
        <v>48747.5451856328</v>
      </c>
    </row>
    <row r="671">
      <c r="A671" s="11" t="s">
        <v>88</v>
      </c>
      <c r="B671" s="11">
        <v>40577.6011966936</v>
      </c>
    </row>
    <row r="672">
      <c r="A672" s="11" t="s">
        <v>47</v>
      </c>
      <c r="B672" s="11">
        <v>16648.5473987106</v>
      </c>
    </row>
    <row r="673">
      <c r="A673" s="11" t="s">
        <v>109</v>
      </c>
      <c r="B673" s="11">
        <v>38588.9725626125</v>
      </c>
    </row>
    <row r="674">
      <c r="A674" s="11" t="s">
        <v>88</v>
      </c>
      <c r="B674" s="11">
        <v>32990.1943869582</v>
      </c>
    </row>
    <row r="675">
      <c r="A675" s="11" t="s">
        <v>29</v>
      </c>
      <c r="B675" s="11">
        <v>20115.7558719145</v>
      </c>
    </row>
    <row r="676">
      <c r="A676" s="11" t="s">
        <v>29</v>
      </c>
      <c r="B676" s="11">
        <v>5947.68964965465</v>
      </c>
    </row>
    <row r="677">
      <c r="A677" s="11" t="s">
        <v>47</v>
      </c>
      <c r="B677" s="11">
        <v>28281.3483787897</v>
      </c>
    </row>
    <row r="678">
      <c r="A678" s="11" t="s">
        <v>19</v>
      </c>
      <c r="B678" s="11">
        <v>30873.6199091688</v>
      </c>
    </row>
    <row r="679">
      <c r="A679" s="11" t="s">
        <v>88</v>
      </c>
      <c r="B679" s="11">
        <v>9542.73970888546</v>
      </c>
    </row>
    <row r="680">
      <c r="A680" s="11" t="s">
        <v>29</v>
      </c>
      <c r="B680" s="11">
        <v>32429.6191269396</v>
      </c>
    </row>
    <row r="681">
      <c r="A681" s="11" t="s">
        <v>29</v>
      </c>
      <c r="B681" s="11">
        <v>5588.9938847347</v>
      </c>
    </row>
    <row r="682">
      <c r="A682" s="11" t="s">
        <v>60</v>
      </c>
      <c r="B682" s="11">
        <v>31497.5548751361</v>
      </c>
    </row>
    <row r="683">
      <c r="A683" s="11" t="s">
        <v>29</v>
      </c>
      <c r="B683" s="11">
        <v>14283.0159510098</v>
      </c>
    </row>
    <row r="684">
      <c r="A684" s="11" t="s">
        <v>88</v>
      </c>
      <c r="B684" s="11">
        <v>15422.042886846</v>
      </c>
    </row>
    <row r="685">
      <c r="A685" s="11" t="s">
        <v>60</v>
      </c>
      <c r="B685" s="11">
        <v>40309.277423601</v>
      </c>
    </row>
    <row r="686">
      <c r="A686" s="11" t="s">
        <v>60</v>
      </c>
      <c r="B686" s="11">
        <v>45916.3248338652</v>
      </c>
    </row>
    <row r="687">
      <c r="A687" s="11" t="s">
        <v>29</v>
      </c>
      <c r="B687" s="11">
        <v>41632.5248481026</v>
      </c>
    </row>
    <row r="688">
      <c r="A688" s="11" t="s">
        <v>47</v>
      </c>
      <c r="B688" s="11">
        <v>7437.418707997</v>
      </c>
    </row>
    <row r="689">
      <c r="A689" s="11" t="s">
        <v>19</v>
      </c>
      <c r="B689" s="11">
        <v>38860.0208846444</v>
      </c>
    </row>
    <row r="690">
      <c r="A690" s="11" t="s">
        <v>88</v>
      </c>
      <c r="B690" s="11">
        <v>6662.24285394421</v>
      </c>
    </row>
    <row r="691">
      <c r="A691" s="11" t="s">
        <v>47</v>
      </c>
      <c r="B691" s="11">
        <v>13074.2152801333</v>
      </c>
    </row>
    <row r="692">
      <c r="A692" s="11" t="s">
        <v>88</v>
      </c>
      <c r="B692" s="11">
        <v>10443.2069030008</v>
      </c>
    </row>
    <row r="693">
      <c r="A693" s="11" t="s">
        <v>88</v>
      </c>
      <c r="B693" s="11">
        <v>20227.0394040116</v>
      </c>
    </row>
    <row r="694">
      <c r="A694" s="11" t="s">
        <v>29</v>
      </c>
      <c r="B694" s="11">
        <v>38779.2078746581</v>
      </c>
    </row>
    <row r="695">
      <c r="A695" s="11" t="s">
        <v>60</v>
      </c>
      <c r="B695" s="11">
        <v>4561.66420728556</v>
      </c>
    </row>
    <row r="696">
      <c r="A696" s="11" t="s">
        <v>47</v>
      </c>
      <c r="B696" s="11">
        <v>1656.54821705296</v>
      </c>
    </row>
    <row r="697">
      <c r="A697" s="11" t="s">
        <v>29</v>
      </c>
      <c r="B697" s="11">
        <v>28463.8609852708</v>
      </c>
    </row>
    <row r="698">
      <c r="A698" s="11" t="s">
        <v>19</v>
      </c>
      <c r="B698" s="11">
        <v>5268.69045746545</v>
      </c>
    </row>
    <row r="699">
      <c r="A699" s="11" t="s">
        <v>29</v>
      </c>
      <c r="B699" s="11">
        <v>24011.7022492557</v>
      </c>
    </row>
    <row r="700">
      <c r="A700" s="11" t="s">
        <v>19</v>
      </c>
      <c r="B700" s="11">
        <v>18467.0794491135</v>
      </c>
    </row>
    <row r="701">
      <c r="A701" s="11" t="s">
        <v>19</v>
      </c>
      <c r="B701" s="11">
        <v>3782.74141579085</v>
      </c>
    </row>
    <row r="702">
      <c r="A702" s="11" t="s">
        <v>47</v>
      </c>
      <c r="B702" s="11">
        <v>11921.6595106981</v>
      </c>
    </row>
    <row r="703">
      <c r="A703" s="11" t="s">
        <v>29</v>
      </c>
      <c r="B703" s="11">
        <v>16725.9795864969</v>
      </c>
    </row>
    <row r="704">
      <c r="A704" s="11" t="s">
        <v>29</v>
      </c>
      <c r="B704" s="11">
        <v>39700.8241233977</v>
      </c>
    </row>
    <row r="705">
      <c r="A705" s="11" t="s">
        <v>19</v>
      </c>
      <c r="B705" s="11">
        <v>2568.01196668098</v>
      </c>
    </row>
    <row r="706">
      <c r="A706" s="11" t="s">
        <v>60</v>
      </c>
      <c r="B706" s="11">
        <v>15242.3871789992</v>
      </c>
    </row>
    <row r="707">
      <c r="A707" s="11" t="s">
        <v>88</v>
      </c>
      <c r="B707" s="11">
        <v>31054.0460643255</v>
      </c>
    </row>
    <row r="708">
      <c r="A708" s="11" t="s">
        <v>29</v>
      </c>
      <c r="B708" s="11">
        <v>49118.5912615238</v>
      </c>
    </row>
    <row r="709">
      <c r="A709" s="11" t="s">
        <v>88</v>
      </c>
      <c r="B709" s="11">
        <v>3235.58115596155</v>
      </c>
    </row>
    <row r="710">
      <c r="A710" s="11" t="s">
        <v>109</v>
      </c>
      <c r="B710" s="11">
        <v>26052.0241648188</v>
      </c>
    </row>
    <row r="711">
      <c r="A711" s="11" t="s">
        <v>109</v>
      </c>
      <c r="B711" s="11">
        <v>11095.4018505941</v>
      </c>
    </row>
    <row r="712">
      <c r="A712" s="11" t="s">
        <v>88</v>
      </c>
      <c r="B712" s="11">
        <v>10725.8254626362</v>
      </c>
    </row>
    <row r="713">
      <c r="A713" s="11" t="s">
        <v>88</v>
      </c>
      <c r="B713" s="11">
        <v>30038.2759753759</v>
      </c>
    </row>
    <row r="714">
      <c r="A714" s="11" t="s">
        <v>60</v>
      </c>
      <c r="B714" s="11">
        <v>49446.4581793556</v>
      </c>
    </row>
    <row r="715">
      <c r="A715" s="11" t="s">
        <v>29</v>
      </c>
      <c r="B715" s="11">
        <v>5315.70561625656</v>
      </c>
    </row>
    <row r="716">
      <c r="A716" s="11" t="s">
        <v>19</v>
      </c>
      <c r="B716" s="11">
        <v>13928.2801338995</v>
      </c>
    </row>
    <row r="717">
      <c r="A717" s="11" t="s">
        <v>47</v>
      </c>
      <c r="B717" s="11">
        <v>2744.40891002426</v>
      </c>
    </row>
    <row r="718">
      <c r="A718" s="11" t="s">
        <v>29</v>
      </c>
      <c r="B718" s="11">
        <v>27512.913169434</v>
      </c>
    </row>
    <row r="719">
      <c r="A719" s="11" t="s">
        <v>109</v>
      </c>
      <c r="B719" s="11">
        <v>35854.0864225209</v>
      </c>
    </row>
    <row r="720">
      <c r="A720" s="11" t="s">
        <v>47</v>
      </c>
      <c r="B720" s="11">
        <v>2784.02053102635</v>
      </c>
    </row>
    <row r="721">
      <c r="A721" s="11" t="s">
        <v>47</v>
      </c>
      <c r="B721" s="11">
        <v>2547.91253142387</v>
      </c>
    </row>
    <row r="722">
      <c r="A722" s="11" t="s">
        <v>109</v>
      </c>
      <c r="B722" s="11">
        <v>29992.5361643446</v>
      </c>
    </row>
    <row r="723">
      <c r="A723" s="11" t="s">
        <v>88</v>
      </c>
      <c r="B723" s="11">
        <v>4018.01687632</v>
      </c>
    </row>
    <row r="724">
      <c r="A724" s="11" t="s">
        <v>60</v>
      </c>
      <c r="B724" s="11">
        <v>20508.5889565944</v>
      </c>
    </row>
    <row r="725">
      <c r="A725" s="11" t="s">
        <v>47</v>
      </c>
      <c r="B725" s="11">
        <v>25648.0437636094</v>
      </c>
    </row>
    <row r="726">
      <c r="A726" s="11" t="s">
        <v>109</v>
      </c>
      <c r="B726" s="11">
        <v>19691.4206855172</v>
      </c>
    </row>
    <row r="727">
      <c r="A727" s="11" t="s">
        <v>19</v>
      </c>
      <c r="B727" s="11">
        <v>10311.9361727306</v>
      </c>
    </row>
    <row r="728">
      <c r="A728" s="11" t="s">
        <v>19</v>
      </c>
      <c r="B728" s="11">
        <v>17733.9549923549</v>
      </c>
    </row>
    <row r="729">
      <c r="A729" s="11" t="s">
        <v>88</v>
      </c>
      <c r="B729" s="11">
        <v>10521.4719302488</v>
      </c>
    </row>
    <row r="730">
      <c r="A730" s="11" t="s">
        <v>109</v>
      </c>
      <c r="B730" s="11">
        <v>29910.9055003074</v>
      </c>
    </row>
    <row r="731">
      <c r="A731" s="11" t="s">
        <v>47</v>
      </c>
      <c r="B731" s="11">
        <v>26612.0084503878</v>
      </c>
    </row>
    <row r="732">
      <c r="A732" s="11" t="s">
        <v>47</v>
      </c>
      <c r="B732" s="11">
        <v>25858.4375209627</v>
      </c>
    </row>
    <row r="733">
      <c r="A733" s="11" t="s">
        <v>88</v>
      </c>
      <c r="B733" s="11">
        <v>22069.5965676412</v>
      </c>
    </row>
    <row r="734">
      <c r="A734" s="11" t="s">
        <v>60</v>
      </c>
      <c r="B734" s="11">
        <v>43117.6584824169</v>
      </c>
    </row>
    <row r="735">
      <c r="A735" s="11" t="s">
        <v>88</v>
      </c>
      <c r="B735" s="11">
        <v>3718.54817037328</v>
      </c>
    </row>
    <row r="736">
      <c r="A736" s="11" t="s">
        <v>109</v>
      </c>
      <c r="B736" s="11">
        <v>18788.1442337998</v>
      </c>
    </row>
    <row r="737">
      <c r="A737" s="11" t="s">
        <v>60</v>
      </c>
      <c r="B737" s="11">
        <v>39089.8660613446</v>
      </c>
    </row>
    <row r="738">
      <c r="A738" s="11" t="s">
        <v>47</v>
      </c>
      <c r="B738" s="11">
        <v>47594.4748424077</v>
      </c>
    </row>
    <row r="739">
      <c r="A739" s="11" t="s">
        <v>60</v>
      </c>
      <c r="B739" s="11">
        <v>19261.5108498331</v>
      </c>
    </row>
    <row r="740">
      <c r="A740" s="11" t="s">
        <v>47</v>
      </c>
      <c r="B740" s="11">
        <v>6578.02905753608</v>
      </c>
    </row>
    <row r="741">
      <c r="A741" s="11" t="s">
        <v>109</v>
      </c>
      <c r="B741" s="11">
        <v>38435.4477567037</v>
      </c>
    </row>
    <row r="742">
      <c r="A742" s="11" t="s">
        <v>29</v>
      </c>
      <c r="B742" s="11">
        <v>29810.0469179352</v>
      </c>
    </row>
    <row r="743">
      <c r="A743" s="11" t="s">
        <v>60</v>
      </c>
      <c r="B743" s="11">
        <v>4808.82031154897</v>
      </c>
    </row>
    <row r="744">
      <c r="A744" s="11" t="s">
        <v>19</v>
      </c>
      <c r="B744" s="11">
        <v>38365.8727802285</v>
      </c>
    </row>
    <row r="745">
      <c r="A745" s="11" t="s">
        <v>109</v>
      </c>
      <c r="B745" s="11">
        <v>45540.0955443213</v>
      </c>
    </row>
    <row r="746">
      <c r="A746" s="11" t="s">
        <v>60</v>
      </c>
      <c r="B746" s="11">
        <v>31444.0880406221</v>
      </c>
    </row>
    <row r="747">
      <c r="A747" s="11" t="s">
        <v>19</v>
      </c>
      <c r="B747" s="11">
        <v>37194.2639841502</v>
      </c>
    </row>
    <row r="748">
      <c r="A748" s="11" t="s">
        <v>19</v>
      </c>
      <c r="B748" s="11">
        <v>12422.7554154748</v>
      </c>
    </row>
    <row r="749">
      <c r="A749" s="11" t="s">
        <v>19</v>
      </c>
      <c r="B749" s="11">
        <v>8024.4100528891</v>
      </c>
    </row>
    <row r="750">
      <c r="A750" s="11" t="s">
        <v>109</v>
      </c>
      <c r="B750" s="11">
        <v>13034.075502789</v>
      </c>
    </row>
    <row r="751">
      <c r="A751" s="11" t="s">
        <v>19</v>
      </c>
      <c r="B751" s="11">
        <v>37903.2900444236</v>
      </c>
    </row>
    <row r="752">
      <c r="A752" s="11" t="s">
        <v>19</v>
      </c>
      <c r="B752" s="11">
        <v>45913.1659056016</v>
      </c>
    </row>
    <row r="753">
      <c r="A753" s="11" t="s">
        <v>109</v>
      </c>
      <c r="B753" s="11">
        <v>30468.2633818547</v>
      </c>
    </row>
    <row r="754">
      <c r="A754" s="11" t="s">
        <v>60</v>
      </c>
      <c r="B754" s="11">
        <v>50202.2078478231</v>
      </c>
    </row>
    <row r="755">
      <c r="A755" s="11" t="s">
        <v>88</v>
      </c>
      <c r="B755" s="11">
        <v>2104.37739631997</v>
      </c>
    </row>
    <row r="756">
      <c r="A756" s="11" t="s">
        <v>19</v>
      </c>
      <c r="B756" s="11">
        <v>43206.2241110336</v>
      </c>
    </row>
    <row r="757">
      <c r="A757" s="11" t="s">
        <v>109</v>
      </c>
      <c r="B757" s="11">
        <v>10622.2825437367</v>
      </c>
    </row>
    <row r="758">
      <c r="A758" s="11" t="s">
        <v>60</v>
      </c>
      <c r="B758" s="11">
        <v>10659.6088129445</v>
      </c>
    </row>
    <row r="759">
      <c r="A759" s="11" t="s">
        <v>47</v>
      </c>
      <c r="B759" s="11">
        <v>10919.1109526876</v>
      </c>
    </row>
    <row r="760">
      <c r="A760" s="11" t="s">
        <v>19</v>
      </c>
      <c r="B760" s="11">
        <v>8407.48879202866</v>
      </c>
    </row>
    <row r="761">
      <c r="A761" s="11" t="s">
        <v>19</v>
      </c>
      <c r="B761" s="11">
        <v>32926.2335403222</v>
      </c>
    </row>
    <row r="762">
      <c r="A762" s="11" t="s">
        <v>19</v>
      </c>
      <c r="B762" s="11">
        <v>48004.9746787929</v>
      </c>
    </row>
    <row r="763">
      <c r="A763" s="11" t="s">
        <v>109</v>
      </c>
      <c r="B763" s="11">
        <v>28452.7834879721</v>
      </c>
    </row>
    <row r="764">
      <c r="A764" s="11" t="s">
        <v>88</v>
      </c>
      <c r="B764" s="11">
        <v>20651.6148391435</v>
      </c>
    </row>
    <row r="765">
      <c r="A765" s="11" t="s">
        <v>88</v>
      </c>
      <c r="B765" s="11">
        <v>31822.7308529992</v>
      </c>
    </row>
    <row r="766">
      <c r="A766" s="11" t="s">
        <v>47</v>
      </c>
      <c r="B766" s="11">
        <v>21856.7382546574</v>
      </c>
    </row>
    <row r="767">
      <c r="A767" s="11" t="s">
        <v>29</v>
      </c>
      <c r="B767" s="11">
        <v>45326.914860092</v>
      </c>
    </row>
    <row r="768">
      <c r="A768" s="11" t="s">
        <v>19</v>
      </c>
      <c r="B768" s="11">
        <v>25152.2938878587</v>
      </c>
    </row>
    <row r="769">
      <c r="A769" s="11" t="s">
        <v>47</v>
      </c>
      <c r="B769" s="11">
        <v>37544.8037077419</v>
      </c>
    </row>
    <row r="770">
      <c r="A770" s="11" t="s">
        <v>47</v>
      </c>
      <c r="B770" s="11">
        <v>35487.512408368</v>
      </c>
    </row>
    <row r="771">
      <c r="A771" s="11" t="s">
        <v>29</v>
      </c>
      <c r="B771" s="11">
        <v>2076.32553604069</v>
      </c>
    </row>
    <row r="772">
      <c r="A772" s="11" t="s">
        <v>29</v>
      </c>
      <c r="B772" s="11">
        <v>35312.3014811029</v>
      </c>
    </row>
    <row r="773">
      <c r="A773" s="11" t="s">
        <v>88</v>
      </c>
      <c r="B773" s="11">
        <v>13869.7885226571</v>
      </c>
    </row>
    <row r="774">
      <c r="A774" s="11" t="s">
        <v>88</v>
      </c>
      <c r="B774" s="11">
        <v>36107.4031400341</v>
      </c>
    </row>
    <row r="775">
      <c r="A775" s="11" t="s">
        <v>60</v>
      </c>
      <c r="B775" s="11">
        <v>41208.1675885204</v>
      </c>
    </row>
    <row r="776">
      <c r="A776" s="11" t="s">
        <v>19</v>
      </c>
      <c r="B776" s="11">
        <v>14292.0657920994</v>
      </c>
    </row>
    <row r="777">
      <c r="A777" s="11" t="s">
        <v>19</v>
      </c>
      <c r="B777" s="11">
        <v>17722.9610787116</v>
      </c>
    </row>
    <row r="778">
      <c r="A778" s="11" t="s">
        <v>29</v>
      </c>
      <c r="B778" s="11">
        <v>21125.3219786322</v>
      </c>
    </row>
    <row r="779">
      <c r="A779" s="11" t="s">
        <v>109</v>
      </c>
      <c r="B779" s="11">
        <v>5164.55385633537</v>
      </c>
    </row>
    <row r="780">
      <c r="A780" s="11" t="s">
        <v>88</v>
      </c>
      <c r="B780" s="11">
        <v>2162.60729708275</v>
      </c>
    </row>
    <row r="781">
      <c r="A781" s="11" t="s">
        <v>19</v>
      </c>
      <c r="B781" s="11">
        <v>2675.23060946584</v>
      </c>
    </row>
    <row r="782">
      <c r="A782" s="11" t="s">
        <v>109</v>
      </c>
      <c r="B782" s="11">
        <v>44918.3237999027</v>
      </c>
    </row>
    <row r="783">
      <c r="A783" s="11" t="s">
        <v>29</v>
      </c>
      <c r="B783" s="11">
        <v>6327.80102622511</v>
      </c>
    </row>
    <row r="784">
      <c r="A784" s="11" t="s">
        <v>88</v>
      </c>
      <c r="B784" s="11">
        <v>29526.3215250996</v>
      </c>
    </row>
    <row r="785">
      <c r="A785" s="11" t="s">
        <v>60</v>
      </c>
      <c r="B785" s="11">
        <v>38989.5337611512</v>
      </c>
    </row>
    <row r="786">
      <c r="A786" s="11" t="s">
        <v>29</v>
      </c>
      <c r="B786" s="11">
        <v>33395.1036616005</v>
      </c>
    </row>
    <row r="787">
      <c r="A787" s="11" t="s">
        <v>19</v>
      </c>
      <c r="B787" s="11">
        <v>20258.7803185935</v>
      </c>
    </row>
    <row r="788">
      <c r="A788" s="11" t="s">
        <v>29</v>
      </c>
      <c r="B788" s="11">
        <v>43050.8313822153</v>
      </c>
    </row>
    <row r="789">
      <c r="A789" s="11" t="s">
        <v>47</v>
      </c>
      <c r="B789" s="11">
        <v>37284.0497087778</v>
      </c>
    </row>
    <row r="790">
      <c r="A790" s="11" t="s">
        <v>19</v>
      </c>
      <c r="B790" s="11">
        <v>42434.7768616828</v>
      </c>
    </row>
    <row r="791">
      <c r="A791" s="11" t="s">
        <v>88</v>
      </c>
      <c r="B791" s="11">
        <v>38570.1264074279</v>
      </c>
    </row>
    <row r="792">
      <c r="A792" s="11" t="s">
        <v>19</v>
      </c>
      <c r="B792" s="11">
        <v>22108.9719993926</v>
      </c>
    </row>
    <row r="793">
      <c r="A793" s="11" t="s">
        <v>60</v>
      </c>
      <c r="B793" s="11">
        <v>40783.1503036693</v>
      </c>
    </row>
    <row r="794">
      <c r="A794" s="11" t="s">
        <v>60</v>
      </c>
      <c r="B794" s="11">
        <v>28296.1834997073</v>
      </c>
    </row>
    <row r="795">
      <c r="A795" s="11" t="s">
        <v>60</v>
      </c>
      <c r="B795" s="11">
        <v>46950.5832578833</v>
      </c>
    </row>
    <row r="796">
      <c r="A796" s="11" t="s">
        <v>47</v>
      </c>
      <c r="B796" s="11">
        <v>41548.1508258725</v>
      </c>
    </row>
    <row r="797">
      <c r="A797" s="11" t="s">
        <v>88</v>
      </c>
      <c r="B797" s="11">
        <v>43277.5644936598</v>
      </c>
    </row>
    <row r="798">
      <c r="A798" s="11" t="s">
        <v>88</v>
      </c>
      <c r="B798" s="11">
        <v>41248.1308378106</v>
      </c>
    </row>
    <row r="799">
      <c r="A799" s="11" t="s">
        <v>19</v>
      </c>
      <c r="B799" s="11">
        <v>6162.34595947817</v>
      </c>
    </row>
    <row r="800">
      <c r="A800" s="11" t="s">
        <v>19</v>
      </c>
      <c r="B800" s="11">
        <v>45208.3376944067</v>
      </c>
    </row>
    <row r="801">
      <c r="A801" s="11" t="s">
        <v>47</v>
      </c>
      <c r="B801" s="11">
        <v>36324.5234754365</v>
      </c>
    </row>
    <row r="802">
      <c r="A802" s="11" t="s">
        <v>88</v>
      </c>
      <c r="B802" s="11">
        <v>46084.6737689602</v>
      </c>
    </row>
    <row r="803">
      <c r="A803" s="11" t="s">
        <v>60</v>
      </c>
      <c r="B803" s="11">
        <v>-1018.24537122828</v>
      </c>
    </row>
    <row r="804">
      <c r="A804" s="11" t="s">
        <v>47</v>
      </c>
      <c r="B804" s="11">
        <v>6657.34714143169</v>
      </c>
    </row>
    <row r="805">
      <c r="A805" s="11" t="s">
        <v>60</v>
      </c>
      <c r="B805" s="11">
        <v>39357.459739905</v>
      </c>
    </row>
    <row r="806">
      <c r="A806" s="11" t="s">
        <v>109</v>
      </c>
      <c r="B806" s="11">
        <v>23154.6385012288</v>
      </c>
    </row>
    <row r="807">
      <c r="A807" s="11" t="s">
        <v>47</v>
      </c>
      <c r="B807" s="11">
        <v>6653.59156049303</v>
      </c>
    </row>
    <row r="808">
      <c r="A808" s="11" t="s">
        <v>47</v>
      </c>
      <c r="B808" s="11">
        <v>15327.7421595132</v>
      </c>
    </row>
    <row r="809">
      <c r="A809" s="11" t="s">
        <v>29</v>
      </c>
      <c r="B809" s="11">
        <v>31457.7973069052</v>
      </c>
    </row>
    <row r="810">
      <c r="A810" s="11" t="s">
        <v>60</v>
      </c>
      <c r="B810" s="11">
        <v>21875.0833239254</v>
      </c>
    </row>
    <row r="811">
      <c r="A811" s="11" t="s">
        <v>47</v>
      </c>
      <c r="B811" s="11">
        <v>49635.3065206016</v>
      </c>
    </row>
    <row r="812">
      <c r="A812" s="11" t="s">
        <v>19</v>
      </c>
      <c r="B812" s="11">
        <v>41413.8093919015</v>
      </c>
    </row>
    <row r="813">
      <c r="A813" s="11" t="s">
        <v>109</v>
      </c>
      <c r="B813" s="11">
        <v>16352.5862779409</v>
      </c>
    </row>
    <row r="814">
      <c r="A814" s="11" t="s">
        <v>109</v>
      </c>
      <c r="B814" s="11">
        <v>1805.52280570939</v>
      </c>
    </row>
    <row r="815">
      <c r="A815" s="11" t="s">
        <v>109</v>
      </c>
      <c r="B815" s="11">
        <v>38363.2612689719</v>
      </c>
    </row>
    <row r="816">
      <c r="A816" s="11" t="s">
        <v>60</v>
      </c>
      <c r="B816" s="11">
        <v>32746.5563747251</v>
      </c>
    </row>
    <row r="817">
      <c r="A817" s="11" t="s">
        <v>109</v>
      </c>
      <c r="B817" s="11">
        <v>36649.3242803098</v>
      </c>
    </row>
    <row r="818">
      <c r="A818" s="11" t="s">
        <v>19</v>
      </c>
      <c r="B818" s="11">
        <v>3288.12587865642</v>
      </c>
    </row>
    <row r="819">
      <c r="A819" s="11" t="s">
        <v>19</v>
      </c>
      <c r="B819" s="11">
        <v>32993.4923989072</v>
      </c>
    </row>
    <row r="820">
      <c r="A820" s="11" t="s">
        <v>29</v>
      </c>
      <c r="B820" s="11">
        <v>3338.21551120665</v>
      </c>
    </row>
    <row r="821">
      <c r="A821" s="11" t="s">
        <v>29</v>
      </c>
      <c r="B821" s="11">
        <v>21401.5210577155</v>
      </c>
    </row>
    <row r="822">
      <c r="A822" s="11" t="s">
        <v>60</v>
      </c>
      <c r="B822" s="11">
        <v>35828.3195022364</v>
      </c>
    </row>
    <row r="823">
      <c r="A823" s="11" t="s">
        <v>60</v>
      </c>
      <c r="B823" s="11">
        <v>14171.9897130828</v>
      </c>
    </row>
    <row r="824">
      <c r="A824" s="11" t="s">
        <v>88</v>
      </c>
      <c r="B824" s="11">
        <v>30283.17458661</v>
      </c>
    </row>
    <row r="825">
      <c r="A825" s="11" t="s">
        <v>19</v>
      </c>
      <c r="B825" s="11">
        <v>31419.1193724991</v>
      </c>
    </row>
    <row r="826">
      <c r="A826" s="11" t="s">
        <v>47</v>
      </c>
      <c r="B826" s="11">
        <v>23734.8540115534</v>
      </c>
    </row>
    <row r="827">
      <c r="A827" s="11" t="s">
        <v>47</v>
      </c>
      <c r="B827" s="11">
        <v>45417.6423467335</v>
      </c>
    </row>
    <row r="828">
      <c r="A828" s="11" t="s">
        <v>109</v>
      </c>
      <c r="B828" s="11">
        <v>12822.7832871436</v>
      </c>
    </row>
    <row r="829">
      <c r="A829" s="11" t="s">
        <v>29</v>
      </c>
      <c r="B829" s="11">
        <v>25856.220204486</v>
      </c>
    </row>
    <row r="830">
      <c r="A830" s="11" t="s">
        <v>109</v>
      </c>
      <c r="B830" s="11">
        <v>10443.6777697778</v>
      </c>
    </row>
    <row r="831">
      <c r="A831" s="11" t="s">
        <v>88</v>
      </c>
      <c r="B831" s="11">
        <v>40606.4584827272</v>
      </c>
    </row>
    <row r="832">
      <c r="A832" s="11" t="s">
        <v>47</v>
      </c>
      <c r="B832" s="11">
        <v>32535.4483660904</v>
      </c>
    </row>
    <row r="833">
      <c r="A833" s="11" t="s">
        <v>60</v>
      </c>
      <c r="B833" s="11">
        <v>34557.2886363492</v>
      </c>
    </row>
    <row r="834">
      <c r="A834" s="11" t="s">
        <v>109</v>
      </c>
      <c r="B834" s="11">
        <v>35116.7104719574</v>
      </c>
    </row>
    <row r="835">
      <c r="A835" s="11" t="s">
        <v>47</v>
      </c>
      <c r="B835" s="11">
        <v>28270.3035717442</v>
      </c>
    </row>
    <row r="836">
      <c r="A836" s="11" t="s">
        <v>109</v>
      </c>
      <c r="B836" s="11">
        <v>47734.9878707083</v>
      </c>
    </row>
    <row r="837">
      <c r="A837" s="11" t="s">
        <v>60</v>
      </c>
      <c r="B837" s="11">
        <v>19176.261695738</v>
      </c>
    </row>
    <row r="838">
      <c r="A838" s="11" t="s">
        <v>109</v>
      </c>
      <c r="B838" s="11">
        <v>8731.4822745908</v>
      </c>
    </row>
    <row r="839">
      <c r="A839" s="11" t="s">
        <v>60</v>
      </c>
      <c r="B839" s="11">
        <v>19249.6871864753</v>
      </c>
    </row>
    <row r="840">
      <c r="A840" s="11" t="s">
        <v>29</v>
      </c>
      <c r="B840" s="11">
        <v>22758.6376013223</v>
      </c>
    </row>
    <row r="841">
      <c r="A841" s="11" t="s">
        <v>60</v>
      </c>
      <c r="B841" s="11">
        <v>20929.0665444153</v>
      </c>
    </row>
    <row r="842">
      <c r="A842" s="11" t="s">
        <v>19</v>
      </c>
      <c r="B842" s="11">
        <v>3899.86364076517</v>
      </c>
    </row>
    <row r="843">
      <c r="A843" s="11" t="s">
        <v>109</v>
      </c>
      <c r="B843" s="11">
        <v>19698.0007425582</v>
      </c>
    </row>
    <row r="844">
      <c r="A844" s="11" t="s">
        <v>60</v>
      </c>
      <c r="B844" s="11">
        <v>34060.2729478252</v>
      </c>
    </row>
    <row r="845">
      <c r="A845" s="11" t="s">
        <v>88</v>
      </c>
      <c r="B845" s="11">
        <v>40367.6341734317</v>
      </c>
    </row>
    <row r="846">
      <c r="A846" s="11" t="s">
        <v>109</v>
      </c>
      <c r="B846" s="11">
        <v>3638.2461963533</v>
      </c>
    </row>
    <row r="847">
      <c r="A847" s="11" t="s">
        <v>109</v>
      </c>
      <c r="B847" s="11">
        <v>46134.925978636</v>
      </c>
    </row>
    <row r="848">
      <c r="A848" s="11" t="s">
        <v>29</v>
      </c>
      <c r="B848" s="11">
        <v>14549.4946706322</v>
      </c>
    </row>
    <row r="849">
      <c r="A849" s="11" t="s">
        <v>19</v>
      </c>
      <c r="B849" s="11">
        <v>30549.6533247304</v>
      </c>
    </row>
    <row r="850">
      <c r="A850" s="11" t="s">
        <v>47</v>
      </c>
      <c r="B850" s="11">
        <v>13666.17587126</v>
      </c>
    </row>
    <row r="851">
      <c r="A851" s="11" t="s">
        <v>60</v>
      </c>
      <c r="B851" s="11">
        <v>45199.2733088141</v>
      </c>
    </row>
    <row r="852">
      <c r="A852" s="11" t="s">
        <v>109</v>
      </c>
      <c r="B852" s="11">
        <v>20514.4001787807</v>
      </c>
    </row>
    <row r="853">
      <c r="A853" s="11" t="s">
        <v>19</v>
      </c>
      <c r="B853" s="11">
        <v>47700.5375286225</v>
      </c>
    </row>
    <row r="854">
      <c r="A854" s="11" t="s">
        <v>88</v>
      </c>
      <c r="B854" s="11">
        <v>2462.21031957497</v>
      </c>
    </row>
    <row r="855">
      <c r="A855" s="11" t="s">
        <v>88</v>
      </c>
      <c r="B855" s="11">
        <v>31401.5018502849</v>
      </c>
    </row>
    <row r="856">
      <c r="A856" s="11" t="s">
        <v>29</v>
      </c>
      <c r="B856" s="11">
        <v>20749.8628181168</v>
      </c>
    </row>
    <row r="857">
      <c r="A857" s="11" t="s">
        <v>88</v>
      </c>
      <c r="B857" s="11">
        <v>47297.4190743691</v>
      </c>
    </row>
    <row r="858">
      <c r="A858" s="11" t="s">
        <v>29</v>
      </c>
      <c r="B858" s="11">
        <v>26223.1658347895</v>
      </c>
    </row>
    <row r="859">
      <c r="A859" s="11" t="s">
        <v>60</v>
      </c>
      <c r="B859" s="11">
        <v>35821.649335478</v>
      </c>
    </row>
    <row r="860">
      <c r="A860" s="11" t="s">
        <v>109</v>
      </c>
      <c r="B860" s="11">
        <v>21633.3277634366</v>
      </c>
    </row>
    <row r="861">
      <c r="A861" s="11" t="s">
        <v>109</v>
      </c>
      <c r="B861" s="11">
        <v>39448.8865093978</v>
      </c>
    </row>
    <row r="862">
      <c r="A862" s="11" t="s">
        <v>19</v>
      </c>
      <c r="B862" s="11">
        <v>8867.74666914176</v>
      </c>
    </row>
    <row r="863">
      <c r="A863" s="11" t="s">
        <v>109</v>
      </c>
      <c r="B863" s="11">
        <v>5571.23524567007</v>
      </c>
    </row>
    <row r="864">
      <c r="A864" s="11" t="s">
        <v>60</v>
      </c>
      <c r="B864" s="11">
        <v>13014.3300004474</v>
      </c>
    </row>
    <row r="865">
      <c r="A865" s="11" t="s">
        <v>29</v>
      </c>
      <c r="B865" s="11">
        <v>27828.9395181477</v>
      </c>
    </row>
    <row r="866">
      <c r="A866" s="11" t="s">
        <v>109</v>
      </c>
      <c r="B866" s="11">
        <v>36931.4828491646</v>
      </c>
    </row>
    <row r="867">
      <c r="A867" s="11" t="s">
        <v>29</v>
      </c>
      <c r="B867" s="11">
        <v>41307.8958291383</v>
      </c>
    </row>
    <row r="868">
      <c r="A868" s="11" t="s">
        <v>60</v>
      </c>
      <c r="B868" s="11">
        <v>36632.3183545198</v>
      </c>
    </row>
    <row r="869">
      <c r="A869" s="11" t="s">
        <v>19</v>
      </c>
      <c r="B869" s="11">
        <v>17658.4724035534</v>
      </c>
    </row>
    <row r="870">
      <c r="A870" s="11" t="s">
        <v>19</v>
      </c>
      <c r="B870" s="11">
        <v>10034.7212646627</v>
      </c>
    </row>
    <row r="871">
      <c r="A871" s="11" t="s">
        <v>47</v>
      </c>
      <c r="B871" s="11">
        <v>7383.38335920499</v>
      </c>
    </row>
    <row r="872">
      <c r="A872" s="11" t="s">
        <v>60</v>
      </c>
      <c r="B872" s="11">
        <v>28974.4553263161</v>
      </c>
    </row>
    <row r="873">
      <c r="A873" s="11" t="s">
        <v>109</v>
      </c>
      <c r="B873" s="11">
        <v>4697.23433432292</v>
      </c>
    </row>
    <row r="874">
      <c r="A874" s="11" t="s">
        <v>19</v>
      </c>
      <c r="B874" s="11">
        <v>41150.1906871481</v>
      </c>
    </row>
    <row r="875">
      <c r="A875" s="11" t="s">
        <v>109</v>
      </c>
      <c r="B875" s="11">
        <v>30324.4509103686</v>
      </c>
    </row>
    <row r="876">
      <c r="A876" s="11" t="s">
        <v>88</v>
      </c>
      <c r="B876" s="11">
        <v>33646.1140908455</v>
      </c>
    </row>
    <row r="877">
      <c r="A877" s="11" t="s">
        <v>47</v>
      </c>
      <c r="B877" s="11">
        <v>46717.9501109654</v>
      </c>
    </row>
    <row r="878">
      <c r="A878" s="11" t="s">
        <v>60</v>
      </c>
      <c r="B878" s="11">
        <v>49997.3263696861</v>
      </c>
    </row>
    <row r="879">
      <c r="A879" s="11" t="s">
        <v>60</v>
      </c>
      <c r="B879" s="11">
        <v>38397.0233221755</v>
      </c>
    </row>
    <row r="880">
      <c r="A880" s="11" t="s">
        <v>29</v>
      </c>
      <c r="B880" s="11">
        <v>10135.8655242559</v>
      </c>
    </row>
    <row r="881">
      <c r="A881" s="11" t="s">
        <v>109</v>
      </c>
      <c r="B881" s="11">
        <v>25685.6257609646</v>
      </c>
    </row>
    <row r="882">
      <c r="A882" s="11" t="s">
        <v>88</v>
      </c>
      <c r="B882" s="11">
        <v>6007.69394274639</v>
      </c>
    </row>
    <row r="883">
      <c r="A883" s="11" t="s">
        <v>19</v>
      </c>
      <c r="B883" s="11">
        <v>7609.436016567</v>
      </c>
    </row>
    <row r="884">
      <c r="A884" s="11" t="s">
        <v>47</v>
      </c>
      <c r="B884" s="11">
        <v>46287.0493098817</v>
      </c>
    </row>
    <row r="885">
      <c r="A885" s="11" t="s">
        <v>47</v>
      </c>
      <c r="B885" s="11">
        <v>19204.9177799971</v>
      </c>
    </row>
    <row r="886">
      <c r="A886" s="11" t="s">
        <v>88</v>
      </c>
      <c r="B886" s="11">
        <v>45019.0263132596</v>
      </c>
    </row>
    <row r="887">
      <c r="A887" s="11" t="s">
        <v>29</v>
      </c>
      <c r="B887" s="11">
        <v>44581.1534954096</v>
      </c>
    </row>
    <row r="888">
      <c r="A888" s="11" t="s">
        <v>88</v>
      </c>
      <c r="B888" s="11">
        <v>8726.69900648832</v>
      </c>
    </row>
    <row r="889">
      <c r="A889" s="11" t="s">
        <v>88</v>
      </c>
      <c r="B889" s="11">
        <v>41966.5689099778</v>
      </c>
    </row>
    <row r="890">
      <c r="A890" s="11" t="s">
        <v>88</v>
      </c>
      <c r="B890" s="11">
        <v>44255.3260106818</v>
      </c>
    </row>
    <row r="891">
      <c r="A891" s="11" t="s">
        <v>29</v>
      </c>
      <c r="B891" s="11">
        <v>43644.3370805813</v>
      </c>
    </row>
    <row r="892">
      <c r="A892" s="11" t="s">
        <v>109</v>
      </c>
      <c r="B892" s="11">
        <v>45304.3894975776</v>
      </c>
    </row>
    <row r="893">
      <c r="A893" s="11" t="s">
        <v>109</v>
      </c>
      <c r="B893" s="11">
        <v>18891.9209931502</v>
      </c>
    </row>
    <row r="894">
      <c r="A894" s="11" t="s">
        <v>60</v>
      </c>
      <c r="B894" s="11">
        <v>18381.5829500255</v>
      </c>
    </row>
    <row r="895">
      <c r="A895" s="11" t="s">
        <v>88</v>
      </c>
      <c r="B895" s="11">
        <v>42316.124269502</v>
      </c>
    </row>
    <row r="896">
      <c r="A896" s="11" t="s">
        <v>109</v>
      </c>
      <c r="B896" s="11">
        <v>15072.5709264739</v>
      </c>
    </row>
    <row r="897">
      <c r="A897" s="11" t="s">
        <v>60</v>
      </c>
      <c r="B897" s="11">
        <v>7380.731298358</v>
      </c>
    </row>
    <row r="898">
      <c r="A898" s="11" t="s">
        <v>60</v>
      </c>
      <c r="B898" s="11">
        <v>5936.36341146121</v>
      </c>
    </row>
    <row r="899">
      <c r="A899" s="11" t="s">
        <v>88</v>
      </c>
      <c r="B899" s="11">
        <v>7704.300990915</v>
      </c>
    </row>
    <row r="900">
      <c r="A900" s="11" t="s">
        <v>19</v>
      </c>
      <c r="B900" s="11">
        <v>12099.7931002341</v>
      </c>
    </row>
    <row r="901">
      <c r="A901" s="11" t="s">
        <v>88</v>
      </c>
      <c r="B901" s="11">
        <v>17202.8996414058</v>
      </c>
    </row>
    <row r="902">
      <c r="A902" s="11" t="s">
        <v>60</v>
      </c>
      <c r="B902" s="11">
        <v>25275.9442276636</v>
      </c>
    </row>
    <row r="903">
      <c r="A903" s="11" t="s">
        <v>88</v>
      </c>
      <c r="B903" s="11">
        <v>17002.3032707143</v>
      </c>
    </row>
    <row r="904">
      <c r="A904" s="11" t="s">
        <v>19</v>
      </c>
      <c r="B904" s="11">
        <v>4794.75135454625</v>
      </c>
    </row>
    <row r="905">
      <c r="A905" s="11" t="s">
        <v>88</v>
      </c>
      <c r="B905" s="11">
        <v>7241.19598889808</v>
      </c>
    </row>
    <row r="906">
      <c r="A906" s="11" t="s">
        <v>109</v>
      </c>
      <c r="B906" s="11">
        <v>45218.7410511559</v>
      </c>
    </row>
    <row r="907">
      <c r="A907" s="11" t="s">
        <v>47</v>
      </c>
      <c r="B907" s="11">
        <v>32052.0564587382</v>
      </c>
    </row>
    <row r="908">
      <c r="A908" s="11" t="s">
        <v>29</v>
      </c>
      <c r="B908" s="11">
        <v>30718.5462808348</v>
      </c>
    </row>
    <row r="909">
      <c r="A909" s="11" t="s">
        <v>29</v>
      </c>
      <c r="B909" s="11">
        <v>51441.7290534539</v>
      </c>
    </row>
    <row r="910">
      <c r="A910" s="11" t="s">
        <v>19</v>
      </c>
      <c r="B910" s="11">
        <v>1821.34794642876</v>
      </c>
    </row>
    <row r="911">
      <c r="A911" s="11" t="s">
        <v>109</v>
      </c>
      <c r="B911" s="11">
        <v>23857.4994842816</v>
      </c>
    </row>
    <row r="912">
      <c r="A912" s="11" t="s">
        <v>19</v>
      </c>
      <c r="B912" s="11">
        <v>4795.51343890974</v>
      </c>
    </row>
    <row r="913">
      <c r="A913" s="11" t="s">
        <v>47</v>
      </c>
      <c r="B913" s="11">
        <v>25500.7069991382</v>
      </c>
    </row>
    <row r="914">
      <c r="A914" s="11" t="s">
        <v>60</v>
      </c>
      <c r="B914" s="11">
        <v>10837.6145834728</v>
      </c>
    </row>
    <row r="915">
      <c r="A915" s="11" t="s">
        <v>109</v>
      </c>
      <c r="B915" s="11">
        <v>46836.7059028468</v>
      </c>
    </row>
    <row r="916">
      <c r="A916" s="11" t="s">
        <v>47</v>
      </c>
      <c r="B916" s="11">
        <v>11426.0121308383</v>
      </c>
    </row>
    <row r="917">
      <c r="A917" s="11" t="s">
        <v>47</v>
      </c>
      <c r="B917" s="11">
        <v>20590.515395957</v>
      </c>
    </row>
    <row r="918">
      <c r="A918" s="11" t="s">
        <v>88</v>
      </c>
      <c r="B918" s="11">
        <v>28100.0925304751</v>
      </c>
    </row>
    <row r="919">
      <c r="A919" s="11" t="s">
        <v>109</v>
      </c>
      <c r="B919" s="11">
        <v>33188.9265495037</v>
      </c>
    </row>
    <row r="920">
      <c r="A920" s="11" t="s">
        <v>60</v>
      </c>
      <c r="B920" s="11">
        <v>47130.0255967814</v>
      </c>
    </row>
    <row r="921">
      <c r="A921" s="11" t="s">
        <v>19</v>
      </c>
      <c r="B921" s="11">
        <v>20361.8655179066</v>
      </c>
    </row>
    <row r="922">
      <c r="A922" s="11" t="s">
        <v>29</v>
      </c>
      <c r="B922" s="11">
        <v>11229.7554869141</v>
      </c>
    </row>
    <row r="923">
      <c r="A923" s="11" t="s">
        <v>88</v>
      </c>
      <c r="B923" s="11">
        <v>6969.09152159104</v>
      </c>
    </row>
    <row r="924">
      <c r="A924" s="11" t="s">
        <v>29</v>
      </c>
      <c r="B924" s="11">
        <v>31405.5806284379</v>
      </c>
    </row>
    <row r="925">
      <c r="A925" s="11" t="s">
        <v>29</v>
      </c>
      <c r="B925" s="11">
        <v>22976.907581907</v>
      </c>
    </row>
    <row r="926">
      <c r="A926" s="11" t="s">
        <v>19</v>
      </c>
      <c r="B926" s="11">
        <v>32136.5104076893</v>
      </c>
    </row>
    <row r="927">
      <c r="A927" s="11" t="s">
        <v>88</v>
      </c>
      <c r="B927" s="11">
        <v>39313.8898329137</v>
      </c>
    </row>
    <row r="928">
      <c r="A928" s="11" t="s">
        <v>29</v>
      </c>
      <c r="B928" s="11">
        <v>5624.28866875598</v>
      </c>
    </row>
    <row r="929">
      <c r="A929" s="11" t="s">
        <v>19</v>
      </c>
      <c r="B929" s="11">
        <v>5823.04806130711</v>
      </c>
    </row>
    <row r="930">
      <c r="A930" s="11" t="s">
        <v>47</v>
      </c>
      <c r="B930" s="11">
        <v>11628.6173440034</v>
      </c>
    </row>
    <row r="931">
      <c r="A931" s="11" t="s">
        <v>109</v>
      </c>
      <c r="B931" s="11">
        <v>8104.6679772966</v>
      </c>
    </row>
    <row r="932">
      <c r="A932" s="11" t="s">
        <v>109</v>
      </c>
      <c r="B932" s="11">
        <v>12093.0868137337</v>
      </c>
    </row>
    <row r="933">
      <c r="A933" s="11" t="s">
        <v>109</v>
      </c>
      <c r="B933" s="11">
        <v>29465.8170890851</v>
      </c>
    </row>
    <row r="934">
      <c r="A934" s="11" t="s">
        <v>109</v>
      </c>
      <c r="B934" s="11">
        <v>22545.9292309013</v>
      </c>
    </row>
    <row r="935">
      <c r="A935" s="11" t="s">
        <v>29</v>
      </c>
      <c r="B935" s="11">
        <v>2641.01617944814</v>
      </c>
    </row>
    <row r="936">
      <c r="A936" s="11" t="s">
        <v>109</v>
      </c>
      <c r="B936" s="11">
        <v>16527.2578729106</v>
      </c>
    </row>
    <row r="937">
      <c r="A937" s="11" t="s">
        <v>19</v>
      </c>
      <c r="B937" s="11">
        <v>13624.8292803078</v>
      </c>
    </row>
    <row r="938">
      <c r="A938" s="11" t="s">
        <v>29</v>
      </c>
      <c r="B938" s="11">
        <v>39570.0689615352</v>
      </c>
    </row>
    <row r="939">
      <c r="A939" s="11" t="s">
        <v>47</v>
      </c>
      <c r="B939" s="11">
        <v>13256.4145644399</v>
      </c>
    </row>
    <row r="940">
      <c r="A940" s="11" t="s">
        <v>109</v>
      </c>
      <c r="B940" s="11">
        <v>32633.203074129</v>
      </c>
    </row>
    <row r="941">
      <c r="A941" s="11" t="s">
        <v>109</v>
      </c>
      <c r="B941" s="11">
        <v>19720.0359027959</v>
      </c>
    </row>
    <row r="942">
      <c r="A942" s="11" t="s">
        <v>88</v>
      </c>
      <c r="B942" s="11">
        <v>46421.261252841</v>
      </c>
    </row>
    <row r="943">
      <c r="A943" s="11" t="s">
        <v>88</v>
      </c>
      <c r="B943" s="11">
        <v>10767.3766698325</v>
      </c>
    </row>
    <row r="944">
      <c r="A944" s="11" t="s">
        <v>88</v>
      </c>
      <c r="B944" s="11">
        <v>47656.5170065843</v>
      </c>
    </row>
    <row r="945">
      <c r="A945" s="11" t="s">
        <v>88</v>
      </c>
      <c r="B945" s="11">
        <v>46186.1632482473</v>
      </c>
    </row>
    <row r="946">
      <c r="A946" s="11" t="s">
        <v>19</v>
      </c>
      <c r="B946" s="11">
        <v>44148.5428825193</v>
      </c>
    </row>
    <row r="947">
      <c r="A947" s="11" t="s">
        <v>19</v>
      </c>
      <c r="B947" s="11">
        <v>12447.26511667</v>
      </c>
    </row>
    <row r="948">
      <c r="A948" s="11" t="s">
        <v>47</v>
      </c>
      <c r="B948" s="11">
        <v>43298.4336992711</v>
      </c>
    </row>
    <row r="949">
      <c r="A949" s="11" t="s">
        <v>60</v>
      </c>
      <c r="B949" s="11">
        <v>33379.5454673791</v>
      </c>
    </row>
    <row r="950">
      <c r="A950" s="11" t="s">
        <v>19</v>
      </c>
      <c r="B950" s="11">
        <v>37553.1609729174</v>
      </c>
    </row>
    <row r="951">
      <c r="A951" s="11" t="s">
        <v>60</v>
      </c>
      <c r="B951" s="11">
        <v>44931.1287719402</v>
      </c>
    </row>
    <row r="952">
      <c r="A952" s="11" t="s">
        <v>60</v>
      </c>
      <c r="B952" s="11">
        <v>44595.9708637619</v>
      </c>
    </row>
    <row r="953">
      <c r="A953" s="11" t="s">
        <v>19</v>
      </c>
      <c r="B953" s="11">
        <v>10243.9720615149</v>
      </c>
    </row>
    <row r="954">
      <c r="A954" s="11" t="s">
        <v>29</v>
      </c>
      <c r="B954" s="11">
        <v>8762.50307169242</v>
      </c>
    </row>
    <row r="955">
      <c r="A955" s="11" t="s">
        <v>60</v>
      </c>
      <c r="B955" s="11">
        <v>10363.668930673</v>
      </c>
    </row>
    <row r="956">
      <c r="A956" s="11" t="s">
        <v>60</v>
      </c>
      <c r="B956" s="11">
        <v>22827.8109032324</v>
      </c>
    </row>
    <row r="957">
      <c r="A957" s="11" t="s">
        <v>60</v>
      </c>
      <c r="B957" s="11">
        <v>22913.348727039</v>
      </c>
    </row>
    <row r="958">
      <c r="A958" s="11" t="s">
        <v>19</v>
      </c>
      <c r="B958" s="11">
        <v>33800.9084900491</v>
      </c>
    </row>
    <row r="959">
      <c r="A959" s="11" t="s">
        <v>29</v>
      </c>
      <c r="B959" s="11">
        <v>23713.923814165</v>
      </c>
    </row>
    <row r="960">
      <c r="A960" s="11" t="s">
        <v>88</v>
      </c>
      <c r="B960" s="11">
        <v>41794.3554262154</v>
      </c>
    </row>
    <row r="961">
      <c r="A961" s="11" t="s">
        <v>47</v>
      </c>
      <c r="B961" s="11">
        <v>40304.3800733008</v>
      </c>
    </row>
    <row r="962">
      <c r="A962" s="11" t="s">
        <v>19</v>
      </c>
      <c r="B962" s="11">
        <v>43825.0566704835</v>
      </c>
    </row>
    <row r="963">
      <c r="A963" s="11" t="s">
        <v>88</v>
      </c>
      <c r="B963" s="11">
        <v>16509.8932281747</v>
      </c>
    </row>
    <row r="964">
      <c r="A964" s="11" t="s">
        <v>109</v>
      </c>
      <c r="B964" s="11">
        <v>46268.7290367606</v>
      </c>
    </row>
    <row r="965">
      <c r="A965" s="11" t="s">
        <v>109</v>
      </c>
      <c r="B965" s="11">
        <v>36272.7518193057</v>
      </c>
    </row>
    <row r="966">
      <c r="A966" s="11" t="s">
        <v>29</v>
      </c>
      <c r="B966" s="11">
        <v>5614.51822677262</v>
      </c>
    </row>
    <row r="967">
      <c r="A967" s="11" t="s">
        <v>109</v>
      </c>
      <c r="B967" s="11">
        <v>21429.6739120968</v>
      </c>
    </row>
    <row r="968">
      <c r="A968" s="11" t="s">
        <v>19</v>
      </c>
      <c r="B968" s="11">
        <v>24057.4709309876</v>
      </c>
    </row>
    <row r="969">
      <c r="A969" s="11" t="s">
        <v>109</v>
      </c>
      <c r="B969" s="11">
        <v>22775.4709385453</v>
      </c>
    </row>
    <row r="970">
      <c r="A970" s="11" t="s">
        <v>29</v>
      </c>
      <c r="B970" s="11">
        <v>30953.7822567848</v>
      </c>
    </row>
    <row r="971">
      <c r="A971" s="11" t="s">
        <v>60</v>
      </c>
      <c r="B971" s="11">
        <v>12101.1306552964</v>
      </c>
    </row>
    <row r="972">
      <c r="A972" s="11" t="s">
        <v>60</v>
      </c>
      <c r="B972" s="11">
        <v>1478.1811393289</v>
      </c>
    </row>
    <row r="973">
      <c r="A973" s="11" t="s">
        <v>19</v>
      </c>
      <c r="B973" s="11">
        <v>37197.8556473132</v>
      </c>
    </row>
    <row r="974">
      <c r="A974" s="11" t="s">
        <v>109</v>
      </c>
      <c r="B974" s="11">
        <v>5407.72875451754</v>
      </c>
    </row>
    <row r="975">
      <c r="A975" s="11" t="s">
        <v>60</v>
      </c>
      <c r="B975" s="11">
        <v>6035.45806854317</v>
      </c>
    </row>
    <row r="976">
      <c r="A976" s="11" t="s">
        <v>60</v>
      </c>
      <c r="B976" s="11">
        <v>5778.24581949244</v>
      </c>
    </row>
    <row r="977">
      <c r="A977" s="11" t="s">
        <v>109</v>
      </c>
      <c r="B977" s="11">
        <v>46602.6926843485</v>
      </c>
    </row>
    <row r="978">
      <c r="A978" s="11" t="s">
        <v>47</v>
      </c>
      <c r="B978" s="11">
        <v>47789.825967887</v>
      </c>
    </row>
    <row r="979">
      <c r="A979" s="11" t="s">
        <v>29</v>
      </c>
      <c r="B979" s="11">
        <v>46608.3928886818</v>
      </c>
    </row>
    <row r="980">
      <c r="A980" s="11" t="s">
        <v>109</v>
      </c>
      <c r="B980" s="11">
        <v>8709.03596282032</v>
      </c>
    </row>
    <row r="981">
      <c r="A981" s="11" t="s">
        <v>19</v>
      </c>
      <c r="B981" s="11">
        <v>18270.9952693763</v>
      </c>
    </row>
    <row r="982">
      <c r="A982" s="11" t="s">
        <v>88</v>
      </c>
      <c r="B982" s="11">
        <v>17679.0266781595</v>
      </c>
    </row>
    <row r="983">
      <c r="A983" s="11" t="s">
        <v>47</v>
      </c>
      <c r="B983" s="11">
        <v>21965.147404814</v>
      </c>
    </row>
    <row r="984">
      <c r="A984" s="11" t="s">
        <v>19</v>
      </c>
      <c r="B984" s="11">
        <v>27309.7078784393</v>
      </c>
    </row>
    <row r="985">
      <c r="A985" s="11" t="s">
        <v>109</v>
      </c>
      <c r="B985" s="11">
        <v>4437.95634965318</v>
      </c>
    </row>
    <row r="986">
      <c r="A986" s="11" t="s">
        <v>88</v>
      </c>
      <c r="B986" s="11">
        <v>15704.0892182133</v>
      </c>
    </row>
    <row r="987">
      <c r="A987" s="11" t="s">
        <v>60</v>
      </c>
      <c r="B987" s="11">
        <v>16528.8018231127</v>
      </c>
    </row>
    <row r="988">
      <c r="A988" s="11" t="s">
        <v>109</v>
      </c>
      <c r="B988" s="11">
        <v>3621.1616906829</v>
      </c>
    </row>
    <row r="989">
      <c r="A989" s="11" t="s">
        <v>47</v>
      </c>
      <c r="B989" s="11">
        <v>47863.0239195924</v>
      </c>
    </row>
    <row r="990">
      <c r="A990" s="11" t="s">
        <v>29</v>
      </c>
      <c r="B990" s="11">
        <v>46772.5811980863</v>
      </c>
    </row>
    <row r="991">
      <c r="A991" s="11" t="s">
        <v>29</v>
      </c>
      <c r="B991" s="11">
        <v>18479.7432776037</v>
      </c>
    </row>
    <row r="992">
      <c r="A992" s="11" t="s">
        <v>19</v>
      </c>
      <c r="B992" s="11">
        <v>7285.48959150567</v>
      </c>
    </row>
    <row r="993">
      <c r="A993" s="11" t="s">
        <v>47</v>
      </c>
      <c r="B993" s="11">
        <v>6818.72448001167</v>
      </c>
    </row>
    <row r="994">
      <c r="A994" s="11" t="s">
        <v>88</v>
      </c>
      <c r="B994" s="11">
        <v>14374.3129973427</v>
      </c>
    </row>
    <row r="995">
      <c r="A995" s="11" t="s">
        <v>109</v>
      </c>
      <c r="B995" s="11">
        <v>5936.17714527583</v>
      </c>
    </row>
    <row r="996">
      <c r="A996" s="11" t="s">
        <v>47</v>
      </c>
      <c r="B996" s="11">
        <v>32897.2673145643</v>
      </c>
    </row>
    <row r="997">
      <c r="A997" s="11" t="s">
        <v>60</v>
      </c>
      <c r="B997" s="11">
        <v>3963.12112831519</v>
      </c>
    </row>
    <row r="998">
      <c r="A998" s="11" t="s">
        <v>60</v>
      </c>
      <c r="B998" s="11">
        <v>16057.8201619831</v>
      </c>
    </row>
    <row r="999">
      <c r="A999" s="11" t="s">
        <v>47</v>
      </c>
      <c r="B999" s="11">
        <v>44041.5737381922</v>
      </c>
    </row>
    <row r="1000">
      <c r="A1000" s="11" t="s">
        <v>109</v>
      </c>
      <c r="B1000" s="11">
        <v>15086.1587800273</v>
      </c>
    </row>
    <row r="1001">
      <c r="A1001" s="11" t="s">
        <v>88</v>
      </c>
      <c r="B1001" s="11">
        <v>16377.5231280267</v>
      </c>
    </row>
    <row r="1002">
      <c r="A1002" s="11" t="s">
        <v>88</v>
      </c>
      <c r="B1002" s="11">
        <v>43488.8386274731</v>
      </c>
    </row>
    <row r="1003">
      <c r="A1003" s="11" t="s">
        <v>88</v>
      </c>
      <c r="B1003" s="11">
        <v>43108.8880581611</v>
      </c>
    </row>
  </sheetData>
  <mergeCells count="2">
    <mergeCell ref="A2:B2"/>
    <mergeCell ref="E3:F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9" t="s">
        <v>3033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1"/>
    </row>
    <row r="2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</row>
    <row r="3">
      <c r="A3" s="35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1"/>
    </row>
    <row r="4">
      <c r="A4" s="36"/>
      <c r="R4" s="37"/>
    </row>
    <row r="5">
      <c r="A5" s="36"/>
      <c r="R5" s="37"/>
    </row>
    <row r="6">
      <c r="A6" s="36"/>
      <c r="R6" s="37"/>
    </row>
    <row r="7">
      <c r="A7" s="36"/>
      <c r="R7" s="37"/>
    </row>
    <row r="8">
      <c r="A8" s="36"/>
      <c r="R8" s="37"/>
    </row>
    <row r="9">
      <c r="A9" s="36"/>
      <c r="R9" s="37"/>
    </row>
    <row r="10">
      <c r="A10" s="36"/>
      <c r="R10" s="37"/>
    </row>
    <row r="11">
      <c r="A11" s="36"/>
      <c r="R11" s="37"/>
    </row>
    <row r="12">
      <c r="A12" s="36"/>
      <c r="R12" s="37"/>
    </row>
    <row r="13">
      <c r="A13" s="36"/>
      <c r="R13" s="37"/>
    </row>
    <row r="14">
      <c r="A14" s="36"/>
      <c r="R14" s="37"/>
    </row>
    <row r="15">
      <c r="A15" s="36"/>
      <c r="R15" s="37"/>
    </row>
    <row r="16">
      <c r="A16" s="36"/>
      <c r="R16" s="37"/>
    </row>
    <row r="17">
      <c r="A17" s="36"/>
      <c r="R17" s="37"/>
    </row>
    <row r="18">
      <c r="A18" s="36"/>
      <c r="R18" s="37"/>
    </row>
    <row r="19">
      <c r="A19" s="36"/>
      <c r="R19" s="37"/>
    </row>
    <row r="20">
      <c r="A20" s="36"/>
      <c r="R20" s="37"/>
    </row>
    <row r="21">
      <c r="A21" s="36"/>
      <c r="R21" s="37"/>
    </row>
    <row r="22">
      <c r="A22" s="36"/>
      <c r="R22" s="37"/>
    </row>
    <row r="23">
      <c r="A23" s="36"/>
      <c r="R23" s="37"/>
    </row>
    <row r="24">
      <c r="A24" s="36"/>
      <c r="R24" s="37"/>
    </row>
    <row r="25">
      <c r="A25" s="36"/>
      <c r="R25" s="37"/>
    </row>
    <row r="26">
      <c r="A26" s="36"/>
      <c r="R26" s="37"/>
    </row>
    <row r="27">
      <c r="A27" s="36"/>
      <c r="R27" s="37"/>
    </row>
    <row r="28">
      <c r="A28" s="36"/>
      <c r="R28" s="37"/>
    </row>
    <row r="29">
      <c r="A29" s="36"/>
      <c r="R29" s="37"/>
    </row>
    <row r="30">
      <c r="A30" s="36"/>
      <c r="R30" s="37"/>
    </row>
    <row r="31">
      <c r="A31" s="36"/>
      <c r="R31" s="37"/>
    </row>
    <row r="32">
      <c r="A32" s="36"/>
      <c r="R32" s="37"/>
    </row>
    <row r="33">
      <c r="A33" s="36"/>
      <c r="R33" s="37"/>
    </row>
    <row r="34">
      <c r="A34" s="36"/>
      <c r="R34" s="37"/>
    </row>
    <row r="35">
      <c r="A35" s="36"/>
      <c r="R35" s="37"/>
    </row>
    <row r="36">
      <c r="A36" s="36"/>
      <c r="R36" s="37"/>
    </row>
    <row r="37">
      <c r="A37" s="36"/>
      <c r="R37" s="37"/>
    </row>
    <row r="38">
      <c r="A38" s="36"/>
      <c r="R38" s="37"/>
    </row>
    <row r="39">
      <c r="A39" s="36"/>
      <c r="R39" s="37"/>
    </row>
    <row r="40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4"/>
    </row>
  </sheetData>
  <mergeCells count="2">
    <mergeCell ref="A1:R2"/>
    <mergeCell ref="A3:R40"/>
  </mergeCells>
  <drawing r:id="rId1"/>
</worksheet>
</file>